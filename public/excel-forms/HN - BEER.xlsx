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01. BEVERAGE INVENTORIES/"/>
    </mc:Choice>
  </mc:AlternateContent>
  <xr:revisionPtr revIDLastSave="5701" documentId="13_ncr:1_{10476513-CFA3-4D63-A492-01F632F25CBB}" xr6:coauthVersionLast="47" xr6:coauthVersionMax="47" xr10:uidLastSave="{978E54DB-56FB-4A97-B74C-F4BB3C8B4459}"/>
  <bookViews>
    <workbookView minimized="1" xWindow="6120" yWindow="1485" windowWidth="21600" windowHeight="11295" xr2:uid="{E13CAF2E-8C5F-4BA2-84B0-934DA5037566}"/>
  </bookViews>
  <sheets>
    <sheet name="BEER" sheetId="2" r:id="rId1"/>
    <sheet name="PURCHASING ONLY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O11" i="2" l="1"/>
  <c r="AQK11" i="2"/>
  <c r="AQM11" i="2" s="1"/>
  <c r="AQO10" i="2"/>
  <c r="AQK10" i="2"/>
  <c r="AQM10" i="2" s="1"/>
  <c r="AQO7" i="2"/>
  <c r="AQK7" i="2"/>
  <c r="AQM7" i="2" s="1"/>
  <c r="AQO6" i="2"/>
  <c r="AQK6" i="2"/>
  <c r="AQM6" i="2" s="1"/>
  <c r="AQO5" i="2"/>
  <c r="AQK5" i="2"/>
  <c r="AQM5" i="2" s="1"/>
  <c r="AQO4" i="2"/>
  <c r="AQM4" i="2"/>
  <c r="AQK4" i="2"/>
  <c r="AQO3" i="2"/>
  <c r="AQK3" i="2"/>
  <c r="AQM3" i="2" s="1"/>
  <c r="AQE11" i="2"/>
  <c r="AQA11" i="2"/>
  <c r="AQC11" i="2" s="1"/>
  <c r="AQE10" i="2"/>
  <c r="AQA10" i="2"/>
  <c r="AQC10" i="2" s="1"/>
  <c r="AQE7" i="2"/>
  <c r="AQA7" i="2"/>
  <c r="AQC7" i="2" s="1"/>
  <c r="AQE6" i="2"/>
  <c r="AQA6" i="2"/>
  <c r="AQC6" i="2" s="1"/>
  <c r="AQE5" i="2"/>
  <c r="AQA5" i="2"/>
  <c r="AQC5" i="2" s="1"/>
  <c r="AQE4" i="2"/>
  <c r="AQA4" i="2"/>
  <c r="AQC4" i="2" s="1"/>
  <c r="AQE3" i="2"/>
  <c r="AQA3" i="2"/>
  <c r="AQC3" i="2" s="1"/>
  <c r="APU11" i="2" l="1"/>
  <c r="APQ11" i="2"/>
  <c r="APS11" i="2" s="1"/>
  <c r="APU10" i="2"/>
  <c r="APQ10" i="2"/>
  <c r="APS10" i="2" s="1"/>
  <c r="APU7" i="2"/>
  <c r="APQ7" i="2"/>
  <c r="APS7" i="2" s="1"/>
  <c r="APU6" i="2"/>
  <c r="APQ6" i="2"/>
  <c r="APS6" i="2" s="1"/>
  <c r="APU5" i="2"/>
  <c r="APQ5" i="2"/>
  <c r="APS5" i="2" s="1"/>
  <c r="APU4" i="2"/>
  <c r="APQ4" i="2"/>
  <c r="APS4" i="2" s="1"/>
  <c r="APU3" i="2"/>
  <c r="APQ3" i="2"/>
  <c r="APS3" i="2" s="1"/>
  <c r="APK11" i="2" l="1"/>
  <c r="APG11" i="2"/>
  <c r="API11" i="2" s="1"/>
  <c r="APK10" i="2"/>
  <c r="APG10" i="2"/>
  <c r="API10" i="2" s="1"/>
  <c r="APK7" i="2"/>
  <c r="APG7" i="2"/>
  <c r="API7" i="2" s="1"/>
  <c r="APK6" i="2"/>
  <c r="APG6" i="2"/>
  <c r="API6" i="2" s="1"/>
  <c r="APK5" i="2"/>
  <c r="APG5" i="2"/>
  <c r="API5" i="2" s="1"/>
  <c r="APK4" i="2"/>
  <c r="APG4" i="2"/>
  <c r="API4" i="2" s="1"/>
  <c r="APK3" i="2"/>
  <c r="APG3" i="2"/>
  <c r="API3" i="2" s="1"/>
  <c r="APA11" i="2" l="1"/>
  <c r="AOW11" i="2"/>
  <c r="AOY11" i="2" s="1"/>
  <c r="APA10" i="2"/>
  <c r="AOW10" i="2"/>
  <c r="AOY10" i="2" s="1"/>
  <c r="APA7" i="2"/>
  <c r="AOW7" i="2"/>
  <c r="AOY7" i="2" s="1"/>
  <c r="APA6" i="2"/>
  <c r="AOW6" i="2"/>
  <c r="AOY6" i="2" s="1"/>
  <c r="APA5" i="2"/>
  <c r="AOW5" i="2"/>
  <c r="AOY5" i="2" s="1"/>
  <c r="APA4" i="2"/>
  <c r="AOW4" i="2"/>
  <c r="AOY4" i="2" s="1"/>
  <c r="APA3" i="2"/>
  <c r="AOW3" i="2"/>
  <c r="AOY3" i="2" s="1"/>
  <c r="AOM11" i="2" l="1"/>
  <c r="AOQ10" i="2"/>
  <c r="AOM10" i="2"/>
  <c r="AOO10" i="2" s="1"/>
  <c r="AOQ7" i="2"/>
  <c r="AOM7" i="2"/>
  <c r="AOO7" i="2" s="1"/>
  <c r="AOQ6" i="2"/>
  <c r="AOM6" i="2"/>
  <c r="AOO6" i="2" s="1"/>
  <c r="AOQ5" i="2"/>
  <c r="AOM5" i="2"/>
  <c r="AOO5" i="2" s="1"/>
  <c r="AOQ4" i="2"/>
  <c r="AOM4" i="2"/>
  <c r="AOO4" i="2" s="1"/>
  <c r="AOQ3" i="2"/>
  <c r="AOM3" i="2"/>
  <c r="AOO3" i="2" s="1"/>
  <c r="AOC11" i="2" l="1"/>
  <c r="AOE11" i="2" s="1"/>
  <c r="AOG11" i="2" s="1"/>
  <c r="AOG10" i="2"/>
  <c r="AOC10" i="2"/>
  <c r="AOE10" i="2" s="1"/>
  <c r="AOG7" i="2"/>
  <c r="AOC7" i="2"/>
  <c r="AOE7" i="2" s="1"/>
  <c r="AOG6" i="2"/>
  <c r="AOC6" i="2"/>
  <c r="AOE6" i="2" s="1"/>
  <c r="AOG5" i="2"/>
  <c r="AOC5" i="2"/>
  <c r="AOE5" i="2" s="1"/>
  <c r="AOG4" i="2"/>
  <c r="AOC4" i="2"/>
  <c r="AOE4" i="2" s="1"/>
  <c r="AOG3" i="2"/>
  <c r="AOC3" i="2"/>
  <c r="AOE3" i="2" s="1"/>
  <c r="ANW11" i="2"/>
  <c r="ANS11" i="2"/>
  <c r="ANU11" i="2" s="1"/>
  <c r="ANS10" i="2"/>
  <c r="ANW7" i="2"/>
  <c r="ANS7" i="2"/>
  <c r="ANU7" i="2" s="1"/>
  <c r="ANW6" i="2"/>
  <c r="ANS6" i="2"/>
  <c r="ANU6" i="2" s="1"/>
  <c r="ANW5" i="2"/>
  <c r="ANS5" i="2"/>
  <c r="ANU5" i="2" s="1"/>
  <c r="ANW4" i="2"/>
  <c r="ANS4" i="2"/>
  <c r="ANU4" i="2" s="1"/>
  <c r="ANS3" i="2"/>
  <c r="AOO11" i="2" l="1"/>
  <c r="AOQ11" i="2" s="1"/>
  <c r="ANU3" i="2"/>
  <c r="ANW3" i="2" s="1"/>
  <c r="ANI11" i="2"/>
  <c r="ANK11" i="2" s="1"/>
  <c r="ANM11" i="2" s="1"/>
  <c r="ANI10" i="2"/>
  <c r="ANK10" i="2" s="1"/>
  <c r="ANM10" i="2" s="1"/>
  <c r="ANM7" i="2"/>
  <c r="ANI7" i="2"/>
  <c r="ANK7" i="2" s="1"/>
  <c r="ANM6" i="2"/>
  <c r="ANI6" i="2"/>
  <c r="ANK6" i="2" s="1"/>
  <c r="ANI5" i="2"/>
  <c r="ANM4" i="2"/>
  <c r="ANI4" i="2"/>
  <c r="ANK4" i="2" s="1"/>
  <c r="ANI3" i="2"/>
  <c r="ANK3" i="2" s="1"/>
  <c r="ANM3" i="2" s="1"/>
  <c r="ANU10" i="2" l="1"/>
  <c r="ANW10" i="2" s="1"/>
  <c r="AMY11" i="2"/>
  <c r="ANC10" i="2"/>
  <c r="AMY10" i="2"/>
  <c r="ANA10" i="2" s="1"/>
  <c r="ANC7" i="2"/>
  <c r="AMY7" i="2"/>
  <c r="ANA7" i="2" s="1"/>
  <c r="ANC6" i="2"/>
  <c r="AMY6" i="2"/>
  <c r="ANA6" i="2" s="1"/>
  <c r="AMY5" i="2"/>
  <c r="ANA5" i="2" s="1"/>
  <c r="ANC5" i="2" s="1"/>
  <c r="ANC4" i="2"/>
  <c r="AMY4" i="2"/>
  <c r="ANA4" i="2" s="1"/>
  <c r="ANC3" i="2"/>
  <c r="AMY3" i="2"/>
  <c r="ANA3" i="2" s="1"/>
  <c r="B1" i="2"/>
  <c r="ANK5" i="2" l="1"/>
  <c r="ANM5" i="2" s="1"/>
  <c r="AMO11" i="2"/>
  <c r="AMQ11" i="2" s="1"/>
  <c r="AMS11" i="2" s="1"/>
  <c r="AMS10" i="2"/>
  <c r="AMO10" i="2"/>
  <c r="AMQ10" i="2" s="1"/>
  <c r="AMS7" i="2"/>
  <c r="AMO7" i="2"/>
  <c r="AMQ7" i="2" s="1"/>
  <c r="AMS6" i="2"/>
  <c r="AMO6" i="2"/>
  <c r="AMQ6" i="2" s="1"/>
  <c r="AMS5" i="2"/>
  <c r="AMO5" i="2"/>
  <c r="AMQ5" i="2" s="1"/>
  <c r="AMS4" i="2"/>
  <c r="AMO4" i="2"/>
  <c r="AMQ4" i="2" s="1"/>
  <c r="AMS3" i="2"/>
  <c r="AMO3" i="2"/>
  <c r="AMQ3" i="2" s="1"/>
  <c r="ANA11" i="2" l="1"/>
  <c r="ANC11" i="2" s="1"/>
  <c r="AME11" i="2"/>
  <c r="AME10" i="2"/>
  <c r="AMG10" i="2" s="1"/>
  <c r="AMI10" i="2" s="1"/>
  <c r="AMI7" i="2"/>
  <c r="AME7" i="2"/>
  <c r="AMG7" i="2" s="1"/>
  <c r="AMI6" i="2"/>
  <c r="AME6" i="2"/>
  <c r="AMG6" i="2" s="1"/>
  <c r="AMI5" i="2"/>
  <c r="AME5" i="2"/>
  <c r="AMG5" i="2" s="1"/>
  <c r="AME4" i="2"/>
  <c r="AMG4" i="2" s="1"/>
  <c r="AMI4" i="2" s="1"/>
  <c r="AMI3" i="2"/>
  <c r="AME3" i="2"/>
  <c r="AMG3" i="2" s="1"/>
  <c r="ALU11" i="2" l="1"/>
  <c r="ALW11" i="2" s="1"/>
  <c r="ALY11" i="2" s="1"/>
  <c r="ALY10" i="2"/>
  <c r="ALU10" i="2"/>
  <c r="ALW10" i="2" s="1"/>
  <c r="ALY7" i="2"/>
  <c r="ALU7" i="2"/>
  <c r="ALW7" i="2" s="1"/>
  <c r="ALY6" i="2"/>
  <c r="ALU6" i="2"/>
  <c r="ALW6" i="2" s="1"/>
  <c r="ALY5" i="2"/>
  <c r="ALU5" i="2"/>
  <c r="ALW5" i="2" s="1"/>
  <c r="ALY4" i="2"/>
  <c r="ALU4" i="2"/>
  <c r="ALW4" i="2" s="1"/>
  <c r="ALY3" i="2"/>
  <c r="ALU3" i="2"/>
  <c r="ALW3" i="2" s="1"/>
  <c r="AMG11" i="2" l="1"/>
  <c r="AMI11" i="2" s="1"/>
  <c r="ALO11" i="2" l="1"/>
  <c r="ALK11" i="2"/>
  <c r="ALM11" i="2" s="1"/>
  <c r="ALO10" i="2"/>
  <c r="ALK10" i="2"/>
  <c r="ALM10" i="2" s="1"/>
  <c r="ALO7" i="2"/>
  <c r="ALK7" i="2"/>
  <c r="ALM7" i="2" s="1"/>
  <c r="ALO6" i="2"/>
  <c r="ALK6" i="2"/>
  <c r="ALM6" i="2" s="1"/>
  <c r="ALO5" i="2"/>
  <c r="ALK5" i="2"/>
  <c r="ALM5" i="2" s="1"/>
  <c r="ALO4" i="2"/>
  <c r="ALK4" i="2"/>
  <c r="ALM4" i="2" s="1"/>
  <c r="ALO3" i="2"/>
  <c r="ALK3" i="2"/>
  <c r="ALM3" i="2" s="1"/>
  <c r="ALA11" i="2"/>
  <c r="ALA10" i="2"/>
  <c r="ALE7" i="2"/>
  <c r="ALA7" i="2"/>
  <c r="ALC7" i="2" s="1"/>
  <c r="ALE6" i="2"/>
  <c r="ALA6" i="2"/>
  <c r="ALC6" i="2" s="1"/>
  <c r="ALE5" i="2"/>
  <c r="ALA5" i="2"/>
  <c r="ALC5" i="2" s="1"/>
  <c r="ALE4" i="2"/>
  <c r="ALA4" i="2"/>
  <c r="ALC4" i="2" s="1"/>
  <c r="ALE3" i="2"/>
  <c r="ALA3" i="2"/>
  <c r="ALC3" i="2" s="1"/>
  <c r="AKQ11" i="2" l="1"/>
  <c r="ALC11" i="2" s="1"/>
  <c r="ALE11" i="2" s="1"/>
  <c r="AKQ10" i="2"/>
  <c r="ALC10" i="2" s="1"/>
  <c r="ALE10" i="2" s="1"/>
  <c r="AKU7" i="2"/>
  <c r="AKQ7" i="2"/>
  <c r="AKS7" i="2" s="1"/>
  <c r="AKU6" i="2"/>
  <c r="AKQ6" i="2"/>
  <c r="AKS6" i="2" s="1"/>
  <c r="AKU5" i="2"/>
  <c r="AKQ5" i="2"/>
  <c r="AKS5" i="2" s="1"/>
  <c r="AKU4" i="2"/>
  <c r="AKQ4" i="2"/>
  <c r="AKS4" i="2" s="1"/>
  <c r="AKQ3" i="2"/>
  <c r="R3" i="3" l="1"/>
  <c r="T4" i="3"/>
  <c r="T5" i="3"/>
  <c r="T6" i="3"/>
  <c r="T7" i="3"/>
  <c r="T3" i="3"/>
  <c r="AKK4" i="2"/>
  <c r="AKK5" i="2"/>
  <c r="AKK6" i="2"/>
  <c r="AKK7" i="2"/>
  <c r="AKG11" i="2" l="1"/>
  <c r="AKG10" i="2"/>
  <c r="AKS10" i="2" s="1"/>
  <c r="AKU10" i="2" s="1"/>
  <c r="AKG7" i="2"/>
  <c r="AKI7" i="2" s="1"/>
  <c r="AKG6" i="2"/>
  <c r="AKI6" i="2" s="1"/>
  <c r="AKG5" i="2"/>
  <c r="AKI5" i="2" s="1"/>
  <c r="AKG4" i="2"/>
  <c r="AKI4" i="2" s="1"/>
  <c r="AKG3" i="2"/>
  <c r="AKI11" i="2" l="1"/>
  <c r="AKK11" i="2" s="1"/>
  <c r="AKS11" i="2"/>
  <c r="AKU11" i="2" s="1"/>
  <c r="AKI3" i="2"/>
  <c r="AKK3" i="2" s="1"/>
  <c r="AKS3" i="2"/>
  <c r="AKU3" i="2" s="1"/>
  <c r="AA19" i="3"/>
  <c r="AA18" i="3"/>
  <c r="AJW11" i="2" l="1"/>
  <c r="AJY11" i="2" s="1"/>
  <c r="AKA11" i="2" s="1"/>
  <c r="AJW10" i="2"/>
  <c r="AJW7" i="2"/>
  <c r="AKA6" i="2"/>
  <c r="AJW6" i="2"/>
  <c r="AJY6" i="2" s="1"/>
  <c r="AKA5" i="2"/>
  <c r="AJW5" i="2"/>
  <c r="AJY5" i="2" s="1"/>
  <c r="AKA4" i="2"/>
  <c r="AJW4" i="2"/>
  <c r="AJY4" i="2" s="1"/>
  <c r="AKA3" i="2"/>
  <c r="AJW3" i="2"/>
  <c r="AJY3" i="2" s="1"/>
  <c r="AJY10" i="2" l="1"/>
  <c r="AKA10" i="2" s="1"/>
  <c r="AKI10" i="2"/>
  <c r="AKK10" i="2" s="1"/>
  <c r="AJQ11" i="2"/>
  <c r="AJM11" i="2"/>
  <c r="AJO11" i="2" s="1"/>
  <c r="AJQ10" i="2"/>
  <c r="AJM10" i="2"/>
  <c r="AJO10" i="2" s="1"/>
  <c r="AJM7" i="2"/>
  <c r="AJO7" i="2" s="1"/>
  <c r="AJQ7" i="2" s="1"/>
  <c r="AJQ6" i="2"/>
  <c r="AJM6" i="2"/>
  <c r="AJO6" i="2" s="1"/>
  <c r="AJQ5" i="2"/>
  <c r="AJM5" i="2"/>
  <c r="AJO5" i="2" s="1"/>
  <c r="AJQ4" i="2"/>
  <c r="AJM4" i="2"/>
  <c r="AJO4" i="2" s="1"/>
  <c r="AJQ3" i="2"/>
  <c r="AJM3" i="2"/>
  <c r="AJO3" i="2" s="1"/>
  <c r="AJG7" i="2"/>
  <c r="AJG6" i="2"/>
  <c r="AJG5" i="2"/>
  <c r="AJG4" i="2"/>
  <c r="AJG3" i="2"/>
  <c r="AJE7" i="2"/>
  <c r="AJE6" i="2"/>
  <c r="AJE5" i="2"/>
  <c r="AJE4" i="2"/>
  <c r="AJE3" i="2"/>
  <c r="AJC11" i="2"/>
  <c r="AJC10" i="2"/>
  <c r="AJC7" i="2"/>
  <c r="AJC6" i="2"/>
  <c r="AJC5" i="2"/>
  <c r="AJC4" i="2"/>
  <c r="AJC3" i="2"/>
  <c r="AJY7" i="2" l="1"/>
  <c r="AKA7" i="2" s="1"/>
  <c r="AIS11" i="2"/>
  <c r="AIU11" i="2" s="1"/>
  <c r="AIW11" i="2" s="1"/>
  <c r="AIS10" i="2"/>
  <c r="AIU10" i="2" s="1"/>
  <c r="AIW10" i="2" s="1"/>
  <c r="AIW7" i="2"/>
  <c r="AIS7" i="2"/>
  <c r="AIU7" i="2" s="1"/>
  <c r="AIW6" i="2"/>
  <c r="AIS6" i="2"/>
  <c r="AIU6" i="2" s="1"/>
  <c r="AIW5" i="2"/>
  <c r="AIS5" i="2"/>
  <c r="AIU5" i="2" s="1"/>
  <c r="AIW4" i="2"/>
  <c r="AIS4" i="2"/>
  <c r="AIU4" i="2" s="1"/>
  <c r="AIW3" i="2"/>
  <c r="AIS3" i="2"/>
  <c r="AIU3" i="2" s="1"/>
  <c r="AJE10" i="2" l="1"/>
  <c r="AJG10" i="2" s="1"/>
  <c r="AJE11" i="2"/>
  <c r="AJG11" i="2" s="1"/>
  <c r="AII11" i="2"/>
  <c r="AIM10" i="2"/>
  <c r="AII10" i="2"/>
  <c r="AIK10" i="2" s="1"/>
  <c r="AII7" i="2"/>
  <c r="AIM6" i="2"/>
  <c r="AII6" i="2"/>
  <c r="AIK6" i="2" s="1"/>
  <c r="AIM5" i="2"/>
  <c r="AII5" i="2"/>
  <c r="AIK5" i="2" s="1"/>
  <c r="AIM4" i="2"/>
  <c r="AII4" i="2"/>
  <c r="AIK4" i="2" s="1"/>
  <c r="AIM3" i="2"/>
  <c r="AII3" i="2"/>
  <c r="AIK3" i="2" s="1"/>
  <c r="AHY11" i="2" l="1"/>
  <c r="AIA11" i="2" s="1"/>
  <c r="AIC11" i="2" s="1"/>
  <c r="AHY10" i="2"/>
  <c r="AIA10" i="2" s="1"/>
  <c r="AIC10" i="2" s="1"/>
  <c r="AHY7" i="2"/>
  <c r="AIA7" i="2" s="1"/>
  <c r="AIC7" i="2" s="1"/>
  <c r="AIC6" i="2"/>
  <c r="AHY6" i="2"/>
  <c r="AIA6" i="2" s="1"/>
  <c r="AIC5" i="2"/>
  <c r="AHY5" i="2"/>
  <c r="AIA5" i="2" s="1"/>
  <c r="AIC4" i="2"/>
  <c r="AHY4" i="2"/>
  <c r="AIA4" i="2" s="1"/>
  <c r="AIC3" i="2"/>
  <c r="AHY3" i="2"/>
  <c r="AIA3" i="2" s="1"/>
  <c r="AIK7" i="2" l="1"/>
  <c r="AIM7" i="2" s="1"/>
  <c r="AIK11" i="2"/>
  <c r="AIM11" i="2" s="1"/>
  <c r="AHO11" i="2" l="1"/>
  <c r="AHO10" i="2"/>
  <c r="AHO7" i="2"/>
  <c r="AHS6" i="2"/>
  <c r="AHO6" i="2"/>
  <c r="AHO5" i="2"/>
  <c r="AHS4" i="2"/>
  <c r="AHO4" i="2"/>
  <c r="AHO3" i="2"/>
  <c r="AHE11" i="2" l="1"/>
  <c r="AHE10" i="2"/>
  <c r="AHE7" i="2"/>
  <c r="AHE6" i="2"/>
  <c r="AHE5" i="2"/>
  <c r="AHE4" i="2"/>
  <c r="AHE3" i="2"/>
  <c r="AHQ4" i="2" l="1"/>
  <c r="AHQ5" i="2"/>
  <c r="AHS5" i="2" s="1"/>
  <c r="AHG10" i="2"/>
  <c r="AHI10" i="2" s="1"/>
  <c r="AHQ10" i="2"/>
  <c r="AHS10" i="2" s="1"/>
  <c r="AHQ3" i="2"/>
  <c r="AHS3" i="2" s="1"/>
  <c r="AHG6" i="2"/>
  <c r="AHI6" i="2" s="1"/>
  <c r="AHQ6" i="2"/>
  <c r="AHG7" i="2"/>
  <c r="AHI7" i="2" s="1"/>
  <c r="AHQ7" i="2"/>
  <c r="AHS7" i="2" s="1"/>
  <c r="AHG11" i="2"/>
  <c r="AHI11" i="2" s="1"/>
  <c r="AHQ11" i="2"/>
  <c r="AHS11" i="2" s="1"/>
  <c r="AGU11" i="2"/>
  <c r="AGU10" i="2"/>
  <c r="AGU7" i="2"/>
  <c r="AGU6" i="2"/>
  <c r="AGU5" i="2"/>
  <c r="AGY4" i="2"/>
  <c r="AGU4" i="2"/>
  <c r="AGU3" i="2"/>
  <c r="AHG3" i="2" s="1"/>
  <c r="AHI3" i="2" s="1"/>
  <c r="AGW11" i="2" l="1"/>
  <c r="AGY11" i="2" s="1"/>
  <c r="AHG5" i="2"/>
  <c r="AHI5" i="2" s="1"/>
  <c r="AHG4" i="2"/>
  <c r="AHI4" i="2" s="1"/>
  <c r="P11" i="3"/>
  <c r="R11" i="3" s="1"/>
  <c r="AGK11" i="2"/>
  <c r="AGK10" i="2"/>
  <c r="AGW10" i="2" s="1"/>
  <c r="AGY10" i="2" s="1"/>
  <c r="AGK7" i="2"/>
  <c r="AGW7" i="2" s="1"/>
  <c r="AGY7" i="2" s="1"/>
  <c r="AGO6" i="2"/>
  <c r="AGK6" i="2"/>
  <c r="AGM6" i="2" s="1"/>
  <c r="AGK5" i="2"/>
  <c r="AGM5" i="2" s="1"/>
  <c r="AGO5" i="2" s="1"/>
  <c r="AGO4" i="2"/>
  <c r="AGK4" i="2"/>
  <c r="AGW4" i="2" s="1"/>
  <c r="AGK3" i="2"/>
  <c r="AGW3" i="2" s="1"/>
  <c r="AGY3" i="2" s="1"/>
  <c r="AGA11" i="2"/>
  <c r="AGA10" i="2"/>
  <c r="AGA7" i="2"/>
  <c r="AGA6" i="2"/>
  <c r="AGA5" i="2"/>
  <c r="AGE4" i="2"/>
  <c r="AGA4" i="2"/>
  <c r="AGA3" i="2"/>
  <c r="AGW6" i="2" l="1"/>
  <c r="AGY6" i="2" s="1"/>
  <c r="AGW5" i="2"/>
  <c r="AGY5" i="2" s="1"/>
  <c r="AGM3" i="2"/>
  <c r="AGO3" i="2" s="1"/>
  <c r="AGM10" i="2"/>
  <c r="AGO10" i="2" s="1"/>
  <c r="AGM7" i="2"/>
  <c r="AGO7" i="2" s="1"/>
  <c r="AGM4" i="2"/>
  <c r="AGM11" i="2"/>
  <c r="AGO11" i="2" s="1"/>
  <c r="AFQ11" i="2"/>
  <c r="AGC11" i="2" s="1"/>
  <c r="AGE11" i="2" s="1"/>
  <c r="AFQ10" i="2"/>
  <c r="AGC10" i="2" s="1"/>
  <c r="AGE10" i="2" s="1"/>
  <c r="AFQ7" i="2"/>
  <c r="AGC7" i="2" s="1"/>
  <c r="AGE7" i="2" s="1"/>
  <c r="AFQ6" i="2"/>
  <c r="AFQ5" i="2"/>
  <c r="AFU4" i="2"/>
  <c r="AFQ4" i="2"/>
  <c r="AFQ3" i="2"/>
  <c r="AFG11" i="2"/>
  <c r="AFG10" i="2"/>
  <c r="AFG7" i="2"/>
  <c r="AFK6" i="2"/>
  <c r="AFG6" i="2"/>
  <c r="AFG5" i="2"/>
  <c r="AFG4" i="2"/>
  <c r="AFG3" i="2"/>
  <c r="AFS6" i="2" l="1"/>
  <c r="AFU6" i="2" s="1"/>
  <c r="AFS5" i="2"/>
  <c r="AFU5" i="2" s="1"/>
  <c r="AFS7" i="2"/>
  <c r="AFU7" i="2" s="1"/>
  <c r="AFS3" i="2"/>
  <c r="AFU3" i="2" s="1"/>
  <c r="AGC5" i="2"/>
  <c r="AGE5" i="2" s="1"/>
  <c r="AGC6" i="2"/>
  <c r="AGE6" i="2" s="1"/>
  <c r="AFS11" i="2"/>
  <c r="AFU11" i="2" s="1"/>
  <c r="AGC3" i="2"/>
  <c r="AGE3" i="2" s="1"/>
  <c r="AFS4" i="2"/>
  <c r="AGC4" i="2"/>
  <c r="AFS10" i="2"/>
  <c r="AFU10" i="2" s="1"/>
  <c r="AEW11" i="2"/>
  <c r="AEW10" i="2"/>
  <c r="AFI10" i="2" s="1"/>
  <c r="AFK10" i="2" s="1"/>
  <c r="AFA7" i="2"/>
  <c r="AEW7" i="2"/>
  <c r="AFA6" i="2"/>
  <c r="AEW6" i="2"/>
  <c r="AFI6" i="2" s="1"/>
  <c r="AEW5" i="2"/>
  <c r="AFA4" i="2"/>
  <c r="AEW4" i="2"/>
  <c r="AFI4" i="2" s="1"/>
  <c r="AFK4" i="2" s="1"/>
  <c r="AEW3" i="2"/>
  <c r="AFI7" i="2" l="1"/>
  <c r="AFK7" i="2" s="1"/>
  <c r="AFI5" i="2"/>
  <c r="AFK5" i="2" s="1"/>
  <c r="AFI3" i="2"/>
  <c r="AFK3" i="2" s="1"/>
  <c r="AFI11" i="2"/>
  <c r="AFK11" i="2" s="1"/>
  <c r="AEM11" i="2"/>
  <c r="AEM10" i="2"/>
  <c r="AEY10" i="2" s="1"/>
  <c r="AFA10" i="2" s="1"/>
  <c r="AEM7" i="2"/>
  <c r="AEM6" i="2"/>
  <c r="AEY6" i="2" s="1"/>
  <c r="AEM5" i="2"/>
  <c r="AEY5" i="2" s="1"/>
  <c r="AFA5" i="2" s="1"/>
  <c r="AEQ4" i="2"/>
  <c r="AEM4" i="2"/>
  <c r="AEM3" i="2"/>
  <c r="AEY3" i="2" s="1"/>
  <c r="AFA3" i="2" s="1"/>
  <c r="AEY4" i="2" l="1"/>
  <c r="AEY7" i="2"/>
  <c r="AEY11" i="2"/>
  <c r="AFA11" i="2" s="1"/>
  <c r="AEC11" i="2"/>
  <c r="AEO11" i="2" s="1"/>
  <c r="AEQ11" i="2" s="1"/>
  <c r="AEC10" i="2"/>
  <c r="AEO10" i="2" s="1"/>
  <c r="AEQ10" i="2" s="1"/>
  <c r="AEC7" i="2"/>
  <c r="AEO7" i="2" s="1"/>
  <c r="AEQ7" i="2" s="1"/>
  <c r="AEC6" i="2"/>
  <c r="AEO6" i="2" s="1"/>
  <c r="AEQ6" i="2" s="1"/>
  <c r="AEC5" i="2"/>
  <c r="AEO5" i="2" s="1"/>
  <c r="AEQ5" i="2" s="1"/>
  <c r="AEC4" i="2"/>
  <c r="AEC3" i="2"/>
  <c r="AEO3" i="2" l="1"/>
  <c r="AEQ3" i="2" s="1"/>
  <c r="AEO4" i="2"/>
  <c r="ADS11" i="2"/>
  <c r="ADS10" i="2"/>
  <c r="ADS7" i="2"/>
  <c r="ADW6" i="2"/>
  <c r="ADS6" i="2"/>
  <c r="ADS5" i="2"/>
  <c r="ADW4" i="2"/>
  <c r="ADS4" i="2"/>
  <c r="AEE4" i="2" s="1"/>
  <c r="AEG4" i="2" s="1"/>
  <c r="ADS3" i="2"/>
  <c r="AEE7" i="2" l="1"/>
  <c r="AEG7" i="2" s="1"/>
  <c r="AEE6" i="2"/>
  <c r="AEG6" i="2" s="1"/>
  <c r="AEE5" i="2"/>
  <c r="AEG5" i="2" s="1"/>
  <c r="AEE3" i="2"/>
  <c r="AEG3" i="2" s="1"/>
  <c r="AEE11" i="2"/>
  <c r="AEG11" i="2" s="1"/>
  <c r="AEE10" i="2"/>
  <c r="AEG10" i="2" s="1"/>
  <c r="ADI11" i="2"/>
  <c r="ADU11" i="2" s="1"/>
  <c r="ADW11" i="2" s="1"/>
  <c r="ADI10" i="2"/>
  <c r="ADI7" i="2"/>
  <c r="ADU7" i="2" s="1"/>
  <c r="ADW7" i="2" s="1"/>
  <c r="ADI6" i="2"/>
  <c r="ADI5" i="2"/>
  <c r="ADU5" i="2" s="1"/>
  <c r="ADW5" i="2" s="1"/>
  <c r="ADI4" i="2"/>
  <c r="ADU4" i="2" s="1"/>
  <c r="ADI3" i="2"/>
  <c r="ACY11" i="2"/>
  <c r="ACY10" i="2"/>
  <c r="ACY7" i="2"/>
  <c r="ACY6" i="2"/>
  <c r="ACY5" i="2"/>
  <c r="ACY4" i="2"/>
  <c r="ACY3" i="2"/>
  <c r="ADK10" i="2" l="1"/>
  <c r="ADM10" i="2" s="1"/>
  <c r="ADK6" i="2"/>
  <c r="ADM6" i="2" s="1"/>
  <c r="ADK11" i="2"/>
  <c r="ADM11" i="2" s="1"/>
  <c r="ADK7" i="2"/>
  <c r="ADM7" i="2" s="1"/>
  <c r="ADK3" i="2"/>
  <c r="ADM3" i="2" s="1"/>
  <c r="ADU10" i="2"/>
  <c r="ADW10" i="2" s="1"/>
  <c r="ADK4" i="2"/>
  <c r="ADM4" i="2" s="1"/>
  <c r="ADK5" i="2"/>
  <c r="ADM5" i="2" s="1"/>
  <c r="ADU3" i="2"/>
  <c r="ADW3" i="2" s="1"/>
  <c r="ADU6" i="2"/>
  <c r="ACO11" i="2"/>
  <c r="ADA11" i="2" s="1"/>
  <c r="ADC11" i="2" s="1"/>
  <c r="ACO10" i="2"/>
  <c r="ADA10" i="2" s="1"/>
  <c r="ADC10" i="2" s="1"/>
  <c r="ACO7" i="2"/>
  <c r="ACS6" i="2"/>
  <c r="ACO6" i="2"/>
  <c r="ACO5" i="2"/>
  <c r="ACO4" i="2"/>
  <c r="ACO3" i="2"/>
  <c r="ACE11" i="2"/>
  <c r="ACE10" i="2"/>
  <c r="ACE7" i="2"/>
  <c r="ACE6" i="2"/>
  <c r="ACE5" i="2"/>
  <c r="ACE4" i="2"/>
  <c r="ACE3" i="2"/>
  <c r="ACQ4" i="2" l="1"/>
  <c r="ACS4" i="2" s="1"/>
  <c r="ACQ6" i="2"/>
  <c r="ACQ7" i="2"/>
  <c r="ACS7" i="2" s="1"/>
  <c r="ADA6" i="2"/>
  <c r="ADC6" i="2" s="1"/>
  <c r="ACQ11" i="2"/>
  <c r="ACS11" i="2" s="1"/>
  <c r="ACQ3" i="2"/>
  <c r="ACS3" i="2" s="1"/>
  <c r="ACQ5" i="2"/>
  <c r="ACS5" i="2" s="1"/>
  <c r="ADA5" i="2"/>
  <c r="ADC5" i="2" s="1"/>
  <c r="ADA4" i="2"/>
  <c r="ADC4" i="2" s="1"/>
  <c r="ADA7" i="2"/>
  <c r="ADC7" i="2" s="1"/>
  <c r="ACQ10" i="2"/>
  <c r="ACS10" i="2" s="1"/>
  <c r="ADA3" i="2"/>
  <c r="ADC3" i="2" s="1"/>
  <c r="ABU11" i="2"/>
  <c r="ACG11" i="2" s="1"/>
  <c r="ACI11" i="2" s="1"/>
  <c r="ABU10" i="2"/>
  <c r="ACG10" i="2" s="1"/>
  <c r="ACI10" i="2" s="1"/>
  <c r="ABU7" i="2"/>
  <c r="ACG7" i="2" s="1"/>
  <c r="ACI7" i="2" s="1"/>
  <c r="ABY6" i="2"/>
  <c r="ABU6" i="2"/>
  <c r="ACG6" i="2" s="1"/>
  <c r="ACI6" i="2" s="1"/>
  <c r="ABU5" i="2"/>
  <c r="ACG5" i="2" s="1"/>
  <c r="ACI5" i="2" s="1"/>
  <c r="ABY4" i="2"/>
  <c r="ABU4" i="2"/>
  <c r="ACG4" i="2" s="1"/>
  <c r="ACI4" i="2" s="1"/>
  <c r="ABU3" i="2"/>
  <c r="ACG3" i="2" s="1"/>
  <c r="ACI3" i="2" s="1"/>
  <c r="ABK11" i="2" l="1"/>
  <c r="ABW11" i="2" s="1"/>
  <c r="ABY11" i="2" s="1"/>
  <c r="ABK10" i="2"/>
  <c r="ABK7" i="2"/>
  <c r="ABW7" i="2" s="1"/>
  <c r="ABY7" i="2" s="1"/>
  <c r="ABO6" i="2"/>
  <c r="ABK6" i="2"/>
  <c r="ABK5" i="2"/>
  <c r="ABW5" i="2" s="1"/>
  <c r="ABY5" i="2" s="1"/>
  <c r="ABK4" i="2"/>
  <c r="ABO3" i="2"/>
  <c r="ABK3" i="2"/>
  <c r="ABW3" i="2" s="1"/>
  <c r="ABY3" i="2" s="1"/>
  <c r="ABW4" i="2" l="1"/>
  <c r="ABW10" i="2"/>
  <c r="ABY10" i="2" s="1"/>
  <c r="ABW6" i="2"/>
  <c r="ABA11" i="2"/>
  <c r="ABA10" i="2"/>
  <c r="ABM10" i="2" s="1"/>
  <c r="ABO10" i="2" s="1"/>
  <c r="ABA7" i="2"/>
  <c r="ABE6" i="2"/>
  <c r="ABA6" i="2"/>
  <c r="ABM6" i="2" s="1"/>
  <c r="ABA5" i="2"/>
  <c r="ABM5" i="2" s="1"/>
  <c r="ABO5" i="2" s="1"/>
  <c r="ABE4" i="2"/>
  <c r="ABA4" i="2"/>
  <c r="ABA3" i="2"/>
  <c r="AAQ11" i="2"/>
  <c r="AAQ10" i="2"/>
  <c r="AAQ7" i="2"/>
  <c r="AAQ6" i="2"/>
  <c r="AAQ5" i="2"/>
  <c r="AAQ4" i="2"/>
  <c r="AAQ3" i="2"/>
  <c r="ABC3" i="2" l="1"/>
  <c r="ABE3" i="2" s="1"/>
  <c r="ABC7" i="2"/>
  <c r="ABE7" i="2" s="1"/>
  <c r="ABC4" i="2"/>
  <c r="ABC11" i="2"/>
  <c r="ABE11" i="2" s="1"/>
  <c r="ABM11" i="2"/>
  <c r="ABO11" i="2" s="1"/>
  <c r="ABM4" i="2"/>
  <c r="ABO4" i="2" s="1"/>
  <c r="ABC6" i="2"/>
  <c r="ABM3" i="2"/>
  <c r="ABM7" i="2"/>
  <c r="ABO7" i="2" s="1"/>
  <c r="ABC5" i="2"/>
  <c r="ABE5" i="2" s="1"/>
  <c r="ABC10" i="2"/>
  <c r="ABE10" i="2" s="1"/>
  <c r="AAG7" i="2"/>
  <c r="AAS7" i="2" s="1"/>
  <c r="AAU7" i="2" s="1"/>
  <c r="AAG11" i="2" l="1"/>
  <c r="AAS11" i="2" s="1"/>
  <c r="AAU11" i="2" s="1"/>
  <c r="AAG10" i="2"/>
  <c r="AAG6" i="2"/>
  <c r="AAG5" i="2"/>
  <c r="AAK4" i="2"/>
  <c r="AAG4" i="2"/>
  <c r="AAG3" i="2"/>
  <c r="AAS5" i="2" l="1"/>
  <c r="AAU5" i="2" s="1"/>
  <c r="AAS6" i="2"/>
  <c r="AAU6" i="2" s="1"/>
  <c r="AAS4" i="2"/>
  <c r="AAU4" i="2" s="1"/>
  <c r="AAS3" i="2"/>
  <c r="AAU3" i="2" s="1"/>
  <c r="AAS10" i="2"/>
  <c r="AAU10" i="2" s="1"/>
  <c r="ZW11" i="2" l="1"/>
  <c r="ZW10" i="2"/>
  <c r="ZW7" i="2"/>
  <c r="AAI7" i="2" s="1"/>
  <c r="AAK7" i="2" s="1"/>
  <c r="ZW6" i="2"/>
  <c r="ZW5" i="2"/>
  <c r="ZW4" i="2"/>
  <c r="ZW3" i="2"/>
  <c r="AAI5" i="2" l="1"/>
  <c r="AAK5" i="2" s="1"/>
  <c r="AAI6" i="2"/>
  <c r="AAK6" i="2" s="1"/>
  <c r="AAI3" i="2"/>
  <c r="AAK3" i="2" s="1"/>
  <c r="AAI10" i="2"/>
  <c r="AAK10" i="2" s="1"/>
  <c r="AAI4" i="2"/>
  <c r="AAI11" i="2"/>
  <c r="AAK11" i="2" s="1"/>
  <c r="ZM11" i="2" l="1"/>
  <c r="ZY11" i="2" s="1"/>
  <c r="AAA11" i="2" s="1"/>
  <c r="ZM10" i="2"/>
  <c r="ZM7" i="2"/>
  <c r="ZQ6" i="2"/>
  <c r="ZM6" i="2"/>
  <c r="ZY6" i="2" s="1"/>
  <c r="AAA6" i="2" s="1"/>
  <c r="ZM5" i="2"/>
  <c r="ZY5" i="2" s="1"/>
  <c r="AAA5" i="2" s="1"/>
  <c r="ZQ4" i="2"/>
  <c r="ZM4" i="2"/>
  <c r="ZY4" i="2" s="1"/>
  <c r="AAA4" i="2" s="1"/>
  <c r="ZM3" i="2"/>
  <c r="ZY3" i="2" s="1"/>
  <c r="AAA3" i="2" s="1"/>
  <c r="ZC11" i="2"/>
  <c r="ZC10" i="2"/>
  <c r="ZC7" i="2"/>
  <c r="ZC6" i="2"/>
  <c r="ZC5" i="2"/>
  <c r="ZC4" i="2"/>
  <c r="ZC3" i="2"/>
  <c r="YS11" i="2"/>
  <c r="YS10" i="2"/>
  <c r="YW7" i="2"/>
  <c r="YS7" i="2"/>
  <c r="YS6" i="2"/>
  <c r="YS5" i="2"/>
  <c r="YW4" i="2"/>
  <c r="YS4" i="2"/>
  <c r="YS3" i="2"/>
  <c r="ZE11" i="2" l="1"/>
  <c r="ZG11" i="2" s="1"/>
  <c r="ZE3" i="2"/>
  <c r="ZG3" i="2" s="1"/>
  <c r="ZO7" i="2"/>
  <c r="ZQ7" i="2" s="1"/>
  <c r="ZY7" i="2"/>
  <c r="AAA7" i="2" s="1"/>
  <c r="ZO10" i="2"/>
  <c r="ZQ10" i="2" s="1"/>
  <c r="ZY10" i="2"/>
  <c r="AAA10" i="2" s="1"/>
  <c r="ZE5" i="2"/>
  <c r="ZG5" i="2" s="1"/>
  <c r="ZE6" i="2"/>
  <c r="ZG6" i="2" s="1"/>
  <c r="ZO11" i="2"/>
  <c r="ZQ11" i="2" s="1"/>
  <c r="ZO5" i="2"/>
  <c r="ZQ5" i="2" s="1"/>
  <c r="ZO3" i="2"/>
  <c r="ZQ3" i="2" s="1"/>
  <c r="ZO4" i="2"/>
  <c r="ZE7" i="2"/>
  <c r="ZG7" i="2" s="1"/>
  <c r="ZO6" i="2"/>
  <c r="ZE4" i="2"/>
  <c r="ZG4" i="2" s="1"/>
  <c r="ZE10" i="2"/>
  <c r="ZG10" i="2" s="1"/>
  <c r="YI11" i="2"/>
  <c r="YU11" i="2" s="1"/>
  <c r="YW11" i="2" s="1"/>
  <c r="YI10" i="2"/>
  <c r="YI7" i="2"/>
  <c r="YU7" i="2" s="1"/>
  <c r="YI6" i="2"/>
  <c r="YU6" i="2" s="1"/>
  <c r="YW6" i="2" s="1"/>
  <c r="YI5" i="2"/>
  <c r="YM4" i="2"/>
  <c r="YI4" i="2"/>
  <c r="YI3" i="2"/>
  <c r="YU3" i="2" s="1"/>
  <c r="YW3" i="2" s="1"/>
  <c r="XY17" i="2"/>
  <c r="XY11" i="2"/>
  <c r="XY10" i="2"/>
  <c r="XY7" i="2"/>
  <c r="XY6" i="2"/>
  <c r="XY5" i="2"/>
  <c r="XY4" i="2"/>
  <c r="YC3" i="2"/>
  <c r="XY3" i="2"/>
  <c r="YK5" i="2" l="1"/>
  <c r="YM5" i="2" s="1"/>
  <c r="YK3" i="2"/>
  <c r="YM3" i="2" s="1"/>
  <c r="YK4" i="2"/>
  <c r="YK7" i="2"/>
  <c r="YM7" i="2" s="1"/>
  <c r="YU5" i="2"/>
  <c r="YW5" i="2" s="1"/>
  <c r="YU4" i="2"/>
  <c r="YK6" i="2"/>
  <c r="YM6" i="2" s="1"/>
  <c r="YK10" i="2"/>
  <c r="YM10" i="2" s="1"/>
  <c r="YK11" i="2"/>
  <c r="YM11" i="2" s="1"/>
  <c r="YU10" i="2"/>
  <c r="YW10" i="2" s="1"/>
  <c r="XO17" i="2"/>
  <c r="XO11" i="2"/>
  <c r="YA11" i="2" s="1"/>
  <c r="YC11" i="2" s="1"/>
  <c r="XO10" i="2"/>
  <c r="YA10" i="2" s="1"/>
  <c r="YC10" i="2" s="1"/>
  <c r="XO7" i="2"/>
  <c r="YA7" i="2" s="1"/>
  <c r="YC7" i="2" s="1"/>
  <c r="XO6" i="2"/>
  <c r="XO5" i="2"/>
  <c r="XO4" i="2"/>
  <c r="YA4" i="2" s="1"/>
  <c r="YC4" i="2" s="1"/>
  <c r="XO3" i="2"/>
  <c r="YA3" i="2" s="1"/>
  <c r="YA17" i="2" l="1"/>
  <c r="YA6" i="2"/>
  <c r="YC6" i="2" s="1"/>
  <c r="YA5" i="2"/>
  <c r="YC5" i="2" s="1"/>
  <c r="XE17" i="2"/>
  <c r="XE11" i="2"/>
  <c r="XE10" i="2"/>
  <c r="XE7" i="2"/>
  <c r="XE6" i="2"/>
  <c r="XQ6" i="2" s="1"/>
  <c r="XS6" i="2" s="1"/>
  <c r="XE5" i="2"/>
  <c r="XQ5" i="2" s="1"/>
  <c r="XS5" i="2" s="1"/>
  <c r="XE4" i="2"/>
  <c r="XQ4" i="2" s="1"/>
  <c r="XS4" i="2" s="1"/>
  <c r="XE3" i="2"/>
  <c r="XQ7" i="2" l="1"/>
  <c r="XS7" i="2" s="1"/>
  <c r="XQ3" i="2"/>
  <c r="XS3" i="2" s="1"/>
  <c r="XQ17" i="2"/>
  <c r="XQ10" i="2"/>
  <c r="XS10" i="2" s="1"/>
  <c r="XQ11" i="2"/>
  <c r="XS11" i="2" s="1"/>
  <c r="WU17" i="2"/>
  <c r="WU11" i="2"/>
  <c r="XG11" i="2" s="1"/>
  <c r="XI11" i="2" s="1"/>
  <c r="WU10" i="2"/>
  <c r="WU7" i="2"/>
  <c r="WU6" i="2"/>
  <c r="XG6" i="2" s="1"/>
  <c r="XI6" i="2" s="1"/>
  <c r="WU5" i="2"/>
  <c r="XG5" i="2" s="1"/>
  <c r="XI5" i="2" s="1"/>
  <c r="WU4" i="2"/>
  <c r="XG4" i="2" s="1"/>
  <c r="XI4" i="2" s="1"/>
  <c r="WU3" i="2"/>
  <c r="XG3" i="2" l="1"/>
  <c r="XI3" i="2" s="1"/>
  <c r="XG17" i="2"/>
  <c r="XG7" i="2"/>
  <c r="XI7" i="2" s="1"/>
  <c r="XG10" i="2"/>
  <c r="XI10" i="2" s="1"/>
  <c r="WK17" i="2"/>
  <c r="WW17" i="2" s="1"/>
  <c r="WK11" i="2"/>
  <c r="WW11" i="2" s="1"/>
  <c r="WY11" i="2" s="1"/>
  <c r="WK10" i="2"/>
  <c r="WW10" i="2" s="1"/>
  <c r="WY10" i="2" s="1"/>
  <c r="WK7" i="2"/>
  <c r="WW7" i="2" s="1"/>
  <c r="WY7" i="2" s="1"/>
  <c r="WO6" i="2"/>
  <c r="WK6" i="2"/>
  <c r="WK5" i="2"/>
  <c r="WW5" i="2" s="1"/>
  <c r="WY5" i="2" s="1"/>
  <c r="WK4" i="2"/>
  <c r="WK3" i="2"/>
  <c r="WW3" i="2" s="1"/>
  <c r="WY3" i="2" s="1"/>
  <c r="WW4" i="2" l="1"/>
  <c r="WY4" i="2" s="1"/>
  <c r="WW6" i="2"/>
  <c r="WY6" i="2" s="1"/>
  <c r="WA17" i="2"/>
  <c r="WA11" i="2"/>
  <c r="WM11" i="2" s="1"/>
  <c r="WO11" i="2" s="1"/>
  <c r="WA10" i="2"/>
  <c r="WE7" i="2"/>
  <c r="WA7" i="2"/>
  <c r="WM7" i="2" s="1"/>
  <c r="WO7" i="2" s="1"/>
  <c r="WE6" i="2"/>
  <c r="WA6" i="2"/>
  <c r="WM6" i="2" s="1"/>
  <c r="WA5" i="2"/>
  <c r="WE4" i="2"/>
  <c r="WA4" i="2"/>
  <c r="WA3" i="2"/>
  <c r="WM17" i="2" l="1"/>
  <c r="WM4" i="2"/>
  <c r="WO4" i="2" s="1"/>
  <c r="WM10" i="2"/>
  <c r="WO10" i="2" s="1"/>
  <c r="WM5" i="2"/>
  <c r="WO5" i="2" s="1"/>
  <c r="WM3" i="2"/>
  <c r="WO3" i="2" s="1"/>
  <c r="VQ17" i="2"/>
  <c r="VQ11" i="2"/>
  <c r="VQ10" i="2"/>
  <c r="WC10" i="2" s="1"/>
  <c r="WE10" i="2" s="1"/>
  <c r="VU7" i="2"/>
  <c r="VQ7" i="2"/>
  <c r="WC7" i="2" s="1"/>
  <c r="VU6" i="2"/>
  <c r="VQ6" i="2"/>
  <c r="WC6" i="2" s="1"/>
  <c r="VU5" i="2"/>
  <c r="VQ5" i="2"/>
  <c r="WC5" i="2" s="1"/>
  <c r="WE5" i="2" s="1"/>
  <c r="VQ4" i="2"/>
  <c r="VQ3" i="2"/>
  <c r="WC4" i="2" l="1"/>
  <c r="WC3" i="2"/>
  <c r="WE3" i="2" s="1"/>
  <c r="WC17" i="2"/>
  <c r="WC11" i="2"/>
  <c r="WE11" i="2" s="1"/>
  <c r="VG17" i="2"/>
  <c r="VS17" i="2" s="1"/>
  <c r="VG11" i="2"/>
  <c r="VG10" i="2"/>
  <c r="VS10" i="2" s="1"/>
  <c r="VU10" i="2" s="1"/>
  <c r="VG7" i="2"/>
  <c r="VK6" i="2"/>
  <c r="VG6" i="2"/>
  <c r="VG5" i="2"/>
  <c r="VS5" i="2" s="1"/>
  <c r="VK4" i="2"/>
  <c r="VG4" i="2"/>
  <c r="VS4" i="2" s="1"/>
  <c r="VU4" i="2" s="1"/>
  <c r="VG3" i="2"/>
  <c r="VS3" i="2" l="1"/>
  <c r="VU3" i="2" s="1"/>
  <c r="VS6" i="2"/>
  <c r="VS7" i="2"/>
  <c r="VS11" i="2"/>
  <c r="VU11" i="2" s="1"/>
  <c r="UW17" i="2"/>
  <c r="VI17" i="2" s="1"/>
  <c r="UW11" i="2"/>
  <c r="UW10" i="2"/>
  <c r="VI10" i="2" s="1"/>
  <c r="VK10" i="2" s="1"/>
  <c r="UW7" i="2"/>
  <c r="VI7" i="2" s="1"/>
  <c r="VK7" i="2" s="1"/>
  <c r="VA6" i="2"/>
  <c r="UW6" i="2"/>
  <c r="VI6" i="2" s="1"/>
  <c r="UW5" i="2"/>
  <c r="VI5" i="2" s="1"/>
  <c r="VK5" i="2" s="1"/>
  <c r="VA4" i="2"/>
  <c r="UW4" i="2"/>
  <c r="VI4" i="2" s="1"/>
  <c r="VA3" i="2"/>
  <c r="UW3" i="2"/>
  <c r="VI3" i="2" s="1"/>
  <c r="VK3" i="2" s="1"/>
  <c r="VI11" i="2" l="1"/>
  <c r="VK11" i="2" s="1"/>
  <c r="UM17" i="2"/>
  <c r="UY17" i="2" s="1"/>
  <c r="UM11" i="2"/>
  <c r="UY11" i="2" s="1"/>
  <c r="VA11" i="2" s="1"/>
  <c r="UM10" i="2"/>
  <c r="UY10" i="2" s="1"/>
  <c r="VA10" i="2" s="1"/>
  <c r="UM7" i="2"/>
  <c r="UY7" i="2" s="1"/>
  <c r="VA7" i="2" s="1"/>
  <c r="UQ6" i="2"/>
  <c r="UM6" i="2"/>
  <c r="UY6" i="2" s="1"/>
  <c r="UM5" i="2"/>
  <c r="UY5" i="2" s="1"/>
  <c r="VA5" i="2" s="1"/>
  <c r="UQ4" i="2"/>
  <c r="UM4" i="2"/>
  <c r="UY4" i="2" s="1"/>
  <c r="UM3" i="2"/>
  <c r="UY3" i="2" s="1"/>
  <c r="UC17" i="2" l="1"/>
  <c r="UO17" i="2" s="1"/>
  <c r="UC11" i="2"/>
  <c r="UO11" i="2" s="1"/>
  <c r="UQ11" i="2" s="1"/>
  <c r="UC10" i="2"/>
  <c r="UC7" i="2"/>
  <c r="UO7" i="2" s="1"/>
  <c r="UQ7" i="2" s="1"/>
  <c r="UC6" i="2"/>
  <c r="UG5" i="2"/>
  <c r="UC5" i="2"/>
  <c r="UC4" i="2"/>
  <c r="UC3" i="2"/>
  <c r="UO10" i="2" l="1"/>
  <c r="UQ10" i="2" s="1"/>
  <c r="UO4" i="2"/>
  <c r="UO6" i="2"/>
  <c r="UO5" i="2"/>
  <c r="UQ5" i="2" s="1"/>
  <c r="UO3" i="2"/>
  <c r="UQ3" i="2" s="1"/>
  <c r="TS17" i="2"/>
  <c r="TS11" i="2"/>
  <c r="TS10" i="2"/>
  <c r="TS7" i="2"/>
  <c r="TS6" i="2"/>
  <c r="TS5" i="2"/>
  <c r="TW4" i="2"/>
  <c r="TS4" i="2"/>
  <c r="TS3" i="2"/>
  <c r="UE5" i="2" l="1"/>
  <c r="UE10" i="2"/>
  <c r="UG10" i="2" s="1"/>
  <c r="UE17" i="2"/>
  <c r="UE3" i="2"/>
  <c r="UG3" i="2" s="1"/>
  <c r="UE6" i="2"/>
  <c r="UG6" i="2" s="1"/>
  <c r="UE4" i="2"/>
  <c r="UG4" i="2" s="1"/>
  <c r="UE7" i="2"/>
  <c r="UG7" i="2" s="1"/>
  <c r="UE11" i="2"/>
  <c r="UG11" i="2" s="1"/>
  <c r="TI17" i="2"/>
  <c r="TU17" i="2" s="1"/>
  <c r="TI11" i="2"/>
  <c r="TI10" i="2"/>
  <c r="TI7" i="2"/>
  <c r="TI6" i="2"/>
  <c r="TI5" i="2"/>
  <c r="TM4" i="2"/>
  <c r="TI4" i="2"/>
  <c r="TU4" i="2" s="1"/>
  <c r="TI3" i="2"/>
  <c r="TU3" i="2" s="1"/>
  <c r="TW3" i="2" s="1"/>
  <c r="SY17" i="2"/>
  <c r="SY11" i="2"/>
  <c r="SY10" i="2"/>
  <c r="SY7" i="2"/>
  <c r="SY6" i="2"/>
  <c r="SY5" i="2"/>
  <c r="TC4" i="2"/>
  <c r="SY4" i="2"/>
  <c r="SY3" i="2"/>
  <c r="TK10" i="2" l="1"/>
  <c r="TM10" i="2" s="1"/>
  <c r="TU10" i="2"/>
  <c r="TW10" i="2" s="1"/>
  <c r="TK6" i="2"/>
  <c r="TM6" i="2" s="1"/>
  <c r="TK11" i="2"/>
  <c r="TM11" i="2" s="1"/>
  <c r="TU6" i="2"/>
  <c r="TW6" i="2" s="1"/>
  <c r="TK4" i="2"/>
  <c r="TK3" i="2"/>
  <c r="TM3" i="2" s="1"/>
  <c r="TK5" i="2"/>
  <c r="TM5" i="2" s="1"/>
  <c r="TK17" i="2"/>
  <c r="TU11" i="2"/>
  <c r="TW11" i="2" s="1"/>
  <c r="TU5" i="2"/>
  <c r="TW5" i="2" s="1"/>
  <c r="TK7" i="2"/>
  <c r="TM7" i="2" s="1"/>
  <c r="TU7" i="2"/>
  <c r="TW7" i="2" s="1"/>
  <c r="SO17" i="2"/>
  <c r="SO11" i="2"/>
  <c r="SO10" i="2"/>
  <c r="TA10" i="2" s="1"/>
  <c r="TC10" i="2" s="1"/>
  <c r="SO7" i="2"/>
  <c r="SO6" i="2"/>
  <c r="TA6" i="2" s="1"/>
  <c r="TC6" i="2" s="1"/>
  <c r="SO5" i="2"/>
  <c r="TA5" i="2" s="1"/>
  <c r="TC5" i="2" s="1"/>
  <c r="SO4" i="2"/>
  <c r="SO3" i="2"/>
  <c r="TA3" i="2" s="1"/>
  <c r="TC3" i="2" s="1"/>
  <c r="SE17" i="2"/>
  <c r="SE11" i="2"/>
  <c r="SE10" i="2"/>
  <c r="SE7" i="2"/>
  <c r="SE6" i="2"/>
  <c r="SE5" i="2"/>
  <c r="SE4" i="2"/>
  <c r="SE3" i="2"/>
  <c r="SQ11" i="2" l="1"/>
  <c r="SS11" i="2" s="1"/>
  <c r="SQ7" i="2"/>
  <c r="SS7" i="2" s="1"/>
  <c r="SQ17" i="2"/>
  <c r="TA17" i="2"/>
  <c r="SQ4" i="2"/>
  <c r="SS4" i="2" s="1"/>
  <c r="SQ3" i="2"/>
  <c r="SS3" i="2" s="1"/>
  <c r="SQ5" i="2"/>
  <c r="SS5" i="2" s="1"/>
  <c r="TA11" i="2"/>
  <c r="TC11" i="2" s="1"/>
  <c r="TA7" i="2"/>
  <c r="TC7" i="2" s="1"/>
  <c r="TA4" i="2"/>
  <c r="SQ6" i="2"/>
  <c r="SS6" i="2" s="1"/>
  <c r="SQ10" i="2"/>
  <c r="SS10" i="2" s="1"/>
  <c r="RU17" i="2"/>
  <c r="RU11" i="2"/>
  <c r="RU10" i="2"/>
  <c r="RU7" i="2"/>
  <c r="SG7" i="2" s="1"/>
  <c r="SI7" i="2" s="1"/>
  <c r="RY6" i="2"/>
  <c r="RU6" i="2"/>
  <c r="RU5" i="2"/>
  <c r="RY4" i="2"/>
  <c r="RU4" i="2"/>
  <c r="RU3" i="2"/>
  <c r="SG3" i="2" s="1"/>
  <c r="SI3" i="2" s="1"/>
  <c r="RK17" i="2"/>
  <c r="RK11" i="2"/>
  <c r="RK10" i="2"/>
  <c r="RK7" i="2"/>
  <c r="RO6" i="2"/>
  <c r="RK6" i="2"/>
  <c r="RK5" i="2"/>
  <c r="RK4" i="2"/>
  <c r="RK3" i="2"/>
  <c r="RW10" i="2" l="1"/>
  <c r="RY10" i="2" s="1"/>
  <c r="RW6" i="2"/>
  <c r="RW11" i="2"/>
  <c r="RY11" i="2" s="1"/>
  <c r="RW4" i="2"/>
  <c r="SG6" i="2"/>
  <c r="SI6" i="2" s="1"/>
  <c r="RW3" i="2"/>
  <c r="RY3" i="2" s="1"/>
  <c r="RW5" i="2"/>
  <c r="RY5" i="2" s="1"/>
  <c r="RW7" i="2"/>
  <c r="RY7" i="2" s="1"/>
  <c r="RW17" i="2"/>
  <c r="SG10" i="2"/>
  <c r="SI10" i="2" s="1"/>
  <c r="SG17" i="2"/>
  <c r="SG5" i="2"/>
  <c r="SI5" i="2" s="1"/>
  <c r="SG4" i="2"/>
  <c r="SI4" i="2" s="1"/>
  <c r="SG11" i="2"/>
  <c r="SI11" i="2" s="1"/>
  <c r="RA17" i="2"/>
  <c r="RA11" i="2"/>
  <c r="RM11" i="2" s="1"/>
  <c r="RO11" i="2" s="1"/>
  <c r="RA10" i="2"/>
  <c r="RA7" i="2"/>
  <c r="RM7" i="2" s="1"/>
  <c r="RO7" i="2" s="1"/>
  <c r="RE6" i="2"/>
  <c r="RA6" i="2"/>
  <c r="RA5" i="2"/>
  <c r="RM5" i="2" s="1"/>
  <c r="RO5" i="2" s="1"/>
  <c r="RA4" i="2"/>
  <c r="RM4" i="2" s="1"/>
  <c r="RO4" i="2" s="1"/>
  <c r="RA3" i="2"/>
  <c r="RM6" i="2" l="1"/>
  <c r="RM10" i="2"/>
  <c r="RO10" i="2" s="1"/>
  <c r="RM17" i="2"/>
  <c r="RM3" i="2"/>
  <c r="RO3" i="2" s="1"/>
  <c r="QQ17" i="2"/>
  <c r="QQ11" i="2"/>
  <c r="RC11" i="2" s="1"/>
  <c r="RE11" i="2" s="1"/>
  <c r="QQ10" i="2"/>
  <c r="RC10" i="2" s="1"/>
  <c r="RE10" i="2" s="1"/>
  <c r="QQ7" i="2"/>
  <c r="RC7" i="2" s="1"/>
  <c r="RE7" i="2" s="1"/>
  <c r="QQ6" i="2"/>
  <c r="QQ5" i="2"/>
  <c r="RC5" i="2" s="1"/>
  <c r="RE5" i="2" s="1"/>
  <c r="QU4" i="2"/>
  <c r="QQ4" i="2"/>
  <c r="QQ3" i="2"/>
  <c r="RC3" i="2" s="1"/>
  <c r="RE3" i="2" s="1"/>
  <c r="QG17" i="2"/>
  <c r="QG11" i="2"/>
  <c r="QG10" i="2"/>
  <c r="QG7" i="2"/>
  <c r="QK6" i="2"/>
  <c r="QG6" i="2"/>
  <c r="QG5" i="2"/>
  <c r="QG4" i="2"/>
  <c r="QG3" i="2"/>
  <c r="QS17" i="2" l="1"/>
  <c r="QS4" i="2"/>
  <c r="QS6" i="2"/>
  <c r="QU6" i="2" s="1"/>
  <c r="QS10" i="2"/>
  <c r="QU10" i="2" s="1"/>
  <c r="RC17" i="2"/>
  <c r="RC4" i="2"/>
  <c r="RE4" i="2" s="1"/>
  <c r="RC6" i="2"/>
  <c r="QS3" i="2"/>
  <c r="QU3" i="2" s="1"/>
  <c r="QS5" i="2"/>
  <c r="QU5" i="2" s="1"/>
  <c r="QS7" i="2"/>
  <c r="QU7" i="2" s="1"/>
  <c r="QS11" i="2"/>
  <c r="QU11" i="2" s="1"/>
  <c r="PW17" i="2"/>
  <c r="PW11" i="2"/>
  <c r="PW10" i="2"/>
  <c r="PW7" i="2"/>
  <c r="QI7" i="2" s="1"/>
  <c r="QK7" i="2" s="1"/>
  <c r="QA6" i="2"/>
  <c r="PW6" i="2"/>
  <c r="PW5" i="2"/>
  <c r="QA4" i="2"/>
  <c r="PW4" i="2"/>
  <c r="PW3" i="2"/>
  <c r="QI3" i="2" s="1"/>
  <c r="QK3" i="2" s="1"/>
  <c r="QI5" i="2" l="1"/>
  <c r="QK5" i="2" s="1"/>
  <c r="QI4" i="2"/>
  <c r="QK4" i="2" s="1"/>
  <c r="QI6" i="2"/>
  <c r="QI17" i="2"/>
  <c r="QI11" i="2"/>
  <c r="QK11" i="2" s="1"/>
  <c r="QI10" i="2"/>
  <c r="QK10" i="2" s="1"/>
  <c r="PM17" i="2"/>
  <c r="PM11" i="2"/>
  <c r="PY11" i="2" s="1"/>
  <c r="QA11" i="2" s="1"/>
  <c r="PM10" i="2"/>
  <c r="PY10" i="2" s="1"/>
  <c r="QA10" i="2" s="1"/>
  <c r="PM7" i="2"/>
  <c r="PY7" i="2" s="1"/>
  <c r="QA7" i="2" s="1"/>
  <c r="PQ6" i="2"/>
  <c r="PM6" i="2"/>
  <c r="PM5" i="2"/>
  <c r="PM4" i="2"/>
  <c r="PY4" i="2" s="1"/>
  <c r="PM3" i="2"/>
  <c r="PY17" i="2" l="1"/>
  <c r="PY3" i="2"/>
  <c r="QA3" i="2" s="1"/>
  <c r="PY6" i="2"/>
  <c r="PY5" i="2"/>
  <c r="QA5" i="2" s="1"/>
  <c r="PC17" i="2"/>
  <c r="PC11" i="2"/>
  <c r="PO11" i="2" s="1"/>
  <c r="PQ11" i="2" s="1"/>
  <c r="PC10" i="2"/>
  <c r="PC7" i="2"/>
  <c r="PO7" i="2" s="1"/>
  <c r="PQ7" i="2" s="1"/>
  <c r="PC6" i="2"/>
  <c r="PC5" i="2"/>
  <c r="PO5" i="2" s="1"/>
  <c r="PQ5" i="2" s="1"/>
  <c r="PG4" i="2"/>
  <c r="PC4" i="2"/>
  <c r="PC3" i="2"/>
  <c r="PO3" i="2" s="1"/>
  <c r="PQ3" i="2" s="1"/>
  <c r="OS17" i="2"/>
  <c r="OS11" i="2"/>
  <c r="OS10" i="2"/>
  <c r="OS7" i="2"/>
  <c r="OS6" i="2"/>
  <c r="OS5" i="2"/>
  <c r="OW4" i="2"/>
  <c r="OS4" i="2"/>
  <c r="OS3" i="2"/>
  <c r="PE4" i="2" l="1"/>
  <c r="PE6" i="2"/>
  <c r="PG6" i="2" s="1"/>
  <c r="PE17" i="2"/>
  <c r="PE11" i="2"/>
  <c r="PG11" i="2" s="1"/>
  <c r="PE3" i="2"/>
  <c r="PG3" i="2" s="1"/>
  <c r="PE5" i="2"/>
  <c r="PG5" i="2" s="1"/>
  <c r="PE7" i="2"/>
  <c r="PG7" i="2" s="1"/>
  <c r="PO4" i="2"/>
  <c r="PQ4" i="2" s="1"/>
  <c r="PO6" i="2"/>
  <c r="PO17" i="2"/>
  <c r="PE10" i="2"/>
  <c r="PG10" i="2" s="1"/>
  <c r="PO10" i="2"/>
  <c r="PQ10" i="2" s="1"/>
  <c r="OI17" i="2"/>
  <c r="OU17" i="2" s="1"/>
  <c r="OI11" i="2"/>
  <c r="OU11" i="2" s="1"/>
  <c r="OW11" i="2" s="1"/>
  <c r="OI10" i="2"/>
  <c r="OU10" i="2" s="1"/>
  <c r="OW10" i="2" s="1"/>
  <c r="OI7" i="2"/>
  <c r="OU7" i="2" s="1"/>
  <c r="OW7" i="2" s="1"/>
  <c r="OI6" i="2"/>
  <c r="OI5" i="2"/>
  <c r="OI4" i="2"/>
  <c r="OU4" i="2" s="1"/>
  <c r="OI3" i="2"/>
  <c r="OU3" i="2" s="1"/>
  <c r="OW3" i="2" s="1"/>
  <c r="OU5" i="2" l="1"/>
  <c r="OW5" i="2" s="1"/>
  <c r="OU6" i="2"/>
  <c r="OW6" i="2" s="1"/>
  <c r="NY17" i="2"/>
  <c r="OK17" i="2" s="1"/>
  <c r="NY11" i="2"/>
  <c r="OK11" i="2" s="1"/>
  <c r="OM11" i="2" s="1"/>
  <c r="NY10" i="2"/>
  <c r="NY7" i="2"/>
  <c r="NY6" i="2"/>
  <c r="NY5" i="2"/>
  <c r="OC4" i="2"/>
  <c r="NY4" i="2"/>
  <c r="OK4" i="2" s="1"/>
  <c r="OM4" i="2" s="1"/>
  <c r="NY3" i="2"/>
  <c r="OK3" i="2" s="1"/>
  <c r="OM3" i="2" s="1"/>
  <c r="NO17" i="2"/>
  <c r="NO11" i="2"/>
  <c r="NO10" i="2"/>
  <c r="NS7" i="2"/>
  <c r="NO7" i="2"/>
  <c r="NS6" i="2"/>
  <c r="NO6" i="2"/>
  <c r="NO5" i="2"/>
  <c r="NO4" i="2"/>
  <c r="NO3" i="2"/>
  <c r="OA6" i="2" l="1"/>
  <c r="OC6" i="2" s="1"/>
  <c r="OA10" i="2"/>
  <c r="OC10" i="2" s="1"/>
  <c r="OA11" i="2"/>
  <c r="OC11" i="2" s="1"/>
  <c r="OK6" i="2"/>
  <c r="OM6" i="2" s="1"/>
  <c r="OA4" i="2"/>
  <c r="OA3" i="2"/>
  <c r="OC3" i="2" s="1"/>
  <c r="OA5" i="2"/>
  <c r="OC5" i="2" s="1"/>
  <c r="OA7" i="2"/>
  <c r="OC7" i="2" s="1"/>
  <c r="OA17" i="2"/>
  <c r="OK10" i="2"/>
  <c r="OM10" i="2" s="1"/>
  <c r="OK5" i="2"/>
  <c r="OM5" i="2" s="1"/>
  <c r="OK7" i="2"/>
  <c r="OM7" i="2" s="1"/>
  <c r="NE17" i="2"/>
  <c r="NE11" i="2"/>
  <c r="NQ11" i="2" s="1"/>
  <c r="NS11" i="2" s="1"/>
  <c r="NE10" i="2"/>
  <c r="NQ10" i="2" s="1"/>
  <c r="NS10" i="2" s="1"/>
  <c r="NE7" i="2"/>
  <c r="NI6" i="2"/>
  <c r="NE6" i="2"/>
  <c r="NQ6" i="2" s="1"/>
  <c r="NE5" i="2"/>
  <c r="NE4" i="2"/>
  <c r="NQ4" i="2" s="1"/>
  <c r="NS4" i="2" s="1"/>
  <c r="NE3" i="2"/>
  <c r="NQ3" i="2" s="1"/>
  <c r="NS3" i="2" s="1"/>
  <c r="NQ7" i="2" l="1"/>
  <c r="NQ17" i="2"/>
  <c r="NQ5" i="2"/>
  <c r="NS5" i="2" s="1"/>
  <c r="MU17" i="2"/>
  <c r="MU11" i="2"/>
  <c r="MU10" i="2"/>
  <c r="NG10" i="2" s="1"/>
  <c r="NI10" i="2" s="1"/>
  <c r="MU7" i="2"/>
  <c r="MU6" i="2"/>
  <c r="NG6" i="2" s="1"/>
  <c r="MU5" i="2"/>
  <c r="MY4" i="2"/>
  <c r="MU4" i="2"/>
  <c r="NG4" i="2" s="1"/>
  <c r="NI4" i="2" s="1"/>
  <c r="MU3" i="2"/>
  <c r="MK17" i="2"/>
  <c r="MK11" i="2"/>
  <c r="MK10" i="2"/>
  <c r="MK7" i="2"/>
  <c r="MK6" i="2"/>
  <c r="MK5" i="2"/>
  <c r="MK4" i="2"/>
  <c r="MK3" i="2"/>
  <c r="MW7" i="2" l="1"/>
  <c r="MY7" i="2" s="1"/>
  <c r="MW11" i="2"/>
  <c r="MY11" i="2" s="1"/>
  <c r="MW3" i="2"/>
  <c r="MY3" i="2" s="1"/>
  <c r="MW6" i="2"/>
  <c r="MY6" i="2" s="1"/>
  <c r="MW10" i="2"/>
  <c r="MY10" i="2" s="1"/>
  <c r="MW17" i="2"/>
  <c r="NG7" i="2"/>
  <c r="NI7" i="2" s="1"/>
  <c r="NG11" i="2"/>
  <c r="NI11" i="2" s="1"/>
  <c r="MW5" i="2"/>
  <c r="MY5" i="2" s="1"/>
  <c r="MW4" i="2"/>
  <c r="NG3" i="2"/>
  <c r="NI3" i="2" s="1"/>
  <c r="NG17" i="2"/>
  <c r="NG5" i="2"/>
  <c r="NI5" i="2" s="1"/>
  <c r="MA17" i="2"/>
  <c r="MA11" i="2"/>
  <c r="MA10" i="2"/>
  <c r="MA7" i="2"/>
  <c r="MM7" i="2" s="1"/>
  <c r="MO7" i="2" s="1"/>
  <c r="MA6" i="2"/>
  <c r="MA5" i="2"/>
  <c r="MM5" i="2" s="1"/>
  <c r="MO5" i="2" s="1"/>
  <c r="MA4" i="2"/>
  <c r="MM4" i="2" s="1"/>
  <c r="MO4" i="2" s="1"/>
  <c r="MA3" i="2"/>
  <c r="MM17" i="2" l="1"/>
  <c r="MM10" i="2"/>
  <c r="MO10" i="2" s="1"/>
  <c r="MM3" i="2"/>
  <c r="MO3" i="2" s="1"/>
  <c r="MM11" i="2"/>
  <c r="MO11" i="2" s="1"/>
  <c r="MM6" i="2"/>
  <c r="MO6" i="2" s="1"/>
  <c r="LQ17" i="2"/>
  <c r="LQ11" i="2"/>
  <c r="MC11" i="2" s="1"/>
  <c r="ME11" i="2" s="1"/>
  <c r="LQ10" i="2"/>
  <c r="LQ7" i="2"/>
  <c r="MC7" i="2" s="1"/>
  <c r="ME7" i="2" s="1"/>
  <c r="LQ6" i="2"/>
  <c r="LQ5" i="2"/>
  <c r="LQ4" i="2"/>
  <c r="MC4" i="2" s="1"/>
  <c r="ME4" i="2" s="1"/>
  <c r="LQ3" i="2"/>
  <c r="MC6" i="2" l="1"/>
  <c r="ME6" i="2" s="1"/>
  <c r="MC10" i="2"/>
  <c r="ME10" i="2" s="1"/>
  <c r="MC5" i="2"/>
  <c r="ME5" i="2" s="1"/>
  <c r="MC17" i="2"/>
  <c r="MC3" i="2"/>
  <c r="ME3" i="2" s="1"/>
  <c r="LG17" i="2"/>
  <c r="LG11" i="2"/>
  <c r="LS11" i="2" s="1"/>
  <c r="LU11" i="2" s="1"/>
  <c r="LG10" i="2"/>
  <c r="LS10" i="2" s="1"/>
  <c r="LU10" i="2" s="1"/>
  <c r="LG7" i="2"/>
  <c r="LS7" i="2" s="1"/>
  <c r="LU7" i="2" s="1"/>
  <c r="LG6" i="2"/>
  <c r="LG5" i="2"/>
  <c r="LS5" i="2" s="1"/>
  <c r="LU5" i="2" s="1"/>
  <c r="LK4" i="2"/>
  <c r="LG4" i="2"/>
  <c r="LG3" i="2"/>
  <c r="LS4" i="2" l="1"/>
  <c r="LU4" i="2" s="1"/>
  <c r="LS17" i="2"/>
  <c r="LS6" i="2"/>
  <c r="LU6" i="2" s="1"/>
  <c r="LS3" i="2"/>
  <c r="LU3" i="2" s="1"/>
  <c r="KW17" i="2"/>
  <c r="KW11" i="2"/>
  <c r="LI11" i="2" s="1"/>
  <c r="LK11" i="2" s="1"/>
  <c r="KW10" i="2"/>
  <c r="KW7" i="2"/>
  <c r="LI7" i="2" s="1"/>
  <c r="LK7" i="2" s="1"/>
  <c r="KW6" i="2"/>
  <c r="KW5" i="2"/>
  <c r="LI5" i="2" s="1"/>
  <c r="LK5" i="2" s="1"/>
  <c r="KW4" i="2"/>
  <c r="KW3" i="2"/>
  <c r="LI3" i="2" s="1"/>
  <c r="LK3" i="2" s="1"/>
  <c r="LI17" i="2" l="1"/>
  <c r="LI6" i="2"/>
  <c r="LK6" i="2" s="1"/>
  <c r="LI10" i="2"/>
  <c r="LK10" i="2" s="1"/>
  <c r="LI4" i="2"/>
  <c r="KM17" i="2"/>
  <c r="KM11" i="2"/>
  <c r="KM10" i="2"/>
  <c r="KY10" i="2" s="1"/>
  <c r="LA10" i="2" s="1"/>
  <c r="KM7" i="2"/>
  <c r="KQ6" i="2"/>
  <c r="KM6" i="2"/>
  <c r="KY6" i="2" s="1"/>
  <c r="LA6" i="2" s="1"/>
  <c r="KM5" i="2"/>
  <c r="KY5" i="2" s="1"/>
  <c r="LA5" i="2" s="1"/>
  <c r="KM4" i="2"/>
  <c r="KM3" i="2"/>
  <c r="KY11" i="2" l="1"/>
  <c r="LA11" i="2" s="1"/>
  <c r="KY7" i="2"/>
  <c r="LA7" i="2" s="1"/>
  <c r="KY3" i="2"/>
  <c r="LA3" i="2" s="1"/>
  <c r="KY17" i="2"/>
  <c r="KY4" i="2"/>
  <c r="LA4" i="2" s="1"/>
  <c r="KC17" i="2"/>
  <c r="KC11" i="2"/>
  <c r="KO11" i="2" s="1"/>
  <c r="KQ11" i="2" s="1"/>
  <c r="KC10" i="2"/>
  <c r="KC7" i="2"/>
  <c r="KO7" i="2" s="1"/>
  <c r="KQ7" i="2" s="1"/>
  <c r="KG6" i="2"/>
  <c r="KC6" i="2"/>
  <c r="KC5" i="2"/>
  <c r="KC4" i="2"/>
  <c r="KC3" i="2"/>
  <c r="JS17" i="2"/>
  <c r="JS11" i="2"/>
  <c r="JS10" i="2"/>
  <c r="JS7" i="2"/>
  <c r="JS6" i="2"/>
  <c r="JS5" i="2"/>
  <c r="JW4" i="2"/>
  <c r="JS4" i="2"/>
  <c r="JS3" i="2"/>
  <c r="KE4" i="2" l="1"/>
  <c r="KG4" i="2" s="1"/>
  <c r="KE10" i="2"/>
  <c r="KG10" i="2" s="1"/>
  <c r="KE5" i="2"/>
  <c r="KG5" i="2" s="1"/>
  <c r="KE6" i="2"/>
  <c r="KE17" i="2"/>
  <c r="KE3" i="2"/>
  <c r="KG3" i="2" s="1"/>
  <c r="KO17" i="2"/>
  <c r="KO4" i="2"/>
  <c r="KQ4" i="2" s="1"/>
  <c r="KO5" i="2"/>
  <c r="KQ5" i="2" s="1"/>
  <c r="KO10" i="2"/>
  <c r="KQ10" i="2" s="1"/>
  <c r="KE7" i="2"/>
  <c r="KG7" i="2" s="1"/>
  <c r="KE11" i="2"/>
  <c r="KG11" i="2" s="1"/>
  <c r="KO3" i="2"/>
  <c r="KQ3" i="2" s="1"/>
  <c r="KO6" i="2"/>
  <c r="JI17" i="2"/>
  <c r="JU17" i="2" s="1"/>
  <c r="JI11" i="2"/>
  <c r="JI10" i="2"/>
  <c r="JI7" i="2"/>
  <c r="JM6" i="2"/>
  <c r="JI6" i="2"/>
  <c r="JU6" i="2" s="1"/>
  <c r="JW6" i="2" s="1"/>
  <c r="JI5" i="2"/>
  <c r="JI4" i="2"/>
  <c r="JI3" i="2"/>
  <c r="IY17" i="2"/>
  <c r="IY11" i="2"/>
  <c r="IY10" i="2"/>
  <c r="IY7" i="2"/>
  <c r="IY6" i="2"/>
  <c r="IY5" i="2"/>
  <c r="JC4" i="2"/>
  <c r="IY4" i="2"/>
  <c r="IY3" i="2"/>
  <c r="IO17" i="2"/>
  <c r="IO11" i="2"/>
  <c r="IO10" i="2"/>
  <c r="IO7" i="2"/>
  <c r="IS6" i="2"/>
  <c r="IO6" i="2"/>
  <c r="IO5" i="2"/>
  <c r="IO4" i="2"/>
  <c r="IO3" i="2"/>
  <c r="IE17" i="2"/>
  <c r="IE11" i="2"/>
  <c r="IE10" i="2"/>
  <c r="IE7" i="2"/>
  <c r="IE6" i="2"/>
  <c r="IE5" i="2"/>
  <c r="IE4" i="2"/>
  <c r="IE3" i="2"/>
  <c r="HU17" i="2"/>
  <c r="HU11" i="2"/>
  <c r="HU10" i="2"/>
  <c r="HU7" i="2"/>
  <c r="HU6" i="2"/>
  <c r="HU5" i="2"/>
  <c r="HY4" i="2"/>
  <c r="HU4" i="2"/>
  <c r="HU3" i="2"/>
  <c r="IG10" i="2" l="1"/>
  <c r="II10" i="2" s="1"/>
  <c r="IQ4" i="2"/>
  <c r="IS4" i="2" s="1"/>
  <c r="IQ6" i="2"/>
  <c r="JK7" i="2"/>
  <c r="JM7" i="2" s="1"/>
  <c r="IQ17" i="2"/>
  <c r="JA5" i="2"/>
  <c r="JC5" i="2" s="1"/>
  <c r="IG6" i="2"/>
  <c r="II6" i="2" s="1"/>
  <c r="IG17" i="2"/>
  <c r="JA3" i="2"/>
  <c r="JC3" i="2" s="1"/>
  <c r="JK11" i="2"/>
  <c r="JM11" i="2" s="1"/>
  <c r="IG4" i="2"/>
  <c r="II4" i="2" s="1"/>
  <c r="IQ10" i="2"/>
  <c r="IS10" i="2" s="1"/>
  <c r="JA6" i="2"/>
  <c r="JC6" i="2" s="1"/>
  <c r="JA17" i="2"/>
  <c r="JK5" i="2"/>
  <c r="JM5" i="2" s="1"/>
  <c r="IQ3" i="2"/>
  <c r="IS3" i="2" s="1"/>
  <c r="IQ5" i="2"/>
  <c r="IS5" i="2" s="1"/>
  <c r="IQ7" i="2"/>
  <c r="IS7" i="2" s="1"/>
  <c r="IQ11" i="2"/>
  <c r="IS11" i="2" s="1"/>
  <c r="JA7" i="2"/>
  <c r="JC7" i="2" s="1"/>
  <c r="JA11" i="2"/>
  <c r="JC11" i="2" s="1"/>
  <c r="JU11" i="2"/>
  <c r="JW11" i="2" s="1"/>
  <c r="JU5" i="2"/>
  <c r="JW5" i="2" s="1"/>
  <c r="JA10" i="2"/>
  <c r="JC10" i="2" s="1"/>
  <c r="JK3" i="2"/>
  <c r="JM3" i="2" s="1"/>
  <c r="IG3" i="2"/>
  <c r="II3" i="2" s="1"/>
  <c r="IG5" i="2"/>
  <c r="II5" i="2" s="1"/>
  <c r="IG7" i="2"/>
  <c r="II7" i="2" s="1"/>
  <c r="IG11" i="2"/>
  <c r="II11" i="2" s="1"/>
  <c r="JA4" i="2"/>
  <c r="JK4" i="2"/>
  <c r="JM4" i="2" s="1"/>
  <c r="JK6" i="2"/>
  <c r="JK10" i="2"/>
  <c r="JM10" i="2" s="1"/>
  <c r="JK17" i="2"/>
  <c r="JU10" i="2"/>
  <c r="JW10" i="2" s="1"/>
  <c r="JU4" i="2"/>
  <c r="JU7" i="2"/>
  <c r="JW7" i="2" s="1"/>
  <c r="JU3" i="2"/>
  <c r="JW3" i="2" s="1"/>
  <c r="HA3" i="2"/>
  <c r="HA4" i="2"/>
  <c r="HA5" i="2"/>
  <c r="HA6" i="2"/>
  <c r="HE6" i="2"/>
  <c r="HA7" i="2"/>
  <c r="HA10" i="2"/>
  <c r="HA11" i="2"/>
  <c r="HA17" i="2"/>
  <c r="HK17" i="2"/>
  <c r="HW17" i="2" s="1"/>
  <c r="HK11" i="2"/>
  <c r="HW11" i="2" s="1"/>
  <c r="HY11" i="2" s="1"/>
  <c r="HK10" i="2"/>
  <c r="HW10" i="2" s="1"/>
  <c r="HY10" i="2" s="1"/>
  <c r="HK7" i="2"/>
  <c r="HW7" i="2" s="1"/>
  <c r="HY7" i="2" s="1"/>
  <c r="HO6" i="2"/>
  <c r="HK6" i="2"/>
  <c r="HW6" i="2" s="1"/>
  <c r="HY6" i="2" s="1"/>
  <c r="HK5" i="2"/>
  <c r="HW5" i="2" s="1"/>
  <c r="HY5" i="2" s="1"/>
  <c r="HO4" i="2"/>
  <c r="HK4" i="2"/>
  <c r="HW4" i="2" s="1"/>
  <c r="HO3" i="2"/>
  <c r="HK3" i="2"/>
  <c r="HW3" i="2" s="1"/>
  <c r="HY3" i="2" s="1"/>
  <c r="HM17" i="2" l="1"/>
  <c r="HM11" i="2"/>
  <c r="HO11" i="2" s="1"/>
  <c r="HM10" i="2"/>
  <c r="HO10" i="2" s="1"/>
  <c r="HM7" i="2"/>
  <c r="HO7" i="2" s="1"/>
  <c r="HM6" i="2"/>
  <c r="HM5" i="2"/>
  <c r="HO5" i="2" s="1"/>
  <c r="HM4" i="2"/>
  <c r="HM3" i="2"/>
  <c r="GQ17" i="2" l="1"/>
  <c r="HC17" i="2" s="1"/>
  <c r="GQ11" i="2"/>
  <c r="HC11" i="2" s="1"/>
  <c r="HE11" i="2" s="1"/>
  <c r="GQ10" i="2"/>
  <c r="HC10" i="2" s="1"/>
  <c r="HE10" i="2" s="1"/>
  <c r="GQ7" i="2"/>
  <c r="HC7" i="2" s="1"/>
  <c r="HE7" i="2" s="1"/>
  <c r="GU6" i="2"/>
  <c r="GQ6" i="2"/>
  <c r="HC6" i="2" s="1"/>
  <c r="GU5" i="2"/>
  <c r="GQ5" i="2"/>
  <c r="HC5" i="2" s="1"/>
  <c r="HE5" i="2" s="1"/>
  <c r="GQ4" i="2"/>
  <c r="HC4" i="2" s="1"/>
  <c r="HE4" i="2" s="1"/>
  <c r="GQ3" i="2"/>
  <c r="HC3" i="2" s="1"/>
  <c r="HE3" i="2" s="1"/>
  <c r="GG17" i="2"/>
  <c r="GG11" i="2"/>
  <c r="GG10" i="2"/>
  <c r="GG7" i="2"/>
  <c r="GG6" i="2"/>
  <c r="GG5" i="2"/>
  <c r="GG4" i="2"/>
  <c r="GG3" i="2"/>
  <c r="FW17" i="2"/>
  <c r="FW11" i="2"/>
  <c r="FW10" i="2"/>
  <c r="FW7" i="2"/>
  <c r="GA6" i="2"/>
  <c r="FW6" i="2"/>
  <c r="FW5" i="2"/>
  <c r="FW4" i="2"/>
  <c r="FW3" i="2"/>
  <c r="GI17" i="2" l="1"/>
  <c r="GI3" i="2"/>
  <c r="GK3" i="2" s="1"/>
  <c r="GS3" i="2"/>
  <c r="GU3" i="2" s="1"/>
  <c r="GS10" i="2"/>
  <c r="GU10" i="2" s="1"/>
  <c r="GI10" i="2"/>
  <c r="GK10" i="2" s="1"/>
  <c r="GI4" i="2"/>
  <c r="GK4" i="2" s="1"/>
  <c r="GS4" i="2"/>
  <c r="GU4" i="2" s="1"/>
  <c r="GS6" i="2"/>
  <c r="GS11" i="2"/>
  <c r="GU11" i="2" s="1"/>
  <c r="GI7" i="2"/>
  <c r="GK7" i="2" s="1"/>
  <c r="GI6" i="2"/>
  <c r="GK6" i="2" s="1"/>
  <c r="GI11" i="2"/>
  <c r="GK11" i="2" s="1"/>
  <c r="GI5" i="2"/>
  <c r="GK5" i="2" s="1"/>
  <c r="GS5" i="2"/>
  <c r="GS7" i="2"/>
  <c r="GU7" i="2" s="1"/>
  <c r="GS17" i="2"/>
  <c r="FM17" i="2"/>
  <c r="FM11" i="2"/>
  <c r="FM10" i="2"/>
  <c r="FM7" i="2"/>
  <c r="FM6" i="2"/>
  <c r="FM5" i="2"/>
  <c r="FY5" i="2" s="1"/>
  <c r="GA5" i="2" s="1"/>
  <c r="FM4" i="2"/>
  <c r="FM3" i="2"/>
  <c r="FC17" i="2"/>
  <c r="FC11" i="2"/>
  <c r="FC10" i="2"/>
  <c r="FC7" i="2"/>
  <c r="FG6" i="2"/>
  <c r="FC6" i="2"/>
  <c r="FG5" i="2"/>
  <c r="FC5" i="2"/>
  <c r="FG4" i="2"/>
  <c r="FC4" i="2"/>
  <c r="FC3" i="2"/>
  <c r="FO7" i="2" l="1"/>
  <c r="FQ7" i="2" s="1"/>
  <c r="FY7" i="2"/>
  <c r="GA7" i="2" s="1"/>
  <c r="FO3" i="2"/>
  <c r="FQ3" i="2" s="1"/>
  <c r="FO10" i="2"/>
  <c r="FQ10" i="2" s="1"/>
  <c r="FO4" i="2"/>
  <c r="FQ4" i="2" s="1"/>
  <c r="FO11" i="2"/>
  <c r="FQ11" i="2" s="1"/>
  <c r="FO5" i="2"/>
  <c r="FQ5" i="2" s="1"/>
  <c r="FO17" i="2"/>
  <c r="FO6" i="2"/>
  <c r="FQ6" i="2" s="1"/>
  <c r="FY4" i="2"/>
  <c r="GA4" i="2" s="1"/>
  <c r="FY17" i="2"/>
  <c r="FY10" i="2"/>
  <c r="GA10" i="2" s="1"/>
  <c r="FY11" i="2"/>
  <c r="GA11" i="2" s="1"/>
  <c r="FY3" i="2"/>
  <c r="GA3" i="2" s="1"/>
  <c r="FY6" i="2"/>
  <c r="ES17" i="2"/>
  <c r="ES11" i="2"/>
  <c r="FE11" i="2" s="1"/>
  <c r="FG11" i="2" s="1"/>
  <c r="ES10" i="2"/>
  <c r="FE10" i="2" s="1"/>
  <c r="FG10" i="2" s="1"/>
  <c r="ES7" i="2"/>
  <c r="ES6" i="2"/>
  <c r="FE6" i="2" s="1"/>
  <c r="ES5" i="2"/>
  <c r="ES4" i="2"/>
  <c r="ES3" i="2"/>
  <c r="FE3" i="2" s="1"/>
  <c r="FG3" i="2" s="1"/>
  <c r="EI17" i="2"/>
  <c r="EI11" i="2"/>
  <c r="EI10" i="2"/>
  <c r="EI7" i="2"/>
  <c r="EI6" i="2"/>
  <c r="EI5" i="2"/>
  <c r="EI4" i="2"/>
  <c r="EI3" i="2"/>
  <c r="DY17" i="2"/>
  <c r="DY11" i="2"/>
  <c r="DY10" i="2"/>
  <c r="DY7" i="2"/>
  <c r="DY6" i="2"/>
  <c r="DY5" i="2"/>
  <c r="DY4" i="2"/>
  <c r="DY3" i="2"/>
  <c r="DO17" i="2"/>
  <c r="DO11" i="2"/>
  <c r="DO10" i="2"/>
  <c r="DO7" i="2"/>
  <c r="DO6" i="2"/>
  <c r="DO5" i="2"/>
  <c r="DS4" i="2"/>
  <c r="DO4" i="2"/>
  <c r="DO3" i="2"/>
  <c r="DE17" i="2"/>
  <c r="DE11" i="2"/>
  <c r="DE10" i="2"/>
  <c r="DE7" i="2"/>
  <c r="DE6" i="2"/>
  <c r="DE5" i="2"/>
  <c r="DE4" i="2"/>
  <c r="DE3" i="2"/>
  <c r="CU17" i="2"/>
  <c r="CU11" i="2"/>
  <c r="CU10" i="2"/>
  <c r="CU7" i="2"/>
  <c r="CU6" i="2"/>
  <c r="CU5" i="2"/>
  <c r="CY4" i="2"/>
  <c r="CU4" i="2"/>
  <c r="CU3" i="2"/>
  <c r="CK17" i="2"/>
  <c r="CK11" i="2"/>
  <c r="CK10" i="2"/>
  <c r="CK7" i="2"/>
  <c r="CO6" i="2"/>
  <c r="CK6" i="2"/>
  <c r="CK5" i="2"/>
  <c r="CK4" i="2"/>
  <c r="CK3" i="2"/>
  <c r="CA17" i="2"/>
  <c r="CA11" i="2"/>
  <c r="CA10" i="2"/>
  <c r="CA7" i="2"/>
  <c r="CA6" i="2"/>
  <c r="CA5" i="2"/>
  <c r="CA4" i="2"/>
  <c r="CA3" i="2"/>
  <c r="BQ17" i="2"/>
  <c r="BQ11" i="2"/>
  <c r="BQ10" i="2"/>
  <c r="BQ7" i="2"/>
  <c r="BQ6" i="2"/>
  <c r="BQ5" i="2"/>
  <c r="BU4" i="2"/>
  <c r="BQ4" i="2"/>
  <c r="BQ3" i="2"/>
  <c r="Y10" i="3"/>
  <c r="Y9" i="3"/>
  <c r="Y8" i="3"/>
  <c r="F21" i="3"/>
  <c r="H21" i="3" s="1"/>
  <c r="T11" i="3"/>
  <c r="F15" i="3"/>
  <c r="H15" i="3" s="1"/>
  <c r="J15" i="3" s="1"/>
  <c r="T10" i="3"/>
  <c r="P10" i="3"/>
  <c r="R10" i="3" s="1"/>
  <c r="F14" i="3"/>
  <c r="H14" i="3" s="1"/>
  <c r="J14" i="3" s="1"/>
  <c r="P7" i="3"/>
  <c r="R7" i="3" s="1"/>
  <c r="F11" i="3"/>
  <c r="H11" i="3" s="1"/>
  <c r="J11" i="3" s="1"/>
  <c r="P6" i="3"/>
  <c r="R6" i="3" s="1"/>
  <c r="J10" i="3"/>
  <c r="F10" i="3"/>
  <c r="H10" i="3" s="1"/>
  <c r="J9" i="3"/>
  <c r="F9" i="3"/>
  <c r="H9" i="3" s="1"/>
  <c r="J8" i="3"/>
  <c r="F8" i="3"/>
  <c r="H8" i="3" s="1"/>
  <c r="J7" i="3"/>
  <c r="F7" i="3"/>
  <c r="H7" i="3" s="1"/>
  <c r="F6" i="3"/>
  <c r="H6" i="3" s="1"/>
  <c r="J6" i="3" s="1"/>
  <c r="P5" i="3"/>
  <c r="R5" i="3" s="1"/>
  <c r="F5" i="3"/>
  <c r="H5" i="3" s="1"/>
  <c r="J5" i="3" s="1"/>
  <c r="P4" i="3"/>
  <c r="R4" i="3" s="1"/>
  <c r="J4" i="3"/>
  <c r="F4" i="3"/>
  <c r="H4" i="3" s="1"/>
  <c r="P3" i="3"/>
  <c r="F3" i="3"/>
  <c r="H3" i="3" s="1"/>
  <c r="J3" i="3" s="1"/>
  <c r="BG17" i="2"/>
  <c r="BG11" i="2"/>
  <c r="BG10" i="2"/>
  <c r="BG7" i="2"/>
  <c r="BG6" i="2"/>
  <c r="BG5" i="2"/>
  <c r="BG4" i="2"/>
  <c r="BG3" i="2"/>
  <c r="AW17" i="2"/>
  <c r="AW11" i="2"/>
  <c r="AW10" i="2"/>
  <c r="AW7" i="2"/>
  <c r="BA6" i="2"/>
  <c r="AW6" i="2"/>
  <c r="AW5" i="2"/>
  <c r="BA4" i="2"/>
  <c r="AW4" i="2"/>
  <c r="AW3" i="2"/>
  <c r="EU17" i="2" l="1"/>
  <c r="EK10" i="2"/>
  <c r="EM10" i="2" s="1"/>
  <c r="BS11" i="2"/>
  <c r="BU11" i="2" s="1"/>
  <c r="CW5" i="2"/>
  <c r="CY5" i="2" s="1"/>
  <c r="EU7" i="2"/>
  <c r="EW7" i="2" s="1"/>
  <c r="CM4" i="2"/>
  <c r="CO4" i="2" s="1"/>
  <c r="CM11" i="2"/>
  <c r="CO11" i="2" s="1"/>
  <c r="CW6" i="2"/>
  <c r="CY6" i="2" s="1"/>
  <c r="EU10" i="2"/>
  <c r="EW10" i="2" s="1"/>
  <c r="CC7" i="2"/>
  <c r="CE7" i="2" s="1"/>
  <c r="DG17" i="2"/>
  <c r="EU4" i="2"/>
  <c r="EW4" i="2" s="1"/>
  <c r="FE7" i="2"/>
  <c r="FG7" i="2" s="1"/>
  <c r="CC3" i="2"/>
  <c r="CE3" i="2" s="1"/>
  <c r="CC10" i="2"/>
  <c r="CE10" i="2" s="1"/>
  <c r="CM6" i="2"/>
  <c r="CW3" i="2"/>
  <c r="CY3" i="2" s="1"/>
  <c r="CW10" i="2"/>
  <c r="CY10" i="2" s="1"/>
  <c r="EU5" i="2"/>
  <c r="EW5" i="2" s="1"/>
  <c r="BI17" i="2"/>
  <c r="DQ4" i="2"/>
  <c r="EA7" i="2"/>
  <c r="EC7" i="2" s="1"/>
  <c r="CC5" i="2"/>
  <c r="CE5" i="2" s="1"/>
  <c r="DG7" i="2"/>
  <c r="DI7" i="2" s="1"/>
  <c r="CC17" i="2"/>
  <c r="DG6" i="2"/>
  <c r="DI6" i="2" s="1"/>
  <c r="DG11" i="2"/>
  <c r="DI11" i="2" s="1"/>
  <c r="DQ11" i="2"/>
  <c r="DS11" i="2" s="1"/>
  <c r="EA6" i="2"/>
  <c r="EC6" i="2" s="1"/>
  <c r="EA11" i="2"/>
  <c r="EC11" i="2" s="1"/>
  <c r="CM3" i="2"/>
  <c r="CO3" i="2" s="1"/>
  <c r="CM10" i="2"/>
  <c r="CO10" i="2" s="1"/>
  <c r="CW4" i="2"/>
  <c r="DG4" i="2"/>
  <c r="DI4" i="2" s="1"/>
  <c r="DQ5" i="2"/>
  <c r="DS5" i="2" s="1"/>
  <c r="EA5" i="2"/>
  <c r="EC5" i="2" s="1"/>
  <c r="EK5" i="2"/>
  <c r="EM5" i="2" s="1"/>
  <c r="EK17" i="2"/>
  <c r="EU6" i="2"/>
  <c r="EW6" i="2" s="1"/>
  <c r="EU11" i="2"/>
  <c r="EW11" i="2" s="1"/>
  <c r="DQ17" i="2"/>
  <c r="EA17" i="2"/>
  <c r="EK7" i="2"/>
  <c r="EM7" i="2" s="1"/>
  <c r="CW11" i="2"/>
  <c r="CY11" i="2" s="1"/>
  <c r="DQ7" i="2"/>
  <c r="DS7" i="2" s="1"/>
  <c r="BS7" i="2"/>
  <c r="BU7" i="2" s="1"/>
  <c r="DG5" i="2"/>
  <c r="DI5" i="2" s="1"/>
  <c r="DQ3" i="2"/>
  <c r="DS3" i="2" s="1"/>
  <c r="EA3" i="2"/>
  <c r="EC3" i="2" s="1"/>
  <c r="EK3" i="2"/>
  <c r="EM3" i="2" s="1"/>
  <c r="EK11" i="2"/>
  <c r="EM11" i="2" s="1"/>
  <c r="CC4" i="2"/>
  <c r="CE4" i="2" s="1"/>
  <c r="CC6" i="2"/>
  <c r="CE6" i="2" s="1"/>
  <c r="CC11" i="2"/>
  <c r="CE11" i="2" s="1"/>
  <c r="CM5" i="2"/>
  <c r="CO5" i="2" s="1"/>
  <c r="CM17" i="2"/>
  <c r="CW7" i="2"/>
  <c r="CY7" i="2" s="1"/>
  <c r="CW17" i="2"/>
  <c r="DG10" i="2"/>
  <c r="DI10" i="2" s="1"/>
  <c r="DQ10" i="2"/>
  <c r="DS10" i="2" s="1"/>
  <c r="EA10" i="2"/>
  <c r="EC10" i="2" s="1"/>
  <c r="EU3" i="2"/>
  <c r="EW3" i="2" s="1"/>
  <c r="FE5" i="2"/>
  <c r="CM7" i="2"/>
  <c r="CO7" i="2" s="1"/>
  <c r="DG3" i="2"/>
  <c r="DI3" i="2" s="1"/>
  <c r="DQ6" i="2"/>
  <c r="DS6" i="2" s="1"/>
  <c r="EA4" i="2"/>
  <c r="EC4" i="2" s="1"/>
  <c r="EK4" i="2"/>
  <c r="EM4" i="2" s="1"/>
  <c r="EK6" i="2"/>
  <c r="EM6" i="2" s="1"/>
  <c r="FE4" i="2"/>
  <c r="FE17" i="2"/>
  <c r="BS4" i="2"/>
  <c r="BS6" i="2"/>
  <c r="BU6" i="2" s="1"/>
  <c r="BS10" i="2"/>
  <c r="BU10" i="2" s="1"/>
  <c r="BS17" i="2"/>
  <c r="BS3" i="2"/>
  <c r="BU3" i="2" s="1"/>
  <c r="BS5" i="2"/>
  <c r="BU5" i="2" s="1"/>
  <c r="BI4" i="2"/>
  <c r="BK4" i="2" s="1"/>
  <c r="BI6" i="2"/>
  <c r="BK6" i="2" s="1"/>
  <c r="BI10" i="2"/>
  <c r="BK10" i="2" s="1"/>
  <c r="BI3" i="2"/>
  <c r="BK3" i="2" s="1"/>
  <c r="BI5" i="2"/>
  <c r="BK5" i="2" s="1"/>
  <c r="BI7" i="2"/>
  <c r="BK7" i="2" s="1"/>
  <c r="BI11" i="2"/>
  <c r="BK11" i="2" s="1"/>
  <c r="AM17" i="2"/>
  <c r="AM11" i="2"/>
  <c r="AY11" i="2" s="1"/>
  <c r="BA11" i="2" s="1"/>
  <c r="AM10" i="2"/>
  <c r="AY10" i="2" s="1"/>
  <c r="BA10" i="2" s="1"/>
  <c r="AQ7" i="2"/>
  <c r="AM7" i="2"/>
  <c r="AY7" i="2" s="1"/>
  <c r="BA7" i="2" s="1"/>
  <c r="AM6" i="2"/>
  <c r="AY6" i="2" s="1"/>
  <c r="AM5" i="2"/>
  <c r="AY5" i="2" s="1"/>
  <c r="BA5" i="2" s="1"/>
  <c r="AQ4" i="2"/>
  <c r="AM4" i="2"/>
  <c r="AY4" i="2" s="1"/>
  <c r="AM3" i="2"/>
  <c r="AY3" i="2" s="1"/>
  <c r="BA3" i="2" s="1"/>
  <c r="AC6" i="2"/>
  <c r="S6" i="2"/>
  <c r="M6" i="2"/>
  <c r="I6" i="2"/>
  <c r="AC17" i="2"/>
  <c r="AE17" i="2" s="1"/>
  <c r="S17" i="2"/>
  <c r="U17" i="2" s="1"/>
  <c r="I17" i="2"/>
  <c r="AC11" i="2"/>
  <c r="S11" i="2"/>
  <c r="M11" i="2"/>
  <c r="I11" i="2"/>
  <c r="AC10" i="2"/>
  <c r="S10" i="2"/>
  <c r="M10" i="2"/>
  <c r="I10" i="2"/>
  <c r="AC7" i="2"/>
  <c r="S7" i="2"/>
  <c r="M7" i="2"/>
  <c r="I7" i="2"/>
  <c r="AC5" i="2"/>
  <c r="S5" i="2"/>
  <c r="M5" i="2"/>
  <c r="I5" i="2"/>
  <c r="AC4" i="2"/>
  <c r="S4" i="2"/>
  <c r="M4" i="2"/>
  <c r="I4" i="2"/>
  <c r="AC3" i="2"/>
  <c r="S3" i="2"/>
  <c r="M3" i="2"/>
  <c r="I3" i="2"/>
  <c r="AO17" i="2" l="1"/>
  <c r="U3" i="2"/>
  <c r="W3" i="2" s="1"/>
  <c r="U4" i="2"/>
  <c r="W4" i="2" s="1"/>
  <c r="U5" i="2"/>
  <c r="W5" i="2" s="1"/>
  <c r="AY17" i="2"/>
  <c r="AO10" i="2"/>
  <c r="AQ10" i="2" s="1"/>
  <c r="U6" i="2"/>
  <c r="W6" i="2" s="1"/>
  <c r="AO6" i="2"/>
  <c r="AQ6" i="2" s="1"/>
  <c r="AE3" i="2"/>
  <c r="AG3" i="2" s="1"/>
  <c r="AE5" i="2"/>
  <c r="AG5" i="2" s="1"/>
  <c r="U7" i="2"/>
  <c r="W7" i="2" s="1"/>
  <c r="AE6" i="2"/>
  <c r="AG6" i="2" s="1"/>
  <c r="AE4" i="2"/>
  <c r="AG4" i="2" s="1"/>
  <c r="AO4" i="2"/>
  <c r="AE7" i="2"/>
  <c r="AG7" i="2" s="1"/>
  <c r="AE11" i="2"/>
  <c r="AG11" i="2" s="1"/>
  <c r="AO3" i="2"/>
  <c r="AQ3" i="2" s="1"/>
  <c r="AO5" i="2"/>
  <c r="AQ5" i="2" s="1"/>
  <c r="AO7" i="2"/>
  <c r="AO11" i="2"/>
  <c r="AQ11" i="2" s="1"/>
  <c r="AE10" i="2"/>
  <c r="AG10" i="2" s="1"/>
  <c r="U10" i="2"/>
  <c r="W10" i="2" s="1"/>
  <c r="U11" i="2"/>
  <c r="W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tc={927EDAED-38CA-46AB-A205-2D0E1C6E374A}</author>
    <author>tc={C39BDF9B-9714-4BD6-AB2E-6D38F434AA5D}</author>
    <author>tc={52D840A0-259D-4D40-B729-EAE9EBBF1AB9}</author>
    <author>tc={2CC4BAC0-A8FA-4AFF-AB5F-1D0FDFCAD401}</author>
    <author>tc={07DCB526-4AFA-44CA-AF5D-27EAFFEC9639}</author>
    <author>tc={6583294B-D089-4C19-A650-6ED5A5037997}</author>
    <author>tc={48506B9B-3D62-4C0A-8D15-57ED1BBB6058}</author>
    <author>tc={6276630E-0B58-4555-9F80-48D18839AB04}</author>
    <author>tc={B12DCB5E-6650-47A5-BC84-3488EE757CC9}</author>
    <author>tc={F81A1E98-B0AF-4AC3-9B87-EE8406C460D2}</author>
    <author>tc={4C1714F3-8AD4-45F1-B685-C3720359084E}</author>
    <author>tc={56750AD3-F4B5-4B70-9FEC-2F2C47671254}</author>
    <author>tc={FD95F488-44A0-4359-A4FF-0F87E855DF43}</author>
    <author>Purchasing Assistant</author>
    <author>tc={F6A0B896-8FBA-47B3-9B53-A8CB7334CB27}</author>
    <author>tc={D4D025AB-CB25-46A4-9F7A-BD3582FA33B8}</author>
  </authors>
  <commentList>
    <comment ref="EO1" authorId="0" shapeId="0" xr:uid="{927EDAED-38CA-46AB-A205-2D0E1C6E37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 the inventory as soon as possible!  Thank you!
Reply:
    @Herndon 
Reply:
    Este inventario se hizo por request de Mr. Tellez, extraordinario al inventario regular.</t>
      </text>
    </comment>
    <comment ref="FA1" authorId="1" shapeId="0" xr:uid="{C39BDF9B-9714-4BD6-AB2E-6D38F434AA5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registro de fecha es correcto 11.21, el inventario de fecha 11.28 no se puede colocar en el formato</t>
      </text>
    </comment>
    <comment ref="NW1" authorId="2" shapeId="0" xr:uid="{52D840A0-259D-4D40-B729-EAE9EBBF1A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Dos X-Amber. Thank you!
Reply:
    @Herndon </t>
      </text>
    </comment>
    <comment ref="OG1" authorId="3" shapeId="0" xr:uid="{2CC4BAC0-A8FA-4AFF-AB5F-1D0FDFCAD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 and the Dos X-Amber. Thank you!
Reply:
    @Herndon 
Reply:
    Good Morning we have 1 keg of modelo and 1.1 of Miller thanks .
Karla Urrutia</t>
      </text>
    </comment>
    <comment ref="PU1" authorId="4" shapeId="0" xr:uid="{07DCB526-4AFA-44CA-AF5D-27EAFFEC96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the kegs. Thank you!
Reply:
    @Herndon </t>
      </text>
    </comment>
    <comment ref="SC1" authorId="5" shapeId="0" xr:uid="{6583294B-D089-4C19-A650-6ED5A50379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Model-keg. Thank you!
Reply:
    @Herndon 
Reply:
    Good morning I recount modelo keg and i made the corrections.
Thank you
Yesica U.</t>
      </text>
    </comment>
    <comment ref="SW1" authorId="6" shapeId="0" xr:uid="{48506B9B-3D62-4C0A-8D15-57ED1BBB60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Beer. Thank you!</t>
      </text>
    </comment>
    <comment ref="TG1" authorId="7" shapeId="0" xr:uid="{6276630E-0B58-4555-9F80-48D18839AB0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Morning, please recount the Kegs. Thank  you!
Reply:
    @Herndon 
Reply:
    DONE.
THANK YOU
YESICA U.</t>
      </text>
    </comment>
    <comment ref="TQ1" authorId="8" shapeId="0" xr:uid="{B12DCB5E-6650-47A5-BC84-3488EE757C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kegs, and the tank. Thank you.</t>
      </text>
    </comment>
    <comment ref="UK1" authorId="9" shapeId="0" xr:uid="{F81A1E98-B0AF-4AC3-9B87-EE8406C460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Model-Negra. 1cs is missing from the inventory Thank you!</t>
      </text>
    </comment>
    <comment ref="VO1" authorId="10" shapeId="0" xr:uid="{4C1714F3-8AD4-45F1-B685-C3720359084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Beer as soon as possible. Thank you!</t>
      </text>
    </comment>
    <comment ref="VY1" authorId="11" shapeId="0" xr:uid="{56750AD3-F4B5-4B70-9FEC-2F2C476712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recount. Thank you!</t>
      </text>
    </comment>
    <comment ref="WI1" authorId="12" shapeId="0" xr:uid="{FD95F488-44A0-4359-A4FF-0F87E855DF43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UX3" authorId="13" shapeId="0" xr:uid="{04634104-BF2F-46A0-A14E-09FD4413C77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was ordered 9/8
1cs tfr from CM</t>
        </r>
      </text>
    </comment>
    <comment ref="BH4" authorId="14" shapeId="0" xr:uid="{F6A0B896-8FBA-47B3-9B53-A8CB7334CB27}">
      <text>
        <t>[Threaded comment]
Your version of Excel allows you to read this threaded comment; however, any edits to it will get removed if the file is opened in a newer version of Excel. Learn more: https://go.microsoft.com/fwlink/?linkid=870924
Comment:
    1cs Not delivered</t>
      </text>
    </comment>
    <comment ref="ABV4" authorId="13" shapeId="0" xr:uid="{2B0684EE-3305-43AB-AC70-1F06BF46ADD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(CM) 1cs</t>
        </r>
      </text>
    </comment>
    <comment ref="UX5" authorId="13" shapeId="0" xr:uid="{B5CBFFEC-DEE4-44E1-90E4-B0A15F89E82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PU9" authorId="13" shapeId="0" xr:uid="{68429376-34C8-466E-A646-10D15C76D38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inventory was done,
Estimated – based on PMIX</t>
        </r>
      </text>
    </comment>
    <comment ref="TJ10" authorId="13" shapeId="0" xr:uid="{98F1F297-7C44-4CE4-BD5A-AA7CEACB93A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send the wrong item
confirmed w/the rep</t>
        </r>
      </text>
    </comment>
    <comment ref="DU20" authorId="15" shapeId="0" xr:uid="{D4D025AB-CB25-46A4-9F7A-BD3582FA3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check this #?
Thank you!
Reply:
    @Herndon 
Reply:
    Mendez  pick up from herndon 2 cases of budweiser (24 bottles )on wed october 30 </t>
      </text>
    </comment>
    <comment ref="TO20" authorId="13" shapeId="0" xr:uid="{12C3275C-254B-46B3-9076-E271D85F3B5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updated 70 to 55 according to the pic. They send</t>
        </r>
      </text>
    </comment>
    <comment ref="UI20" authorId="13" shapeId="0" xr:uid="{3F3B81E5-35C2-47D6-BCB2-947A6A335A42}">
      <text>
        <r>
          <rPr>
            <sz val="9"/>
            <color indexed="81"/>
            <rFont val="Tahoma"/>
            <family val="2"/>
          </rPr>
          <t xml:space="preserve">ord. next week
</t>
        </r>
      </text>
    </comment>
  </commentList>
</comments>
</file>

<file path=xl/sharedStrings.xml><?xml version="1.0" encoding="utf-8"?>
<sst xmlns="http://schemas.openxmlformats.org/spreadsheetml/2006/main" count="5040" uniqueCount="97">
  <si>
    <t>NAME</t>
  </si>
  <si>
    <t>DATE</t>
  </si>
  <si>
    <t>Fiorella</t>
  </si>
  <si>
    <t xml:space="preserve">Fiorella </t>
  </si>
  <si>
    <t>Silvia</t>
  </si>
  <si>
    <t>KARLA</t>
  </si>
  <si>
    <t>Raul M</t>
  </si>
  <si>
    <t>FIORELLA</t>
  </si>
  <si>
    <t>Josias</t>
  </si>
  <si>
    <t>06.05.25</t>
  </si>
  <si>
    <t>Daniel G</t>
  </si>
  <si>
    <t>06.26.25</t>
  </si>
  <si>
    <t>YESICA U</t>
  </si>
  <si>
    <t>BOTTLES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</si>
  <si>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</si>
  <si>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</si>
  <si>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</si>
  <si>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</si>
  <si>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</si>
  <si>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</si>
  <si>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</si>
  <si>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</si>
  <si>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</si>
  <si>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CORONA</t>
  </si>
  <si>
    <t>24/cs</t>
  </si>
  <si>
    <t>ea</t>
  </si>
  <si>
    <t xml:space="preserve">CORONA LIGHT </t>
  </si>
  <si>
    <t>MODEL-NEGRA</t>
  </si>
  <si>
    <t>PACIFICO</t>
  </si>
  <si>
    <t>DOS X-AMBER</t>
  </si>
  <si>
    <t>KEGS</t>
  </si>
  <si>
    <t>MODEL-ESPECIAL</t>
  </si>
  <si>
    <t>MILLER LITE</t>
  </si>
  <si>
    <t>EMPTY KEGS</t>
  </si>
  <si>
    <t>EMPTY</t>
  </si>
  <si>
    <t>THESE KEGS MUST BE RETURNED ON YOUR NEXT DELIVERY!</t>
  </si>
  <si>
    <t>TOT EMPTY KEGS</t>
  </si>
  <si>
    <t>ANY</t>
  </si>
  <si>
    <t>CO2-SM 20LB-BEER</t>
  </si>
  <si>
    <t>FULL</t>
  </si>
  <si>
    <t>IN-USE</t>
  </si>
  <si>
    <t>CO2 - 20 LB</t>
  </si>
  <si>
    <t>EA</t>
  </si>
  <si>
    <t>CO2-LG 400 LB-SODA</t>
  </si>
  <si>
    <t>REFER PICTURE BELOW</t>
  </si>
  <si>
    <t>CO2 - 400 LB</t>
  </si>
  <si>
    <t>%</t>
  </si>
  <si>
    <t>WALK IN COOLER PROCEDURES</t>
  </si>
  <si>
    <t xml:space="preserve"> - Only sets of 6 bottles are allowed to be kept in the walk-in cooler - That means you can only have 6, 12, 18, 24 bottles etc…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</si>
  <si>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</si>
  <si>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</si>
  <si>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</si>
  <si>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1/2 Kegs</t>
  </si>
  <si>
    <t>Dos Equis, Miller Lite (BK Only)</t>
  </si>
  <si>
    <t>1/4 Kegs</t>
  </si>
  <si>
    <t>Modelo Especial, Miller Lite, Pacifico</t>
  </si>
  <si>
    <t>1/6 Kegs</t>
  </si>
  <si>
    <t>Old Town Lager, Power Moves IPA</t>
  </si>
  <si>
    <t>Formulas</t>
  </si>
  <si>
    <t>Size</t>
  </si>
  <si>
    <t>Oz/KEG</t>
  </si>
  <si>
    <t>How Many Beers were sold?</t>
  </si>
  <si>
    <t>% Keg Usage</t>
  </si>
  <si>
    <t>MODELO, MILLER</t>
  </si>
  <si>
    <t>RAUL JIMENEZ</t>
  </si>
  <si>
    <t>11.13.25</t>
  </si>
  <si>
    <t>YESICA U.</t>
  </si>
  <si>
    <t xml:space="preserve">YESICA </t>
  </si>
  <si>
    <t>Silvia A</t>
  </si>
  <si>
    <t>02.26.26</t>
  </si>
  <si>
    <t>JASON</t>
  </si>
  <si>
    <t xml:space="preserve">NEXT ORDER DATE: </t>
  </si>
  <si>
    <t>jason</t>
  </si>
  <si>
    <t>JASON P</t>
  </si>
  <si>
    <t>05.28.26</t>
  </si>
  <si>
    <t>modelo</t>
  </si>
  <si>
    <t>miller</t>
  </si>
  <si>
    <t>pmix</t>
  </si>
  <si>
    <t>usage</t>
  </si>
  <si>
    <t>5/15-6/4</t>
  </si>
  <si>
    <t>06.18.26</t>
  </si>
  <si>
    <t>06.25.26</t>
  </si>
  <si>
    <t>07.02.26</t>
  </si>
  <si>
    <t>07.09.26</t>
  </si>
  <si>
    <t>07.16.26</t>
  </si>
  <si>
    <t>07.23.26</t>
  </si>
  <si>
    <t>074.30.26</t>
  </si>
  <si>
    <t>08.06.26</t>
  </si>
  <si>
    <t>08.13.26</t>
  </si>
  <si>
    <t>08.20.26</t>
  </si>
  <si>
    <t>08.27.26</t>
  </si>
  <si>
    <t>09.03.26</t>
  </si>
  <si>
    <t>Silvia A.</t>
  </si>
  <si>
    <t>09.10.26</t>
  </si>
  <si>
    <t>09.17.26</t>
  </si>
  <si>
    <t>Bekin S.</t>
  </si>
  <si>
    <t>09.24.26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</si>
</sst>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2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2" xfId="0" applyFont="1" applyBorder="1" applyAlignment="1" applyProtection="1">
      <alignment horizontal="right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/>
    </xf>
    <xf numFmtId="0" fontId="2" fillId="3" borderId="9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6" fillId="2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165" fontId="2" fillId="0" borderId="3" xfId="0" applyNumberFormat="1" applyFont="1" applyFill="1" applyBorder="1" applyAlignment="1" applyProtection="1">
      <alignment horizontal="center"/>
    </xf>
    <xf numFmtId="165" fontId="2" fillId="0" borderId="2" xfId="0" applyNumberFormat="1" applyFont="1" applyFill="1" applyBorder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right"/>
    </xf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/>
    </xf>
    <xf numFmtId="1" fontId="1" fillId="0" borderId="1" xfId="0" applyNumberFormat="1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164" fontId="1" fillId="0" borderId="1" xfId="0" applyNumberFormat="1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 wrapText="1"/>
    </xf>
    <xf numFmtId="0" fontId="2" fillId="0" borderId="6" xfId="0" applyFont="1" applyFill="1" applyBorder="1" applyAlignment="1" applyProtection="1">
      <alignment horizontal="center" wrapText="1"/>
    </xf>
    <xf numFmtId="0" fontId="2" fillId="0" borderId="7" xfId="0" applyFont="1" applyFill="1" applyBorder="1" applyAlignment="1" applyProtection="1">
      <alignment horizontal="center" wrapText="1"/>
    </xf>
    <xf numFmtId="0" fontId="2" fillId="0" borderId="8" xfId="0" applyFont="1" applyFill="1" applyBorder="1" applyAlignment="1" applyProtection="1">
      <alignment horizontal="center" wrapText="1"/>
    </xf>
    <xf numFmtId="0" fontId="2" fillId="0" borderId="9" xfId="0" applyFont="1" applyFill="1" applyBorder="1" applyAlignment="1" applyProtection="1">
      <alignment horizontal="center" wrapText="1"/>
    </xf>
    <xf numFmtId="0" fontId="2" fillId="0" borderId="10" xfId="0" applyFont="1" applyFill="1" applyBorder="1" applyAlignment="1" applyProtection="1">
      <alignment horizontal="center" wrapText="1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right"/>
    </xf>
    <xf numFmtId="164" fontId="1" fillId="0" borderId="0" xfId="0" applyNumberFormat="1" applyFont="1" applyFill="1" applyAlignment="1" applyProtection="1">
      <alignment horizontal="center"/>
    </xf>
    <xf numFmtId="0" fontId="3" fillId="0" borderId="4" xfId="0" applyFont="1" applyFill="1" applyBorder="1" applyAlignment="1" applyProtection="1">
      <alignment horizontal="center"/>
    </xf>
    <xf numFmtId="0" fontId="5" fillId="0" borderId="0" xfId="0" applyFont="1" applyFill="1" applyAlignment="1" applyProtection="1">
      <alignment horizontal="center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1363"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3C00CEAD-1742-40D0-BADC-9BC5EEECA0A3}">
    <Anchor>
      <Comment id="{6276630E-0B58-4555-9F80-48D18839AB04}"/>
    </Anchor>
    <History>
      <Event time="2025-08-08T10:34:48.98" id="{4F1A8458-ED0B-4658-9DD9-2BF63E399C8D}">
        <Attribution userId="S::Purchasingassistant@anitascorp.com::e3ff05a7-ab9c-4d4c-8f3d-6f0a55558981" userName="Purchasing Assistant" userProvider="AD"/>
        <Anchor>
          <Comment id="{47222891-2AF1-49DD-9B47-5EBC048598C3}"/>
        </Anchor>
        <Create/>
      </Event>
      <Event time="2025-08-08T10:34:48.98" id="{5F80BA4D-B43B-46C0-B8F6-951CC373DE36}">
        <Attribution userId="S::Purchasingassistant@anitascorp.com::e3ff05a7-ab9c-4d4c-8f3d-6f0a55558981" userName="Purchasing Assistant" userProvider="AD"/>
        <Anchor>
          <Comment id="{47222891-2AF1-49DD-9B47-5EBC048598C3}"/>
        </Anchor>
        <Assign userId="S::Herndon@anitascorp.com::c95669da-019f-4523-87ba-dd37b9c7502a" userName="Herndon" userProvider="AD"/>
      </Event>
      <Event time="2025-08-08T10:34:48.98" id="{3D1D9341-BF2E-4568-931C-73F6E7AB304F}">
        <Attribution userId="S::Purchasingassistant@anitascorp.com::e3ff05a7-ab9c-4d4c-8f3d-6f0a55558981" userName="Purchasing Assistant" userProvider="AD"/>
        <Anchor>
          <Comment id="{47222891-2AF1-49DD-9B47-5EBC048598C3}"/>
        </Anchor>
        <SetTitle title="@Herndon 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65943</xdr:colOff>
      <xdr:row>26</xdr:row>
      <xdr:rowOff>40277</xdr:rowOff>
    </xdr:from>
    <xdr:to>
      <xdr:col>1</xdr:col>
      <xdr:colOff>1465</xdr:colOff>
      <xdr:row>36</xdr:row>
      <xdr:rowOff>107918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C2933B-AD3C-46C9-8C2C-3C3D83F8D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43" y="4898027"/>
          <a:ext cx="945172" cy="168689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erndon" id="{7C08C15E-482F-4DEC-8DD6-2240F80A47C8}" userId="Herndon@anitascorp.com" providerId="PeoplePicker"/>
  <person displayName="Herndon" id="{C6C759FA-687D-4FD3-A633-7FD1DA46D86E}" userId="S::Herndon@anitascorp.com::c95669da-019f-4523-87ba-dd37b9c7502a" providerId="AD"/>
  <person displayName="Herndon" id="{F8D3C87A-602C-4669-A48A-E9F900677BD0}" userId="S::herndon@anitascorp.com::c95669da-019f-4523-87ba-dd37b9c7502a" providerId="AD"/>
  <person displayName="Purchasing Assistant" id="{04DC3AC7-053B-4588-B5AF-422CEE22AB60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O1" dT="2024-11-20T12:38:26.56" personId="{04DC3AC7-053B-4588-B5AF-422CEE22AB60}" id="{927EDAED-38CA-46AB-A205-2D0E1C6E374A}">
    <text>Morning, please do the inventory as soon as possible!  Thank you!</text>
  </threadedComment>
  <threadedComment ref="EO1" dT="2024-11-20T12:38:32.80" personId="{04DC3AC7-053B-4588-B5AF-422CEE22AB60}" id="{19E15D13-FD92-46C8-B75F-078CA3F5E55E}" parentId="{927EDAED-38CA-46AB-A205-2D0E1C6E374A}">
    <text xml:space="preserve">@Herndon </text>
    <mentions>
      <mention mentionpersonId="{7C08C15E-482F-4DEC-8DD6-2240F80A47C8}" mentionId="{4526828A-C4DC-469B-9A1B-96618A2D8D7E}" startIndex="0" length="8"/>
    </mentions>
  </threadedComment>
  <threadedComment ref="EO1" dT="2024-11-29T18:41:16.62" personId="{C6C759FA-687D-4FD3-A633-7FD1DA46D86E}" id="{963F1A1D-349D-4839-9E62-4E1AD6FEAA0C}" parentId="{927EDAED-38CA-46AB-A205-2D0E1C6E374A}">
    <text>Este inventario se hizo por request de Mr. Tellez, extraordinario al inventario regular.</text>
  </threadedComment>
  <threadedComment ref="FA1" dT="2024-11-29T18:37:10.28" personId="{C6C759FA-687D-4FD3-A633-7FD1DA46D86E}" id="{C39BDF9B-9714-4BD6-AB2E-6D38F434AA5D}">
    <text>Este registro de fecha es correcto 11.21, el inventario de fecha 11.28 no se puede colocar en el formato</text>
  </threadedComment>
  <threadedComment ref="NW1" dT="2025-05-02T13:33:21.57" personId="{04DC3AC7-053B-4588-B5AF-422CEE22AB60}" id="{52D840A0-259D-4D40-B729-EAE9EBBF1AB9}">
    <text>Morning, please recount the Dos X-Amber. Thank you!</text>
  </threadedComment>
  <threadedComment ref="NW1" dT="2025-05-02T13:33:27.76" personId="{04DC3AC7-053B-4588-B5AF-422CEE22AB60}" id="{CCC1F7E6-3882-44DE-80D0-EF0DC648CDFC}" parentId="{52D840A0-259D-4D40-B729-EAE9EBBF1AB9}">
    <text xml:space="preserve">@Herndon </text>
    <mentions>
      <mention mentionpersonId="{7C08C15E-482F-4DEC-8DD6-2240F80A47C8}" mentionId="{EDA63E30-9DBB-4C40-8D75-465712F5A1B2}" startIndex="0" length="8"/>
    </mentions>
  </threadedComment>
  <threadedComment ref="OG1" dT="2025-05-09T14:28:43.76" personId="{04DC3AC7-053B-4588-B5AF-422CEE22AB60}" id="{2CC4BAC0-A8FA-4AFF-AB5F-1D0FDFCAD401}">
    <text>Morning, please recount the Kegs and the Dos X-Amber. Thank you!</text>
  </threadedComment>
  <threadedComment ref="OG1" dT="2025-05-09T14:28:48.44" personId="{04DC3AC7-053B-4588-B5AF-422CEE22AB60}" id="{49AC541F-A90F-47F4-9589-9EEE70C8CEF7}" parentId="{2CC4BAC0-A8FA-4AFF-AB5F-1D0FDFCAD401}">
    <text xml:space="preserve">@Herndon </text>
    <mentions>
      <mention mentionpersonId="{7C08C15E-482F-4DEC-8DD6-2240F80A47C8}" mentionId="{1388761F-325E-4A1F-A987-004E17F252F1}" startIndex="0" length="8"/>
    </mentions>
  </threadedComment>
  <threadedComment ref="OG1" dT="2025-05-12T12:58:55.87" personId="{F8D3C87A-602C-4669-A48A-E9F900677BD0}" id="{8F8A5CB1-3A5B-4BFF-A6EF-D7FE48476036}" parentId="{2CC4BAC0-A8FA-4AFF-AB5F-1D0FDFCAD401}">
    <text>Good Morning we have 1 keg of modelo and 1.1 of Miller thanks .
Karla Urrutia</text>
  </threadedComment>
  <threadedComment ref="PU1" dT="2025-06-06T10:04:37.79" personId="{04DC3AC7-053B-4588-B5AF-422CEE22AB60}" id="{07DCB526-4AFA-44CA-AF5D-27EAFFEC9639}">
    <text>Morning, please inventory the kegs. Thank you!</text>
  </threadedComment>
  <threadedComment ref="PU1" dT="2025-06-06T10:04:42.79" personId="{04DC3AC7-053B-4588-B5AF-422CEE22AB60}" id="{FD7EA6ED-D491-4741-8206-EDB989757BA8}" parentId="{07DCB526-4AFA-44CA-AF5D-27EAFFEC9639}">
    <text xml:space="preserve">@Herndon </text>
    <mentions>
      <mention mentionpersonId="{7C08C15E-482F-4DEC-8DD6-2240F80A47C8}" mentionId="{066BDC1F-9493-4725-8232-A283722503C0}" startIndex="0" length="8"/>
    </mentions>
  </threadedComment>
  <threadedComment ref="SC1" dT="2025-07-18T11:00:50.16" personId="{04DC3AC7-053B-4588-B5AF-422CEE22AB60}" id="{6583294B-D089-4C19-A650-6ED5A5037997}">
    <text>Morning, please recount Model-keg. Thank you!</text>
  </threadedComment>
  <threadedComment ref="SC1" dT="2025-07-18T11:00:56.82" personId="{04DC3AC7-053B-4588-B5AF-422CEE22AB60}" id="{9EA64514-CFFB-4936-AF50-67A5D296E670}" parentId="{6583294B-D089-4C19-A650-6ED5A5037997}">
    <text xml:space="preserve">@Herndon </text>
    <mentions>
      <mention mentionpersonId="{7C08C15E-482F-4DEC-8DD6-2240F80A47C8}" mentionId="{1E1369CD-843E-4D86-ABE2-A6C7B5B509D0}" startIndex="0" length="8"/>
    </mentions>
  </threadedComment>
  <threadedComment ref="SC1" dT="2025-07-18T14:52:54.65" personId="{F8D3C87A-602C-4669-A48A-E9F900677BD0}" id="{5AA88799-C0AC-4846-A8A0-77A89886FBB1}" parentId="{6583294B-D089-4C19-A650-6ED5A5037997}">
    <text>Good morning I recount modelo keg and i made the corrections.
Thank you
Yesica U.</text>
  </threadedComment>
  <threadedComment ref="SW1" dT="2025-08-01T10:15:19.34" personId="{04DC3AC7-053B-4588-B5AF-422CEE22AB60}" id="{48506B9B-3D62-4C0A-8D15-57ED1BBB6058}">
    <text>Morning, please inventory Beer. Thank you!</text>
  </threadedComment>
  <threadedComment ref="TG1" dT="2025-08-08T10:34:39.64" personId="{04DC3AC7-053B-4588-B5AF-422CEE22AB60}" id="{6276630E-0B58-4555-9F80-48D18839AB04}">
    <text>Morning, please recount the Kegs. Thank  you!</text>
  </threadedComment>
  <threadedComment ref="TG1" dT="2025-08-08T10:34:48.98" personId="{04DC3AC7-053B-4588-B5AF-422CEE22AB60}" id="{47222891-2AF1-49DD-9B47-5EBC048598C3}" parentId="{6276630E-0B58-4555-9F80-48D18839AB04}">
    <text xml:space="preserve">@Herndon </text>
    <mentions>
      <mention mentionpersonId="{7C08C15E-482F-4DEC-8DD6-2240F80A47C8}" mentionId="{0BC90158-A0D6-441C-BF04-A26F0DDB02BB}" startIndex="0" length="8"/>
    </mentions>
  </threadedComment>
  <threadedComment ref="TG1" dT="2025-08-08T13:27:47.38" personId="{F8D3C87A-602C-4669-A48A-E9F900677BD0}" id="{9AFC8BFE-97B7-4E85-B9C6-B245A9F7A2C7}" parentId="{6276630E-0B58-4555-9F80-48D18839AB04}">
    <text>DONE.
THANK YOU
YESICA U.</text>
  </threadedComment>
  <threadedComment ref="TQ1" dT="2025-08-15T10:15:49.80" personId="{04DC3AC7-053B-4588-B5AF-422CEE22AB60}" id="{B12DCB5E-6650-47A5-BC84-3488EE757CC9}">
    <text>Morning, please recount the kegs, and the tank. Thank you.</text>
  </threadedComment>
  <threadedComment ref="UK1" dT="2025-08-29T14:51:27.62" personId="{04DC3AC7-053B-4588-B5AF-422CEE22AB60}" id="{F81A1E98-B0AF-4AC3-9B87-EE8406C460D2}">
    <text>Morning, please recount Model-Negra. 1cs is missing from the inventory Thank you!</text>
  </threadedComment>
  <threadedComment ref="VO1" dT="2025-09-19T10:16:08.06" personId="{04DC3AC7-053B-4588-B5AF-422CEE22AB60}" id="{4C1714F3-8AD4-45F1-B685-C3720359084E}">
    <text>Morning, please inventory Beer as soon as possible. Thank you!</text>
  </threadedComment>
  <threadedComment ref="VY1" dT="2025-09-26T10:29:36.65" personId="{04DC3AC7-053B-4588-B5AF-422CEE22AB60}" id="{56750AD3-F4B5-4B70-9FEC-2F2C47671254}">
    <text>Morning, can you please recount. Thank you!</text>
  </threadedComment>
  <threadedComment ref="WI1" dT="2025-10-03T10:20:58.76" personId="{04DC3AC7-053B-4588-B5AF-422CEE22AB60}" id="{FD95F488-44A0-4359-A4FF-0F87E855DF43}">
    <text>Morning, please recount. Thank you!</text>
  </threadedComment>
  <threadedComment ref="BH4" dT="2024-09-25T14:05:16.73" personId="{04DC3AC7-053B-4588-B5AF-422CEE22AB60}" id="{F6A0B896-8FBA-47B3-9B53-A8CB7334CB27}">
    <text>1cs Not delivered</text>
  </threadedComment>
  <threadedComment ref="DU20" dT="2024-11-08T12:24:56.36" personId="{04DC3AC7-053B-4588-B5AF-422CEE22AB60}" id="{D4D025AB-CB25-46A4-9F7A-BD3582FA33B8}">
    <text>Morning, can you check this #?
Thank you!</text>
  </threadedComment>
  <threadedComment ref="DU20" dT="2024-11-08T12:25:07.54" personId="{04DC3AC7-053B-4588-B5AF-422CEE22AB60}" id="{F1B4DA90-9C2E-4D75-9E4F-12A481FA8AE1}" parentId="{D4D025AB-CB25-46A4-9F7A-BD3582FA33B8}">
    <text xml:space="preserve">@Herndon </text>
    <mentions>
      <mention mentionpersonId="{7C08C15E-482F-4DEC-8DD6-2240F80A47C8}" mentionId="{90EA8721-7186-4D13-B70F-6DFE6A5C4CA3}" startIndex="0" length="8"/>
    </mentions>
  </threadedComment>
  <threadedComment ref="DU20" dT="2024-11-09T18:09:58.21" personId="{F8D3C87A-602C-4669-A48A-E9F900677BD0}" id="{D1CF984D-F7A6-4C8E-9001-144B9EBA9739}" parentId="{D4D025AB-CB25-46A4-9F7A-BD3582FA33B8}">
    <text xml:space="preserve">Mendez  pick up from herndon 2 cases of budweiser (24 bottles )on wed october 30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FEC3-3BB0-47A7-B300-D6CE4DCD0A09}">
  <sheetPr codeName="Sheet1">
    <tabColor theme="7" tint="0.79998168889431442"/>
  </sheetPr>
  <dimension ref="A1:AQO26"/>
  <sheetViews>
    <sheetView tabSelected="1" view="pageLayout" zoomScale="130" zoomScaleNormal="130" zoomScalePageLayoutView="130" workbookViewId="0">
      <selection activeCell="AQI18" sqref="AQI18"/>
    </sheetView>
  </sheetViews>
  <sheetFormatPr defaultColWidth="9.140625" defaultRowHeight="12.75" customHeight="1" x14ac:dyDescent="0.2"/>
  <cols>
    <col min="1" max="1" width="14.28515625" style="1" customWidth="1"/>
    <col min="2" max="3" width="3.140625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3" width="3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3" width="3.140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8" hidden="1" customWidth="1"/>
    <col min="156" max="156" width="2.42578125" style="9" hidden="1" customWidth="1"/>
    <col min="157" max="157" width="3.140625" style="8" hidden="1" customWidth="1"/>
    <col min="158" max="158" width="2.42578125" style="9" hidden="1" customWidth="1"/>
    <col min="159" max="163" width="3.140625" style="8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8" hidden="1" customWidth="1"/>
    <col min="616" max="616" width="2.42578125" style="9" hidden="1" customWidth="1"/>
    <col min="617" max="617" width="3.140625" style="8" hidden="1" customWidth="1"/>
    <col min="618" max="618" width="2.42578125" style="9" hidden="1" customWidth="1"/>
    <col min="619" max="623" width="3.140625" style="8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2" width="3.140625" style="8" hidden="1" customWidth="1"/>
    <col min="653" max="653" width="3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.28515625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83" width="3.140625" style="8" hidden="1" customWidth="1"/>
    <col min="684" max="684" width="1.28515625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.28515625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83" width="3.140625" style="8" hidden="1" customWidth="1"/>
    <col min="784" max="784" width="1.28515625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1.2851562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1.2851562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.28515625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3" width="3.140625" style="8" hidden="1" customWidth="1"/>
    <col min="954" max="954" width="1.28515625" style="1" hidden="1" customWidth="1"/>
    <col min="955" max="955" width="3.140625" style="8" hidden="1" customWidth="1"/>
    <col min="956" max="956" width="2.42578125" style="9" hidden="1" customWidth="1"/>
    <col min="957" max="957" width="3.140625" style="8" hidden="1" customWidth="1"/>
    <col min="958" max="958" width="2.42578125" style="9" hidden="1" customWidth="1"/>
    <col min="959" max="963" width="3.140625" style="8" hidden="1" customWidth="1"/>
    <col min="964" max="964" width="1.28515625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.28515625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.28515625" style="1" hidden="1" customWidth="1"/>
    <col min="995" max="995" width="3.140625" style="8" hidden="1" customWidth="1"/>
    <col min="996" max="996" width="2.42578125" style="9" hidden="1" customWidth="1"/>
    <col min="997" max="997" width="3.140625" style="8" hidden="1" customWidth="1"/>
    <col min="998" max="998" width="2.42578125" style="9" hidden="1" customWidth="1"/>
    <col min="999" max="1003" width="3.140625" style="8" hidden="1" customWidth="1"/>
    <col min="1004" max="1004" width="1.28515625" style="1" hidden="1" customWidth="1"/>
    <col min="1005" max="1005" width="3.1406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13" width="3.140625" style="8" hidden="1" customWidth="1"/>
    <col min="1014" max="1014" width="1.28515625" style="1" hidden="1" customWidth="1"/>
    <col min="1015" max="1015" width="3.14062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23" width="3.140625" style="8" hidden="1" customWidth="1"/>
    <col min="1024" max="1024" width="1.28515625" style="1" hidden="1" customWidth="1"/>
    <col min="1025" max="1025" width="3.140625" style="8" hidden="1" customWidth="1"/>
    <col min="1026" max="1026" width="2.42578125" style="9" hidden="1" customWidth="1"/>
    <col min="1027" max="1027" width="3.140625" style="8" hidden="1" customWidth="1"/>
    <col min="1028" max="1028" width="2.42578125" style="9" hidden="1" customWidth="1"/>
    <col min="1029" max="1033" width="3.14062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hidden="1" customWidth="1"/>
    <col min="1045" max="1045" width="3.140625" style="8" hidden="1" customWidth="1"/>
    <col min="1046" max="1046" width="2.42578125" style="9" hidden="1" customWidth="1"/>
    <col min="1047" max="1047" width="3.140625" style="8" hidden="1" customWidth="1"/>
    <col min="1048" max="1048" width="2.42578125" style="9" hidden="1" customWidth="1"/>
    <col min="1049" max="1053" width="3.140625" style="8" hidden="1" customWidth="1"/>
    <col min="1054" max="1054" width="1.28515625" style="1" hidden="1" customWidth="1"/>
    <col min="1055" max="1055" width="3.140625" style="8" hidden="1" customWidth="1"/>
    <col min="1056" max="1056" width="2.42578125" style="9" hidden="1" customWidth="1"/>
    <col min="1057" max="1057" width="3.140625" style="8" hidden="1" customWidth="1"/>
    <col min="1058" max="1058" width="2.42578125" style="9" hidden="1" customWidth="1"/>
    <col min="1059" max="1063" width="3.140625" style="8" hidden="1" customWidth="1"/>
    <col min="1064" max="1064" width="1.28515625" style="1" hidden="1" customWidth="1"/>
    <col min="1065" max="1065" width="3.140625" style="8" hidden="1" customWidth="1"/>
    <col min="1066" max="1066" width="2.42578125" style="9" hidden="1" customWidth="1"/>
    <col min="1067" max="1067" width="3.140625" style="8" hidden="1" customWidth="1"/>
    <col min="1068" max="1068" width="2.42578125" style="9" hidden="1" customWidth="1"/>
    <col min="1069" max="1073" width="3.140625" style="8" hidden="1" customWidth="1"/>
    <col min="1074" max="1074" width="1.28515625" style="1" hidden="1" customWidth="1"/>
    <col min="1075" max="1075" width="3.140625" style="8" hidden="1" customWidth="1"/>
    <col min="1076" max="1076" width="2.42578125" style="9" hidden="1" customWidth="1"/>
    <col min="1077" max="1077" width="3.140625" style="8" hidden="1" customWidth="1"/>
    <col min="1078" max="1078" width="2.42578125" style="9" hidden="1" customWidth="1"/>
    <col min="1079" max="1083" width="3.140625" style="8" hidden="1" customWidth="1"/>
    <col min="1084" max="1084" width="1.28515625" style="1" hidden="1" customWidth="1"/>
    <col min="1085" max="1085" width="3.140625" style="8" hidden="1" customWidth="1"/>
    <col min="1086" max="1086" width="2.42578125" style="9" hidden="1" customWidth="1"/>
    <col min="1087" max="1087" width="3.140625" style="8" hidden="1" customWidth="1"/>
    <col min="1088" max="1088" width="2.42578125" style="9" hidden="1" customWidth="1"/>
    <col min="1089" max="1093" width="3.140625" style="8" hidden="1" customWidth="1"/>
    <col min="1094" max="1094" width="1.28515625" style="1" customWidth="1"/>
    <col min="1095" max="1095" width="3.140625" style="8" customWidth="1"/>
    <col min="1096" max="1096" width="2.42578125" style="9" customWidth="1"/>
    <col min="1097" max="1097" width="3.140625" style="8" customWidth="1"/>
    <col min="1098" max="1098" width="2.42578125" style="9" customWidth="1"/>
    <col min="1099" max="1103" width="3.140625" style="8" customWidth="1"/>
    <col min="1104" max="1104" width="1.28515625" style="1" customWidth="1"/>
    <col min="1105" max="1105" width="3.140625" style="8" customWidth="1"/>
    <col min="1106" max="1106" width="2.42578125" style="9" customWidth="1"/>
    <col min="1107" max="1107" width="3.140625" style="8" customWidth="1"/>
    <col min="1108" max="1108" width="2.42578125" style="9" customWidth="1"/>
    <col min="1109" max="1113" width="3.140625" style="8" customWidth="1"/>
    <col min="1114" max="1114" width="1.28515625" style="1" customWidth="1"/>
    <col min="1115" max="1115" width="3.140625" style="8" customWidth="1"/>
    <col min="1116" max="1116" width="2.42578125" style="9" customWidth="1"/>
    <col min="1117" max="1117" width="3.140625" style="8" customWidth="1"/>
    <col min="1118" max="1118" width="2.42578125" style="9" customWidth="1"/>
    <col min="1119" max="1123" width="3.140625" style="8" customWidth="1"/>
    <col min="1124" max="1124" width="1.28515625" style="1" customWidth="1"/>
    <col min="1125" max="1125" width="3.140625" style="8" customWidth="1"/>
    <col min="1126" max="1126" width="2.42578125" style="9" customWidth="1"/>
    <col min="1127" max="1127" width="3.140625" style="8" customWidth="1"/>
    <col min="1128" max="1128" width="2.42578125" style="9" customWidth="1"/>
    <col min="1129" max="1133" width="3.140625" style="8" customWidth="1"/>
    <col min="1134" max="16384" width="9.140625" style="1"/>
  </cols>
  <sheetData>
    <row r="1" spans="1:1133" ht="11.25" x14ac:dyDescent="0.2">
      <c r="A1" s="41" t="s">
        <v>71</v>
      </c>
      <c r="B1" s="77">
        <f ca="1">_xlfn.LET(_xlpm.anchor,DATE(2026,6,26),_xlpm.cycle,28,_xlpm.next,_xlpm.anchor+_xlfn.CEILING.MATH(MAX(0,TODAY()-_xlpm.anchor),_xlpm.cycle),IF(_xlpm.next=TODAY(),"DUE TODAY",_xlpm.next))</f>
        <v>46311</v>
      </c>
      <c r="C1" s="77"/>
      <c r="D1" s="77"/>
      <c r="E1" s="67" t="s">
        <v>0</v>
      </c>
      <c r="F1" s="68"/>
      <c r="G1" s="67"/>
      <c r="H1" s="78"/>
      <c r="I1" s="68"/>
      <c r="J1" s="79" t="s">
        <v>1</v>
      </c>
      <c r="K1" s="79"/>
      <c r="L1" s="80">
        <v>45519</v>
      </c>
      <c r="M1" s="80"/>
      <c r="O1" s="67" t="s">
        <v>0</v>
      </c>
      <c r="P1" s="68"/>
      <c r="Q1" s="67"/>
      <c r="R1" s="78"/>
      <c r="S1" s="68"/>
      <c r="T1" s="79" t="s">
        <v>1</v>
      </c>
      <c r="U1" s="79"/>
      <c r="V1" s="80">
        <v>45526</v>
      </c>
      <c r="W1" s="80"/>
      <c r="Y1" s="67" t="s">
        <v>0</v>
      </c>
      <c r="Z1" s="68"/>
      <c r="AA1" s="67" t="s">
        <v>2</v>
      </c>
      <c r="AB1" s="78"/>
      <c r="AC1" s="68"/>
      <c r="AD1" s="79" t="s">
        <v>1</v>
      </c>
      <c r="AE1" s="79"/>
      <c r="AF1" s="80">
        <v>45533</v>
      </c>
      <c r="AG1" s="80"/>
      <c r="AI1" s="67" t="s">
        <v>0</v>
      </c>
      <c r="AJ1" s="68"/>
      <c r="AK1" s="67" t="s">
        <v>2</v>
      </c>
      <c r="AL1" s="78"/>
      <c r="AM1" s="68"/>
      <c r="AN1" s="79" t="s">
        <v>1</v>
      </c>
      <c r="AO1" s="79"/>
      <c r="AP1" s="80">
        <v>45540</v>
      </c>
      <c r="AQ1" s="80"/>
      <c r="AS1" s="67" t="s">
        <v>0</v>
      </c>
      <c r="AT1" s="68"/>
      <c r="AU1" s="67" t="s">
        <v>2</v>
      </c>
      <c r="AV1" s="78"/>
      <c r="AW1" s="68"/>
      <c r="AX1" s="79" t="s">
        <v>1</v>
      </c>
      <c r="AY1" s="79"/>
      <c r="AZ1" s="80">
        <v>45547</v>
      </c>
      <c r="BA1" s="80"/>
      <c r="BC1" s="67" t="s">
        <v>0</v>
      </c>
      <c r="BD1" s="68"/>
      <c r="BE1" s="67" t="s">
        <v>2</v>
      </c>
      <c r="BF1" s="78"/>
      <c r="BG1" s="68"/>
      <c r="BH1" s="79" t="s">
        <v>1</v>
      </c>
      <c r="BI1" s="79"/>
      <c r="BJ1" s="80">
        <v>45554</v>
      </c>
      <c r="BK1" s="80"/>
      <c r="BM1" s="67" t="s">
        <v>0</v>
      </c>
      <c r="BN1" s="68"/>
      <c r="BO1" s="67" t="s">
        <v>2</v>
      </c>
      <c r="BP1" s="78"/>
      <c r="BQ1" s="68"/>
      <c r="BR1" s="67" t="s">
        <v>1</v>
      </c>
      <c r="BS1" s="68"/>
      <c r="BT1" s="72">
        <v>45561</v>
      </c>
      <c r="BU1" s="73"/>
      <c r="BW1" s="67" t="s">
        <v>0</v>
      </c>
      <c r="BX1" s="68"/>
      <c r="BY1" s="69" t="s">
        <v>2</v>
      </c>
      <c r="BZ1" s="70"/>
      <c r="CA1" s="71"/>
      <c r="CB1" s="67" t="s">
        <v>1</v>
      </c>
      <c r="CC1" s="68"/>
      <c r="CD1" s="72">
        <v>45568</v>
      </c>
      <c r="CE1" s="73"/>
      <c r="CG1" s="67" t="s">
        <v>0</v>
      </c>
      <c r="CH1" s="68"/>
      <c r="CI1" s="69" t="s">
        <v>2</v>
      </c>
      <c r="CJ1" s="70"/>
      <c r="CK1" s="71"/>
      <c r="CL1" s="67" t="s">
        <v>1</v>
      </c>
      <c r="CM1" s="68"/>
      <c r="CN1" s="72">
        <v>45575</v>
      </c>
      <c r="CO1" s="73"/>
      <c r="CQ1" s="67" t="s">
        <v>0</v>
      </c>
      <c r="CR1" s="68"/>
      <c r="CS1" s="69" t="s">
        <v>2</v>
      </c>
      <c r="CT1" s="70"/>
      <c r="CU1" s="71"/>
      <c r="CV1" s="67" t="s">
        <v>1</v>
      </c>
      <c r="CW1" s="68"/>
      <c r="CX1" s="72">
        <v>45582</v>
      </c>
      <c r="CY1" s="73"/>
      <c r="DA1" s="67" t="s">
        <v>0</v>
      </c>
      <c r="DB1" s="68"/>
      <c r="DC1" s="69" t="s">
        <v>3</v>
      </c>
      <c r="DD1" s="70"/>
      <c r="DE1" s="71"/>
      <c r="DF1" s="67" t="s">
        <v>1</v>
      </c>
      <c r="DG1" s="68"/>
      <c r="DH1" s="72">
        <v>45589</v>
      </c>
      <c r="DI1" s="73"/>
      <c r="DK1" s="67" t="s">
        <v>0</v>
      </c>
      <c r="DL1" s="68"/>
      <c r="DM1" s="69" t="s">
        <v>4</v>
      </c>
      <c r="DN1" s="70"/>
      <c r="DO1" s="71"/>
      <c r="DP1" s="67" t="s">
        <v>1</v>
      </c>
      <c r="DQ1" s="68"/>
      <c r="DR1" s="72">
        <v>45596</v>
      </c>
      <c r="DS1" s="73"/>
      <c r="DU1" s="67" t="s">
        <v>0</v>
      </c>
      <c r="DV1" s="68"/>
      <c r="DW1" s="69" t="s">
        <v>2</v>
      </c>
      <c r="DX1" s="70"/>
      <c r="DY1" s="71"/>
      <c r="DZ1" s="67" t="s">
        <v>1</v>
      </c>
      <c r="EA1" s="68"/>
      <c r="EB1" s="72">
        <v>45603</v>
      </c>
      <c r="EC1" s="73"/>
      <c r="EE1" s="67" t="s">
        <v>0</v>
      </c>
      <c r="EF1" s="68"/>
      <c r="EG1" s="69" t="s">
        <v>2</v>
      </c>
      <c r="EH1" s="70"/>
      <c r="EI1" s="71"/>
      <c r="EJ1" s="67" t="s">
        <v>1</v>
      </c>
      <c r="EK1" s="68"/>
      <c r="EL1" s="72">
        <v>45610</v>
      </c>
      <c r="EM1" s="73"/>
      <c r="EO1" s="67" t="s">
        <v>0</v>
      </c>
      <c r="EP1" s="68"/>
      <c r="EQ1" s="69" t="s">
        <v>5</v>
      </c>
      <c r="ER1" s="70"/>
      <c r="ES1" s="71"/>
      <c r="ET1" s="67" t="s">
        <v>1</v>
      </c>
      <c r="EU1" s="68"/>
      <c r="EV1" s="72">
        <v>45615</v>
      </c>
      <c r="EW1" s="73"/>
      <c r="EY1" s="67" t="s">
        <v>0</v>
      </c>
      <c r="EZ1" s="68"/>
      <c r="FA1" s="44" t="s">
        <v>2</v>
      </c>
      <c r="FB1" s="45"/>
      <c r="FC1" s="46"/>
      <c r="FD1" s="67" t="s">
        <v>1</v>
      </c>
      <c r="FE1" s="68"/>
      <c r="FF1" s="47">
        <v>45617</v>
      </c>
      <c r="FG1" s="48"/>
      <c r="FI1" s="67" t="s">
        <v>0</v>
      </c>
      <c r="FJ1" s="68"/>
      <c r="FK1" s="69" t="s">
        <v>2</v>
      </c>
      <c r="FL1" s="70"/>
      <c r="FM1" s="71"/>
      <c r="FN1" s="67" t="s">
        <v>1</v>
      </c>
      <c r="FO1" s="68"/>
      <c r="FP1" s="72">
        <v>45631</v>
      </c>
      <c r="FQ1" s="73"/>
      <c r="FS1" s="67" t="s">
        <v>0</v>
      </c>
      <c r="FT1" s="68"/>
      <c r="FU1" s="69" t="s">
        <v>2</v>
      </c>
      <c r="FV1" s="70"/>
      <c r="FW1" s="71"/>
      <c r="FX1" s="67" t="s">
        <v>1</v>
      </c>
      <c r="FY1" s="68"/>
      <c r="FZ1" s="72">
        <v>45638</v>
      </c>
      <c r="GA1" s="73"/>
      <c r="GC1" s="67" t="s">
        <v>0</v>
      </c>
      <c r="GD1" s="68"/>
      <c r="GE1" s="69" t="s">
        <v>2</v>
      </c>
      <c r="GF1" s="70"/>
      <c r="GG1" s="71"/>
      <c r="GH1" s="67" t="s">
        <v>1</v>
      </c>
      <c r="GI1" s="68"/>
      <c r="GJ1" s="72">
        <v>45645</v>
      </c>
      <c r="GK1" s="73"/>
      <c r="GM1" s="67" t="s">
        <v>0</v>
      </c>
      <c r="GN1" s="68"/>
      <c r="GO1" s="69" t="s">
        <v>2</v>
      </c>
      <c r="GP1" s="70"/>
      <c r="GQ1" s="71"/>
      <c r="GR1" s="67" t="s">
        <v>1</v>
      </c>
      <c r="GS1" s="68"/>
      <c r="GT1" s="72">
        <v>45652</v>
      </c>
      <c r="GU1" s="73"/>
      <c r="GW1" s="67" t="s">
        <v>0</v>
      </c>
      <c r="GX1" s="68"/>
      <c r="GY1" s="69" t="s">
        <v>6</v>
      </c>
      <c r="GZ1" s="70"/>
      <c r="HA1" s="71"/>
      <c r="HB1" s="67" t="s">
        <v>1</v>
      </c>
      <c r="HC1" s="68"/>
      <c r="HD1" s="72">
        <v>45657</v>
      </c>
      <c r="HE1" s="73"/>
      <c r="HG1" s="67" t="s">
        <v>0</v>
      </c>
      <c r="HH1" s="68"/>
      <c r="HI1" s="44" t="s">
        <v>7</v>
      </c>
      <c r="HJ1" s="45"/>
      <c r="HK1" s="46"/>
      <c r="HL1" s="67" t="s">
        <v>1</v>
      </c>
      <c r="HM1" s="68"/>
      <c r="HN1" s="47">
        <v>45659</v>
      </c>
      <c r="HO1" s="48"/>
      <c r="HQ1" s="67" t="s">
        <v>0</v>
      </c>
      <c r="HR1" s="68"/>
      <c r="HS1" s="69" t="s">
        <v>2</v>
      </c>
      <c r="HT1" s="70"/>
      <c r="HU1" s="71"/>
      <c r="HV1" s="67" t="s">
        <v>1</v>
      </c>
      <c r="HW1" s="68"/>
      <c r="HX1" s="72">
        <v>45666</v>
      </c>
      <c r="HY1" s="73"/>
      <c r="IA1" s="67" t="s">
        <v>0</v>
      </c>
      <c r="IB1" s="68"/>
      <c r="IC1" s="69" t="s">
        <v>2</v>
      </c>
      <c r="ID1" s="70"/>
      <c r="IE1" s="71"/>
      <c r="IF1" s="67" t="s">
        <v>1</v>
      </c>
      <c r="IG1" s="68"/>
      <c r="IH1" s="72">
        <v>45673</v>
      </c>
      <c r="II1" s="73"/>
      <c r="IK1" s="67" t="s">
        <v>0</v>
      </c>
      <c r="IL1" s="68"/>
      <c r="IM1" s="69" t="s">
        <v>6</v>
      </c>
      <c r="IN1" s="70"/>
      <c r="IO1" s="71"/>
      <c r="IP1" s="67" t="s">
        <v>1</v>
      </c>
      <c r="IQ1" s="68"/>
      <c r="IR1" s="72">
        <v>45680</v>
      </c>
      <c r="IS1" s="73"/>
      <c r="IU1" s="67" t="s">
        <v>0</v>
      </c>
      <c r="IV1" s="68"/>
      <c r="IW1" s="69" t="s">
        <v>2</v>
      </c>
      <c r="IX1" s="70"/>
      <c r="IY1" s="71"/>
      <c r="IZ1" s="67" t="s">
        <v>1</v>
      </c>
      <c r="JA1" s="68"/>
      <c r="JB1" s="72">
        <v>45687</v>
      </c>
      <c r="JC1" s="73"/>
      <c r="JE1" s="67" t="s">
        <v>0</v>
      </c>
      <c r="JF1" s="68"/>
      <c r="JG1" s="69" t="s">
        <v>2</v>
      </c>
      <c r="JH1" s="70"/>
      <c r="JI1" s="71"/>
      <c r="JJ1" s="67" t="s">
        <v>1</v>
      </c>
      <c r="JK1" s="68"/>
      <c r="JL1" s="72">
        <v>45694</v>
      </c>
      <c r="JM1" s="73"/>
      <c r="JO1" s="67" t="s">
        <v>0</v>
      </c>
      <c r="JP1" s="68"/>
      <c r="JQ1" s="69" t="s">
        <v>2</v>
      </c>
      <c r="JR1" s="70"/>
      <c r="JS1" s="71"/>
      <c r="JT1" s="67" t="s">
        <v>1</v>
      </c>
      <c r="JU1" s="68"/>
      <c r="JV1" s="72">
        <v>45701</v>
      </c>
      <c r="JW1" s="73"/>
      <c r="JY1" s="67" t="s">
        <v>0</v>
      </c>
      <c r="JZ1" s="68"/>
      <c r="KA1" s="69" t="s">
        <v>2</v>
      </c>
      <c r="KB1" s="70"/>
      <c r="KC1" s="71"/>
      <c r="KD1" s="67" t="s">
        <v>1</v>
      </c>
      <c r="KE1" s="68"/>
      <c r="KF1" s="72">
        <v>45708</v>
      </c>
      <c r="KG1" s="73"/>
      <c r="KI1" s="67" t="s">
        <v>0</v>
      </c>
      <c r="KJ1" s="68"/>
      <c r="KK1" s="69" t="s">
        <v>2</v>
      </c>
      <c r="KL1" s="70"/>
      <c r="KM1" s="71"/>
      <c r="KN1" s="67" t="s">
        <v>1</v>
      </c>
      <c r="KO1" s="68"/>
      <c r="KP1" s="72">
        <v>45715</v>
      </c>
      <c r="KQ1" s="73"/>
      <c r="KS1" s="67" t="s">
        <v>0</v>
      </c>
      <c r="KT1" s="68"/>
      <c r="KU1" s="69" t="s">
        <v>2</v>
      </c>
      <c r="KV1" s="70"/>
      <c r="KW1" s="71"/>
      <c r="KX1" s="67" t="s">
        <v>1</v>
      </c>
      <c r="KY1" s="68"/>
      <c r="KZ1" s="72">
        <v>45722</v>
      </c>
      <c r="LA1" s="73"/>
      <c r="LC1" s="67" t="s">
        <v>0</v>
      </c>
      <c r="LD1" s="68"/>
      <c r="LE1" s="69" t="s">
        <v>2</v>
      </c>
      <c r="LF1" s="70"/>
      <c r="LG1" s="71"/>
      <c r="LH1" s="67" t="s">
        <v>1</v>
      </c>
      <c r="LI1" s="68"/>
      <c r="LJ1" s="72">
        <v>45729</v>
      </c>
      <c r="LK1" s="73"/>
      <c r="LM1" s="67" t="s">
        <v>0</v>
      </c>
      <c r="LN1" s="68"/>
      <c r="LO1" s="69" t="s">
        <v>2</v>
      </c>
      <c r="LP1" s="70"/>
      <c r="LQ1" s="71"/>
      <c r="LR1" s="67" t="s">
        <v>1</v>
      </c>
      <c r="LS1" s="68"/>
      <c r="LT1" s="72">
        <v>45736</v>
      </c>
      <c r="LU1" s="73"/>
      <c r="LW1" s="67" t="s">
        <v>0</v>
      </c>
      <c r="LX1" s="68"/>
      <c r="LY1" s="69" t="s">
        <v>2</v>
      </c>
      <c r="LZ1" s="70"/>
      <c r="MA1" s="71"/>
      <c r="MB1" s="67" t="s">
        <v>1</v>
      </c>
      <c r="MC1" s="68"/>
      <c r="MD1" s="72">
        <v>45743</v>
      </c>
      <c r="ME1" s="73"/>
      <c r="MG1" s="67" t="s">
        <v>0</v>
      </c>
      <c r="MH1" s="68"/>
      <c r="MI1" s="69" t="s">
        <v>2</v>
      </c>
      <c r="MJ1" s="70"/>
      <c r="MK1" s="71"/>
      <c r="ML1" s="67" t="s">
        <v>1</v>
      </c>
      <c r="MM1" s="68"/>
      <c r="MN1" s="72">
        <v>45750</v>
      </c>
      <c r="MO1" s="73"/>
      <c r="MQ1" s="67" t="s">
        <v>0</v>
      </c>
      <c r="MR1" s="68"/>
      <c r="MS1" s="69" t="s">
        <v>2</v>
      </c>
      <c r="MT1" s="70"/>
      <c r="MU1" s="71"/>
      <c r="MV1" s="67" t="s">
        <v>1</v>
      </c>
      <c r="MW1" s="68"/>
      <c r="MX1" s="72">
        <v>45757</v>
      </c>
      <c r="MY1" s="73"/>
      <c r="NA1" s="67" t="s">
        <v>0</v>
      </c>
      <c r="NB1" s="68"/>
      <c r="NC1" s="69" t="s">
        <v>2</v>
      </c>
      <c r="ND1" s="70"/>
      <c r="NE1" s="71"/>
      <c r="NF1" s="67" t="s">
        <v>1</v>
      </c>
      <c r="NG1" s="68"/>
      <c r="NH1" s="72">
        <v>45764</v>
      </c>
      <c r="NI1" s="73"/>
      <c r="NK1" s="67" t="s">
        <v>0</v>
      </c>
      <c r="NL1" s="68"/>
      <c r="NM1" s="69" t="s">
        <v>2</v>
      </c>
      <c r="NN1" s="70"/>
      <c r="NO1" s="71"/>
      <c r="NP1" s="67" t="s">
        <v>1</v>
      </c>
      <c r="NQ1" s="68"/>
      <c r="NR1" s="72">
        <v>45771</v>
      </c>
      <c r="NS1" s="73"/>
      <c r="NU1" s="67" t="s">
        <v>0</v>
      </c>
      <c r="NV1" s="68"/>
      <c r="NW1" s="69" t="s">
        <v>2</v>
      </c>
      <c r="NX1" s="70"/>
      <c r="NY1" s="71"/>
      <c r="NZ1" s="67" t="s">
        <v>1</v>
      </c>
      <c r="OA1" s="68"/>
      <c r="OB1" s="72">
        <v>45778</v>
      </c>
      <c r="OC1" s="73"/>
      <c r="OE1" s="67" t="s">
        <v>0</v>
      </c>
      <c r="OF1" s="68"/>
      <c r="OG1" s="44" t="s">
        <v>2</v>
      </c>
      <c r="OH1" s="45"/>
      <c r="OI1" s="46"/>
      <c r="OJ1" s="67" t="s">
        <v>1</v>
      </c>
      <c r="OK1" s="68"/>
      <c r="OL1" s="47">
        <v>45785</v>
      </c>
      <c r="OM1" s="48"/>
      <c r="OO1" s="67" t="s">
        <v>0</v>
      </c>
      <c r="OP1" s="68"/>
      <c r="OQ1" s="69" t="s">
        <v>2</v>
      </c>
      <c r="OR1" s="70"/>
      <c r="OS1" s="71"/>
      <c r="OT1" s="67" t="s">
        <v>1</v>
      </c>
      <c r="OU1" s="68"/>
      <c r="OV1" s="72">
        <v>45792</v>
      </c>
      <c r="OW1" s="73"/>
      <c r="OY1" s="67" t="s">
        <v>0</v>
      </c>
      <c r="OZ1" s="68"/>
      <c r="PA1" s="69" t="s">
        <v>2</v>
      </c>
      <c r="PB1" s="70"/>
      <c r="PC1" s="71"/>
      <c r="PD1" s="67" t="s">
        <v>1</v>
      </c>
      <c r="PE1" s="68"/>
      <c r="PF1" s="72">
        <v>45799</v>
      </c>
      <c r="PG1" s="73"/>
      <c r="PI1" s="67" t="s">
        <v>0</v>
      </c>
      <c r="PJ1" s="68"/>
      <c r="PK1" s="69" t="s">
        <v>2</v>
      </c>
      <c r="PL1" s="70"/>
      <c r="PM1" s="71"/>
      <c r="PN1" s="67" t="s">
        <v>1</v>
      </c>
      <c r="PO1" s="68"/>
      <c r="PP1" s="72">
        <v>45806</v>
      </c>
      <c r="PQ1" s="73"/>
      <c r="PS1" s="67" t="s">
        <v>0</v>
      </c>
      <c r="PT1" s="68"/>
      <c r="PU1" s="44" t="s">
        <v>8</v>
      </c>
      <c r="PV1" s="45"/>
      <c r="PW1" s="46"/>
      <c r="PX1" s="67" t="s">
        <v>1</v>
      </c>
      <c r="PY1" s="68"/>
      <c r="PZ1" s="47" t="s">
        <v>9</v>
      </c>
      <c r="QA1" s="48"/>
      <c r="QC1" s="67" t="s">
        <v>0</v>
      </c>
      <c r="QD1" s="68"/>
      <c r="QE1" s="44" t="s">
        <v>2</v>
      </c>
      <c r="QF1" s="45"/>
      <c r="QG1" s="46"/>
      <c r="QH1" s="67" t="s">
        <v>1</v>
      </c>
      <c r="QI1" s="68"/>
      <c r="QJ1" s="47">
        <v>45820</v>
      </c>
      <c r="QK1" s="48"/>
      <c r="QM1" s="67" t="s">
        <v>0</v>
      </c>
      <c r="QN1" s="68"/>
      <c r="QO1" s="69" t="s">
        <v>2</v>
      </c>
      <c r="QP1" s="70"/>
      <c r="QQ1" s="71"/>
      <c r="QR1" s="67" t="s">
        <v>1</v>
      </c>
      <c r="QS1" s="68"/>
      <c r="QT1" s="72">
        <v>45827</v>
      </c>
      <c r="QU1" s="73"/>
      <c r="QW1" s="67" t="s">
        <v>0</v>
      </c>
      <c r="QX1" s="68"/>
      <c r="QY1" s="69" t="s">
        <v>10</v>
      </c>
      <c r="QZ1" s="70"/>
      <c r="RA1" s="71"/>
      <c r="RB1" s="67" t="s">
        <v>1</v>
      </c>
      <c r="RC1" s="68"/>
      <c r="RD1" s="72" t="s">
        <v>11</v>
      </c>
      <c r="RE1" s="73"/>
      <c r="RG1" s="67" t="s">
        <v>0</v>
      </c>
      <c r="RH1" s="68"/>
      <c r="RI1" s="69" t="s">
        <v>2</v>
      </c>
      <c r="RJ1" s="70"/>
      <c r="RK1" s="71"/>
      <c r="RL1" s="67" t="s">
        <v>1</v>
      </c>
      <c r="RM1" s="68"/>
      <c r="RN1" s="72">
        <v>45841</v>
      </c>
      <c r="RO1" s="73"/>
      <c r="RQ1" s="67" t="s">
        <v>0</v>
      </c>
      <c r="RR1" s="68"/>
      <c r="RS1" s="69" t="s">
        <v>2</v>
      </c>
      <c r="RT1" s="70"/>
      <c r="RU1" s="71"/>
      <c r="RV1" s="67" t="s">
        <v>1</v>
      </c>
      <c r="RW1" s="68"/>
      <c r="RX1" s="72">
        <v>45848</v>
      </c>
      <c r="RY1" s="73"/>
      <c r="SA1" s="67" t="s">
        <v>0</v>
      </c>
      <c r="SB1" s="68"/>
      <c r="SC1" s="44" t="s">
        <v>2</v>
      </c>
      <c r="SD1" s="45"/>
      <c r="SE1" s="46"/>
      <c r="SF1" s="67" t="s">
        <v>1</v>
      </c>
      <c r="SG1" s="68"/>
      <c r="SH1" s="47">
        <v>45855</v>
      </c>
      <c r="SI1" s="48"/>
      <c r="SK1" s="67" t="s">
        <v>0</v>
      </c>
      <c r="SL1" s="68"/>
      <c r="SM1" s="69" t="s">
        <v>2</v>
      </c>
      <c r="SN1" s="70"/>
      <c r="SO1" s="71"/>
      <c r="SP1" s="67" t="s">
        <v>1</v>
      </c>
      <c r="SQ1" s="68"/>
      <c r="SR1" s="72">
        <v>45862</v>
      </c>
      <c r="SS1" s="73"/>
      <c r="SU1" s="67" t="s">
        <v>0</v>
      </c>
      <c r="SV1" s="68"/>
      <c r="SW1" s="69" t="s">
        <v>12</v>
      </c>
      <c r="SX1" s="70"/>
      <c r="SY1" s="71"/>
      <c r="SZ1" s="67" t="s">
        <v>1</v>
      </c>
      <c r="TA1" s="68"/>
      <c r="TB1" s="72">
        <v>45869</v>
      </c>
      <c r="TC1" s="73"/>
      <c r="TE1" s="67" t="s">
        <v>0</v>
      </c>
      <c r="TF1" s="68"/>
      <c r="TG1" s="69" t="s">
        <v>2</v>
      </c>
      <c r="TH1" s="70"/>
      <c r="TI1" s="71"/>
      <c r="TJ1" s="67" t="s">
        <v>1</v>
      </c>
      <c r="TK1" s="68"/>
      <c r="TL1" s="72">
        <v>45876</v>
      </c>
      <c r="TM1" s="73"/>
      <c r="TO1" s="67" t="s">
        <v>0</v>
      </c>
      <c r="TP1" s="68"/>
      <c r="TQ1" s="44" t="s">
        <v>2</v>
      </c>
      <c r="TR1" s="45"/>
      <c r="TS1" s="46"/>
      <c r="TT1" s="67" t="s">
        <v>1</v>
      </c>
      <c r="TU1" s="68"/>
      <c r="TV1" s="47">
        <v>45883</v>
      </c>
      <c r="TW1" s="48"/>
      <c r="TY1" s="67" t="s">
        <v>0</v>
      </c>
      <c r="TZ1" s="68"/>
      <c r="UA1" s="69" t="s">
        <v>2</v>
      </c>
      <c r="UB1" s="70"/>
      <c r="UC1" s="71"/>
      <c r="UD1" s="67" t="s">
        <v>1</v>
      </c>
      <c r="UE1" s="68"/>
      <c r="UF1" s="72">
        <v>45890</v>
      </c>
      <c r="UG1" s="73"/>
      <c r="UI1" s="67" t="s">
        <v>0</v>
      </c>
      <c r="UJ1" s="68"/>
      <c r="UK1" s="44" t="s">
        <v>2</v>
      </c>
      <c r="UL1" s="45"/>
      <c r="UM1" s="46"/>
      <c r="UN1" s="67" t="s">
        <v>1</v>
      </c>
      <c r="UO1" s="68"/>
      <c r="UP1" s="47">
        <v>45897</v>
      </c>
      <c r="UQ1" s="48"/>
      <c r="US1" s="67" t="s">
        <v>0</v>
      </c>
      <c r="UT1" s="68"/>
      <c r="UU1" s="44" t="s">
        <v>2</v>
      </c>
      <c r="UV1" s="45"/>
      <c r="UW1" s="46"/>
      <c r="UX1" s="67" t="s">
        <v>1</v>
      </c>
      <c r="UY1" s="68"/>
      <c r="UZ1" s="47">
        <v>45904</v>
      </c>
      <c r="VA1" s="48"/>
      <c r="VC1" s="67" t="s">
        <v>0</v>
      </c>
      <c r="VD1" s="68"/>
      <c r="VE1" s="69" t="s">
        <v>2</v>
      </c>
      <c r="VF1" s="70"/>
      <c r="VG1" s="71"/>
      <c r="VH1" s="67" t="s">
        <v>1</v>
      </c>
      <c r="VI1" s="68"/>
      <c r="VJ1" s="72">
        <v>45911</v>
      </c>
      <c r="VK1" s="73"/>
      <c r="VM1" s="67" t="s">
        <v>0</v>
      </c>
      <c r="VN1" s="68"/>
      <c r="VO1" s="69" t="s">
        <v>2</v>
      </c>
      <c r="VP1" s="70"/>
      <c r="VQ1" s="71"/>
      <c r="VR1" s="67" t="s">
        <v>1</v>
      </c>
      <c r="VS1" s="68"/>
      <c r="VT1" s="72">
        <v>45918</v>
      </c>
      <c r="VU1" s="73"/>
      <c r="VW1" s="67" t="s">
        <v>0</v>
      </c>
      <c r="VX1" s="68"/>
      <c r="VY1" s="44" t="s">
        <v>2</v>
      </c>
      <c r="VZ1" s="45"/>
      <c r="WA1" s="46"/>
      <c r="WB1" s="67" t="s">
        <v>1</v>
      </c>
      <c r="WC1" s="68"/>
      <c r="WD1" s="47">
        <v>45925</v>
      </c>
      <c r="WE1" s="48"/>
      <c r="WG1" s="67" t="s">
        <v>0</v>
      </c>
      <c r="WH1" s="68"/>
      <c r="WI1" s="69" t="s">
        <v>2</v>
      </c>
      <c r="WJ1" s="70"/>
      <c r="WK1" s="71"/>
      <c r="WL1" s="67" t="s">
        <v>1</v>
      </c>
      <c r="WM1" s="68"/>
      <c r="WN1" s="72">
        <v>45932</v>
      </c>
      <c r="WO1" s="73"/>
      <c r="WQ1" s="67" t="s">
        <v>0</v>
      </c>
      <c r="WR1" s="68"/>
      <c r="WS1" s="69" t="s">
        <v>2</v>
      </c>
      <c r="WT1" s="70"/>
      <c r="WU1" s="71"/>
      <c r="WV1" s="67" t="s">
        <v>1</v>
      </c>
      <c r="WW1" s="68"/>
      <c r="WX1" s="72">
        <v>45939</v>
      </c>
      <c r="WY1" s="73"/>
      <c r="XA1" s="67" t="s">
        <v>0</v>
      </c>
      <c r="XB1" s="68"/>
      <c r="XC1" s="69" t="s">
        <v>7</v>
      </c>
      <c r="XD1" s="70"/>
      <c r="XE1" s="71"/>
      <c r="XF1" s="67" t="s">
        <v>1</v>
      </c>
      <c r="XG1" s="68"/>
      <c r="XH1" s="72">
        <v>45946</v>
      </c>
      <c r="XI1" s="73"/>
      <c r="XK1" s="67" t="s">
        <v>0</v>
      </c>
      <c r="XL1" s="68"/>
      <c r="XM1" s="69" t="s">
        <v>2</v>
      </c>
      <c r="XN1" s="70"/>
      <c r="XO1" s="71"/>
      <c r="XP1" s="67" t="s">
        <v>1</v>
      </c>
      <c r="XQ1" s="68"/>
      <c r="XR1" s="72">
        <v>45953</v>
      </c>
      <c r="XS1" s="73"/>
      <c r="XU1" s="67" t="s">
        <v>0</v>
      </c>
      <c r="XV1" s="68"/>
      <c r="XW1" s="69" t="s">
        <v>2</v>
      </c>
      <c r="XX1" s="70"/>
      <c r="XY1" s="71"/>
      <c r="XZ1" s="67" t="s">
        <v>1</v>
      </c>
      <c r="YA1" s="68"/>
      <c r="YB1" s="72">
        <v>45960</v>
      </c>
      <c r="YC1" s="73"/>
      <c r="YE1" s="67" t="s">
        <v>0</v>
      </c>
      <c r="YF1" s="68"/>
      <c r="YG1" s="69" t="s">
        <v>64</v>
      </c>
      <c r="YH1" s="70"/>
      <c r="YI1" s="71"/>
      <c r="YJ1" s="67" t="s">
        <v>1</v>
      </c>
      <c r="YK1" s="68"/>
      <c r="YL1" s="72">
        <v>45967</v>
      </c>
      <c r="YM1" s="73"/>
      <c r="YO1" s="67" t="s">
        <v>0</v>
      </c>
      <c r="YP1" s="68"/>
      <c r="YQ1" s="69" t="s">
        <v>64</v>
      </c>
      <c r="YR1" s="70"/>
      <c r="YS1" s="71"/>
      <c r="YT1" s="67" t="s">
        <v>1</v>
      </c>
      <c r="YU1" s="68"/>
      <c r="YV1" s="72" t="s">
        <v>65</v>
      </c>
      <c r="YW1" s="73"/>
      <c r="YY1" s="67" t="s">
        <v>0</v>
      </c>
      <c r="YZ1" s="68"/>
      <c r="ZA1" s="44" t="s">
        <v>2</v>
      </c>
      <c r="ZB1" s="45"/>
      <c r="ZC1" s="46"/>
      <c r="ZD1" s="67" t="s">
        <v>1</v>
      </c>
      <c r="ZE1" s="68"/>
      <c r="ZF1" s="47">
        <v>45981</v>
      </c>
      <c r="ZG1" s="48"/>
      <c r="ZI1" s="67" t="s">
        <v>0</v>
      </c>
      <c r="ZJ1" s="68"/>
      <c r="ZK1" s="69" t="s">
        <v>66</v>
      </c>
      <c r="ZL1" s="70"/>
      <c r="ZM1" s="71"/>
      <c r="ZN1" s="67" t="s">
        <v>1</v>
      </c>
      <c r="ZO1" s="68"/>
      <c r="ZP1" s="72">
        <v>45988</v>
      </c>
      <c r="ZQ1" s="73"/>
      <c r="ZS1" s="67" t="s">
        <v>0</v>
      </c>
      <c r="ZT1" s="68"/>
      <c r="ZU1" s="69" t="s">
        <v>2</v>
      </c>
      <c r="ZV1" s="70"/>
      <c r="ZW1" s="71"/>
      <c r="ZX1" s="67" t="s">
        <v>1</v>
      </c>
      <c r="ZY1" s="68"/>
      <c r="ZZ1" s="72">
        <v>45995</v>
      </c>
      <c r="AAA1" s="73"/>
      <c r="AAC1" s="67" t="s">
        <v>0</v>
      </c>
      <c r="AAD1" s="68"/>
      <c r="AAE1" s="69" t="s">
        <v>66</v>
      </c>
      <c r="AAF1" s="70"/>
      <c r="AAG1" s="71"/>
      <c r="AAH1" s="67" t="s">
        <v>1</v>
      </c>
      <c r="AAI1" s="68"/>
      <c r="AAJ1" s="72">
        <v>46002</v>
      </c>
      <c r="AAK1" s="73"/>
      <c r="AAM1" s="67" t="s">
        <v>0</v>
      </c>
      <c r="AAN1" s="68"/>
      <c r="AAO1" s="69" t="s">
        <v>2</v>
      </c>
      <c r="AAP1" s="70"/>
      <c r="AAQ1" s="71"/>
      <c r="AAR1" s="67" t="s">
        <v>1</v>
      </c>
      <c r="AAS1" s="68"/>
      <c r="AAT1" s="72">
        <v>46009</v>
      </c>
      <c r="AAU1" s="73"/>
      <c r="AAW1" s="67" t="s">
        <v>0</v>
      </c>
      <c r="AAX1" s="68"/>
      <c r="AAY1" s="44" t="s">
        <v>67</v>
      </c>
      <c r="AAZ1" s="45"/>
      <c r="ABA1" s="46"/>
      <c r="ABB1" s="67" t="s">
        <v>1</v>
      </c>
      <c r="ABC1" s="68"/>
      <c r="ABD1" s="47">
        <v>46015</v>
      </c>
      <c r="ABE1" s="48"/>
      <c r="ABG1" s="67" t="s">
        <v>0</v>
      </c>
      <c r="ABH1" s="68"/>
      <c r="ABI1" s="69" t="s">
        <v>7</v>
      </c>
      <c r="ABJ1" s="70"/>
      <c r="ABK1" s="71"/>
      <c r="ABL1" s="67" t="s">
        <v>1</v>
      </c>
      <c r="ABM1" s="68"/>
      <c r="ABN1" s="72">
        <v>46023</v>
      </c>
      <c r="ABO1" s="73"/>
      <c r="ABQ1" s="67" t="s">
        <v>0</v>
      </c>
      <c r="ABR1" s="68"/>
      <c r="ABS1" s="69" t="s">
        <v>2</v>
      </c>
      <c r="ABT1" s="70"/>
      <c r="ABU1" s="71"/>
      <c r="ABV1" s="67" t="s">
        <v>1</v>
      </c>
      <c r="ABW1" s="68"/>
      <c r="ABX1" s="72">
        <v>46030</v>
      </c>
      <c r="ABY1" s="73"/>
      <c r="ACA1" s="67" t="s">
        <v>0</v>
      </c>
      <c r="ACB1" s="68"/>
      <c r="ACC1" s="69" t="s">
        <v>7</v>
      </c>
      <c r="ACD1" s="70"/>
      <c r="ACE1" s="71"/>
      <c r="ACF1" s="67" t="s">
        <v>1</v>
      </c>
      <c r="ACG1" s="68"/>
      <c r="ACH1" s="72">
        <v>46037</v>
      </c>
      <c r="ACI1" s="73"/>
      <c r="ACK1" s="67" t="s">
        <v>0</v>
      </c>
      <c r="ACL1" s="68"/>
      <c r="ACM1" s="44" t="s">
        <v>2</v>
      </c>
      <c r="ACN1" s="45"/>
      <c r="ACO1" s="46"/>
      <c r="ACP1" s="67" t="s">
        <v>1</v>
      </c>
      <c r="ACQ1" s="68"/>
      <c r="ACR1" s="47">
        <v>46044</v>
      </c>
      <c r="ACS1" s="48"/>
      <c r="ACU1" s="67" t="s">
        <v>0</v>
      </c>
      <c r="ACV1" s="68"/>
      <c r="ACW1" s="44" t="s">
        <v>2</v>
      </c>
      <c r="ACX1" s="45"/>
      <c r="ACY1" s="46"/>
      <c r="ACZ1" s="67" t="s">
        <v>1</v>
      </c>
      <c r="ADA1" s="68"/>
      <c r="ADB1" s="47">
        <v>46051</v>
      </c>
      <c r="ADC1" s="48"/>
      <c r="ADE1" s="67" t="s">
        <v>0</v>
      </c>
      <c r="ADF1" s="68"/>
      <c r="ADG1" s="69" t="s">
        <v>2</v>
      </c>
      <c r="ADH1" s="70"/>
      <c r="ADI1" s="71"/>
      <c r="ADJ1" s="67" t="s">
        <v>1</v>
      </c>
      <c r="ADK1" s="68"/>
      <c r="ADL1" s="72">
        <v>46058</v>
      </c>
      <c r="ADM1" s="73"/>
      <c r="ADO1" s="67" t="s">
        <v>0</v>
      </c>
      <c r="ADP1" s="68"/>
      <c r="ADQ1" s="69" t="s">
        <v>2</v>
      </c>
      <c r="ADR1" s="70"/>
      <c r="ADS1" s="71"/>
      <c r="ADT1" s="67" t="s">
        <v>1</v>
      </c>
      <c r="ADU1" s="68"/>
      <c r="ADV1" s="72">
        <v>46065</v>
      </c>
      <c r="ADW1" s="73"/>
      <c r="ADY1" s="67" t="s">
        <v>0</v>
      </c>
      <c r="ADZ1" s="68"/>
      <c r="AEA1" s="69" t="s">
        <v>2</v>
      </c>
      <c r="AEB1" s="70"/>
      <c r="AEC1" s="71"/>
      <c r="AED1" s="67" t="s">
        <v>1</v>
      </c>
      <c r="AEE1" s="68"/>
      <c r="AEF1" s="72">
        <v>46072</v>
      </c>
      <c r="AEG1" s="73"/>
      <c r="AEI1" s="67" t="s">
        <v>0</v>
      </c>
      <c r="AEJ1" s="68"/>
      <c r="AEK1" s="44" t="s">
        <v>68</v>
      </c>
      <c r="AEL1" s="45"/>
      <c r="AEM1" s="46"/>
      <c r="AEN1" s="67" t="s">
        <v>1</v>
      </c>
      <c r="AEO1" s="68"/>
      <c r="AEP1" s="47" t="s">
        <v>69</v>
      </c>
      <c r="AEQ1" s="48"/>
      <c r="AES1" s="67" t="s">
        <v>0</v>
      </c>
      <c r="AET1" s="68"/>
      <c r="AEU1" s="69" t="s">
        <v>2</v>
      </c>
      <c r="AEV1" s="70"/>
      <c r="AEW1" s="71"/>
      <c r="AEX1" s="67" t="s">
        <v>1</v>
      </c>
      <c r="AEY1" s="68"/>
      <c r="AEZ1" s="72">
        <v>46086</v>
      </c>
      <c r="AFA1" s="73"/>
      <c r="AFC1" s="67" t="s">
        <v>0</v>
      </c>
      <c r="AFD1" s="68"/>
      <c r="AFE1" s="69" t="s">
        <v>2</v>
      </c>
      <c r="AFF1" s="70"/>
      <c r="AFG1" s="71"/>
      <c r="AFH1" s="67" t="s">
        <v>1</v>
      </c>
      <c r="AFI1" s="68"/>
      <c r="AFJ1" s="72">
        <v>46093</v>
      </c>
      <c r="AFK1" s="73"/>
      <c r="AFM1" s="67" t="s">
        <v>0</v>
      </c>
      <c r="AFN1" s="68"/>
      <c r="AFO1" s="44" t="s">
        <v>2</v>
      </c>
      <c r="AFP1" s="45"/>
      <c r="AFQ1" s="46"/>
      <c r="AFR1" s="67" t="s">
        <v>1</v>
      </c>
      <c r="AFS1" s="68"/>
      <c r="AFT1" s="47">
        <v>46100</v>
      </c>
      <c r="AFU1" s="48"/>
      <c r="AFW1" s="67" t="s">
        <v>0</v>
      </c>
      <c r="AFX1" s="68"/>
      <c r="AFY1" s="44" t="s">
        <v>2</v>
      </c>
      <c r="AFZ1" s="45"/>
      <c r="AGA1" s="46"/>
      <c r="AGB1" s="67" t="s">
        <v>1</v>
      </c>
      <c r="AGC1" s="68"/>
      <c r="AGD1" s="47">
        <v>46107</v>
      </c>
      <c r="AGE1" s="48"/>
      <c r="AGG1" s="67" t="s">
        <v>0</v>
      </c>
      <c r="AGH1" s="68"/>
      <c r="AGI1" s="44" t="s">
        <v>2</v>
      </c>
      <c r="AGJ1" s="45"/>
      <c r="AGK1" s="46"/>
      <c r="AGL1" s="67" t="s">
        <v>1</v>
      </c>
      <c r="AGM1" s="68"/>
      <c r="AGN1" s="47">
        <v>46114</v>
      </c>
      <c r="AGO1" s="48"/>
      <c r="AGQ1" s="67" t="s">
        <v>0</v>
      </c>
      <c r="AGR1" s="68"/>
      <c r="AGS1" s="69" t="s">
        <v>2</v>
      </c>
      <c r="AGT1" s="70"/>
      <c r="AGU1" s="71"/>
      <c r="AGV1" s="67" t="s">
        <v>1</v>
      </c>
      <c r="AGW1" s="68"/>
      <c r="AGX1" s="72">
        <v>46121</v>
      </c>
      <c r="AGY1" s="73"/>
      <c r="AHA1" s="67" t="s">
        <v>0</v>
      </c>
      <c r="AHB1" s="68"/>
      <c r="AHC1" s="69" t="s">
        <v>2</v>
      </c>
      <c r="AHD1" s="70"/>
      <c r="AHE1" s="71"/>
      <c r="AHF1" s="67" t="s">
        <v>1</v>
      </c>
      <c r="AHG1" s="68"/>
      <c r="AHH1" s="72">
        <v>46128</v>
      </c>
      <c r="AHI1" s="73"/>
      <c r="AHK1" s="67" t="s">
        <v>0</v>
      </c>
      <c r="AHL1" s="68"/>
      <c r="AHM1" s="69" t="s">
        <v>70</v>
      </c>
      <c r="AHN1" s="70"/>
      <c r="AHO1" s="71"/>
      <c r="AHP1" s="67" t="s">
        <v>1</v>
      </c>
      <c r="AHQ1" s="68"/>
      <c r="AHR1" s="72">
        <v>46135</v>
      </c>
      <c r="AHS1" s="73"/>
      <c r="AHU1" s="67" t="s">
        <v>0</v>
      </c>
      <c r="AHV1" s="68"/>
      <c r="AHW1" s="44" t="s">
        <v>70</v>
      </c>
      <c r="AHX1" s="45"/>
      <c r="AHY1" s="46"/>
      <c r="AHZ1" s="67" t="s">
        <v>1</v>
      </c>
      <c r="AIA1" s="68"/>
      <c r="AIB1" s="47">
        <v>46142</v>
      </c>
      <c r="AIC1" s="48"/>
      <c r="AIE1" s="67" t="s">
        <v>0</v>
      </c>
      <c r="AIF1" s="68"/>
      <c r="AIG1" s="69" t="s">
        <v>72</v>
      </c>
      <c r="AIH1" s="70"/>
      <c r="AII1" s="71"/>
      <c r="AIJ1" s="67" t="s">
        <v>1</v>
      </c>
      <c r="AIK1" s="68"/>
      <c r="AIL1" s="72">
        <v>46149</v>
      </c>
      <c r="AIM1" s="73"/>
      <c r="AIO1" s="67" t="s">
        <v>0</v>
      </c>
      <c r="AIP1" s="68"/>
      <c r="AIQ1" s="69" t="s">
        <v>70</v>
      </c>
      <c r="AIR1" s="70"/>
      <c r="AIS1" s="71"/>
      <c r="AIT1" s="67" t="s">
        <v>1</v>
      </c>
      <c r="AIU1" s="68"/>
      <c r="AIV1" s="72">
        <v>46156</v>
      </c>
      <c r="AIW1" s="73"/>
      <c r="AIY1" s="67" t="s">
        <v>0</v>
      </c>
      <c r="AIZ1" s="68"/>
      <c r="AJA1" s="44" t="s">
        <v>73</v>
      </c>
      <c r="AJB1" s="45"/>
      <c r="AJC1" s="46"/>
      <c r="AJD1" s="67" t="s">
        <v>1</v>
      </c>
      <c r="AJE1" s="68"/>
      <c r="AJF1" s="47">
        <v>46163</v>
      </c>
      <c r="AJG1" s="48"/>
      <c r="AJI1" s="67" t="s">
        <v>0</v>
      </c>
      <c r="AJJ1" s="68"/>
      <c r="AJK1" s="69" t="s">
        <v>68</v>
      </c>
      <c r="AJL1" s="70"/>
      <c r="AJM1" s="71"/>
      <c r="AJN1" s="67" t="s">
        <v>1</v>
      </c>
      <c r="AJO1" s="68"/>
      <c r="AJP1" s="72" t="s">
        <v>74</v>
      </c>
      <c r="AJQ1" s="73"/>
      <c r="AJS1" s="67" t="s">
        <v>0</v>
      </c>
      <c r="AJT1" s="68"/>
      <c r="AJU1" s="44" t="s">
        <v>66</v>
      </c>
      <c r="AJV1" s="45"/>
      <c r="AJW1" s="46"/>
      <c r="AJX1" s="67" t="s">
        <v>1</v>
      </c>
      <c r="AJY1" s="68"/>
      <c r="AJZ1" s="47">
        <v>46177</v>
      </c>
      <c r="AKA1" s="48"/>
      <c r="AKC1" s="67" t="s">
        <v>0</v>
      </c>
      <c r="AKD1" s="68"/>
      <c r="AKE1" s="69" t="s">
        <v>68</v>
      </c>
      <c r="AKF1" s="70"/>
      <c r="AKG1" s="71"/>
      <c r="AKH1" s="67" t="s">
        <v>1</v>
      </c>
      <c r="AKI1" s="68"/>
      <c r="AKJ1" s="72">
        <v>46183</v>
      </c>
      <c r="AKK1" s="73"/>
      <c r="AKM1" s="67" t="s">
        <v>0</v>
      </c>
      <c r="AKN1" s="68"/>
      <c r="AKO1" s="44" t="s">
        <v>68</v>
      </c>
      <c r="AKP1" s="45"/>
      <c r="AKQ1" s="46"/>
      <c r="AKR1" s="67" t="s">
        <v>1</v>
      </c>
      <c r="AKS1" s="68"/>
      <c r="AKT1" s="47" t="s">
        <v>80</v>
      </c>
      <c r="AKU1" s="48"/>
      <c r="AKW1" s="67" t="s">
        <v>0</v>
      </c>
      <c r="AKX1" s="68"/>
      <c r="AKY1" s="44" t="s">
        <v>68</v>
      </c>
      <c r="AKZ1" s="45"/>
      <c r="ALA1" s="46"/>
      <c r="ALB1" s="67" t="s">
        <v>1</v>
      </c>
      <c r="ALC1" s="68"/>
      <c r="ALD1" s="47" t="s">
        <v>81</v>
      </c>
      <c r="ALE1" s="48"/>
      <c r="ALG1" s="67" t="s">
        <v>0</v>
      </c>
      <c r="ALH1" s="68"/>
      <c r="ALI1" s="44" t="s">
        <v>68</v>
      </c>
      <c r="ALJ1" s="45"/>
      <c r="ALK1" s="46"/>
      <c r="ALL1" s="67" t="s">
        <v>1</v>
      </c>
      <c r="ALM1" s="68"/>
      <c r="ALN1" s="47" t="s">
        <v>82</v>
      </c>
      <c r="ALO1" s="48"/>
      <c r="ALQ1" s="67" t="s">
        <v>0</v>
      </c>
      <c r="ALR1" s="68"/>
      <c r="ALS1" s="44" t="s">
        <v>68</v>
      </c>
      <c r="ALT1" s="45"/>
      <c r="ALU1" s="46"/>
      <c r="ALV1" s="67" t="s">
        <v>1</v>
      </c>
      <c r="ALW1" s="68"/>
      <c r="ALX1" s="47" t="s">
        <v>83</v>
      </c>
      <c r="ALY1" s="48"/>
      <c r="AMA1" s="67" t="s">
        <v>0</v>
      </c>
      <c r="AMB1" s="68"/>
      <c r="AMC1" s="69" t="s">
        <v>68</v>
      </c>
      <c r="AMD1" s="70"/>
      <c r="AME1" s="71"/>
      <c r="AMF1" s="67" t="s">
        <v>1</v>
      </c>
      <c r="AMG1" s="68"/>
      <c r="AMH1" s="72" t="s">
        <v>84</v>
      </c>
      <c r="AMI1" s="73"/>
      <c r="AMK1" s="67" t="s">
        <v>0</v>
      </c>
      <c r="AML1" s="68"/>
      <c r="AMM1" s="69" t="s">
        <v>68</v>
      </c>
      <c r="AMN1" s="70"/>
      <c r="AMO1" s="71"/>
      <c r="AMP1" s="67" t="s">
        <v>1</v>
      </c>
      <c r="AMQ1" s="68"/>
      <c r="AMR1" s="72" t="s">
        <v>85</v>
      </c>
      <c r="AMS1" s="73"/>
      <c r="AMU1" s="67" t="s">
        <v>0</v>
      </c>
      <c r="AMV1" s="68"/>
      <c r="AMW1" s="69" t="s">
        <v>68</v>
      </c>
      <c r="AMX1" s="70"/>
      <c r="AMY1" s="71"/>
      <c r="AMZ1" s="67" t="s">
        <v>1</v>
      </c>
      <c r="ANA1" s="68"/>
      <c r="ANB1" s="72" t="s">
        <v>86</v>
      </c>
      <c r="ANC1" s="73"/>
      <c r="ANE1" s="67" t="s">
        <v>0</v>
      </c>
      <c r="ANF1" s="68"/>
      <c r="ANG1" s="69" t="s">
        <v>68</v>
      </c>
      <c r="ANH1" s="70"/>
      <c r="ANI1" s="71"/>
      <c r="ANJ1" s="67" t="s">
        <v>1</v>
      </c>
      <c r="ANK1" s="68"/>
      <c r="ANL1" s="72" t="s">
        <v>87</v>
      </c>
      <c r="ANM1" s="73"/>
      <c r="ANO1" s="67" t="s">
        <v>0</v>
      </c>
      <c r="ANP1" s="68"/>
      <c r="ANQ1" s="69" t="s">
        <v>68</v>
      </c>
      <c r="ANR1" s="70"/>
      <c r="ANS1" s="71"/>
      <c r="ANT1" s="67" t="s">
        <v>1</v>
      </c>
      <c r="ANU1" s="68"/>
      <c r="ANV1" s="72" t="s">
        <v>88</v>
      </c>
      <c r="ANW1" s="73"/>
      <c r="ANY1" s="67" t="s">
        <v>0</v>
      </c>
      <c r="ANZ1" s="68"/>
      <c r="AOA1" s="69" t="s">
        <v>68</v>
      </c>
      <c r="AOB1" s="70"/>
      <c r="AOC1" s="71"/>
      <c r="AOD1" s="67" t="s">
        <v>1</v>
      </c>
      <c r="AOE1" s="68"/>
      <c r="AOF1" s="72" t="s">
        <v>89</v>
      </c>
      <c r="AOG1" s="73"/>
      <c r="AOI1" s="67" t="s">
        <v>0</v>
      </c>
      <c r="AOJ1" s="68"/>
      <c r="AOK1" s="69" t="s">
        <v>68</v>
      </c>
      <c r="AOL1" s="70"/>
      <c r="AOM1" s="71"/>
      <c r="AON1" s="67" t="s">
        <v>1</v>
      </c>
      <c r="AOO1" s="68"/>
      <c r="AOP1" s="72" t="s">
        <v>90</v>
      </c>
      <c r="AOQ1" s="73"/>
      <c r="AOS1" s="67" t="s">
        <v>0</v>
      </c>
      <c r="AOT1" s="68"/>
      <c r="AOU1" s="69" t="s">
        <v>68</v>
      </c>
      <c r="AOV1" s="70"/>
      <c r="AOW1" s="71"/>
      <c r="AOX1" s="67" t="s">
        <v>1</v>
      </c>
      <c r="AOY1" s="68"/>
      <c r="AOZ1" s="72" t="s">
        <v>91</v>
      </c>
      <c r="APA1" s="73"/>
      <c r="APC1" s="67" t="s">
        <v>0</v>
      </c>
      <c r="APD1" s="68"/>
      <c r="APE1" s="69" t="s">
        <v>92</v>
      </c>
      <c r="APF1" s="70"/>
      <c r="APG1" s="71"/>
      <c r="APH1" s="67" t="s">
        <v>1</v>
      </c>
      <c r="API1" s="68"/>
      <c r="APJ1" s="72" t="s">
        <v>93</v>
      </c>
      <c r="APK1" s="73"/>
      <c r="APM1" s="67" t="s">
        <v>0</v>
      </c>
      <c r="APN1" s="68"/>
      <c r="APO1" s="69" t="s">
        <v>68</v>
      </c>
      <c r="APP1" s="70"/>
      <c r="APQ1" s="71"/>
      <c r="APR1" s="67" t="s">
        <v>1</v>
      </c>
      <c r="APS1" s="68"/>
      <c r="APT1" s="72" t="s">
        <v>94</v>
      </c>
      <c r="APU1" s="73"/>
      <c r="APW1" s="85" t="s">
        <v>0</v>
      </c>
      <c r="APX1" s="86"/>
      <c r="APY1" s="87" t="s">
        <v>95</v>
      </c>
      <c r="APZ1" s="88"/>
      <c r="AQA1" s="89"/>
      <c r="AQB1" s="85" t="s">
        <v>1</v>
      </c>
      <c r="AQC1" s="86"/>
      <c r="AQD1" s="90" t="s">
        <v>96</v>
      </c>
      <c r="AQE1" s="91"/>
      <c r="AQG1" s="42" t="s">
        <v>0</v>
      </c>
      <c r="AQH1" s="43"/>
      <c r="AQI1" s="44"/>
      <c r="AQJ1" s="45"/>
      <c r="AQK1" s="46"/>
      <c r="AQL1" s="42" t="s">
        <v>1</v>
      </c>
      <c r="AQM1" s="43"/>
      <c r="AQN1" s="47"/>
      <c r="AQO1" s="48"/>
    </row>
    <row r="2" spans="1:1133" s="21" customFormat="1" ht="9" x14ac:dyDescent="0.15">
      <c r="A2" s="20" t="s">
        <v>13</v>
      </c>
      <c r="B2" s="4" t="s">
        <v>14</v>
      </c>
      <c r="C2" s="4" t="s">
        <v>15</v>
      </c>
      <c r="E2" s="74" t="s">
        <v>16</v>
      </c>
      <c r="F2" s="75"/>
      <c r="G2" s="74" t="s">
        <v>17</v>
      </c>
      <c r="H2" s="75"/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O2" s="74" t="s">
        <v>16</v>
      </c>
      <c r="P2" s="75"/>
      <c r="Q2" s="74" t="s">
        <v>17</v>
      </c>
      <c r="R2" s="75"/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Y2" s="74" t="s">
        <v>16</v>
      </c>
      <c r="Z2" s="75"/>
      <c r="AA2" s="74" t="s">
        <v>17</v>
      </c>
      <c r="AB2" s="75"/>
      <c r="AC2" s="4" t="s">
        <v>18</v>
      </c>
      <c r="AD2" s="4" t="s">
        <v>19</v>
      </c>
      <c r="AE2" s="4" t="s">
        <v>20</v>
      </c>
      <c r="AF2" s="4" t="s">
        <v>21</v>
      </c>
      <c r="AG2" s="4" t="s">
        <v>22</v>
      </c>
      <c r="AI2" s="74" t="s">
        <v>16</v>
      </c>
      <c r="AJ2" s="75"/>
      <c r="AK2" s="74" t="s">
        <v>17</v>
      </c>
      <c r="AL2" s="75"/>
      <c r="AM2" s="4" t="s">
        <v>18</v>
      </c>
      <c r="AN2" s="4" t="s">
        <v>19</v>
      </c>
      <c r="AO2" s="4" t="s">
        <v>20</v>
      </c>
      <c r="AP2" s="4" t="s">
        <v>21</v>
      </c>
      <c r="AQ2" s="4" t="s">
        <v>22</v>
      </c>
      <c r="AS2" s="74" t="s">
        <v>16</v>
      </c>
      <c r="AT2" s="75"/>
      <c r="AU2" s="74" t="s">
        <v>17</v>
      </c>
      <c r="AV2" s="75"/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C2" s="74" t="s">
        <v>16</v>
      </c>
      <c r="BD2" s="75"/>
      <c r="BE2" s="74" t="s">
        <v>17</v>
      </c>
      <c r="BF2" s="75"/>
      <c r="BG2" s="4" t="s">
        <v>18</v>
      </c>
      <c r="BH2" s="4" t="s">
        <v>19</v>
      </c>
      <c r="BI2" s="4" t="s">
        <v>20</v>
      </c>
      <c r="BJ2" s="4" t="s">
        <v>21</v>
      </c>
      <c r="BK2" s="4" t="s">
        <v>22</v>
      </c>
      <c r="BM2" s="74" t="s">
        <v>16</v>
      </c>
      <c r="BN2" s="75"/>
      <c r="BO2" s="74" t="s">
        <v>17</v>
      </c>
      <c r="BP2" s="75"/>
      <c r="BQ2" s="4" t="s">
        <v>18</v>
      </c>
      <c r="BR2" s="4" t="s">
        <v>19</v>
      </c>
      <c r="BS2" s="4" t="s">
        <v>20</v>
      </c>
      <c r="BT2" s="4" t="s">
        <v>21</v>
      </c>
      <c r="BU2" s="4" t="s">
        <v>22</v>
      </c>
      <c r="BW2" s="74" t="s">
        <v>16</v>
      </c>
      <c r="BX2" s="75"/>
      <c r="BY2" s="74" t="s">
        <v>17</v>
      </c>
      <c r="BZ2" s="75"/>
      <c r="CA2" s="4" t="s">
        <v>18</v>
      </c>
      <c r="CB2" s="4" t="s">
        <v>19</v>
      </c>
      <c r="CC2" s="4" t="s">
        <v>20</v>
      </c>
      <c r="CD2" s="4" t="s">
        <v>21</v>
      </c>
      <c r="CE2" s="4" t="s">
        <v>22</v>
      </c>
      <c r="CG2" s="74" t="s">
        <v>16</v>
      </c>
      <c r="CH2" s="75"/>
      <c r="CI2" s="74" t="s">
        <v>17</v>
      </c>
      <c r="CJ2" s="75"/>
      <c r="CK2" s="4" t="s">
        <v>18</v>
      </c>
      <c r="CL2" s="4" t="s">
        <v>19</v>
      </c>
      <c r="CM2" s="4" t="s">
        <v>20</v>
      </c>
      <c r="CN2" s="4" t="s">
        <v>21</v>
      </c>
      <c r="CO2" s="4" t="s">
        <v>22</v>
      </c>
      <c r="CQ2" s="74" t="s">
        <v>16</v>
      </c>
      <c r="CR2" s="75"/>
      <c r="CS2" s="74" t="s">
        <v>17</v>
      </c>
      <c r="CT2" s="75"/>
      <c r="CU2" s="4" t="s">
        <v>18</v>
      </c>
      <c r="CV2" s="4" t="s">
        <v>19</v>
      </c>
      <c r="CW2" s="4" t="s">
        <v>20</v>
      </c>
      <c r="CX2" s="4" t="s">
        <v>21</v>
      </c>
      <c r="CY2" s="4" t="s">
        <v>22</v>
      </c>
      <c r="DA2" s="74" t="s">
        <v>16</v>
      </c>
      <c r="DB2" s="75"/>
      <c r="DC2" s="74" t="s">
        <v>17</v>
      </c>
      <c r="DD2" s="75"/>
      <c r="DE2" s="4" t="s">
        <v>18</v>
      </c>
      <c r="DF2" s="4" t="s">
        <v>19</v>
      </c>
      <c r="DG2" s="4" t="s">
        <v>20</v>
      </c>
      <c r="DH2" s="4" t="s">
        <v>21</v>
      </c>
      <c r="DI2" s="4" t="s">
        <v>22</v>
      </c>
      <c r="DK2" s="74" t="s">
        <v>16</v>
      </c>
      <c r="DL2" s="75"/>
      <c r="DM2" s="74" t="s">
        <v>17</v>
      </c>
      <c r="DN2" s="75"/>
      <c r="DO2" s="4" t="s">
        <v>18</v>
      </c>
      <c r="DP2" s="4" t="s">
        <v>19</v>
      </c>
      <c r="DQ2" s="4" t="s">
        <v>20</v>
      </c>
      <c r="DR2" s="4" t="s">
        <v>21</v>
      </c>
      <c r="DS2" s="4" t="s">
        <v>22</v>
      </c>
      <c r="DU2" s="74" t="s">
        <v>16</v>
      </c>
      <c r="DV2" s="75"/>
      <c r="DW2" s="74" t="s">
        <v>17</v>
      </c>
      <c r="DX2" s="75"/>
      <c r="DY2" s="4" t="s">
        <v>18</v>
      </c>
      <c r="DZ2" s="4" t="s">
        <v>19</v>
      </c>
      <c r="EA2" s="4" t="s">
        <v>20</v>
      </c>
      <c r="EB2" s="4" t="s">
        <v>21</v>
      </c>
      <c r="EC2" s="4" t="s">
        <v>22</v>
      </c>
      <c r="EE2" s="74" t="s">
        <v>16</v>
      </c>
      <c r="EF2" s="75"/>
      <c r="EG2" s="74" t="s">
        <v>17</v>
      </c>
      <c r="EH2" s="75"/>
      <c r="EI2" s="4" t="s">
        <v>18</v>
      </c>
      <c r="EJ2" s="4" t="s">
        <v>19</v>
      </c>
      <c r="EK2" s="4" t="s">
        <v>20</v>
      </c>
      <c r="EL2" s="4" t="s">
        <v>21</v>
      </c>
      <c r="EM2" s="4" t="s">
        <v>22</v>
      </c>
      <c r="EO2" s="74" t="s">
        <v>16</v>
      </c>
      <c r="EP2" s="75"/>
      <c r="EQ2" s="74" t="s">
        <v>17</v>
      </c>
      <c r="ER2" s="75"/>
      <c r="ES2" s="4" t="s">
        <v>18</v>
      </c>
      <c r="ET2" s="4" t="s">
        <v>19</v>
      </c>
      <c r="EU2" s="4" t="s">
        <v>20</v>
      </c>
      <c r="EV2" s="4" t="s">
        <v>21</v>
      </c>
      <c r="EW2" s="4" t="s">
        <v>22</v>
      </c>
      <c r="EY2" s="74" t="s">
        <v>16</v>
      </c>
      <c r="EZ2" s="75"/>
      <c r="FA2" s="74" t="s">
        <v>17</v>
      </c>
      <c r="FB2" s="75"/>
      <c r="FC2" s="4" t="s">
        <v>18</v>
      </c>
      <c r="FD2" s="4" t="s">
        <v>19</v>
      </c>
      <c r="FE2" s="4" t="s">
        <v>20</v>
      </c>
      <c r="FF2" s="4" t="s">
        <v>21</v>
      </c>
      <c r="FG2" s="4" t="s">
        <v>22</v>
      </c>
      <c r="FI2" s="74" t="s">
        <v>16</v>
      </c>
      <c r="FJ2" s="75"/>
      <c r="FK2" s="74" t="s">
        <v>17</v>
      </c>
      <c r="FL2" s="75"/>
      <c r="FM2" s="4" t="s">
        <v>18</v>
      </c>
      <c r="FN2" s="4" t="s">
        <v>19</v>
      </c>
      <c r="FO2" s="4" t="s">
        <v>20</v>
      </c>
      <c r="FP2" s="4" t="s">
        <v>21</v>
      </c>
      <c r="FQ2" s="4" t="s">
        <v>22</v>
      </c>
      <c r="FS2" s="74" t="s">
        <v>16</v>
      </c>
      <c r="FT2" s="75"/>
      <c r="FU2" s="74" t="s">
        <v>17</v>
      </c>
      <c r="FV2" s="75"/>
      <c r="FW2" s="4" t="s">
        <v>18</v>
      </c>
      <c r="FX2" s="4" t="s">
        <v>19</v>
      </c>
      <c r="FY2" s="4" t="s">
        <v>20</v>
      </c>
      <c r="FZ2" s="4" t="s">
        <v>21</v>
      </c>
      <c r="GA2" s="4" t="s">
        <v>22</v>
      </c>
      <c r="GC2" s="74" t="s">
        <v>16</v>
      </c>
      <c r="GD2" s="75"/>
      <c r="GE2" s="74" t="s">
        <v>17</v>
      </c>
      <c r="GF2" s="75"/>
      <c r="GG2" s="4" t="s">
        <v>18</v>
      </c>
      <c r="GH2" s="4" t="s">
        <v>19</v>
      </c>
      <c r="GI2" s="4" t="s">
        <v>20</v>
      </c>
      <c r="GJ2" s="4" t="s">
        <v>21</v>
      </c>
      <c r="GK2" s="4" t="s">
        <v>22</v>
      </c>
      <c r="GM2" s="74" t="s">
        <v>16</v>
      </c>
      <c r="GN2" s="75"/>
      <c r="GO2" s="74" t="s">
        <v>17</v>
      </c>
      <c r="GP2" s="75"/>
      <c r="GQ2" s="4" t="s">
        <v>18</v>
      </c>
      <c r="GR2" s="4" t="s">
        <v>19</v>
      </c>
      <c r="GS2" s="4" t="s">
        <v>20</v>
      </c>
      <c r="GT2" s="4" t="s">
        <v>21</v>
      </c>
      <c r="GU2" s="4" t="s">
        <v>22</v>
      </c>
      <c r="GW2" s="74" t="s">
        <v>16</v>
      </c>
      <c r="GX2" s="75"/>
      <c r="GY2" s="74" t="s">
        <v>17</v>
      </c>
      <c r="GZ2" s="75"/>
      <c r="HA2" s="4" t="s">
        <v>18</v>
      </c>
      <c r="HB2" s="4" t="s">
        <v>19</v>
      </c>
      <c r="HC2" s="4" t="s">
        <v>20</v>
      </c>
      <c r="HD2" s="4" t="s">
        <v>21</v>
      </c>
      <c r="HE2" s="4" t="s">
        <v>22</v>
      </c>
      <c r="HG2" s="74" t="s">
        <v>16</v>
      </c>
      <c r="HH2" s="75"/>
      <c r="HI2" s="74" t="s">
        <v>17</v>
      </c>
      <c r="HJ2" s="75"/>
      <c r="HK2" s="4" t="s">
        <v>18</v>
      </c>
      <c r="HL2" s="4" t="s">
        <v>19</v>
      </c>
      <c r="HM2" s="4" t="s">
        <v>20</v>
      </c>
      <c r="HN2" s="4" t="s">
        <v>21</v>
      </c>
      <c r="HO2" s="4" t="s">
        <v>22</v>
      </c>
      <c r="HQ2" s="74" t="s">
        <v>16</v>
      </c>
      <c r="HR2" s="75"/>
      <c r="HS2" s="74" t="s">
        <v>17</v>
      </c>
      <c r="HT2" s="75"/>
      <c r="HU2" s="4" t="s">
        <v>18</v>
      </c>
      <c r="HV2" s="4" t="s">
        <v>19</v>
      </c>
      <c r="HW2" s="4" t="s">
        <v>20</v>
      </c>
      <c r="HX2" s="4" t="s">
        <v>21</v>
      </c>
      <c r="HY2" s="4" t="s">
        <v>22</v>
      </c>
      <c r="IA2" s="74" t="s">
        <v>16</v>
      </c>
      <c r="IB2" s="75"/>
      <c r="IC2" s="74" t="s">
        <v>17</v>
      </c>
      <c r="ID2" s="75"/>
      <c r="IE2" s="4" t="s">
        <v>18</v>
      </c>
      <c r="IF2" s="4" t="s">
        <v>19</v>
      </c>
      <c r="IG2" s="4" t="s">
        <v>20</v>
      </c>
      <c r="IH2" s="4" t="s">
        <v>21</v>
      </c>
      <c r="II2" s="4" t="s">
        <v>22</v>
      </c>
      <c r="IK2" s="74" t="s">
        <v>16</v>
      </c>
      <c r="IL2" s="75"/>
      <c r="IM2" s="74" t="s">
        <v>17</v>
      </c>
      <c r="IN2" s="75"/>
      <c r="IO2" s="4" t="s">
        <v>18</v>
      </c>
      <c r="IP2" s="4" t="s">
        <v>19</v>
      </c>
      <c r="IQ2" s="4" t="s">
        <v>20</v>
      </c>
      <c r="IR2" s="4" t="s">
        <v>21</v>
      </c>
      <c r="IS2" s="4" t="s">
        <v>22</v>
      </c>
      <c r="IU2" s="74" t="s">
        <v>16</v>
      </c>
      <c r="IV2" s="75"/>
      <c r="IW2" s="74" t="s">
        <v>17</v>
      </c>
      <c r="IX2" s="75"/>
      <c r="IY2" s="4" t="s">
        <v>18</v>
      </c>
      <c r="IZ2" s="4" t="s">
        <v>19</v>
      </c>
      <c r="JA2" s="4" t="s">
        <v>20</v>
      </c>
      <c r="JB2" s="4" t="s">
        <v>21</v>
      </c>
      <c r="JC2" s="4" t="s">
        <v>22</v>
      </c>
      <c r="JE2" s="74" t="s">
        <v>16</v>
      </c>
      <c r="JF2" s="75"/>
      <c r="JG2" s="74" t="s">
        <v>17</v>
      </c>
      <c r="JH2" s="75"/>
      <c r="JI2" s="4" t="s">
        <v>18</v>
      </c>
      <c r="JJ2" s="4" t="s">
        <v>19</v>
      </c>
      <c r="JK2" s="4" t="s">
        <v>20</v>
      </c>
      <c r="JL2" s="4" t="s">
        <v>21</v>
      </c>
      <c r="JM2" s="4" t="s">
        <v>22</v>
      </c>
      <c r="JO2" s="74" t="s">
        <v>16</v>
      </c>
      <c r="JP2" s="75"/>
      <c r="JQ2" s="74" t="s">
        <v>17</v>
      </c>
      <c r="JR2" s="75"/>
      <c r="JS2" s="4" t="s">
        <v>18</v>
      </c>
      <c r="JT2" s="4" t="s">
        <v>19</v>
      </c>
      <c r="JU2" s="4" t="s">
        <v>20</v>
      </c>
      <c r="JV2" s="4" t="s">
        <v>21</v>
      </c>
      <c r="JW2" s="4" t="s">
        <v>22</v>
      </c>
      <c r="JY2" s="74" t="s">
        <v>16</v>
      </c>
      <c r="JZ2" s="75"/>
      <c r="KA2" s="74" t="s">
        <v>17</v>
      </c>
      <c r="KB2" s="75"/>
      <c r="KC2" s="4" t="s">
        <v>18</v>
      </c>
      <c r="KD2" s="4" t="s">
        <v>19</v>
      </c>
      <c r="KE2" s="4" t="s">
        <v>20</v>
      </c>
      <c r="KF2" s="4" t="s">
        <v>21</v>
      </c>
      <c r="KG2" s="4" t="s">
        <v>22</v>
      </c>
      <c r="KI2" s="74" t="s">
        <v>16</v>
      </c>
      <c r="KJ2" s="75"/>
      <c r="KK2" s="74" t="s">
        <v>17</v>
      </c>
      <c r="KL2" s="75"/>
      <c r="KM2" s="4" t="s">
        <v>18</v>
      </c>
      <c r="KN2" s="4" t="s">
        <v>19</v>
      </c>
      <c r="KO2" s="4" t="s">
        <v>20</v>
      </c>
      <c r="KP2" s="4" t="s">
        <v>21</v>
      </c>
      <c r="KQ2" s="4" t="s">
        <v>22</v>
      </c>
      <c r="KS2" s="74" t="s">
        <v>16</v>
      </c>
      <c r="KT2" s="75"/>
      <c r="KU2" s="74" t="s">
        <v>17</v>
      </c>
      <c r="KV2" s="75"/>
      <c r="KW2" s="4" t="s">
        <v>18</v>
      </c>
      <c r="KX2" s="4" t="s">
        <v>19</v>
      </c>
      <c r="KY2" s="4" t="s">
        <v>20</v>
      </c>
      <c r="KZ2" s="4" t="s">
        <v>21</v>
      </c>
      <c r="LA2" s="4" t="s">
        <v>22</v>
      </c>
      <c r="LC2" s="74" t="s">
        <v>16</v>
      </c>
      <c r="LD2" s="75"/>
      <c r="LE2" s="74" t="s">
        <v>17</v>
      </c>
      <c r="LF2" s="75"/>
      <c r="LG2" s="4" t="s">
        <v>18</v>
      </c>
      <c r="LH2" s="4" t="s">
        <v>19</v>
      </c>
      <c r="LI2" s="4" t="s">
        <v>20</v>
      </c>
      <c r="LJ2" s="4" t="s">
        <v>21</v>
      </c>
      <c r="LK2" s="4" t="s">
        <v>22</v>
      </c>
      <c r="LM2" s="74" t="s">
        <v>16</v>
      </c>
      <c r="LN2" s="75"/>
      <c r="LO2" s="74" t="s">
        <v>17</v>
      </c>
      <c r="LP2" s="75"/>
      <c r="LQ2" s="4" t="s">
        <v>18</v>
      </c>
      <c r="LR2" s="4" t="s">
        <v>19</v>
      </c>
      <c r="LS2" s="4" t="s">
        <v>20</v>
      </c>
      <c r="LT2" s="4" t="s">
        <v>21</v>
      </c>
      <c r="LU2" s="4" t="s">
        <v>22</v>
      </c>
      <c r="LW2" s="74" t="s">
        <v>16</v>
      </c>
      <c r="LX2" s="75"/>
      <c r="LY2" s="74" t="s">
        <v>17</v>
      </c>
      <c r="LZ2" s="75"/>
      <c r="MA2" s="4" t="s">
        <v>18</v>
      </c>
      <c r="MB2" s="4" t="s">
        <v>19</v>
      </c>
      <c r="MC2" s="4" t="s">
        <v>20</v>
      </c>
      <c r="MD2" s="4" t="s">
        <v>21</v>
      </c>
      <c r="ME2" s="4" t="s">
        <v>22</v>
      </c>
      <c r="MG2" s="74" t="s">
        <v>16</v>
      </c>
      <c r="MH2" s="75"/>
      <c r="MI2" s="74" t="s">
        <v>17</v>
      </c>
      <c r="MJ2" s="75"/>
      <c r="MK2" s="4" t="s">
        <v>18</v>
      </c>
      <c r="ML2" s="4" t="s">
        <v>19</v>
      </c>
      <c r="MM2" s="4" t="s">
        <v>20</v>
      </c>
      <c r="MN2" s="4" t="s">
        <v>21</v>
      </c>
      <c r="MO2" s="4" t="s">
        <v>22</v>
      </c>
      <c r="MQ2" s="74" t="s">
        <v>16</v>
      </c>
      <c r="MR2" s="75"/>
      <c r="MS2" s="74" t="s">
        <v>17</v>
      </c>
      <c r="MT2" s="75"/>
      <c r="MU2" s="4" t="s">
        <v>18</v>
      </c>
      <c r="MV2" s="4" t="s">
        <v>19</v>
      </c>
      <c r="MW2" s="4" t="s">
        <v>20</v>
      </c>
      <c r="MX2" s="4" t="s">
        <v>21</v>
      </c>
      <c r="MY2" s="4" t="s">
        <v>22</v>
      </c>
      <c r="NA2" s="74" t="s">
        <v>16</v>
      </c>
      <c r="NB2" s="75"/>
      <c r="NC2" s="74" t="s">
        <v>17</v>
      </c>
      <c r="ND2" s="75"/>
      <c r="NE2" s="4" t="s">
        <v>18</v>
      </c>
      <c r="NF2" s="4" t="s">
        <v>19</v>
      </c>
      <c r="NG2" s="4" t="s">
        <v>20</v>
      </c>
      <c r="NH2" s="4" t="s">
        <v>21</v>
      </c>
      <c r="NI2" s="4" t="s">
        <v>22</v>
      </c>
      <c r="NK2" s="74" t="s">
        <v>16</v>
      </c>
      <c r="NL2" s="75"/>
      <c r="NM2" s="74" t="s">
        <v>17</v>
      </c>
      <c r="NN2" s="75"/>
      <c r="NO2" s="4" t="s">
        <v>18</v>
      </c>
      <c r="NP2" s="4" t="s">
        <v>19</v>
      </c>
      <c r="NQ2" s="4" t="s">
        <v>20</v>
      </c>
      <c r="NR2" s="4" t="s">
        <v>21</v>
      </c>
      <c r="NS2" s="4" t="s">
        <v>22</v>
      </c>
      <c r="NU2" s="74" t="s">
        <v>16</v>
      </c>
      <c r="NV2" s="75"/>
      <c r="NW2" s="74" t="s">
        <v>17</v>
      </c>
      <c r="NX2" s="75"/>
      <c r="NY2" s="4" t="s">
        <v>18</v>
      </c>
      <c r="NZ2" s="4" t="s">
        <v>19</v>
      </c>
      <c r="OA2" s="4" t="s">
        <v>20</v>
      </c>
      <c r="OB2" s="4" t="s">
        <v>21</v>
      </c>
      <c r="OC2" s="4" t="s">
        <v>22</v>
      </c>
      <c r="OE2" s="74" t="s">
        <v>16</v>
      </c>
      <c r="OF2" s="75"/>
      <c r="OG2" s="74" t="s">
        <v>17</v>
      </c>
      <c r="OH2" s="75"/>
      <c r="OI2" s="4" t="s">
        <v>18</v>
      </c>
      <c r="OJ2" s="4" t="s">
        <v>19</v>
      </c>
      <c r="OK2" s="4" t="s">
        <v>20</v>
      </c>
      <c r="OL2" s="4" t="s">
        <v>21</v>
      </c>
      <c r="OM2" s="4" t="s">
        <v>22</v>
      </c>
      <c r="OO2" s="74" t="s">
        <v>16</v>
      </c>
      <c r="OP2" s="75"/>
      <c r="OQ2" s="74" t="s">
        <v>17</v>
      </c>
      <c r="OR2" s="75"/>
      <c r="OS2" s="4" t="s">
        <v>18</v>
      </c>
      <c r="OT2" s="4" t="s">
        <v>19</v>
      </c>
      <c r="OU2" s="4" t="s">
        <v>20</v>
      </c>
      <c r="OV2" s="4" t="s">
        <v>21</v>
      </c>
      <c r="OW2" s="4" t="s">
        <v>22</v>
      </c>
      <c r="OY2" s="74" t="s">
        <v>16</v>
      </c>
      <c r="OZ2" s="75"/>
      <c r="PA2" s="74" t="s">
        <v>17</v>
      </c>
      <c r="PB2" s="75"/>
      <c r="PC2" s="4" t="s">
        <v>18</v>
      </c>
      <c r="PD2" s="4" t="s">
        <v>19</v>
      </c>
      <c r="PE2" s="4" t="s">
        <v>20</v>
      </c>
      <c r="PF2" s="4" t="s">
        <v>21</v>
      </c>
      <c r="PG2" s="4" t="s">
        <v>22</v>
      </c>
      <c r="PI2" s="74" t="s">
        <v>16</v>
      </c>
      <c r="PJ2" s="75"/>
      <c r="PK2" s="74" t="s">
        <v>17</v>
      </c>
      <c r="PL2" s="75"/>
      <c r="PM2" s="4" t="s">
        <v>18</v>
      </c>
      <c r="PN2" s="4" t="s">
        <v>19</v>
      </c>
      <c r="PO2" s="4" t="s">
        <v>20</v>
      </c>
      <c r="PP2" s="4" t="s">
        <v>21</v>
      </c>
      <c r="PQ2" s="4" t="s">
        <v>22</v>
      </c>
      <c r="PS2" s="74" t="s">
        <v>16</v>
      </c>
      <c r="PT2" s="75"/>
      <c r="PU2" s="74" t="s">
        <v>17</v>
      </c>
      <c r="PV2" s="75"/>
      <c r="PW2" s="4" t="s">
        <v>18</v>
      </c>
      <c r="PX2" s="4" t="s">
        <v>19</v>
      </c>
      <c r="PY2" s="4" t="s">
        <v>20</v>
      </c>
      <c r="PZ2" s="4" t="s">
        <v>21</v>
      </c>
      <c r="QA2" s="4" t="s">
        <v>22</v>
      </c>
      <c r="QC2" s="74" t="s">
        <v>16</v>
      </c>
      <c r="QD2" s="75"/>
      <c r="QE2" s="74" t="s">
        <v>17</v>
      </c>
      <c r="QF2" s="75"/>
      <c r="QG2" s="4" t="s">
        <v>18</v>
      </c>
      <c r="QH2" s="4" t="s">
        <v>19</v>
      </c>
      <c r="QI2" s="4" t="s">
        <v>20</v>
      </c>
      <c r="QJ2" s="4" t="s">
        <v>21</v>
      </c>
      <c r="QK2" s="4" t="s">
        <v>22</v>
      </c>
      <c r="QM2" s="74" t="s">
        <v>16</v>
      </c>
      <c r="QN2" s="75"/>
      <c r="QO2" s="74" t="s">
        <v>17</v>
      </c>
      <c r="QP2" s="75"/>
      <c r="QQ2" s="4" t="s">
        <v>18</v>
      </c>
      <c r="QR2" s="4" t="s">
        <v>19</v>
      </c>
      <c r="QS2" s="4" t="s">
        <v>20</v>
      </c>
      <c r="QT2" s="4" t="s">
        <v>21</v>
      </c>
      <c r="QU2" s="4" t="s">
        <v>22</v>
      </c>
      <c r="QW2" s="74" t="s">
        <v>16</v>
      </c>
      <c r="QX2" s="75"/>
      <c r="QY2" s="74" t="s">
        <v>17</v>
      </c>
      <c r="QZ2" s="75"/>
      <c r="RA2" s="4" t="s">
        <v>18</v>
      </c>
      <c r="RB2" s="4" t="s">
        <v>19</v>
      </c>
      <c r="RC2" s="4" t="s">
        <v>20</v>
      </c>
      <c r="RD2" s="4" t="s">
        <v>21</v>
      </c>
      <c r="RE2" s="4" t="s">
        <v>22</v>
      </c>
      <c r="RG2" s="74" t="s">
        <v>16</v>
      </c>
      <c r="RH2" s="75"/>
      <c r="RI2" s="74" t="s">
        <v>17</v>
      </c>
      <c r="RJ2" s="75"/>
      <c r="RK2" s="4" t="s">
        <v>18</v>
      </c>
      <c r="RL2" s="4" t="s">
        <v>19</v>
      </c>
      <c r="RM2" s="4" t="s">
        <v>20</v>
      </c>
      <c r="RN2" s="4" t="s">
        <v>21</v>
      </c>
      <c r="RO2" s="4" t="s">
        <v>22</v>
      </c>
      <c r="RQ2" s="74" t="s">
        <v>16</v>
      </c>
      <c r="RR2" s="75"/>
      <c r="RS2" s="74" t="s">
        <v>17</v>
      </c>
      <c r="RT2" s="75"/>
      <c r="RU2" s="4" t="s">
        <v>18</v>
      </c>
      <c r="RV2" s="4" t="s">
        <v>19</v>
      </c>
      <c r="RW2" s="4" t="s">
        <v>20</v>
      </c>
      <c r="RX2" s="4" t="s">
        <v>21</v>
      </c>
      <c r="RY2" s="4" t="s">
        <v>22</v>
      </c>
      <c r="SA2" s="74" t="s">
        <v>16</v>
      </c>
      <c r="SB2" s="75"/>
      <c r="SC2" s="74" t="s">
        <v>17</v>
      </c>
      <c r="SD2" s="75"/>
      <c r="SE2" s="4" t="s">
        <v>18</v>
      </c>
      <c r="SF2" s="4" t="s">
        <v>19</v>
      </c>
      <c r="SG2" s="4" t="s">
        <v>20</v>
      </c>
      <c r="SH2" s="4" t="s">
        <v>21</v>
      </c>
      <c r="SI2" s="4" t="s">
        <v>22</v>
      </c>
      <c r="SK2" s="74" t="s">
        <v>16</v>
      </c>
      <c r="SL2" s="75"/>
      <c r="SM2" s="74" t="s">
        <v>17</v>
      </c>
      <c r="SN2" s="75"/>
      <c r="SO2" s="4" t="s">
        <v>18</v>
      </c>
      <c r="SP2" s="4" t="s">
        <v>19</v>
      </c>
      <c r="SQ2" s="4" t="s">
        <v>20</v>
      </c>
      <c r="SR2" s="4" t="s">
        <v>21</v>
      </c>
      <c r="SS2" s="4" t="s">
        <v>22</v>
      </c>
      <c r="SU2" s="74" t="s">
        <v>16</v>
      </c>
      <c r="SV2" s="75"/>
      <c r="SW2" s="74" t="s">
        <v>17</v>
      </c>
      <c r="SX2" s="75"/>
      <c r="SY2" s="4" t="s">
        <v>18</v>
      </c>
      <c r="SZ2" s="4" t="s">
        <v>19</v>
      </c>
      <c r="TA2" s="4" t="s">
        <v>20</v>
      </c>
      <c r="TB2" s="4" t="s">
        <v>21</v>
      </c>
      <c r="TC2" s="4" t="s">
        <v>22</v>
      </c>
      <c r="TE2" s="74" t="s">
        <v>16</v>
      </c>
      <c r="TF2" s="75"/>
      <c r="TG2" s="74" t="s">
        <v>17</v>
      </c>
      <c r="TH2" s="75"/>
      <c r="TI2" s="4" t="s">
        <v>18</v>
      </c>
      <c r="TJ2" s="4" t="s">
        <v>19</v>
      </c>
      <c r="TK2" s="4" t="s">
        <v>20</v>
      </c>
      <c r="TL2" s="4" t="s">
        <v>21</v>
      </c>
      <c r="TM2" s="4" t="s">
        <v>22</v>
      </c>
      <c r="TO2" s="74" t="s">
        <v>16</v>
      </c>
      <c r="TP2" s="75"/>
      <c r="TQ2" s="74" t="s">
        <v>17</v>
      </c>
      <c r="TR2" s="75"/>
      <c r="TS2" s="4" t="s">
        <v>18</v>
      </c>
      <c r="TT2" s="4" t="s">
        <v>19</v>
      </c>
      <c r="TU2" s="4" t="s">
        <v>20</v>
      </c>
      <c r="TV2" s="4" t="s">
        <v>21</v>
      </c>
      <c r="TW2" s="4" t="s">
        <v>22</v>
      </c>
      <c r="TY2" s="74" t="s">
        <v>16</v>
      </c>
      <c r="TZ2" s="75"/>
      <c r="UA2" s="74" t="s">
        <v>17</v>
      </c>
      <c r="UB2" s="75"/>
      <c r="UC2" s="4" t="s">
        <v>18</v>
      </c>
      <c r="UD2" s="4" t="s">
        <v>19</v>
      </c>
      <c r="UE2" s="4" t="s">
        <v>20</v>
      </c>
      <c r="UF2" s="4" t="s">
        <v>21</v>
      </c>
      <c r="UG2" s="4" t="s">
        <v>22</v>
      </c>
      <c r="UI2" s="74" t="s">
        <v>16</v>
      </c>
      <c r="UJ2" s="75"/>
      <c r="UK2" s="74" t="s">
        <v>17</v>
      </c>
      <c r="UL2" s="75"/>
      <c r="UM2" s="4" t="s">
        <v>18</v>
      </c>
      <c r="UN2" s="4" t="s">
        <v>19</v>
      </c>
      <c r="UO2" s="4" t="s">
        <v>20</v>
      </c>
      <c r="UP2" s="4" t="s">
        <v>21</v>
      </c>
      <c r="UQ2" s="4" t="s">
        <v>22</v>
      </c>
      <c r="US2" s="74" t="s">
        <v>16</v>
      </c>
      <c r="UT2" s="75"/>
      <c r="UU2" s="74" t="s">
        <v>17</v>
      </c>
      <c r="UV2" s="75"/>
      <c r="UW2" s="4" t="s">
        <v>18</v>
      </c>
      <c r="UX2" s="4" t="s">
        <v>19</v>
      </c>
      <c r="UY2" s="4" t="s">
        <v>20</v>
      </c>
      <c r="UZ2" s="4" t="s">
        <v>21</v>
      </c>
      <c r="VA2" s="4" t="s">
        <v>22</v>
      </c>
      <c r="VC2" s="74" t="s">
        <v>16</v>
      </c>
      <c r="VD2" s="75"/>
      <c r="VE2" s="74" t="s">
        <v>17</v>
      </c>
      <c r="VF2" s="75"/>
      <c r="VG2" s="4" t="s">
        <v>18</v>
      </c>
      <c r="VH2" s="4" t="s">
        <v>19</v>
      </c>
      <c r="VI2" s="4" t="s">
        <v>20</v>
      </c>
      <c r="VJ2" s="4" t="s">
        <v>21</v>
      </c>
      <c r="VK2" s="4" t="s">
        <v>22</v>
      </c>
      <c r="VM2" s="74" t="s">
        <v>16</v>
      </c>
      <c r="VN2" s="75"/>
      <c r="VO2" s="74" t="s">
        <v>17</v>
      </c>
      <c r="VP2" s="75"/>
      <c r="VQ2" s="4" t="s">
        <v>18</v>
      </c>
      <c r="VR2" s="4" t="s">
        <v>19</v>
      </c>
      <c r="VS2" s="4" t="s">
        <v>20</v>
      </c>
      <c r="VT2" s="4" t="s">
        <v>21</v>
      </c>
      <c r="VU2" s="4" t="s">
        <v>22</v>
      </c>
      <c r="VW2" s="74" t="s">
        <v>16</v>
      </c>
      <c r="VX2" s="75"/>
      <c r="VY2" s="74" t="s">
        <v>17</v>
      </c>
      <c r="VZ2" s="75"/>
      <c r="WA2" s="4" t="s">
        <v>18</v>
      </c>
      <c r="WB2" s="4" t="s">
        <v>19</v>
      </c>
      <c r="WC2" s="4" t="s">
        <v>20</v>
      </c>
      <c r="WD2" s="4" t="s">
        <v>21</v>
      </c>
      <c r="WE2" s="4" t="s">
        <v>22</v>
      </c>
      <c r="WG2" s="74" t="s">
        <v>16</v>
      </c>
      <c r="WH2" s="75"/>
      <c r="WI2" s="74" t="s">
        <v>17</v>
      </c>
      <c r="WJ2" s="75"/>
      <c r="WK2" s="4" t="s">
        <v>18</v>
      </c>
      <c r="WL2" s="4" t="s">
        <v>19</v>
      </c>
      <c r="WM2" s="4" t="s">
        <v>20</v>
      </c>
      <c r="WN2" s="4" t="s">
        <v>21</v>
      </c>
      <c r="WO2" s="4" t="s">
        <v>22</v>
      </c>
      <c r="WQ2" s="74" t="s">
        <v>16</v>
      </c>
      <c r="WR2" s="75"/>
      <c r="WS2" s="74" t="s">
        <v>17</v>
      </c>
      <c r="WT2" s="75"/>
      <c r="WU2" s="4" t="s">
        <v>18</v>
      </c>
      <c r="WV2" s="4" t="s">
        <v>19</v>
      </c>
      <c r="WW2" s="4" t="s">
        <v>20</v>
      </c>
      <c r="WX2" s="4" t="s">
        <v>21</v>
      </c>
      <c r="WY2" s="4" t="s">
        <v>22</v>
      </c>
      <c r="XA2" s="74" t="s">
        <v>16</v>
      </c>
      <c r="XB2" s="75"/>
      <c r="XC2" s="74" t="s">
        <v>17</v>
      </c>
      <c r="XD2" s="75"/>
      <c r="XE2" s="4" t="s">
        <v>18</v>
      </c>
      <c r="XF2" s="4" t="s">
        <v>19</v>
      </c>
      <c r="XG2" s="4" t="s">
        <v>20</v>
      </c>
      <c r="XH2" s="4" t="s">
        <v>21</v>
      </c>
      <c r="XI2" s="4" t="s">
        <v>22</v>
      </c>
      <c r="XK2" s="74" t="s">
        <v>16</v>
      </c>
      <c r="XL2" s="75"/>
      <c r="XM2" s="74" t="s">
        <v>17</v>
      </c>
      <c r="XN2" s="75"/>
      <c r="XO2" s="4" t="s">
        <v>18</v>
      </c>
      <c r="XP2" s="4" t="s">
        <v>19</v>
      </c>
      <c r="XQ2" s="4" t="s">
        <v>20</v>
      </c>
      <c r="XR2" s="4" t="s">
        <v>21</v>
      </c>
      <c r="XS2" s="4" t="s">
        <v>22</v>
      </c>
      <c r="XU2" s="74" t="s">
        <v>16</v>
      </c>
      <c r="XV2" s="75"/>
      <c r="XW2" s="74" t="s">
        <v>17</v>
      </c>
      <c r="XX2" s="75"/>
      <c r="XY2" s="4" t="s">
        <v>18</v>
      </c>
      <c r="XZ2" s="4" t="s">
        <v>19</v>
      </c>
      <c r="YA2" s="4" t="s">
        <v>20</v>
      </c>
      <c r="YB2" s="4" t="s">
        <v>21</v>
      </c>
      <c r="YC2" s="4" t="s">
        <v>22</v>
      </c>
      <c r="YE2" s="74" t="s">
        <v>16</v>
      </c>
      <c r="YF2" s="75"/>
      <c r="YG2" s="74" t="s">
        <v>17</v>
      </c>
      <c r="YH2" s="75"/>
      <c r="YI2" s="4" t="s">
        <v>18</v>
      </c>
      <c r="YJ2" s="4" t="s">
        <v>19</v>
      </c>
      <c r="YK2" s="4" t="s">
        <v>20</v>
      </c>
      <c r="YL2" s="4" t="s">
        <v>21</v>
      </c>
      <c r="YM2" s="4" t="s">
        <v>22</v>
      </c>
      <c r="YO2" s="74" t="s">
        <v>16</v>
      </c>
      <c r="YP2" s="75"/>
      <c r="YQ2" s="74" t="s">
        <v>17</v>
      </c>
      <c r="YR2" s="75"/>
      <c r="YS2" s="4" t="s">
        <v>18</v>
      </c>
      <c r="YT2" s="4" t="s">
        <v>19</v>
      </c>
      <c r="YU2" s="4" t="s">
        <v>20</v>
      </c>
      <c r="YV2" s="4" t="s">
        <v>21</v>
      </c>
      <c r="YW2" s="4" t="s">
        <v>22</v>
      </c>
      <c r="YY2" s="74" t="s">
        <v>16</v>
      </c>
      <c r="YZ2" s="75"/>
      <c r="ZA2" s="74" t="s">
        <v>17</v>
      </c>
      <c r="ZB2" s="75"/>
      <c r="ZC2" s="4" t="s">
        <v>18</v>
      </c>
      <c r="ZD2" s="4" t="s">
        <v>19</v>
      </c>
      <c r="ZE2" s="4" t="s">
        <v>20</v>
      </c>
      <c r="ZF2" s="4" t="s">
        <v>21</v>
      </c>
      <c r="ZG2" s="4" t="s">
        <v>22</v>
      </c>
      <c r="ZI2" s="74" t="s">
        <v>16</v>
      </c>
      <c r="ZJ2" s="75"/>
      <c r="ZK2" s="74" t="s">
        <v>17</v>
      </c>
      <c r="ZL2" s="75"/>
      <c r="ZM2" s="4" t="s">
        <v>18</v>
      </c>
      <c r="ZN2" s="4" t="s">
        <v>19</v>
      </c>
      <c r="ZO2" s="4" t="s">
        <v>20</v>
      </c>
      <c r="ZP2" s="4" t="s">
        <v>21</v>
      </c>
      <c r="ZQ2" s="4" t="s">
        <v>22</v>
      </c>
      <c r="ZS2" s="74" t="s">
        <v>16</v>
      </c>
      <c r="ZT2" s="75"/>
      <c r="ZU2" s="74" t="s">
        <v>17</v>
      </c>
      <c r="ZV2" s="75"/>
      <c r="ZW2" s="4" t="s">
        <v>18</v>
      </c>
      <c r="ZX2" s="4" t="s">
        <v>19</v>
      </c>
      <c r="ZY2" s="4" t="s">
        <v>20</v>
      </c>
      <c r="ZZ2" s="4" t="s">
        <v>21</v>
      </c>
      <c r="AAA2" s="4" t="s">
        <v>22</v>
      </c>
      <c r="AAC2" s="74" t="s">
        <v>16</v>
      </c>
      <c r="AAD2" s="75"/>
      <c r="AAE2" s="74" t="s">
        <v>17</v>
      </c>
      <c r="AAF2" s="75"/>
      <c r="AAG2" s="4" t="s">
        <v>18</v>
      </c>
      <c r="AAH2" s="4" t="s">
        <v>19</v>
      </c>
      <c r="AAI2" s="4" t="s">
        <v>20</v>
      </c>
      <c r="AAJ2" s="4" t="s">
        <v>21</v>
      </c>
      <c r="AAK2" s="4" t="s">
        <v>22</v>
      </c>
      <c r="AAM2" s="74" t="s">
        <v>16</v>
      </c>
      <c r="AAN2" s="75"/>
      <c r="AAO2" s="74" t="s">
        <v>17</v>
      </c>
      <c r="AAP2" s="75"/>
      <c r="AAQ2" s="4" t="s">
        <v>18</v>
      </c>
      <c r="AAR2" s="4" t="s">
        <v>19</v>
      </c>
      <c r="AAS2" s="4" t="s">
        <v>20</v>
      </c>
      <c r="AAT2" s="4" t="s">
        <v>21</v>
      </c>
      <c r="AAU2" s="4" t="s">
        <v>22</v>
      </c>
      <c r="AAW2" s="74" t="s">
        <v>16</v>
      </c>
      <c r="AAX2" s="75"/>
      <c r="AAY2" s="74" t="s">
        <v>17</v>
      </c>
      <c r="AAZ2" s="75"/>
      <c r="ABA2" s="4" t="s">
        <v>18</v>
      </c>
      <c r="ABB2" s="4" t="s">
        <v>19</v>
      </c>
      <c r="ABC2" s="4" t="s">
        <v>20</v>
      </c>
      <c r="ABD2" s="4" t="s">
        <v>21</v>
      </c>
      <c r="ABE2" s="4" t="s">
        <v>22</v>
      </c>
      <c r="ABG2" s="74" t="s">
        <v>16</v>
      </c>
      <c r="ABH2" s="75"/>
      <c r="ABI2" s="74" t="s">
        <v>17</v>
      </c>
      <c r="ABJ2" s="75"/>
      <c r="ABK2" s="4" t="s">
        <v>18</v>
      </c>
      <c r="ABL2" s="4" t="s">
        <v>19</v>
      </c>
      <c r="ABM2" s="4" t="s">
        <v>20</v>
      </c>
      <c r="ABN2" s="4" t="s">
        <v>21</v>
      </c>
      <c r="ABO2" s="4" t="s">
        <v>22</v>
      </c>
      <c r="ABQ2" s="74" t="s">
        <v>16</v>
      </c>
      <c r="ABR2" s="75"/>
      <c r="ABS2" s="74" t="s">
        <v>17</v>
      </c>
      <c r="ABT2" s="75"/>
      <c r="ABU2" s="4" t="s">
        <v>18</v>
      </c>
      <c r="ABV2" s="4" t="s">
        <v>19</v>
      </c>
      <c r="ABW2" s="4" t="s">
        <v>20</v>
      </c>
      <c r="ABX2" s="4" t="s">
        <v>21</v>
      </c>
      <c r="ABY2" s="4" t="s">
        <v>22</v>
      </c>
      <c r="ACA2" s="74" t="s">
        <v>16</v>
      </c>
      <c r="ACB2" s="75"/>
      <c r="ACC2" s="74" t="s">
        <v>17</v>
      </c>
      <c r="ACD2" s="75"/>
      <c r="ACE2" s="4" t="s">
        <v>18</v>
      </c>
      <c r="ACF2" s="4" t="s">
        <v>19</v>
      </c>
      <c r="ACG2" s="4" t="s">
        <v>20</v>
      </c>
      <c r="ACH2" s="4" t="s">
        <v>21</v>
      </c>
      <c r="ACI2" s="4" t="s">
        <v>22</v>
      </c>
      <c r="ACK2" s="74" t="s">
        <v>16</v>
      </c>
      <c r="ACL2" s="75"/>
      <c r="ACM2" s="74" t="s">
        <v>17</v>
      </c>
      <c r="ACN2" s="75"/>
      <c r="ACO2" s="4" t="s">
        <v>18</v>
      </c>
      <c r="ACP2" s="4" t="s">
        <v>19</v>
      </c>
      <c r="ACQ2" s="4" t="s">
        <v>20</v>
      </c>
      <c r="ACR2" s="4" t="s">
        <v>21</v>
      </c>
      <c r="ACS2" s="4" t="s">
        <v>22</v>
      </c>
      <c r="ACU2" s="74" t="s">
        <v>16</v>
      </c>
      <c r="ACV2" s="75"/>
      <c r="ACW2" s="74" t="s">
        <v>17</v>
      </c>
      <c r="ACX2" s="75"/>
      <c r="ACY2" s="4" t="s">
        <v>18</v>
      </c>
      <c r="ACZ2" s="4" t="s">
        <v>19</v>
      </c>
      <c r="ADA2" s="4" t="s">
        <v>20</v>
      </c>
      <c r="ADB2" s="4" t="s">
        <v>21</v>
      </c>
      <c r="ADC2" s="4" t="s">
        <v>22</v>
      </c>
      <c r="ADE2" s="74" t="s">
        <v>16</v>
      </c>
      <c r="ADF2" s="75"/>
      <c r="ADG2" s="74" t="s">
        <v>17</v>
      </c>
      <c r="ADH2" s="75"/>
      <c r="ADI2" s="4" t="s">
        <v>18</v>
      </c>
      <c r="ADJ2" s="4" t="s">
        <v>19</v>
      </c>
      <c r="ADK2" s="4" t="s">
        <v>20</v>
      </c>
      <c r="ADL2" s="4" t="s">
        <v>21</v>
      </c>
      <c r="ADM2" s="4" t="s">
        <v>22</v>
      </c>
      <c r="ADO2" s="74" t="s">
        <v>16</v>
      </c>
      <c r="ADP2" s="75"/>
      <c r="ADQ2" s="74" t="s">
        <v>17</v>
      </c>
      <c r="ADR2" s="75"/>
      <c r="ADS2" s="4" t="s">
        <v>18</v>
      </c>
      <c r="ADT2" s="4" t="s">
        <v>19</v>
      </c>
      <c r="ADU2" s="4" t="s">
        <v>20</v>
      </c>
      <c r="ADV2" s="4" t="s">
        <v>21</v>
      </c>
      <c r="ADW2" s="4" t="s">
        <v>22</v>
      </c>
      <c r="ADY2" s="74" t="s">
        <v>16</v>
      </c>
      <c r="ADZ2" s="75"/>
      <c r="AEA2" s="74" t="s">
        <v>17</v>
      </c>
      <c r="AEB2" s="75"/>
      <c r="AEC2" s="4" t="s">
        <v>18</v>
      </c>
      <c r="AED2" s="4" t="s">
        <v>19</v>
      </c>
      <c r="AEE2" s="4" t="s">
        <v>20</v>
      </c>
      <c r="AEF2" s="4" t="s">
        <v>21</v>
      </c>
      <c r="AEG2" s="4" t="s">
        <v>22</v>
      </c>
      <c r="AEI2" s="74" t="s">
        <v>16</v>
      </c>
      <c r="AEJ2" s="75"/>
      <c r="AEK2" s="74" t="s">
        <v>17</v>
      </c>
      <c r="AEL2" s="75"/>
      <c r="AEM2" s="4" t="s">
        <v>18</v>
      </c>
      <c r="AEN2" s="4" t="s">
        <v>19</v>
      </c>
      <c r="AEO2" s="4" t="s">
        <v>20</v>
      </c>
      <c r="AEP2" s="4" t="s">
        <v>21</v>
      </c>
      <c r="AEQ2" s="4" t="s">
        <v>22</v>
      </c>
      <c r="AES2" s="74" t="s">
        <v>16</v>
      </c>
      <c r="AET2" s="75"/>
      <c r="AEU2" s="74" t="s">
        <v>17</v>
      </c>
      <c r="AEV2" s="75"/>
      <c r="AEW2" s="4" t="s">
        <v>18</v>
      </c>
      <c r="AEX2" s="4" t="s">
        <v>19</v>
      </c>
      <c r="AEY2" s="4" t="s">
        <v>20</v>
      </c>
      <c r="AEZ2" s="4" t="s">
        <v>21</v>
      </c>
      <c r="AFA2" s="4" t="s">
        <v>22</v>
      </c>
      <c r="AFC2" s="74" t="s">
        <v>16</v>
      </c>
      <c r="AFD2" s="75"/>
      <c r="AFE2" s="74" t="s">
        <v>17</v>
      </c>
      <c r="AFF2" s="75"/>
      <c r="AFG2" s="4" t="s">
        <v>18</v>
      </c>
      <c r="AFH2" s="4" t="s">
        <v>19</v>
      </c>
      <c r="AFI2" s="4" t="s">
        <v>20</v>
      </c>
      <c r="AFJ2" s="4" t="s">
        <v>21</v>
      </c>
      <c r="AFK2" s="4" t="s">
        <v>22</v>
      </c>
      <c r="AFM2" s="74" t="s">
        <v>16</v>
      </c>
      <c r="AFN2" s="75"/>
      <c r="AFO2" s="74" t="s">
        <v>17</v>
      </c>
      <c r="AFP2" s="75"/>
      <c r="AFQ2" s="4" t="s">
        <v>18</v>
      </c>
      <c r="AFR2" s="4" t="s">
        <v>19</v>
      </c>
      <c r="AFS2" s="4" t="s">
        <v>20</v>
      </c>
      <c r="AFT2" s="4" t="s">
        <v>21</v>
      </c>
      <c r="AFU2" s="4" t="s">
        <v>22</v>
      </c>
      <c r="AFW2" s="74" t="s">
        <v>16</v>
      </c>
      <c r="AFX2" s="75"/>
      <c r="AFY2" s="74" t="s">
        <v>17</v>
      </c>
      <c r="AFZ2" s="75"/>
      <c r="AGA2" s="4" t="s">
        <v>18</v>
      </c>
      <c r="AGB2" s="4" t="s">
        <v>19</v>
      </c>
      <c r="AGC2" s="4" t="s">
        <v>20</v>
      </c>
      <c r="AGD2" s="4" t="s">
        <v>21</v>
      </c>
      <c r="AGE2" s="4" t="s">
        <v>22</v>
      </c>
      <c r="AGG2" s="74" t="s">
        <v>16</v>
      </c>
      <c r="AGH2" s="75"/>
      <c r="AGI2" s="74" t="s">
        <v>17</v>
      </c>
      <c r="AGJ2" s="75"/>
      <c r="AGK2" s="4" t="s">
        <v>18</v>
      </c>
      <c r="AGL2" s="4" t="s">
        <v>19</v>
      </c>
      <c r="AGM2" s="4" t="s">
        <v>20</v>
      </c>
      <c r="AGN2" s="4" t="s">
        <v>21</v>
      </c>
      <c r="AGO2" s="4" t="s">
        <v>22</v>
      </c>
      <c r="AGQ2" s="74" t="s">
        <v>16</v>
      </c>
      <c r="AGR2" s="75"/>
      <c r="AGS2" s="74" t="s">
        <v>17</v>
      </c>
      <c r="AGT2" s="75"/>
      <c r="AGU2" s="4" t="s">
        <v>18</v>
      </c>
      <c r="AGV2" s="4" t="s">
        <v>19</v>
      </c>
      <c r="AGW2" s="4" t="s">
        <v>20</v>
      </c>
      <c r="AGX2" s="4" t="s">
        <v>21</v>
      </c>
      <c r="AGY2" s="4" t="s">
        <v>22</v>
      </c>
      <c r="AHA2" s="74" t="s">
        <v>16</v>
      </c>
      <c r="AHB2" s="75"/>
      <c r="AHC2" s="74" t="s">
        <v>17</v>
      </c>
      <c r="AHD2" s="75"/>
      <c r="AHE2" s="4" t="s">
        <v>18</v>
      </c>
      <c r="AHF2" s="4" t="s">
        <v>19</v>
      </c>
      <c r="AHG2" s="4" t="s">
        <v>20</v>
      </c>
      <c r="AHH2" s="4" t="s">
        <v>21</v>
      </c>
      <c r="AHI2" s="4" t="s">
        <v>22</v>
      </c>
      <c r="AHK2" s="74" t="s">
        <v>16</v>
      </c>
      <c r="AHL2" s="75"/>
      <c r="AHM2" s="74" t="s">
        <v>17</v>
      </c>
      <c r="AHN2" s="75"/>
      <c r="AHO2" s="4" t="s">
        <v>18</v>
      </c>
      <c r="AHP2" s="4" t="s">
        <v>19</v>
      </c>
      <c r="AHQ2" s="4" t="s">
        <v>20</v>
      </c>
      <c r="AHR2" s="4" t="s">
        <v>21</v>
      </c>
      <c r="AHS2" s="4" t="s">
        <v>22</v>
      </c>
      <c r="AHU2" s="74" t="s">
        <v>16</v>
      </c>
      <c r="AHV2" s="75"/>
      <c r="AHW2" s="74" t="s">
        <v>17</v>
      </c>
      <c r="AHX2" s="75"/>
      <c r="AHY2" s="4" t="s">
        <v>18</v>
      </c>
      <c r="AHZ2" s="4" t="s">
        <v>19</v>
      </c>
      <c r="AIA2" s="4" t="s">
        <v>20</v>
      </c>
      <c r="AIB2" s="4" t="s">
        <v>21</v>
      </c>
      <c r="AIC2" s="4" t="s">
        <v>22</v>
      </c>
      <c r="AIE2" s="74" t="s">
        <v>16</v>
      </c>
      <c r="AIF2" s="75"/>
      <c r="AIG2" s="74" t="s">
        <v>17</v>
      </c>
      <c r="AIH2" s="75"/>
      <c r="AII2" s="4" t="s">
        <v>18</v>
      </c>
      <c r="AIJ2" s="4" t="s">
        <v>19</v>
      </c>
      <c r="AIK2" s="4" t="s">
        <v>20</v>
      </c>
      <c r="AIL2" s="4" t="s">
        <v>21</v>
      </c>
      <c r="AIM2" s="4" t="s">
        <v>22</v>
      </c>
      <c r="AIO2" s="74" t="s">
        <v>16</v>
      </c>
      <c r="AIP2" s="75"/>
      <c r="AIQ2" s="74" t="s">
        <v>17</v>
      </c>
      <c r="AIR2" s="75"/>
      <c r="AIS2" s="4" t="s">
        <v>18</v>
      </c>
      <c r="AIT2" s="4" t="s">
        <v>19</v>
      </c>
      <c r="AIU2" s="4" t="s">
        <v>20</v>
      </c>
      <c r="AIV2" s="4" t="s">
        <v>21</v>
      </c>
      <c r="AIW2" s="4" t="s">
        <v>22</v>
      </c>
      <c r="AIY2" s="74" t="s">
        <v>16</v>
      </c>
      <c r="AIZ2" s="75"/>
      <c r="AJA2" s="74" t="s">
        <v>17</v>
      </c>
      <c r="AJB2" s="75"/>
      <c r="AJC2" s="4" t="s">
        <v>18</v>
      </c>
      <c r="AJD2" s="4" t="s">
        <v>19</v>
      </c>
      <c r="AJE2" s="4" t="s">
        <v>20</v>
      </c>
      <c r="AJF2" s="4" t="s">
        <v>21</v>
      </c>
      <c r="AJG2" s="4" t="s">
        <v>22</v>
      </c>
      <c r="AJI2" s="74" t="s">
        <v>16</v>
      </c>
      <c r="AJJ2" s="75"/>
      <c r="AJK2" s="74" t="s">
        <v>17</v>
      </c>
      <c r="AJL2" s="75"/>
      <c r="AJM2" s="4" t="s">
        <v>18</v>
      </c>
      <c r="AJN2" s="4" t="s">
        <v>19</v>
      </c>
      <c r="AJO2" s="4" t="s">
        <v>20</v>
      </c>
      <c r="AJP2" s="4" t="s">
        <v>21</v>
      </c>
      <c r="AJQ2" s="4" t="s">
        <v>22</v>
      </c>
      <c r="AJS2" s="74" t="s">
        <v>16</v>
      </c>
      <c r="AJT2" s="75"/>
      <c r="AJU2" s="74" t="s">
        <v>17</v>
      </c>
      <c r="AJV2" s="75"/>
      <c r="AJW2" s="4" t="s">
        <v>18</v>
      </c>
      <c r="AJX2" s="4" t="s">
        <v>19</v>
      </c>
      <c r="AJY2" s="4" t="s">
        <v>20</v>
      </c>
      <c r="AJZ2" s="4" t="s">
        <v>21</v>
      </c>
      <c r="AKA2" s="4" t="s">
        <v>22</v>
      </c>
      <c r="AKC2" s="74" t="s">
        <v>16</v>
      </c>
      <c r="AKD2" s="75"/>
      <c r="AKE2" s="74" t="s">
        <v>17</v>
      </c>
      <c r="AKF2" s="75"/>
      <c r="AKG2" s="4" t="s">
        <v>18</v>
      </c>
      <c r="AKH2" s="4" t="s">
        <v>19</v>
      </c>
      <c r="AKI2" s="4" t="s">
        <v>20</v>
      </c>
      <c r="AKJ2" s="4" t="s">
        <v>21</v>
      </c>
      <c r="AKK2" s="4" t="s">
        <v>22</v>
      </c>
      <c r="AKM2" s="74" t="s">
        <v>16</v>
      </c>
      <c r="AKN2" s="75"/>
      <c r="AKO2" s="74" t="s">
        <v>17</v>
      </c>
      <c r="AKP2" s="75"/>
      <c r="AKQ2" s="4" t="s">
        <v>18</v>
      </c>
      <c r="AKR2" s="4" t="s">
        <v>19</v>
      </c>
      <c r="AKS2" s="4" t="s">
        <v>20</v>
      </c>
      <c r="AKT2" s="4" t="s">
        <v>21</v>
      </c>
      <c r="AKU2" s="4" t="s">
        <v>22</v>
      </c>
      <c r="AKW2" s="74" t="s">
        <v>16</v>
      </c>
      <c r="AKX2" s="75"/>
      <c r="AKY2" s="74" t="s">
        <v>17</v>
      </c>
      <c r="AKZ2" s="75"/>
      <c r="ALA2" s="4" t="s">
        <v>18</v>
      </c>
      <c r="ALB2" s="4" t="s">
        <v>19</v>
      </c>
      <c r="ALC2" s="4" t="s">
        <v>20</v>
      </c>
      <c r="ALD2" s="4" t="s">
        <v>21</v>
      </c>
      <c r="ALE2" s="4" t="s">
        <v>22</v>
      </c>
      <c r="ALG2" s="74" t="s">
        <v>16</v>
      </c>
      <c r="ALH2" s="75"/>
      <c r="ALI2" s="74" t="s">
        <v>17</v>
      </c>
      <c r="ALJ2" s="75"/>
      <c r="ALK2" s="4" t="s">
        <v>18</v>
      </c>
      <c r="ALL2" s="4" t="s">
        <v>19</v>
      </c>
      <c r="ALM2" s="4" t="s">
        <v>20</v>
      </c>
      <c r="ALN2" s="4" t="s">
        <v>21</v>
      </c>
      <c r="ALO2" s="4" t="s">
        <v>22</v>
      </c>
      <c r="ALQ2" s="74" t="s">
        <v>16</v>
      </c>
      <c r="ALR2" s="75"/>
      <c r="ALS2" s="74" t="s">
        <v>17</v>
      </c>
      <c r="ALT2" s="75"/>
      <c r="ALU2" s="4" t="s">
        <v>18</v>
      </c>
      <c r="ALV2" s="4" t="s">
        <v>19</v>
      </c>
      <c r="ALW2" s="4" t="s">
        <v>20</v>
      </c>
      <c r="ALX2" s="4" t="s">
        <v>21</v>
      </c>
      <c r="ALY2" s="4" t="s">
        <v>22</v>
      </c>
      <c r="AMA2" s="74" t="s">
        <v>16</v>
      </c>
      <c r="AMB2" s="75"/>
      <c r="AMC2" s="74" t="s">
        <v>17</v>
      </c>
      <c r="AMD2" s="75"/>
      <c r="AME2" s="4" t="s">
        <v>18</v>
      </c>
      <c r="AMF2" s="4" t="s">
        <v>19</v>
      </c>
      <c r="AMG2" s="4" t="s">
        <v>20</v>
      </c>
      <c r="AMH2" s="4" t="s">
        <v>21</v>
      </c>
      <c r="AMI2" s="4" t="s">
        <v>22</v>
      </c>
      <c r="AMK2" s="74" t="s">
        <v>16</v>
      </c>
      <c r="AML2" s="75"/>
      <c r="AMM2" s="74" t="s">
        <v>17</v>
      </c>
      <c r="AMN2" s="75"/>
      <c r="AMO2" s="4" t="s">
        <v>18</v>
      </c>
      <c r="AMP2" s="4" t="s">
        <v>19</v>
      </c>
      <c r="AMQ2" s="4" t="s">
        <v>20</v>
      </c>
      <c r="AMR2" s="4" t="s">
        <v>21</v>
      </c>
      <c r="AMS2" s="4" t="s">
        <v>22</v>
      </c>
      <c r="AMU2" s="74" t="s">
        <v>16</v>
      </c>
      <c r="AMV2" s="75"/>
      <c r="AMW2" s="74" t="s">
        <v>17</v>
      </c>
      <c r="AMX2" s="75"/>
      <c r="AMY2" s="4" t="s">
        <v>18</v>
      </c>
      <c r="AMZ2" s="4" t="s">
        <v>19</v>
      </c>
      <c r="ANA2" s="4" t="s">
        <v>20</v>
      </c>
      <c r="ANB2" s="4" t="s">
        <v>21</v>
      </c>
      <c r="ANC2" s="4" t="s">
        <v>22</v>
      </c>
      <c r="ANE2" s="74" t="s">
        <v>16</v>
      </c>
      <c r="ANF2" s="75"/>
      <c r="ANG2" s="74" t="s">
        <v>17</v>
      </c>
      <c r="ANH2" s="75"/>
      <c r="ANI2" s="4" t="s">
        <v>18</v>
      </c>
      <c r="ANJ2" s="4" t="s">
        <v>19</v>
      </c>
      <c r="ANK2" s="4" t="s">
        <v>20</v>
      </c>
      <c r="ANL2" s="4" t="s">
        <v>21</v>
      </c>
      <c r="ANM2" s="4" t="s">
        <v>22</v>
      </c>
      <c r="ANO2" s="74" t="s">
        <v>16</v>
      </c>
      <c r="ANP2" s="75"/>
      <c r="ANQ2" s="74" t="s">
        <v>17</v>
      </c>
      <c r="ANR2" s="75"/>
      <c r="ANS2" s="4" t="s">
        <v>18</v>
      </c>
      <c r="ANT2" s="4" t="s">
        <v>19</v>
      </c>
      <c r="ANU2" s="4" t="s">
        <v>20</v>
      </c>
      <c r="ANV2" s="4" t="s">
        <v>21</v>
      </c>
      <c r="ANW2" s="4" t="s">
        <v>22</v>
      </c>
      <c r="ANY2" s="74" t="s">
        <v>16</v>
      </c>
      <c r="ANZ2" s="75"/>
      <c r="AOA2" s="74" t="s">
        <v>17</v>
      </c>
      <c r="AOB2" s="75"/>
      <c r="AOC2" s="4" t="s">
        <v>18</v>
      </c>
      <c r="AOD2" s="4" t="s">
        <v>19</v>
      </c>
      <c r="AOE2" s="4" t="s">
        <v>20</v>
      </c>
      <c r="AOF2" s="4" t="s">
        <v>21</v>
      </c>
      <c r="AOG2" s="4" t="s">
        <v>22</v>
      </c>
      <c r="AOI2" s="74" t="s">
        <v>16</v>
      </c>
      <c r="AOJ2" s="75"/>
      <c r="AOK2" s="74" t="s">
        <v>17</v>
      </c>
      <c r="AOL2" s="75"/>
      <c r="AOM2" s="4" t="s">
        <v>18</v>
      </c>
      <c r="AON2" s="4" t="s">
        <v>19</v>
      </c>
      <c r="AOO2" s="4" t="s">
        <v>20</v>
      </c>
      <c r="AOP2" s="4" t="s">
        <v>21</v>
      </c>
      <c r="AOQ2" s="4" t="s">
        <v>22</v>
      </c>
      <c r="AOS2" s="74" t="s">
        <v>16</v>
      </c>
      <c r="AOT2" s="75"/>
      <c r="AOU2" s="74" t="s">
        <v>17</v>
      </c>
      <c r="AOV2" s="75"/>
      <c r="AOW2" s="4" t="s">
        <v>18</v>
      </c>
      <c r="AOX2" s="4" t="s">
        <v>19</v>
      </c>
      <c r="AOY2" s="4" t="s">
        <v>20</v>
      </c>
      <c r="AOZ2" s="4" t="s">
        <v>21</v>
      </c>
      <c r="APA2" s="4" t="s">
        <v>22</v>
      </c>
      <c r="APC2" s="74" t="s">
        <v>16</v>
      </c>
      <c r="APD2" s="75"/>
      <c r="APE2" s="74" t="s">
        <v>17</v>
      </c>
      <c r="APF2" s="75"/>
      <c r="APG2" s="4" t="s">
        <v>18</v>
      </c>
      <c r="APH2" s="4" t="s">
        <v>19</v>
      </c>
      <c r="API2" s="4" t="s">
        <v>20</v>
      </c>
      <c r="APJ2" s="4" t="s">
        <v>21</v>
      </c>
      <c r="APK2" s="4" t="s">
        <v>22</v>
      </c>
      <c r="APM2" s="74" t="s">
        <v>16</v>
      </c>
      <c r="APN2" s="75"/>
      <c r="APO2" s="74" t="s">
        <v>17</v>
      </c>
      <c r="APP2" s="75"/>
      <c r="APQ2" s="4" t="s">
        <v>18</v>
      </c>
      <c r="APR2" s="4" t="s">
        <v>19</v>
      </c>
      <c r="APS2" s="4" t="s">
        <v>20</v>
      </c>
      <c r="APT2" s="4" t="s">
        <v>21</v>
      </c>
      <c r="APU2" s="4" t="s">
        <v>22</v>
      </c>
      <c r="APW2" s="92" t="s">
        <v>16</v>
      </c>
      <c r="APX2" s="93"/>
      <c r="APY2" s="92" t="s">
        <v>17</v>
      </c>
      <c r="APZ2" s="93"/>
      <c r="AQA2" s="94" t="s">
        <v>18</v>
      </c>
      <c r="AQB2" s="94" t="s">
        <v>19</v>
      </c>
      <c r="AQC2" s="94" t="s">
        <v>20</v>
      </c>
      <c r="AQD2" s="94" t="s">
        <v>21</v>
      </c>
      <c r="AQE2" s="94" t="s">
        <v>22</v>
      </c>
      <c r="AQG2" s="49" t="s">
        <v>16</v>
      </c>
      <c r="AQH2" s="50"/>
      <c r="AQI2" s="49" t="s">
        <v>17</v>
      </c>
      <c r="AQJ2" s="50"/>
      <c r="AQK2" s="4" t="s">
        <v>18</v>
      </c>
      <c r="AQL2" s="4" t="s">
        <v>19</v>
      </c>
      <c r="AQM2" s="4" t="s">
        <v>20</v>
      </c>
      <c r="AQN2" s="4" t="s">
        <v>21</v>
      </c>
      <c r="AQO2" s="4" t="s">
        <v>22</v>
      </c>
    </row>
    <row r="3" spans="1:1133" ht="12.75" customHeight="1" x14ac:dyDescent="0.2">
      <c r="A3" s="22" t="s">
        <v>23</v>
      </c>
      <c r="B3" s="13" t="s">
        <v>24</v>
      </c>
      <c r="C3" s="13">
        <v>48</v>
      </c>
      <c r="E3" s="24"/>
      <c r="F3" s="6" t="s">
        <v>25</v>
      </c>
      <c r="G3" s="24">
        <v>43</v>
      </c>
      <c r="H3" s="6" t="s">
        <v>25</v>
      </c>
      <c r="I3" s="5">
        <f>IF(OR(ISNUMBER(E3), ISNUMBER(G3)), IF(ISNUMBER(E3), E3, 0) + IF(ISNUMBER(G3), G3, 0), "")</f>
        <v>43</v>
      </c>
      <c r="J3" s="3"/>
      <c r="K3" s="7"/>
      <c r="L3" s="5"/>
      <c r="M3" s="7" t="str">
        <f>IF(ISNUMBER(L3), L3-K3, "")</f>
        <v/>
      </c>
      <c r="O3" s="24"/>
      <c r="P3" s="6" t="s">
        <v>25</v>
      </c>
      <c r="Q3" s="24">
        <v>29</v>
      </c>
      <c r="R3" s="6" t="s">
        <v>25</v>
      </c>
      <c r="S3" s="5">
        <f>IF(OR(ISNUMBER(O3), ISNUMBER(Q3)), IF(ISNUMBER(O3), O3, 0) + IF(ISNUMBER(Q3), Q3, 0), "")</f>
        <v>29</v>
      </c>
      <c r="T3" s="3">
        <v>1</v>
      </c>
      <c r="U3" s="7">
        <f t="shared" ref="U3:U7" si="0">IF(ISNUMBER(S3), (I3+(J3*24))-S3, "")</f>
        <v>14</v>
      </c>
      <c r="V3" s="5">
        <v>13</v>
      </c>
      <c r="W3" s="7">
        <f>IF(ISNUMBER(V3), V3-U3, "")</f>
        <v>-1</v>
      </c>
      <c r="Y3" s="24">
        <v>44</v>
      </c>
      <c r="Z3" s="6" t="s">
        <v>25</v>
      </c>
      <c r="AA3" s="24">
        <v>6</v>
      </c>
      <c r="AB3" s="6" t="s">
        <v>25</v>
      </c>
      <c r="AC3" s="5">
        <f>IF(OR(ISNUMBER(Y3), ISNUMBER(AA3)), IF(ISNUMBER(Y3), Y3, 0) + IF(ISNUMBER(AA3), AA3, 0), "")</f>
        <v>50</v>
      </c>
      <c r="AD3" s="3"/>
      <c r="AE3" s="7">
        <f t="shared" ref="AE3:AE7" si="1">IF(ISNUMBER(AC3), (S3+(T3*24))-AC3, "")</f>
        <v>3</v>
      </c>
      <c r="AF3" s="5">
        <v>3</v>
      </c>
      <c r="AG3" s="7">
        <f>IF(ISNUMBER(AF3), AF3-AE3, "")</f>
        <v>0</v>
      </c>
      <c r="AI3" s="24">
        <v>38</v>
      </c>
      <c r="AJ3" s="6" t="s">
        <v>25</v>
      </c>
      <c r="AK3" s="24">
        <v>7</v>
      </c>
      <c r="AL3" s="6" t="s">
        <v>25</v>
      </c>
      <c r="AM3" s="5">
        <f>IF(OR(ISNUMBER(AI3), ISNUMBER(AK3)), IF(ISNUMBER(AI3), AI3, 0) + IF(ISNUMBER(AK3), AK3, 0), "")</f>
        <v>45</v>
      </c>
      <c r="AN3" s="3"/>
      <c r="AO3" s="7">
        <f t="shared" ref="AO3:AO7" si="2">IF(ISNUMBER(AM3), (AC3+(AD3*24))-AM3, "")</f>
        <v>5</v>
      </c>
      <c r="AP3" s="5">
        <v>5</v>
      </c>
      <c r="AQ3" s="7">
        <f>IF(ISNUMBER(AP3), AP3-AO3, "")</f>
        <v>0</v>
      </c>
      <c r="AS3" s="24">
        <v>24</v>
      </c>
      <c r="AT3" s="6" t="s">
        <v>25</v>
      </c>
      <c r="AU3" s="24">
        <v>20</v>
      </c>
      <c r="AV3" s="6" t="s">
        <v>25</v>
      </c>
      <c r="AW3" s="5">
        <f>IF(OR(ISNUMBER(AS3), ISNUMBER(AU3)), IF(ISNUMBER(AS3), AS3, 0) + IF(ISNUMBER(AU3), AU3, 0), "")</f>
        <v>44</v>
      </c>
      <c r="AX3" s="3"/>
      <c r="AY3" s="7">
        <f t="shared" ref="AY3:AY7" si="3">IF(ISNUMBER(AW3), (AM3+(AN3*24))-AW3, "")</f>
        <v>1</v>
      </c>
      <c r="AZ3" s="5">
        <v>1</v>
      </c>
      <c r="BA3" s="7">
        <f>IF(ISNUMBER(AZ3), AZ3-AY3, "")</f>
        <v>0</v>
      </c>
      <c r="BC3" s="24">
        <v>24</v>
      </c>
      <c r="BD3" s="6" t="s">
        <v>25</v>
      </c>
      <c r="BE3" s="24">
        <v>18</v>
      </c>
      <c r="BF3" s="6" t="s">
        <v>25</v>
      </c>
      <c r="BG3" s="5">
        <f>IF(OR(ISNUMBER(BC3), ISNUMBER(BE3)), IF(ISNUMBER(BC3), BC3, 0) + IF(ISNUMBER(BE3), BE3, 0), "")</f>
        <v>42</v>
      </c>
      <c r="BH3" s="3"/>
      <c r="BI3" s="7">
        <f t="shared" ref="BI3:BI7" si="4">IF(ISNUMBER(BG3), (AW3+(AX3*24))-BG3, "")</f>
        <v>2</v>
      </c>
      <c r="BJ3" s="5">
        <v>2</v>
      </c>
      <c r="BK3" s="7">
        <f>IF(ISNUMBER(BJ3), BJ3-BI3, "")</f>
        <v>0</v>
      </c>
      <c r="BM3" s="24">
        <v>24</v>
      </c>
      <c r="BN3" s="6" t="s">
        <v>25</v>
      </c>
      <c r="BO3" s="24">
        <v>12</v>
      </c>
      <c r="BP3" s="6" t="s">
        <v>25</v>
      </c>
      <c r="BQ3" s="5">
        <f>IF(OR(ISNUMBER(BM3), ISNUMBER(BO3)), IF(ISNUMBER(BM3), BM3, 0) + IF(ISNUMBER(BO3), BO3, 0), "")</f>
        <v>36</v>
      </c>
      <c r="BR3" s="3"/>
      <c r="BS3" s="7">
        <f t="shared" ref="BS3:BS7" si="5">IF(ISNUMBER(BQ3), (BG3+(BH3*24))-BQ3, "")</f>
        <v>6</v>
      </c>
      <c r="BT3" s="5">
        <v>6</v>
      </c>
      <c r="BU3" s="7">
        <f>IF(ISNUMBER(BT3), BT3-BS3, "")</f>
        <v>0</v>
      </c>
      <c r="BW3" s="24">
        <v>24</v>
      </c>
      <c r="BX3" s="6" t="s">
        <v>25</v>
      </c>
      <c r="BY3" s="24">
        <v>8</v>
      </c>
      <c r="BZ3" s="6" t="s">
        <v>25</v>
      </c>
      <c r="CA3" s="5">
        <f>IF(OR(ISNUMBER(BW3), ISNUMBER(BY3)), IF(ISNUMBER(BW3), BW3, 0) + IF(ISNUMBER(BY3), BY3, 0), "")</f>
        <v>32</v>
      </c>
      <c r="CB3" s="3">
        <v>1</v>
      </c>
      <c r="CC3" s="7">
        <f t="shared" ref="CC3:CC7" si="6">IF(ISNUMBER(CA3), (BQ3+(BR3*24))-CA3, "")</f>
        <v>4</v>
      </c>
      <c r="CD3" s="5">
        <v>5</v>
      </c>
      <c r="CE3" s="7">
        <f>IF(ISNUMBER(CD3), CD3-CC3, "")</f>
        <v>1</v>
      </c>
      <c r="CG3" s="24">
        <v>42</v>
      </c>
      <c r="CH3" s="6" t="s">
        <v>25</v>
      </c>
      <c r="CI3" s="24">
        <v>9</v>
      </c>
      <c r="CJ3" s="6" t="s">
        <v>25</v>
      </c>
      <c r="CK3" s="5">
        <f>IF(OR(ISNUMBER(CG3), ISNUMBER(CI3)), IF(ISNUMBER(CG3), CG3, 0) + IF(ISNUMBER(CI3), CI3, 0), "")</f>
        <v>51</v>
      </c>
      <c r="CL3" s="3"/>
      <c r="CM3" s="7">
        <f t="shared" ref="CM3:CM7" si="7">IF(ISNUMBER(CK3), (CA3+(CB3*24))-CK3, "")</f>
        <v>5</v>
      </c>
      <c r="CN3" s="5">
        <v>4</v>
      </c>
      <c r="CO3" s="7">
        <f>IF(ISNUMBER(CN3), CN3-CM3, "")</f>
        <v>-1</v>
      </c>
      <c r="CQ3" s="24">
        <v>42</v>
      </c>
      <c r="CR3" s="6" t="s">
        <v>25</v>
      </c>
      <c r="CS3" s="24">
        <v>6</v>
      </c>
      <c r="CT3" s="6" t="s">
        <v>25</v>
      </c>
      <c r="CU3" s="5">
        <f>IF(OR(ISNUMBER(CQ3), ISNUMBER(CS3)), IF(ISNUMBER(CQ3), CQ3, 0) + IF(ISNUMBER(CS3), CS3, 0), "")</f>
        <v>48</v>
      </c>
      <c r="CV3" s="3"/>
      <c r="CW3" s="7">
        <f t="shared" ref="CW3:CW7" si="8">IF(ISNUMBER(CU3), (CK3+(CL3*24))-CU3, "")</f>
        <v>3</v>
      </c>
      <c r="CX3" s="5">
        <v>3</v>
      </c>
      <c r="CY3" s="7">
        <f>IF(ISNUMBER(CX3), CX3-CW3, "")</f>
        <v>0</v>
      </c>
      <c r="DA3" s="24">
        <v>18</v>
      </c>
      <c r="DB3" s="6" t="s">
        <v>25</v>
      </c>
      <c r="DC3" s="24">
        <v>17</v>
      </c>
      <c r="DD3" s="6" t="s">
        <v>25</v>
      </c>
      <c r="DE3" s="5">
        <f>IF(OR(ISNUMBER(DA3), ISNUMBER(DC3)), IF(ISNUMBER(DA3), DA3, 0) + IF(ISNUMBER(DC3), DC3, 0), "")</f>
        <v>35</v>
      </c>
      <c r="DF3" s="3"/>
      <c r="DG3" s="7">
        <f t="shared" ref="DG3:DG7" si="9">IF(ISNUMBER(DE3), (CU3+(CV3*24))-DE3, "")</f>
        <v>13</v>
      </c>
      <c r="DH3" s="5">
        <v>13</v>
      </c>
      <c r="DI3" s="7">
        <f>IF(ISNUMBER(DH3), DH3-DG3, "")</f>
        <v>0</v>
      </c>
      <c r="DK3" s="24">
        <v>14</v>
      </c>
      <c r="DL3" s="6" t="s">
        <v>25</v>
      </c>
      <c r="DM3" s="24">
        <v>13</v>
      </c>
      <c r="DN3" s="6" t="s">
        <v>25</v>
      </c>
      <c r="DO3" s="5">
        <f>IF(OR(ISNUMBER(DK3), ISNUMBER(DM3)), IF(ISNUMBER(DK3), DK3, 0) + IF(ISNUMBER(DM3), DM3, 0), "")</f>
        <v>27</v>
      </c>
      <c r="DP3" s="3">
        <v>1</v>
      </c>
      <c r="DQ3" s="7">
        <f t="shared" ref="DQ3:DQ7" si="10">IF(ISNUMBER(DO3), (DE3+(DF3*24))-DO3, "")</f>
        <v>8</v>
      </c>
      <c r="DR3" s="5">
        <v>10</v>
      </c>
      <c r="DS3" s="7">
        <f>IF(ISNUMBER(DR3), DR3-DQ3, "")</f>
        <v>2</v>
      </c>
      <c r="DU3" s="24">
        <v>24</v>
      </c>
      <c r="DV3" s="6" t="s">
        <v>25</v>
      </c>
      <c r="DW3" s="24">
        <v>21</v>
      </c>
      <c r="DX3" s="6" t="s">
        <v>25</v>
      </c>
      <c r="DY3" s="5">
        <f>IF(OR(ISNUMBER(DU3), ISNUMBER(DW3)), IF(ISNUMBER(DU3), DU3, 0) + IF(ISNUMBER(DW3), DW3, 0), "")</f>
        <v>45</v>
      </c>
      <c r="DZ3" s="3"/>
      <c r="EA3" s="7">
        <f t="shared" ref="EA3:EA7" si="11">IF(ISNUMBER(DY3), (DO3+(DP3*24))-DY3, "")</f>
        <v>6</v>
      </c>
      <c r="EB3" s="5">
        <v>2</v>
      </c>
      <c r="EC3" s="7">
        <f>IF(ISNUMBER(EB3), EB3-EA3, "")</f>
        <v>-4</v>
      </c>
      <c r="EE3" s="24">
        <v>24</v>
      </c>
      <c r="EF3" s="6" t="s">
        <v>25</v>
      </c>
      <c r="EG3" s="24">
        <v>20</v>
      </c>
      <c r="EH3" s="6" t="s">
        <v>25</v>
      </c>
      <c r="EI3" s="5">
        <f>IF(OR(ISNUMBER(EE3), ISNUMBER(EG3)), IF(ISNUMBER(EE3), EE3, 0) + IF(ISNUMBER(EG3), EG3, 0), "")</f>
        <v>44</v>
      </c>
      <c r="EJ3" s="3"/>
      <c r="EK3" s="7">
        <f t="shared" ref="EK3:EK7" si="12">IF(ISNUMBER(EI3), (DY3+(DZ3*24))-EI3, "")</f>
        <v>1</v>
      </c>
      <c r="EL3" s="5">
        <v>2</v>
      </c>
      <c r="EM3" s="7">
        <f>IF(ISNUMBER(EL3), EL3-EK3, "")</f>
        <v>1</v>
      </c>
      <c r="EO3" s="24">
        <v>24</v>
      </c>
      <c r="EP3" s="6" t="s">
        <v>25</v>
      </c>
      <c r="EQ3" s="24">
        <v>16</v>
      </c>
      <c r="ER3" s="6" t="s">
        <v>25</v>
      </c>
      <c r="ES3" s="5">
        <f>IF(OR(ISNUMBER(EO3), ISNUMBER(EQ3)), IF(ISNUMBER(EO3), EO3, 0) + IF(ISNUMBER(EQ3), EQ3, 0), "")</f>
        <v>40</v>
      </c>
      <c r="ET3" s="3"/>
      <c r="EU3" s="7">
        <f t="shared" ref="EU3:EU7" si="13">IF(ISNUMBER(ES3), (EI3+(EJ3*24))-ES3, "")</f>
        <v>4</v>
      </c>
      <c r="EV3" s="5">
        <v>4</v>
      </c>
      <c r="EW3" s="7">
        <f>IF(ISNUMBER(EV3), EV3-EU3, "")</f>
        <v>0</v>
      </c>
      <c r="EY3" s="2">
        <v>18</v>
      </c>
      <c r="EZ3" s="6" t="s">
        <v>25</v>
      </c>
      <c r="FA3" s="2">
        <v>13</v>
      </c>
      <c r="FB3" s="6" t="s">
        <v>25</v>
      </c>
      <c r="FC3" s="5">
        <f>IF(OR(ISNUMBER(EY3), ISNUMBER(FA3)), IF(ISNUMBER(EY3), EY3, 0) + IF(ISNUMBER(FA3), FA3, 0), "")</f>
        <v>31</v>
      </c>
      <c r="FD3" s="3"/>
      <c r="FE3" s="7">
        <f t="shared" ref="FE3:FE7" si="14">IF(ISNUMBER(FC3), (ES3+(ET3*24))-FC3, "")</f>
        <v>9</v>
      </c>
      <c r="FF3" s="5">
        <v>9</v>
      </c>
      <c r="FG3" s="7">
        <f>IF(ISNUMBER(FF3), FF3-FE3, "")</f>
        <v>0</v>
      </c>
      <c r="FI3" s="24"/>
      <c r="FJ3" s="6" t="s">
        <v>25</v>
      </c>
      <c r="FK3" s="24">
        <v>19</v>
      </c>
      <c r="FL3" s="6" t="s">
        <v>25</v>
      </c>
      <c r="FM3" s="5">
        <f>IF(OR(ISNUMBER(FI3), ISNUMBER(FK3)), IF(ISNUMBER(FI3), FI3, 0) + IF(ISNUMBER(FK3), FK3, 0), "")</f>
        <v>19</v>
      </c>
      <c r="FN3" s="3">
        <v>1</v>
      </c>
      <c r="FO3" s="7">
        <f t="shared" ref="FO3:FO7" si="15">IF(ISNUMBER(FM3), (FC3+(FD3*24))-FM3, "")</f>
        <v>12</v>
      </c>
      <c r="FP3" s="5">
        <v>13</v>
      </c>
      <c r="FQ3" s="7">
        <f>IF(ISNUMBER(FP3), FP3-FO3, "")</f>
        <v>1</v>
      </c>
      <c r="FS3" s="24">
        <v>12</v>
      </c>
      <c r="FT3" s="6" t="s">
        <v>25</v>
      </c>
      <c r="FU3" s="24">
        <v>23</v>
      </c>
      <c r="FV3" s="6" t="s">
        <v>25</v>
      </c>
      <c r="FW3" s="5">
        <f>IF(OR(ISNUMBER(FS3), ISNUMBER(FU3)), IF(ISNUMBER(FS3), FS3, 0) + IF(ISNUMBER(FU3), FU3, 0), "")</f>
        <v>35</v>
      </c>
      <c r="FX3" s="3"/>
      <c r="FY3" s="7">
        <f t="shared" ref="FY3:FY7" si="16">IF(ISNUMBER(FW3), (FM3+(FN3*24))-FW3, "")</f>
        <v>8</v>
      </c>
      <c r="FZ3" s="5">
        <v>4</v>
      </c>
      <c r="GA3" s="7">
        <f>IF(ISNUMBER(FZ3), FZ3-FY3, "")</f>
        <v>-4</v>
      </c>
      <c r="GC3" s="24">
        <v>12</v>
      </c>
      <c r="GD3" s="6" t="s">
        <v>25</v>
      </c>
      <c r="GE3" s="24">
        <v>13</v>
      </c>
      <c r="GF3" s="6" t="s">
        <v>25</v>
      </c>
      <c r="GG3" s="5">
        <f>IF(OR(ISNUMBER(GC3), ISNUMBER(GE3)), IF(ISNUMBER(GC3), GC3, 0) + IF(ISNUMBER(GE3), GE3, 0), "")</f>
        <v>25</v>
      </c>
      <c r="GH3" s="3"/>
      <c r="GI3" s="7">
        <f t="shared" ref="GI3:GI7" si="17">IF(ISNUMBER(GG3), (FW3+(FX3*24))-GG3, "")</f>
        <v>10</v>
      </c>
      <c r="GJ3" s="5">
        <v>10</v>
      </c>
      <c r="GK3" s="7">
        <f>IF(ISNUMBER(GJ3), GJ3-GI3, "")</f>
        <v>0</v>
      </c>
      <c r="GM3" s="24">
        <v>0</v>
      </c>
      <c r="GN3" s="6" t="s">
        <v>25</v>
      </c>
      <c r="GO3" s="24">
        <v>9</v>
      </c>
      <c r="GP3" s="6" t="s">
        <v>25</v>
      </c>
      <c r="GQ3" s="5">
        <f>IF(OR(ISNUMBER(GM3), ISNUMBER(GO3)), IF(ISNUMBER(GM3), GM3, 0) + IF(ISNUMBER(GO3), GO3, 0), "")</f>
        <v>9</v>
      </c>
      <c r="GR3" s="3"/>
      <c r="GS3" s="7">
        <f t="shared" ref="GS3:GS7" si="18">IF(ISNUMBER(GQ3), (GG3+(GH3*24))-GQ3, "")</f>
        <v>16</v>
      </c>
      <c r="GT3" s="5">
        <v>15</v>
      </c>
      <c r="GU3" s="7">
        <f>IF(ISNUMBER(GT3), GT3-GS3, "")</f>
        <v>-1</v>
      </c>
      <c r="GW3" s="24">
        <v>0</v>
      </c>
      <c r="GX3" s="6" t="s">
        <v>25</v>
      </c>
      <c r="GY3" s="24">
        <v>2</v>
      </c>
      <c r="GZ3" s="6" t="s">
        <v>25</v>
      </c>
      <c r="HA3" s="5">
        <f>IF(OR(ISNUMBER(GW3), ISNUMBER(GY3)), IF(ISNUMBER(GW3), GW3, 0) + IF(ISNUMBER(GY3), GY3, 0), "")</f>
        <v>2</v>
      </c>
      <c r="HB3" s="3"/>
      <c r="HC3" s="7">
        <f t="shared" ref="HC3:HC7" si="19">IF(ISNUMBER(HA3), (GQ3+(GR3*24))-HA3, "")</f>
        <v>7</v>
      </c>
      <c r="HD3" s="5">
        <v>7</v>
      </c>
      <c r="HE3" s="7">
        <f>IF(ISNUMBER(HD3), HD3-HC3, "")</f>
        <v>0</v>
      </c>
      <c r="HG3" s="2"/>
      <c r="HH3" s="6" t="s">
        <v>25</v>
      </c>
      <c r="HI3" s="2">
        <v>2</v>
      </c>
      <c r="HJ3" s="6" t="s">
        <v>25</v>
      </c>
      <c r="HK3" s="5">
        <f>IF(OR(ISNUMBER(HG3), ISNUMBER(HI3)), IF(ISNUMBER(HG3), HG3, 0) + IF(ISNUMBER(HI3), HI3, 0), "")</f>
        <v>2</v>
      </c>
      <c r="HL3" s="3"/>
      <c r="HM3" s="7">
        <f t="shared" ref="HM3:HM7" si="20">IF(ISNUMBER(HK3), (HA3+(HB3*24))-HK3, "")</f>
        <v>0</v>
      </c>
      <c r="HN3" s="5"/>
      <c r="HO3" s="7" t="str">
        <f>IF(ISNUMBER(HN3), HN3-HM3, "")</f>
        <v/>
      </c>
      <c r="HQ3" s="24">
        <v>0</v>
      </c>
      <c r="HR3" s="6" t="s">
        <v>25</v>
      </c>
      <c r="HS3" s="24">
        <v>1</v>
      </c>
      <c r="HT3" s="6" t="s">
        <v>25</v>
      </c>
      <c r="HU3" s="5">
        <f>IF(OR(ISNUMBER(HQ3), ISNUMBER(HS3)), IF(ISNUMBER(HQ3), HQ3, 0) + IF(ISNUMBER(HS3), HS3, 0), "")</f>
        <v>1</v>
      </c>
      <c r="HV3" s="3">
        <v>3</v>
      </c>
      <c r="HW3" s="7">
        <f t="shared" ref="HW3:HW7" si="21">IF(ISNUMBER(HU3), (HK3+(HL3*24))-HU3, "")</f>
        <v>1</v>
      </c>
      <c r="HX3" s="5">
        <v>1</v>
      </c>
      <c r="HY3" s="7">
        <f>IF(ISNUMBER(HX3), HX3-HW3, "")</f>
        <v>0</v>
      </c>
      <c r="IA3" s="24">
        <v>48</v>
      </c>
      <c r="IB3" s="6" t="s">
        <v>25</v>
      </c>
      <c r="IC3" s="24">
        <v>21</v>
      </c>
      <c r="ID3" s="6" t="s">
        <v>25</v>
      </c>
      <c r="IE3" s="5">
        <f>IF(OR(ISNUMBER(IA3), ISNUMBER(IC3)), IF(ISNUMBER(IA3), IA3, 0) + IF(ISNUMBER(IC3), IC3, 0), "")</f>
        <v>69</v>
      </c>
      <c r="IF3" s="3"/>
      <c r="IG3" s="7">
        <f t="shared" ref="IG3:IG7" si="22">IF(ISNUMBER(IE3), (HU3+(HV3*24))-IE3, "")</f>
        <v>4</v>
      </c>
      <c r="IH3" s="5">
        <v>4</v>
      </c>
      <c r="II3" s="7">
        <f>IF(ISNUMBER(IH3), IH3-IG3, "")</f>
        <v>0</v>
      </c>
      <c r="IK3" s="24">
        <v>48</v>
      </c>
      <c r="IL3" s="6" t="s">
        <v>25</v>
      </c>
      <c r="IM3" s="24">
        <v>20</v>
      </c>
      <c r="IN3" s="6" t="s">
        <v>25</v>
      </c>
      <c r="IO3" s="5">
        <f>IF(OR(ISNUMBER(IK3), ISNUMBER(IM3)), IF(ISNUMBER(IK3), IK3, 0) + IF(ISNUMBER(IM3), IM3, 0), "")</f>
        <v>68</v>
      </c>
      <c r="IP3" s="3"/>
      <c r="IQ3" s="7">
        <f t="shared" ref="IQ3:IQ7" si="23">IF(ISNUMBER(IO3), (IE3+(IF3*24))-IO3, "")</f>
        <v>1</v>
      </c>
      <c r="IR3" s="5">
        <v>1</v>
      </c>
      <c r="IS3" s="7">
        <f>IF(ISNUMBER(IR3), IR3-IQ3, "")</f>
        <v>0</v>
      </c>
      <c r="IU3" s="24">
        <v>48</v>
      </c>
      <c r="IV3" s="6" t="s">
        <v>25</v>
      </c>
      <c r="IW3" s="24">
        <v>12</v>
      </c>
      <c r="IX3" s="6" t="s">
        <v>25</v>
      </c>
      <c r="IY3" s="5">
        <f>IF(OR(ISNUMBER(IU3), ISNUMBER(IW3)), IF(ISNUMBER(IU3), IU3, 0) + IF(ISNUMBER(IW3), IW3, 0), "")</f>
        <v>60</v>
      </c>
      <c r="IZ3" s="3"/>
      <c r="JA3" s="7">
        <f t="shared" ref="JA3:JA7" si="24">IF(ISNUMBER(IY3), (IO3+(IP3*24))-IY3, "")</f>
        <v>8</v>
      </c>
      <c r="JB3" s="5">
        <v>8</v>
      </c>
      <c r="JC3" s="7">
        <f>IF(ISNUMBER(JB3), JB3-JA3, "")</f>
        <v>0</v>
      </c>
      <c r="JE3" s="24">
        <v>48</v>
      </c>
      <c r="JF3" s="6" t="s">
        <v>25</v>
      </c>
      <c r="JG3" s="24">
        <v>10</v>
      </c>
      <c r="JH3" s="6" t="s">
        <v>25</v>
      </c>
      <c r="JI3" s="5">
        <f>IF(OR(ISNUMBER(JE3), ISNUMBER(JG3)), IF(ISNUMBER(JE3), JE3, 0) + IF(ISNUMBER(JG3), JG3, 0), "")</f>
        <v>58</v>
      </c>
      <c r="JJ3" s="3"/>
      <c r="JK3" s="7">
        <f t="shared" ref="JK3:JK7" si="25">IF(ISNUMBER(JI3), (IY3+(IZ3*24))-JI3, "")</f>
        <v>2</v>
      </c>
      <c r="JL3" s="5">
        <v>3</v>
      </c>
      <c r="JM3" s="7">
        <f>IF(ISNUMBER(JL3), JL3-JK3, "")</f>
        <v>1</v>
      </c>
      <c r="JO3" s="24">
        <v>42</v>
      </c>
      <c r="JP3" s="6" t="s">
        <v>25</v>
      </c>
      <c r="JQ3" s="24">
        <v>11</v>
      </c>
      <c r="JR3" s="6" t="s">
        <v>25</v>
      </c>
      <c r="JS3" s="5">
        <f>IF(OR(ISNUMBER(JO3), ISNUMBER(JQ3)), IF(ISNUMBER(JO3), JO3, 0) + IF(ISNUMBER(JQ3), JQ3, 0), "")</f>
        <v>53</v>
      </c>
      <c r="JT3" s="3"/>
      <c r="JU3" s="7">
        <f t="shared" ref="JU3:JU7" si="26">IF(ISNUMBER(JS3), (JI3+(JJ3*24))-JS3, "")</f>
        <v>5</v>
      </c>
      <c r="JV3" s="5">
        <v>5</v>
      </c>
      <c r="JW3" s="7">
        <f>IF(ISNUMBER(JV3), JV3-JU3, "")</f>
        <v>0</v>
      </c>
      <c r="JY3" s="24">
        <v>36</v>
      </c>
      <c r="JZ3" s="6" t="s">
        <v>25</v>
      </c>
      <c r="KA3" s="24">
        <v>12</v>
      </c>
      <c r="KB3" s="6" t="s">
        <v>25</v>
      </c>
      <c r="KC3" s="5">
        <f>IF(OR(ISNUMBER(JY3), ISNUMBER(KA3)), IF(ISNUMBER(JY3), JY3, 0) + IF(ISNUMBER(KA3), KA3, 0), "")</f>
        <v>48</v>
      </c>
      <c r="KD3" s="3"/>
      <c r="KE3" s="7">
        <f t="shared" ref="KE3:KE7" si="27">IF(ISNUMBER(KC3), (JS3+(JT3*24))-KC3, "")</f>
        <v>5</v>
      </c>
      <c r="KF3" s="5">
        <v>5</v>
      </c>
      <c r="KG3" s="7">
        <f>IF(ISNUMBER(KF3), KF3-KE3, "")</f>
        <v>0</v>
      </c>
      <c r="KI3" s="24">
        <v>24</v>
      </c>
      <c r="KJ3" s="6" t="s">
        <v>25</v>
      </c>
      <c r="KK3" s="24">
        <v>14</v>
      </c>
      <c r="KL3" s="6" t="s">
        <v>25</v>
      </c>
      <c r="KM3" s="5">
        <f>IF(OR(ISNUMBER(KI3), ISNUMBER(KK3)), IF(ISNUMBER(KI3), KI3, 0) + IF(ISNUMBER(KK3), KK3, 0), "")</f>
        <v>38</v>
      </c>
      <c r="KN3" s="3"/>
      <c r="KO3" s="7">
        <f t="shared" ref="KO3:KO7" si="28">IF(ISNUMBER(KM3), (KC3+(KD3*24))-KM3, "")</f>
        <v>10</v>
      </c>
      <c r="KP3" s="5">
        <v>10</v>
      </c>
      <c r="KQ3" s="7">
        <f>IF(ISNUMBER(KP3), KP3-KO3, "")</f>
        <v>0</v>
      </c>
      <c r="KS3" s="24">
        <v>19</v>
      </c>
      <c r="KT3" s="6" t="s">
        <v>25</v>
      </c>
      <c r="KU3" s="24">
        <v>6</v>
      </c>
      <c r="KV3" s="6" t="s">
        <v>25</v>
      </c>
      <c r="KW3" s="5">
        <f>IF(OR(ISNUMBER(KS3), ISNUMBER(KU3)), IF(ISNUMBER(KS3), KS3, 0) + IF(ISNUMBER(KU3), KU3, 0), "")</f>
        <v>25</v>
      </c>
      <c r="KX3" s="3">
        <v>1</v>
      </c>
      <c r="KY3" s="7">
        <f t="shared" ref="KY3:KY7" si="29">IF(ISNUMBER(KW3), (KM3+(KN3*24))-KW3, "")</f>
        <v>13</v>
      </c>
      <c r="KZ3" s="5">
        <v>13</v>
      </c>
      <c r="LA3" s="7">
        <f>IF(ISNUMBER(KZ3), KZ3-KY3, "")</f>
        <v>0</v>
      </c>
      <c r="LC3" s="24">
        <v>32</v>
      </c>
      <c r="LD3" s="6" t="s">
        <v>25</v>
      </c>
      <c r="LE3" s="24">
        <v>5</v>
      </c>
      <c r="LF3" s="6" t="s">
        <v>25</v>
      </c>
      <c r="LG3" s="5">
        <f>IF(OR(ISNUMBER(LC3), ISNUMBER(LE3)), IF(ISNUMBER(LC3), LC3, 0) + IF(ISNUMBER(LE3), LE3, 0), "")</f>
        <v>37</v>
      </c>
      <c r="LH3" s="3"/>
      <c r="LI3" s="7">
        <f t="shared" ref="LI3:LI7" si="30">IF(ISNUMBER(LG3), (KW3+(KX3*24))-LG3, "")</f>
        <v>12</v>
      </c>
      <c r="LJ3" s="5">
        <v>11</v>
      </c>
      <c r="LK3" s="7">
        <f>IF(ISNUMBER(LJ3), LJ3-LI3, "")</f>
        <v>-1</v>
      </c>
      <c r="LM3" s="24">
        <v>24</v>
      </c>
      <c r="LN3" s="6" t="s">
        <v>25</v>
      </c>
      <c r="LO3" s="24">
        <v>12</v>
      </c>
      <c r="LP3" s="6" t="s">
        <v>25</v>
      </c>
      <c r="LQ3" s="5">
        <f>IF(OR(ISNUMBER(LM3), ISNUMBER(LO3)), IF(ISNUMBER(LM3), LM3, 0) + IF(ISNUMBER(LO3), LO3, 0), "")</f>
        <v>36</v>
      </c>
      <c r="LR3" s="3"/>
      <c r="LS3" s="7">
        <f t="shared" ref="LS3:LS7" si="31">IF(ISNUMBER(LQ3), (LG3+(LH3*24))-LQ3, "")</f>
        <v>1</v>
      </c>
      <c r="LT3" s="5">
        <v>2</v>
      </c>
      <c r="LU3" s="7">
        <f>IF(ISNUMBER(LT3), LT3-LS3, "")</f>
        <v>1</v>
      </c>
      <c r="LW3" s="24">
        <v>24</v>
      </c>
      <c r="LX3" s="6" t="s">
        <v>25</v>
      </c>
      <c r="LY3" s="24">
        <v>6</v>
      </c>
      <c r="LZ3" s="6" t="s">
        <v>25</v>
      </c>
      <c r="MA3" s="5">
        <f>IF(OR(ISNUMBER(LW3), ISNUMBER(LY3)), IF(ISNUMBER(LW3), LW3, 0) + IF(ISNUMBER(LY3), LY3, 0), "")</f>
        <v>30</v>
      </c>
      <c r="MB3" s="3"/>
      <c r="MC3" s="7">
        <f t="shared" ref="MC3:MC7" si="32">IF(ISNUMBER(MA3), (LQ3+(LR3*24))-MA3, "")</f>
        <v>6</v>
      </c>
      <c r="MD3" s="5">
        <v>6</v>
      </c>
      <c r="ME3" s="7">
        <f>IF(ISNUMBER(MD3), MD3-MC3, "")</f>
        <v>0</v>
      </c>
      <c r="MG3" s="24">
        <v>16</v>
      </c>
      <c r="MH3" s="6" t="s">
        <v>25</v>
      </c>
      <c r="MI3" s="24">
        <v>10</v>
      </c>
      <c r="MJ3" s="6" t="s">
        <v>25</v>
      </c>
      <c r="MK3" s="5">
        <f>IF(OR(ISNUMBER(MG3), ISNUMBER(MI3)), IF(ISNUMBER(MG3), MG3, 0) + IF(ISNUMBER(MI3), MI3, 0), "")</f>
        <v>26</v>
      </c>
      <c r="ML3" s="3">
        <v>1</v>
      </c>
      <c r="MM3" s="7">
        <f t="shared" ref="MM3:MM7" si="33">IF(ISNUMBER(MK3), (MA3+(MB3*24))-MK3, "")</f>
        <v>4</v>
      </c>
      <c r="MN3" s="5">
        <v>4</v>
      </c>
      <c r="MO3" s="7">
        <f>IF(ISNUMBER(MN3), MN3-MM3, "")</f>
        <v>0</v>
      </c>
      <c r="MQ3" s="24">
        <v>40</v>
      </c>
      <c r="MR3" s="6" t="s">
        <v>25</v>
      </c>
      <c r="MS3" s="24">
        <v>3</v>
      </c>
      <c r="MT3" s="6" t="s">
        <v>25</v>
      </c>
      <c r="MU3" s="5">
        <f>IF(OR(ISNUMBER(MQ3), ISNUMBER(MS3)), IF(ISNUMBER(MQ3), MQ3, 0) + IF(ISNUMBER(MS3), MS3, 0), "")</f>
        <v>43</v>
      </c>
      <c r="MV3" s="3"/>
      <c r="MW3" s="7">
        <f t="shared" ref="MW3:MW7" si="34">IF(ISNUMBER(MU3), (MK3+(ML3*24))-MU3, "")</f>
        <v>7</v>
      </c>
      <c r="MX3" s="5">
        <v>7</v>
      </c>
      <c r="MY3" s="7">
        <f>IF(ISNUMBER(MX3), MX3-MW3, "")</f>
        <v>0</v>
      </c>
      <c r="NA3" s="24">
        <v>32</v>
      </c>
      <c r="NB3" s="6" t="s">
        <v>25</v>
      </c>
      <c r="NC3" s="24">
        <v>4</v>
      </c>
      <c r="ND3" s="6" t="s">
        <v>25</v>
      </c>
      <c r="NE3" s="5">
        <f>IF(OR(ISNUMBER(NA3), ISNUMBER(NC3)), IF(ISNUMBER(NA3), NA3, 0) + IF(ISNUMBER(NC3), NC3, 0), "")</f>
        <v>36</v>
      </c>
      <c r="NF3" s="3">
        <v>2</v>
      </c>
      <c r="NG3" s="7">
        <f t="shared" ref="NG3:NG7" si="35">IF(ISNUMBER(NE3), (MU3+(MV3*24))-NE3, "")</f>
        <v>7</v>
      </c>
      <c r="NH3" s="5">
        <v>7</v>
      </c>
      <c r="NI3" s="7">
        <f>IF(ISNUMBER(NH3), NH3-NG3, "")</f>
        <v>0</v>
      </c>
      <c r="NK3" s="24">
        <v>60</v>
      </c>
      <c r="NL3" s="6" t="s">
        <v>25</v>
      </c>
      <c r="NM3" s="24">
        <v>12</v>
      </c>
      <c r="NN3" s="6" t="s">
        <v>25</v>
      </c>
      <c r="NO3" s="5">
        <f>IF(OR(ISNUMBER(NK3), ISNUMBER(NM3)), IF(ISNUMBER(NK3), NK3, 0) + IF(ISNUMBER(NM3), NM3, 0), "")</f>
        <v>72</v>
      </c>
      <c r="NP3" s="3"/>
      <c r="NQ3" s="7">
        <f t="shared" ref="NQ3:NQ7" si="36">IF(ISNUMBER(NO3), (NE3+(NF3*24))-NO3, "")</f>
        <v>12</v>
      </c>
      <c r="NR3" s="5">
        <v>12</v>
      </c>
      <c r="NS3" s="7">
        <f>IF(ISNUMBER(NR3), NR3-NQ3, "")</f>
        <v>0</v>
      </c>
      <c r="NU3" s="24">
        <v>60</v>
      </c>
      <c r="NV3" s="6" t="s">
        <v>25</v>
      </c>
      <c r="NW3" s="24">
        <v>9</v>
      </c>
      <c r="NX3" s="6" t="s">
        <v>25</v>
      </c>
      <c r="NY3" s="5">
        <f>IF(OR(ISNUMBER(NU3), ISNUMBER(NW3)), IF(ISNUMBER(NU3), NU3, 0) + IF(ISNUMBER(NW3), NW3, 0), "")</f>
        <v>69</v>
      </c>
      <c r="NZ3" s="3"/>
      <c r="OA3" s="7">
        <f t="shared" ref="OA3:OA7" si="37">IF(ISNUMBER(NY3), (NO3+(NP3*24))-NY3, "")</f>
        <v>3</v>
      </c>
      <c r="OB3" s="5">
        <v>3</v>
      </c>
      <c r="OC3" s="7">
        <f>IF(ISNUMBER(OB3), OB3-OA3, "")</f>
        <v>0</v>
      </c>
      <c r="OE3" s="2">
        <v>48</v>
      </c>
      <c r="OF3" s="6" t="s">
        <v>25</v>
      </c>
      <c r="OG3" s="2">
        <v>17</v>
      </c>
      <c r="OH3" s="6" t="s">
        <v>25</v>
      </c>
      <c r="OI3" s="5">
        <f>IF(OR(ISNUMBER(OE3), ISNUMBER(OG3)), IF(ISNUMBER(OE3), OE3, 0) + IF(ISNUMBER(OG3), OG3, 0), "")</f>
        <v>65</v>
      </c>
      <c r="OJ3" s="3"/>
      <c r="OK3" s="7">
        <f t="shared" ref="OK3:OK7" si="38">IF(ISNUMBER(OI3), (NY3+(NZ3*24))-OI3, "")</f>
        <v>4</v>
      </c>
      <c r="OL3" s="5">
        <v>5</v>
      </c>
      <c r="OM3" s="7">
        <f>IF(ISNUMBER(OL3), OL3-OK3, "")</f>
        <v>1</v>
      </c>
      <c r="OO3" s="24">
        <v>48</v>
      </c>
      <c r="OP3" s="6" t="s">
        <v>25</v>
      </c>
      <c r="OQ3" s="24">
        <v>13</v>
      </c>
      <c r="OR3" s="6" t="s">
        <v>25</v>
      </c>
      <c r="OS3" s="5">
        <f>IF(OR(ISNUMBER(OO3), ISNUMBER(OQ3)), IF(ISNUMBER(OO3), OO3, 0) + IF(ISNUMBER(OQ3), OQ3, 0), "")</f>
        <v>61</v>
      </c>
      <c r="OT3" s="3"/>
      <c r="OU3" s="7">
        <f t="shared" ref="OU3:OU7" si="39">IF(ISNUMBER(OS3), (OI3+(OJ3*24))-OS3, "")</f>
        <v>4</v>
      </c>
      <c r="OV3" s="5">
        <v>3</v>
      </c>
      <c r="OW3" s="7">
        <f>IF(ISNUMBER(OV3), OV3-OU3, "")</f>
        <v>-1</v>
      </c>
      <c r="OY3" s="24">
        <v>24</v>
      </c>
      <c r="OZ3" s="6" t="s">
        <v>25</v>
      </c>
      <c r="PA3" s="24">
        <v>23</v>
      </c>
      <c r="PB3" s="6" t="s">
        <v>25</v>
      </c>
      <c r="PC3" s="5">
        <f>IF(OR(ISNUMBER(OY3), ISNUMBER(PA3)), IF(ISNUMBER(OY3), OY3, 0) + IF(ISNUMBER(PA3), PA3, 0), "")</f>
        <v>47</v>
      </c>
      <c r="PD3" s="3"/>
      <c r="PE3" s="7">
        <f t="shared" ref="PE3:PE7" si="40">IF(ISNUMBER(PC3), (OS3+(OT3*24))-PC3, "")</f>
        <v>14</v>
      </c>
      <c r="PF3" s="5">
        <v>15</v>
      </c>
      <c r="PG3" s="7">
        <f>IF(ISNUMBER(PF3), PF3-PE3, "")</f>
        <v>1</v>
      </c>
      <c r="PI3" s="2">
        <v>14</v>
      </c>
      <c r="PJ3" s="36" t="s">
        <v>25</v>
      </c>
      <c r="PK3" s="2">
        <v>21</v>
      </c>
      <c r="PL3" s="36" t="s">
        <v>25</v>
      </c>
      <c r="PM3" s="5">
        <f>IF(OR(ISNUMBER(PI3), ISNUMBER(PK3)), IF(ISNUMBER(PI3), PI3, 0) + IF(ISNUMBER(PK3), PK3, 0), "")</f>
        <v>35</v>
      </c>
      <c r="PN3" s="3"/>
      <c r="PO3" s="7">
        <f t="shared" ref="PO3:PO7" si="41">IF(ISNUMBER(PM3), (PC3+(PD3*24))-PM3, "")</f>
        <v>12</v>
      </c>
      <c r="PP3" s="5">
        <v>10</v>
      </c>
      <c r="PQ3" s="7">
        <f>IF(ISNUMBER(PP3), PP3-PO3, "")</f>
        <v>-2</v>
      </c>
      <c r="PS3" s="2">
        <v>14</v>
      </c>
      <c r="PT3" s="6" t="s">
        <v>25</v>
      </c>
      <c r="PU3" s="2">
        <v>9</v>
      </c>
      <c r="PV3" s="6" t="s">
        <v>25</v>
      </c>
      <c r="PW3" s="5">
        <f>IF(OR(ISNUMBER(PS3), ISNUMBER(PU3)), IF(ISNUMBER(PS3), PS3, 0) + IF(ISNUMBER(PU3), PU3, 0), "")</f>
        <v>23</v>
      </c>
      <c r="PX3" s="3"/>
      <c r="PY3" s="7">
        <f t="shared" ref="PY3:PY7" si="42">IF(ISNUMBER(PW3), (PM3+(PN3*24))-PW3, "")</f>
        <v>12</v>
      </c>
      <c r="PZ3" s="5">
        <v>12</v>
      </c>
      <c r="QA3" s="7">
        <f>IF(ISNUMBER(PZ3), PZ3-PY3, "")</f>
        <v>0</v>
      </c>
      <c r="QC3" s="2">
        <v>14</v>
      </c>
      <c r="QD3" s="6" t="s">
        <v>25</v>
      </c>
      <c r="QE3" s="2">
        <v>3</v>
      </c>
      <c r="QF3" s="6" t="s">
        <v>25</v>
      </c>
      <c r="QG3" s="5">
        <f>IF(OR(ISNUMBER(QC3), ISNUMBER(QE3)), IF(ISNUMBER(QC3), QC3, 0) + IF(ISNUMBER(QE3), QE3, 0), "")</f>
        <v>17</v>
      </c>
      <c r="QH3" s="3">
        <v>1</v>
      </c>
      <c r="QI3" s="7">
        <f t="shared" ref="QI3:QI7" si="43">IF(ISNUMBER(QG3), (PW3+(PX3*24))-QG3, "")</f>
        <v>6</v>
      </c>
      <c r="QJ3" s="5">
        <v>6</v>
      </c>
      <c r="QK3" s="7">
        <f>IF(ISNUMBER(QJ3), QJ3-QI3, "")</f>
        <v>0</v>
      </c>
      <c r="QM3" s="24">
        <v>16</v>
      </c>
      <c r="QN3" s="6" t="s">
        <v>25</v>
      </c>
      <c r="QO3" s="24">
        <v>9</v>
      </c>
      <c r="QP3" s="6" t="s">
        <v>25</v>
      </c>
      <c r="QQ3" s="5">
        <f>IF(OR(ISNUMBER(QM3), ISNUMBER(QO3)), IF(ISNUMBER(QM3), QM3, 0) + IF(ISNUMBER(QO3), QO3, 0), "")</f>
        <v>25</v>
      </c>
      <c r="QR3" s="3"/>
      <c r="QS3" s="7">
        <f t="shared" ref="QS3:QS7" si="44">IF(ISNUMBER(QQ3), (QG3+(QH3*24))-QQ3, "")</f>
        <v>16</v>
      </c>
      <c r="QT3" s="5">
        <v>15</v>
      </c>
      <c r="QU3" s="7">
        <f>IF(ISNUMBER(QT3), QT3-QS3, "")</f>
        <v>-1</v>
      </c>
      <c r="QW3" s="24">
        <v>8</v>
      </c>
      <c r="QX3" s="6" t="s">
        <v>25</v>
      </c>
      <c r="QY3" s="24">
        <v>4</v>
      </c>
      <c r="QZ3" s="6" t="s">
        <v>25</v>
      </c>
      <c r="RA3" s="5">
        <f>IF(OR(ISNUMBER(QW3), ISNUMBER(QY3)), IF(ISNUMBER(QW3), QW3, 0) + IF(ISNUMBER(QY3), QY3, 0), "")</f>
        <v>12</v>
      </c>
      <c r="RB3" s="3">
        <v>1</v>
      </c>
      <c r="RC3" s="7">
        <f t="shared" ref="RC3:RC7" si="45">IF(ISNUMBER(RA3), (QQ3+(QR3*24))-RA3, "")</f>
        <v>13</v>
      </c>
      <c r="RD3" s="5">
        <v>13</v>
      </c>
      <c r="RE3" s="7">
        <f>IF(ISNUMBER(RD3), RD3-RC3, "")</f>
        <v>0</v>
      </c>
      <c r="RG3" s="24">
        <v>12</v>
      </c>
      <c r="RH3" s="6" t="s">
        <v>25</v>
      </c>
      <c r="RI3" s="24">
        <v>14</v>
      </c>
      <c r="RJ3" s="6" t="s">
        <v>25</v>
      </c>
      <c r="RK3" s="5">
        <f>IF(OR(ISNUMBER(RG3), ISNUMBER(RI3)), IF(ISNUMBER(RG3), RG3, 0) + IF(ISNUMBER(RI3), RI3, 0), "")</f>
        <v>26</v>
      </c>
      <c r="RL3" s="3"/>
      <c r="RM3" s="7">
        <f t="shared" ref="RM3:RM7" si="46">IF(ISNUMBER(RK3), (RA3+(RB3*24))-RK3, "")</f>
        <v>10</v>
      </c>
      <c r="RN3" s="5">
        <v>10</v>
      </c>
      <c r="RO3" s="7">
        <f>IF(ISNUMBER(RN3), RN3-RM3, "")</f>
        <v>0</v>
      </c>
      <c r="RQ3" s="24">
        <v>12</v>
      </c>
      <c r="RR3" s="6" t="s">
        <v>25</v>
      </c>
      <c r="RS3" s="24">
        <v>12</v>
      </c>
      <c r="RT3" s="6" t="s">
        <v>25</v>
      </c>
      <c r="RU3" s="5">
        <f>IF(OR(ISNUMBER(RQ3), ISNUMBER(RS3)), IF(ISNUMBER(RQ3), RQ3, 0) + IF(ISNUMBER(RS3), RS3, 0), "")</f>
        <v>24</v>
      </c>
      <c r="RV3" s="3">
        <v>1</v>
      </c>
      <c r="RW3" s="7">
        <f t="shared" ref="RW3:RW7" si="47">IF(ISNUMBER(RU3), (RK3+(RL3*24))-RU3, "")</f>
        <v>2</v>
      </c>
      <c r="RX3" s="5">
        <v>2</v>
      </c>
      <c r="RY3" s="7">
        <f>IF(ISNUMBER(RX3), RX3-RW3, "")</f>
        <v>0</v>
      </c>
      <c r="SA3" s="2">
        <v>24</v>
      </c>
      <c r="SB3" s="6" t="s">
        <v>25</v>
      </c>
      <c r="SC3" s="2">
        <v>16</v>
      </c>
      <c r="SD3" s="6" t="s">
        <v>25</v>
      </c>
      <c r="SE3" s="5">
        <f>IF(OR(ISNUMBER(SA3), ISNUMBER(SC3)), IF(ISNUMBER(SA3), SA3, 0) + IF(ISNUMBER(SC3), SC3, 0), "")</f>
        <v>40</v>
      </c>
      <c r="SF3" s="3"/>
      <c r="SG3" s="7">
        <f t="shared" ref="SG3:SG7" si="48">IF(ISNUMBER(SE3), (RU3+(RV3*24))-SE3, "")</f>
        <v>8</v>
      </c>
      <c r="SH3" s="5">
        <v>8</v>
      </c>
      <c r="SI3" s="7">
        <f>IF(ISNUMBER(SH3), SH3-SG3, "")</f>
        <v>0</v>
      </c>
      <c r="SK3" s="24">
        <v>24</v>
      </c>
      <c r="SL3" s="6" t="s">
        <v>25</v>
      </c>
      <c r="SM3" s="24">
        <v>12</v>
      </c>
      <c r="SN3" s="6" t="s">
        <v>25</v>
      </c>
      <c r="SO3" s="5">
        <f>IF(OR(ISNUMBER(SK3), ISNUMBER(SM3)), IF(ISNUMBER(SK3), SK3, 0) + IF(ISNUMBER(SM3), SM3, 0), "")</f>
        <v>36</v>
      </c>
      <c r="SP3" s="3"/>
      <c r="SQ3" s="7">
        <f t="shared" ref="SQ3:SQ7" si="49">IF(ISNUMBER(SO3), (SE3+(SF3*24))-SO3, "")</f>
        <v>4</v>
      </c>
      <c r="SR3" s="5">
        <v>5</v>
      </c>
      <c r="SS3" s="7">
        <f>IF(ISNUMBER(SR3), SR3-SQ3, "")</f>
        <v>1</v>
      </c>
      <c r="SU3" s="24">
        <v>24</v>
      </c>
      <c r="SV3" s="6" t="s">
        <v>25</v>
      </c>
      <c r="SW3" s="24">
        <v>6</v>
      </c>
      <c r="SX3" s="6" t="s">
        <v>25</v>
      </c>
      <c r="SY3" s="5">
        <f>IF(OR(ISNUMBER(SU3), ISNUMBER(SW3)), IF(ISNUMBER(SU3), SU3, 0) + IF(ISNUMBER(SW3), SW3, 0), "")</f>
        <v>30</v>
      </c>
      <c r="SZ3" s="3"/>
      <c r="TA3" s="7">
        <f t="shared" ref="TA3:TA7" si="50">IF(ISNUMBER(SY3), (SO3+(SP3*24))-SY3, "")</f>
        <v>6</v>
      </c>
      <c r="TB3" s="5">
        <v>6</v>
      </c>
      <c r="TC3" s="7">
        <f>IF(ISNUMBER(TB3), TB3-TA3, "")</f>
        <v>0</v>
      </c>
      <c r="TE3" s="24">
        <v>16</v>
      </c>
      <c r="TF3" s="6" t="s">
        <v>25</v>
      </c>
      <c r="TG3" s="24">
        <v>11</v>
      </c>
      <c r="TH3" s="6" t="s">
        <v>25</v>
      </c>
      <c r="TI3" s="5">
        <f>IF(OR(ISNUMBER(TE3), ISNUMBER(TG3)), IF(ISNUMBER(TE3), TE3, 0) + IF(ISNUMBER(TG3), TG3, 0), "")</f>
        <v>27</v>
      </c>
      <c r="TJ3" s="3"/>
      <c r="TK3" s="7">
        <f t="shared" ref="TK3:TK7" si="51">IF(ISNUMBER(TI3), (SY3+(SZ3*24))-TI3, "")</f>
        <v>3</v>
      </c>
      <c r="TL3" s="5">
        <v>4</v>
      </c>
      <c r="TM3" s="7">
        <f>IF(ISNUMBER(TL3), TL3-TK3, "")</f>
        <v>1</v>
      </c>
      <c r="TO3" s="2">
        <v>0</v>
      </c>
      <c r="TP3" s="6" t="s">
        <v>25</v>
      </c>
      <c r="TQ3" s="2">
        <v>22</v>
      </c>
      <c r="TR3" s="6" t="s">
        <v>25</v>
      </c>
      <c r="TS3" s="5">
        <f>IF(OR(ISNUMBER(TO3), ISNUMBER(TQ3)), IF(ISNUMBER(TO3), TO3, 0) + IF(ISNUMBER(TQ3), TQ3, 0), "")</f>
        <v>22</v>
      </c>
      <c r="TT3" s="3"/>
      <c r="TU3" s="7">
        <f t="shared" ref="TU3:TU7" si="52">IF(ISNUMBER(TS3), (TI3+(TJ3*24))-TS3, "")</f>
        <v>5</v>
      </c>
      <c r="TV3" s="5">
        <v>5</v>
      </c>
      <c r="TW3" s="7">
        <f>IF(ISNUMBER(TV3), TV3-TU3, "")</f>
        <v>0</v>
      </c>
      <c r="TY3" s="24">
        <v>0</v>
      </c>
      <c r="TZ3" s="6" t="s">
        <v>25</v>
      </c>
      <c r="UA3" s="24">
        <v>18</v>
      </c>
      <c r="UB3" s="6" t="s">
        <v>25</v>
      </c>
      <c r="UC3" s="5">
        <f>IF(OR(ISNUMBER(TY3), ISNUMBER(UA3)), IF(ISNUMBER(TY3), TY3, 0) + IF(ISNUMBER(UA3), UA3, 0), "")</f>
        <v>18</v>
      </c>
      <c r="UD3" s="3"/>
      <c r="UE3" s="7">
        <f t="shared" ref="UE3:UE7" si="53">IF(ISNUMBER(UC3), (TS3+(TT3*24))-UC3, "")</f>
        <v>4</v>
      </c>
      <c r="UF3" s="5">
        <v>4</v>
      </c>
      <c r="UG3" s="7">
        <f>IF(ISNUMBER(UF3), UF3-UE3, "")</f>
        <v>0</v>
      </c>
      <c r="UI3" s="2">
        <v>0</v>
      </c>
      <c r="UJ3" s="6" t="s">
        <v>25</v>
      </c>
      <c r="UK3" s="2">
        <v>14</v>
      </c>
      <c r="UL3" s="6" t="s">
        <v>25</v>
      </c>
      <c r="UM3" s="5">
        <f>IF(OR(ISNUMBER(UI3), ISNUMBER(UK3)), IF(ISNUMBER(UI3), UI3, 0) + IF(ISNUMBER(UK3), UK3, 0), "")</f>
        <v>14</v>
      </c>
      <c r="UN3" s="3"/>
      <c r="UO3" s="7">
        <f t="shared" ref="UO3:UO7" si="54">IF(ISNUMBER(UM3), (UC3+(UD3*24))-UM3, "")</f>
        <v>4</v>
      </c>
      <c r="UP3" s="5">
        <v>4</v>
      </c>
      <c r="UQ3" s="7">
        <f>IF(ISNUMBER(UP3), UP3-UO3, "")</f>
        <v>0</v>
      </c>
      <c r="US3" s="2">
        <v>0</v>
      </c>
      <c r="UT3" s="6" t="s">
        <v>25</v>
      </c>
      <c r="UU3" s="2">
        <v>14</v>
      </c>
      <c r="UV3" s="6" t="s">
        <v>25</v>
      </c>
      <c r="UW3" s="5">
        <f>IF(OR(ISNUMBER(US3), ISNUMBER(UU3)), IF(ISNUMBER(US3), US3, 0) + IF(ISNUMBER(UU3), UU3, 0), "")</f>
        <v>14</v>
      </c>
      <c r="UX3" s="35">
        <v>2</v>
      </c>
      <c r="UY3" s="7">
        <f t="shared" ref="UY3:UY7" si="55">IF(ISNUMBER(UW3), (UM3+(UN3*24))-UW3, "")</f>
        <v>0</v>
      </c>
      <c r="UZ3" s="5"/>
      <c r="VA3" s="7" t="str">
        <f>IF(ISNUMBER(UZ3), UZ3-UY3, "")</f>
        <v/>
      </c>
      <c r="VC3" s="24">
        <v>48</v>
      </c>
      <c r="VD3" s="6" t="s">
        <v>25</v>
      </c>
      <c r="VE3" s="24">
        <v>7</v>
      </c>
      <c r="VF3" s="6" t="s">
        <v>25</v>
      </c>
      <c r="VG3" s="5">
        <f>IF(OR(ISNUMBER(VC3), ISNUMBER(VE3)), IF(ISNUMBER(VC3), VC3, 0) + IF(ISNUMBER(VE3), VE3, 0), "")</f>
        <v>55</v>
      </c>
      <c r="VH3" s="3"/>
      <c r="VI3" s="7">
        <f t="shared" ref="VI3:VI7" si="56">IF(ISNUMBER(VG3), (UW3+(UX3*24))-VG3, "")</f>
        <v>7</v>
      </c>
      <c r="VJ3" s="5">
        <v>7</v>
      </c>
      <c r="VK3" s="7">
        <f>IF(ISNUMBER(VJ3), VJ3-VI3, "")</f>
        <v>0</v>
      </c>
      <c r="VM3" s="24">
        <v>40</v>
      </c>
      <c r="VN3" s="6" t="s">
        <v>25</v>
      </c>
      <c r="VO3" s="24">
        <v>8</v>
      </c>
      <c r="VP3" s="6" t="s">
        <v>25</v>
      </c>
      <c r="VQ3" s="5">
        <f>IF(OR(ISNUMBER(VM3), ISNUMBER(VO3)), IF(ISNUMBER(VM3), VM3, 0) + IF(ISNUMBER(VO3), VO3, 0), "")</f>
        <v>48</v>
      </c>
      <c r="VR3" s="3"/>
      <c r="VS3" s="7">
        <f t="shared" ref="VS3:VS7" si="57">IF(ISNUMBER(VQ3), (VG3+(VH3*24))-VQ3, "")</f>
        <v>7</v>
      </c>
      <c r="VT3" s="5">
        <v>5</v>
      </c>
      <c r="VU3" s="7">
        <f>IF(ISNUMBER(VT3), VT3-VS3, "")</f>
        <v>-2</v>
      </c>
      <c r="VW3" s="2">
        <v>24</v>
      </c>
      <c r="VX3" s="6" t="s">
        <v>25</v>
      </c>
      <c r="VY3" s="2">
        <v>17</v>
      </c>
      <c r="VZ3" s="6" t="s">
        <v>25</v>
      </c>
      <c r="WA3" s="40">
        <f>IF(OR(ISNUMBER(VW3), ISNUMBER(VY3)), IF(ISNUMBER(VW3), VW3, 0) + IF(ISNUMBER(VY3), VY3, 0), "")</f>
        <v>41</v>
      </c>
      <c r="WB3" s="3"/>
      <c r="WC3" s="7">
        <f t="shared" ref="WC3:WC7" si="58">IF(ISNUMBER(WA3), (VQ3+(VR3*24))-WA3, "")</f>
        <v>7</v>
      </c>
      <c r="WD3" s="5">
        <v>7</v>
      </c>
      <c r="WE3" s="7">
        <f>IF(ISNUMBER(WD3), WD3-WC3, "")</f>
        <v>0</v>
      </c>
      <c r="WG3" s="24">
        <v>24</v>
      </c>
      <c r="WH3" s="6" t="s">
        <v>25</v>
      </c>
      <c r="WI3" s="24">
        <v>12</v>
      </c>
      <c r="WJ3" s="6" t="s">
        <v>25</v>
      </c>
      <c r="WK3" s="5">
        <f>IF(OR(ISNUMBER(WG3), ISNUMBER(WI3)), IF(ISNUMBER(WG3), WG3, 0) + IF(ISNUMBER(WI3), WI3, 0), "")</f>
        <v>36</v>
      </c>
      <c r="WL3" s="3"/>
      <c r="WM3" s="7">
        <f t="shared" ref="WM3:WM7" si="59">IF(ISNUMBER(WK3), (WA3+(WB3*24))-WK3, "")</f>
        <v>5</v>
      </c>
      <c r="WN3" s="5">
        <v>6</v>
      </c>
      <c r="WO3" s="7">
        <f>IF(ISNUMBER(WN3), WN3-WM3, "")</f>
        <v>1</v>
      </c>
      <c r="WQ3" s="24">
        <v>18</v>
      </c>
      <c r="WR3" s="6" t="s">
        <v>25</v>
      </c>
      <c r="WS3" s="24">
        <v>10</v>
      </c>
      <c r="WT3" s="6" t="s">
        <v>25</v>
      </c>
      <c r="WU3" s="5">
        <f>IF(OR(ISNUMBER(WQ3), ISNUMBER(WS3)), IF(ISNUMBER(WQ3), WQ3, 0) + IF(ISNUMBER(WS3), WS3, 0), "")</f>
        <v>28</v>
      </c>
      <c r="WV3" s="3"/>
      <c r="WW3" s="7">
        <f t="shared" ref="WW3:WW7" si="60">IF(ISNUMBER(WU3), (WK3+(WL3*24))-WU3, "")</f>
        <v>8</v>
      </c>
      <c r="WX3" s="5">
        <v>8</v>
      </c>
      <c r="WY3" s="7">
        <f>IF(ISNUMBER(WX3), WX3-WW3, "")</f>
        <v>0</v>
      </c>
      <c r="XA3" s="24">
        <v>15</v>
      </c>
      <c r="XB3" s="6" t="s">
        <v>25</v>
      </c>
      <c r="XC3" s="24">
        <v>9</v>
      </c>
      <c r="XD3" s="6" t="s">
        <v>25</v>
      </c>
      <c r="XE3" s="5">
        <f>IF(OR(ISNUMBER(XA3), ISNUMBER(XC3)), IF(ISNUMBER(XA3), XA3, 0) + IF(ISNUMBER(XC3), XC3, 0), "")</f>
        <v>24</v>
      </c>
      <c r="XF3" s="3"/>
      <c r="XG3" s="7">
        <f t="shared" ref="XG3:XG7" si="61">IF(ISNUMBER(XE3), (WU3+(WV3*24))-XE3, "")</f>
        <v>4</v>
      </c>
      <c r="XH3" s="5">
        <v>4</v>
      </c>
      <c r="XI3" s="7">
        <f>IF(ISNUMBER(XH3), XH3-XG3, "")</f>
        <v>0</v>
      </c>
      <c r="XK3" s="24">
        <v>15</v>
      </c>
      <c r="XL3" s="6" t="s">
        <v>25</v>
      </c>
      <c r="XM3" s="24">
        <v>8</v>
      </c>
      <c r="XN3" s="6" t="s">
        <v>25</v>
      </c>
      <c r="XO3" s="5">
        <f>IF(OR(ISNUMBER(XK3), ISNUMBER(XM3)), IF(ISNUMBER(XK3), XK3, 0) + IF(ISNUMBER(XM3), XM3, 0), "")</f>
        <v>23</v>
      </c>
      <c r="XP3" s="3"/>
      <c r="XQ3" s="7">
        <f t="shared" ref="XQ3:XQ7" si="62">IF(ISNUMBER(XO3), (XE3+(XF3*24))-XO3, "")</f>
        <v>1</v>
      </c>
      <c r="XR3" s="5">
        <v>1</v>
      </c>
      <c r="XS3" s="7">
        <f>IF(ISNUMBER(XR3), XR3-XQ3, "")</f>
        <v>0</v>
      </c>
      <c r="XU3" s="24">
        <v>15</v>
      </c>
      <c r="XV3" s="6" t="s">
        <v>25</v>
      </c>
      <c r="XW3" s="24">
        <v>8</v>
      </c>
      <c r="XX3" s="6" t="s">
        <v>25</v>
      </c>
      <c r="XY3" s="5">
        <f>IF(OR(ISNUMBER(XU3), ISNUMBER(XW3)), IF(ISNUMBER(XU3), XU3, 0) + IF(ISNUMBER(XW3), XW3, 0), "")</f>
        <v>23</v>
      </c>
      <c r="XZ3" s="3"/>
      <c r="YA3" s="7">
        <f t="shared" ref="YA3:YA7" si="63">IF(ISNUMBER(XY3), (XO3+(XP3*24))-XY3, "")</f>
        <v>0</v>
      </c>
      <c r="YB3" s="5"/>
      <c r="YC3" s="7" t="str">
        <f>IF(ISNUMBER(YB3), YB3-YA3, "")</f>
        <v/>
      </c>
      <c r="YE3" s="24">
        <v>9</v>
      </c>
      <c r="YF3" s="6" t="s">
        <v>25</v>
      </c>
      <c r="YG3" s="24">
        <v>7</v>
      </c>
      <c r="YH3" s="6" t="s">
        <v>25</v>
      </c>
      <c r="YI3" s="5">
        <f>IF(OR(ISNUMBER(YE3), ISNUMBER(YG3)), IF(ISNUMBER(YE3), YE3, 0) + IF(ISNUMBER(YG3), YG3, 0), "")</f>
        <v>16</v>
      </c>
      <c r="YJ3" s="3"/>
      <c r="YK3" s="7">
        <f t="shared" ref="YK3:YK7" si="64">IF(ISNUMBER(YI3), (XY3+(XZ3*24))-YI3, "")</f>
        <v>7</v>
      </c>
      <c r="YL3" s="5">
        <v>7</v>
      </c>
      <c r="YM3" s="7">
        <f>IF(ISNUMBER(YL3), YL3-YK3, "")</f>
        <v>0</v>
      </c>
      <c r="YO3" s="24">
        <v>3</v>
      </c>
      <c r="YP3" s="6" t="s">
        <v>25</v>
      </c>
      <c r="YQ3" s="24">
        <v>7</v>
      </c>
      <c r="YR3" s="6" t="s">
        <v>25</v>
      </c>
      <c r="YS3" s="5">
        <f>IF(OR(ISNUMBER(YO3), ISNUMBER(YQ3)), IF(ISNUMBER(YO3), YO3, 0) + IF(ISNUMBER(YQ3), YQ3, 0), "")</f>
        <v>10</v>
      </c>
      <c r="YT3" s="3">
        <v>1</v>
      </c>
      <c r="YU3" s="7">
        <f t="shared" ref="YU3:YU7" si="65">IF(ISNUMBER(YS3), (YI3+(YJ3*24))-YS3, "")</f>
        <v>6</v>
      </c>
      <c r="YV3" s="5">
        <v>6</v>
      </c>
      <c r="YW3" s="7">
        <f>IF(ISNUMBER(YV3), YV3-YU3, "")</f>
        <v>0</v>
      </c>
      <c r="YY3" s="2">
        <v>18</v>
      </c>
      <c r="YZ3" s="6" t="s">
        <v>25</v>
      </c>
      <c r="ZA3" s="2">
        <v>15</v>
      </c>
      <c r="ZB3" s="6" t="s">
        <v>25</v>
      </c>
      <c r="ZC3" s="5">
        <f>IF(OR(ISNUMBER(YY3), ISNUMBER(ZA3)), IF(ISNUMBER(YY3), YY3, 0) + IF(ISNUMBER(ZA3), ZA3, 0), "")</f>
        <v>33</v>
      </c>
      <c r="ZD3" s="3"/>
      <c r="ZE3" s="7">
        <f t="shared" ref="ZE3:ZE7" si="66">IF(ISNUMBER(ZC3), (YS3+(YT3*24))-ZC3, "")</f>
        <v>1</v>
      </c>
      <c r="ZF3" s="5">
        <v>1</v>
      </c>
      <c r="ZG3" s="7">
        <f>IF(ISNUMBER(ZF3), ZF3-ZE3, "")</f>
        <v>0</v>
      </c>
      <c r="ZI3" s="24">
        <v>18</v>
      </c>
      <c r="ZJ3" s="6" t="s">
        <v>25</v>
      </c>
      <c r="ZK3" s="24">
        <v>9</v>
      </c>
      <c r="ZL3" s="6" t="s">
        <v>25</v>
      </c>
      <c r="ZM3" s="5">
        <f>IF(OR(ISNUMBER(ZI3), ISNUMBER(ZK3)), IF(ISNUMBER(ZI3), ZI3, 0) + IF(ISNUMBER(ZK3), ZK3, 0), "")</f>
        <v>27</v>
      </c>
      <c r="ZN3" s="3"/>
      <c r="ZO3" s="7">
        <f t="shared" ref="ZO3:ZO7" si="67">IF(ISNUMBER(ZM3), (ZC3+(ZD3*24))-ZM3, "")</f>
        <v>6</v>
      </c>
      <c r="ZP3" s="5">
        <v>6</v>
      </c>
      <c r="ZQ3" s="7">
        <f>IF(ISNUMBER(ZP3), ZP3-ZO3, "")</f>
        <v>0</v>
      </c>
      <c r="ZS3" s="24">
        <v>12</v>
      </c>
      <c r="ZT3" s="6" t="s">
        <v>25</v>
      </c>
      <c r="ZU3" s="24">
        <v>14</v>
      </c>
      <c r="ZV3" s="6" t="s">
        <v>25</v>
      </c>
      <c r="ZW3" s="5">
        <f>IF(OR(ISNUMBER(ZS3), ISNUMBER(ZU3)), IF(ISNUMBER(ZS3), ZS3, 0) + IF(ISNUMBER(ZU3), ZU3, 0), "")</f>
        <v>26</v>
      </c>
      <c r="ZX3" s="3"/>
      <c r="ZY3" s="7">
        <f t="shared" ref="ZY3:ZY7" si="68">IF(ISNUMBER(ZW3), (ZM3+(ZN3*24))-ZW3, "")</f>
        <v>1</v>
      </c>
      <c r="ZZ3" s="5">
        <v>1</v>
      </c>
      <c r="AAA3" s="7">
        <f>IF(ISNUMBER(ZZ3), ZZ3-ZY3, "")</f>
        <v>0</v>
      </c>
      <c r="AAC3" s="24">
        <v>0</v>
      </c>
      <c r="AAD3" s="6" t="s">
        <v>25</v>
      </c>
      <c r="AAE3" s="24">
        <v>21</v>
      </c>
      <c r="AAF3" s="6" t="s">
        <v>25</v>
      </c>
      <c r="AAG3" s="5">
        <f>IF(OR(ISNUMBER(AAC3), ISNUMBER(AAE3)), IF(ISNUMBER(AAC3), AAC3, 0) + IF(ISNUMBER(AAE3), AAE3, 0), "")</f>
        <v>21</v>
      </c>
      <c r="AAH3" s="3"/>
      <c r="AAI3" s="7">
        <f t="shared" ref="AAI3:AAI7" si="69">IF(ISNUMBER(AAG3), (ZW3+(ZX3*24))-AAG3, "")</f>
        <v>5</v>
      </c>
      <c r="AAJ3" s="5">
        <v>5</v>
      </c>
      <c r="AAK3" s="7">
        <f>IF(ISNUMBER(AAJ3), AAJ3-AAI3, "")</f>
        <v>0</v>
      </c>
      <c r="AAM3" s="24">
        <v>0</v>
      </c>
      <c r="AAN3" s="6" t="s">
        <v>25</v>
      </c>
      <c r="AAO3" s="24">
        <v>16</v>
      </c>
      <c r="AAP3" s="6" t="s">
        <v>25</v>
      </c>
      <c r="AAQ3" s="5">
        <f>IF(OR(ISNUMBER(AAM3), ISNUMBER(AAO3)), IF(ISNUMBER(AAM3), AAM3, 0) + IF(ISNUMBER(AAO3), AAO3, 0), "")</f>
        <v>16</v>
      </c>
      <c r="AAR3" s="3"/>
      <c r="AAS3" s="7">
        <f t="shared" ref="AAS3:AAS7" si="70">IF(ISNUMBER(AAQ3), (AAG3+(AAH3*24))-AAQ3, "")</f>
        <v>5</v>
      </c>
      <c r="AAT3" s="5">
        <v>5</v>
      </c>
      <c r="AAU3" s="7">
        <f>IF(ISNUMBER(AAT3), AAT3-AAS3, "")</f>
        <v>0</v>
      </c>
      <c r="AAW3" s="2">
        <v>0</v>
      </c>
      <c r="AAX3" s="6" t="s">
        <v>25</v>
      </c>
      <c r="AAY3" s="2">
        <v>10</v>
      </c>
      <c r="AAZ3" s="6" t="s">
        <v>25</v>
      </c>
      <c r="ABA3" s="5">
        <f>IF(OR(ISNUMBER(AAW3), ISNUMBER(AAY3)), IF(ISNUMBER(AAW3), AAW3, 0) + IF(ISNUMBER(AAY3), AAY3, 0), "")</f>
        <v>10</v>
      </c>
      <c r="ABB3" s="3"/>
      <c r="ABC3" s="7">
        <f t="shared" ref="ABC3:ABC7" si="71">IF(ISNUMBER(ABA3), (AAQ3+(AAR3*24))-ABA3, "")</f>
        <v>6</v>
      </c>
      <c r="ABD3" s="5">
        <v>6</v>
      </c>
      <c r="ABE3" s="7">
        <f>IF(ISNUMBER(ABD3), ABD3-ABC3, "")</f>
        <v>0</v>
      </c>
      <c r="ABG3" s="24">
        <v>0</v>
      </c>
      <c r="ABH3" s="6" t="s">
        <v>25</v>
      </c>
      <c r="ABI3" s="24">
        <v>10</v>
      </c>
      <c r="ABJ3" s="6" t="s">
        <v>25</v>
      </c>
      <c r="ABK3" s="5">
        <f>IF(OR(ISNUMBER(ABG3), ISNUMBER(ABI3)), IF(ISNUMBER(ABG3), ABG3, 0) + IF(ISNUMBER(ABI3), ABI3, 0), "")</f>
        <v>10</v>
      </c>
      <c r="ABL3" s="3"/>
      <c r="ABM3" s="7">
        <f t="shared" ref="ABM3:ABM7" si="72">IF(ISNUMBER(ABK3), (ABA3+(ABB3*24))-ABK3, "")</f>
        <v>0</v>
      </c>
      <c r="ABN3" s="5"/>
      <c r="ABO3" s="7" t="str">
        <f>IF(ISNUMBER(ABN3), ABN3-ABM3, "")</f>
        <v/>
      </c>
      <c r="ABQ3" s="24">
        <v>0</v>
      </c>
      <c r="ABR3" s="6" t="s">
        <v>25</v>
      </c>
      <c r="ABS3" s="24">
        <v>6</v>
      </c>
      <c r="ABT3" s="6" t="s">
        <v>25</v>
      </c>
      <c r="ABU3" s="5">
        <f>IF(OR(ISNUMBER(ABQ3), ISNUMBER(ABS3)), IF(ISNUMBER(ABQ3), ABQ3, 0) + IF(ISNUMBER(ABS3), ABS3, 0), "")</f>
        <v>6</v>
      </c>
      <c r="ABV3" s="3">
        <v>1</v>
      </c>
      <c r="ABW3" s="7">
        <f t="shared" ref="ABW3:ABW7" si="73">IF(ISNUMBER(ABU3), (ABK3+(ABL3*24))-ABU3, "")</f>
        <v>4</v>
      </c>
      <c r="ABX3" s="5">
        <v>4</v>
      </c>
      <c r="ABY3" s="7">
        <f>IF(ISNUMBER(ABX3), ABX3-ABW3, "")</f>
        <v>0</v>
      </c>
      <c r="ACA3" s="24">
        <v>0</v>
      </c>
      <c r="ACB3" s="6" t="s">
        <v>25</v>
      </c>
      <c r="ACC3" s="24">
        <v>29</v>
      </c>
      <c r="ACD3" s="6" t="s">
        <v>25</v>
      </c>
      <c r="ACE3" s="5">
        <f>IF(OR(ISNUMBER(ACA3), ISNUMBER(ACC3)), IF(ISNUMBER(ACA3), ACA3, 0) + IF(ISNUMBER(ACC3), ACC3, 0), "")</f>
        <v>29</v>
      </c>
      <c r="ACF3" s="3"/>
      <c r="ACG3" s="7">
        <f t="shared" ref="ACG3:ACG7" si="74">IF(ISNUMBER(ACE3), (ABU3+(ABV3*24))-ACE3, "")</f>
        <v>1</v>
      </c>
      <c r="ACH3" s="5">
        <v>1</v>
      </c>
      <c r="ACI3" s="7">
        <f>IF(ISNUMBER(ACH3), ACH3-ACG3, "")</f>
        <v>0</v>
      </c>
      <c r="ACK3" s="2">
        <v>0</v>
      </c>
      <c r="ACL3" s="6" t="s">
        <v>25</v>
      </c>
      <c r="ACM3" s="2">
        <v>25</v>
      </c>
      <c r="ACN3" s="6" t="s">
        <v>25</v>
      </c>
      <c r="ACO3" s="5">
        <f>IF(OR(ISNUMBER(ACK3), ISNUMBER(ACM3)), IF(ISNUMBER(ACK3), ACK3, 0) + IF(ISNUMBER(ACM3), ACM3, 0), "")</f>
        <v>25</v>
      </c>
      <c r="ACP3" s="3"/>
      <c r="ACQ3" s="7">
        <f t="shared" ref="ACQ3:ACQ7" si="75">IF(ISNUMBER(ACO3), (ACE3+(ACF3*24))-ACO3, "")</f>
        <v>4</v>
      </c>
      <c r="ACR3" s="5">
        <v>4</v>
      </c>
      <c r="ACS3" s="7">
        <f>IF(ISNUMBER(ACR3), ACR3-ACQ3, "")</f>
        <v>0</v>
      </c>
      <c r="ACU3" s="2">
        <v>0</v>
      </c>
      <c r="ACV3" s="6" t="s">
        <v>25</v>
      </c>
      <c r="ACW3" s="2">
        <v>23</v>
      </c>
      <c r="ACX3" s="6" t="s">
        <v>25</v>
      </c>
      <c r="ACY3" s="5">
        <f>IF(OR(ISNUMBER(ACU3), ISNUMBER(ACW3)), IF(ISNUMBER(ACU3), ACU3, 0) + IF(ISNUMBER(ACW3), ACW3, 0), "")</f>
        <v>23</v>
      </c>
      <c r="ACZ3" s="3"/>
      <c r="ADA3" s="7">
        <f t="shared" ref="ADA3:ADA7" si="76">IF(ISNUMBER(ACY3), (ACO3+(ACP3*24))-ACY3, "")</f>
        <v>2</v>
      </c>
      <c r="ADB3" s="5">
        <v>2</v>
      </c>
      <c r="ADC3" s="7">
        <f>IF(ISNUMBER(ADB3), ADB3-ADA3, "")</f>
        <v>0</v>
      </c>
      <c r="ADE3" s="24">
        <v>0</v>
      </c>
      <c r="ADF3" s="6" t="s">
        <v>25</v>
      </c>
      <c r="ADG3" s="24">
        <v>19</v>
      </c>
      <c r="ADH3" s="6" t="s">
        <v>25</v>
      </c>
      <c r="ADI3" s="5">
        <f>IF(OR(ISNUMBER(ADE3), ISNUMBER(ADG3)), IF(ISNUMBER(ADE3), ADE3, 0) + IF(ISNUMBER(ADG3), ADG3, 0), "")</f>
        <v>19</v>
      </c>
      <c r="ADJ3" s="3">
        <v>1</v>
      </c>
      <c r="ADK3" s="7">
        <f t="shared" ref="ADK3:ADK7" si="77">IF(ISNUMBER(ADI3), (ACY3+(ACZ3*24))-ADI3, "")</f>
        <v>4</v>
      </c>
      <c r="ADL3" s="5">
        <v>4</v>
      </c>
      <c r="ADM3" s="7">
        <f>IF(ISNUMBER(ADL3), ADL3-ADK3, "")</f>
        <v>0</v>
      </c>
      <c r="ADO3" s="24">
        <v>24</v>
      </c>
      <c r="ADP3" s="6" t="s">
        <v>25</v>
      </c>
      <c r="ADQ3" s="24">
        <v>17</v>
      </c>
      <c r="ADR3" s="6" t="s">
        <v>25</v>
      </c>
      <c r="ADS3" s="5">
        <f>IF(OR(ISNUMBER(ADO3), ISNUMBER(ADQ3)), IF(ISNUMBER(ADO3), ADO3, 0) + IF(ISNUMBER(ADQ3), ADQ3, 0), "")</f>
        <v>41</v>
      </c>
      <c r="ADT3" s="3"/>
      <c r="ADU3" s="7">
        <f t="shared" ref="ADU3:ADU7" si="78">IF(ISNUMBER(ADS3), (ADI3+(ADJ3*24))-ADS3, "")</f>
        <v>2</v>
      </c>
      <c r="ADV3" s="5">
        <v>2</v>
      </c>
      <c r="ADW3" s="7">
        <f>IF(ISNUMBER(ADV3), ADV3-ADU3, "")</f>
        <v>0</v>
      </c>
      <c r="ADY3" s="24">
        <v>24</v>
      </c>
      <c r="ADZ3" s="6" t="s">
        <v>25</v>
      </c>
      <c r="AEA3" s="24">
        <v>15</v>
      </c>
      <c r="AEB3" s="6" t="s">
        <v>25</v>
      </c>
      <c r="AEC3" s="5">
        <f>IF(OR(ISNUMBER(ADY3), ISNUMBER(AEA3)), IF(ISNUMBER(ADY3), ADY3, 0) + IF(ISNUMBER(AEA3), AEA3, 0), "")</f>
        <v>39</v>
      </c>
      <c r="AED3" s="3"/>
      <c r="AEE3" s="7">
        <f t="shared" ref="AEE3:AEE7" si="79">IF(ISNUMBER(AEC3), (ADS3+(ADT3*24))-AEC3, "")</f>
        <v>2</v>
      </c>
      <c r="AEF3" s="5">
        <v>2</v>
      </c>
      <c r="AEG3" s="7">
        <f>IF(ISNUMBER(AEF3), AEF3-AEE3, "")</f>
        <v>0</v>
      </c>
      <c r="AEI3" s="2">
        <v>24</v>
      </c>
      <c r="AEJ3" s="6" t="s">
        <v>25</v>
      </c>
      <c r="AEK3" s="2">
        <v>9</v>
      </c>
      <c r="AEL3" s="6" t="s">
        <v>25</v>
      </c>
      <c r="AEM3" s="5">
        <f>IF(OR(ISNUMBER(AEI3), ISNUMBER(AEK3)), IF(ISNUMBER(AEI3), AEI3, 0) + IF(ISNUMBER(AEK3), AEK3, 0), "")</f>
        <v>33</v>
      </c>
      <c r="AEN3" s="3"/>
      <c r="AEO3" s="7">
        <f t="shared" ref="AEO3:AEO7" si="80">IF(ISNUMBER(AEM3), (AEC3+(AED3*24))-AEM3, "")</f>
        <v>6</v>
      </c>
      <c r="AEP3" s="5">
        <v>6</v>
      </c>
      <c r="AEQ3" s="7">
        <f>IF(ISNUMBER(AEP3), AEP3-AEO3, "")</f>
        <v>0</v>
      </c>
      <c r="AES3" s="24">
        <v>24</v>
      </c>
      <c r="AET3" s="6" t="s">
        <v>25</v>
      </c>
      <c r="AEU3" s="24">
        <v>4</v>
      </c>
      <c r="AEV3" s="6" t="s">
        <v>25</v>
      </c>
      <c r="AEW3" s="5">
        <f>IF(OR(ISNUMBER(AES3), ISNUMBER(AEU3)), IF(ISNUMBER(AES3), AES3, 0) + IF(ISNUMBER(AEU3), AEU3, 0), "")</f>
        <v>28</v>
      </c>
      <c r="AEX3" s="3"/>
      <c r="AEY3" s="7">
        <f t="shared" ref="AEY3:AEY7" si="81">IF(ISNUMBER(AEW3), (AEM3+(AEN3*24))-AEW3, "")</f>
        <v>5</v>
      </c>
      <c r="AEZ3" s="5">
        <v>5</v>
      </c>
      <c r="AFA3" s="7">
        <f>IF(ISNUMBER(AEZ3), AEZ3-AEY3, "")</f>
        <v>0</v>
      </c>
      <c r="AFC3" s="24">
        <v>0</v>
      </c>
      <c r="AFD3" s="6" t="s">
        <v>25</v>
      </c>
      <c r="AFE3" s="24">
        <v>17</v>
      </c>
      <c r="AFF3" s="6" t="s">
        <v>25</v>
      </c>
      <c r="AFG3" s="5">
        <f>IF(OR(ISNUMBER(AFC3), ISNUMBER(AFE3)), IF(ISNUMBER(AFC3), AFC3, 0) + IF(ISNUMBER(AFE3), AFE3, 0), "")</f>
        <v>17</v>
      </c>
      <c r="AFH3" s="3"/>
      <c r="AFI3" s="7">
        <f t="shared" ref="AFI3:AFI7" si="82">IF(ISNUMBER(AFG3), (AEW3+(AEX3*24))-AFG3, "")</f>
        <v>11</v>
      </c>
      <c r="AFJ3" s="5">
        <v>10</v>
      </c>
      <c r="AFK3" s="7">
        <f>IF(ISNUMBER(AFJ3), AFJ3-AFI3, "")</f>
        <v>-1</v>
      </c>
      <c r="AFM3" s="2">
        <v>0</v>
      </c>
      <c r="AFN3" s="6" t="s">
        <v>25</v>
      </c>
      <c r="AFO3" s="2">
        <v>16</v>
      </c>
      <c r="AFP3" s="6" t="s">
        <v>25</v>
      </c>
      <c r="AFQ3" s="5">
        <f>IF(OR(ISNUMBER(AFM3), ISNUMBER(AFO3)), IF(ISNUMBER(AFM3), AFM3, 0) + IF(ISNUMBER(AFO3), AFO3, 0), "")</f>
        <v>16</v>
      </c>
      <c r="AFR3" s="3">
        <v>1</v>
      </c>
      <c r="AFS3" s="7">
        <f t="shared" ref="AFS3:AFS7" si="83">IF(ISNUMBER(AFQ3), (AFG3+(AFH3*24))-AFQ3, "")</f>
        <v>1</v>
      </c>
      <c r="AFT3" s="5">
        <v>1</v>
      </c>
      <c r="AFU3" s="7">
        <f>IF(ISNUMBER(AFT3), AFT3-AFS3, "")</f>
        <v>0</v>
      </c>
      <c r="AFW3" s="2">
        <v>0</v>
      </c>
      <c r="AFX3" s="6" t="s">
        <v>25</v>
      </c>
      <c r="AFY3" s="2">
        <v>32</v>
      </c>
      <c r="AFZ3" s="6" t="s">
        <v>25</v>
      </c>
      <c r="AGA3" s="5">
        <f>IF(OR(ISNUMBER(AFW3), ISNUMBER(AFY3)), IF(ISNUMBER(AFW3), AFW3, 0) + IF(ISNUMBER(AFY3), AFY3, 0), "")</f>
        <v>32</v>
      </c>
      <c r="AGB3" s="3"/>
      <c r="AGC3" s="7">
        <f t="shared" ref="AGC3:AGC7" si="84">IF(ISNUMBER(AGA3), (AFQ3+(AFR3*24))-AGA3, "")</f>
        <v>8</v>
      </c>
      <c r="AGD3" s="5">
        <v>8</v>
      </c>
      <c r="AGE3" s="7">
        <f>IF(ISNUMBER(AGD3), AGD3-AGC3, "")</f>
        <v>0</v>
      </c>
      <c r="AGG3" s="2">
        <v>0</v>
      </c>
      <c r="AGH3" s="6" t="s">
        <v>25</v>
      </c>
      <c r="AGI3" s="2">
        <v>29</v>
      </c>
      <c r="AGJ3" s="6" t="s">
        <v>25</v>
      </c>
      <c r="AGK3" s="5">
        <f>IF(OR(ISNUMBER(AGG3), ISNUMBER(AGI3)), IF(ISNUMBER(AGG3), AGG3, 0) + IF(ISNUMBER(AGI3), AGI3, 0), "")</f>
        <v>29</v>
      </c>
      <c r="AGL3" s="3"/>
      <c r="AGM3" s="7">
        <f t="shared" ref="AGM3:AGM7" si="85">IF(ISNUMBER(AGK3), (AGA3+(AGB3*24))-AGK3, "")</f>
        <v>3</v>
      </c>
      <c r="AGN3" s="5">
        <v>3</v>
      </c>
      <c r="AGO3" s="7">
        <f>IF(ISNUMBER(AGN3), AGN3-AGM3, "")</f>
        <v>0</v>
      </c>
      <c r="AGQ3" s="24">
        <v>0</v>
      </c>
      <c r="AGR3" s="6" t="s">
        <v>25</v>
      </c>
      <c r="AGS3" s="24">
        <v>23</v>
      </c>
      <c r="AGT3" s="6" t="s">
        <v>25</v>
      </c>
      <c r="AGU3" s="5">
        <f>IF(OR(ISNUMBER(AGQ3), ISNUMBER(AGS3)), IF(ISNUMBER(AGQ3), AGQ3, 0) + IF(ISNUMBER(AGS3), AGS3, 0), "")</f>
        <v>23</v>
      </c>
      <c r="AGV3" s="3"/>
      <c r="AGW3" s="7">
        <f t="shared" ref="AGW3:AGW7" si="86">IF(ISNUMBER(AGU3), (AGK3+(AGL3*24))-AGU3, "")</f>
        <v>6</v>
      </c>
      <c r="AGX3" s="5">
        <v>6</v>
      </c>
      <c r="AGY3" s="7">
        <f>IF(ISNUMBER(AGX3), AGX3-AGW3, "")</f>
        <v>0</v>
      </c>
      <c r="AHA3" s="24">
        <v>0</v>
      </c>
      <c r="AHB3" s="6" t="s">
        <v>25</v>
      </c>
      <c r="AHC3" s="24">
        <v>17</v>
      </c>
      <c r="AHD3" s="6" t="s">
        <v>25</v>
      </c>
      <c r="AHE3" s="5">
        <f>IF(OR(ISNUMBER(AHA3), ISNUMBER(AHC3)), IF(ISNUMBER(AHA3), AHA3, 0) + IF(ISNUMBER(AHC3), AHC3, 0), "")</f>
        <v>17</v>
      </c>
      <c r="AHF3" s="3">
        <v>2</v>
      </c>
      <c r="AHG3" s="7">
        <f t="shared" ref="AHG3:AHG7" si="87">IF(ISNUMBER(AHE3), (AGU3+(AGV3*24))-AHE3, "")</f>
        <v>6</v>
      </c>
      <c r="AHH3" s="5">
        <v>6</v>
      </c>
      <c r="AHI3" s="10">
        <f t="shared" ref="AHI3:AHI7" si="88">IF(ISNUMBER(AHH3), AHH3-AHG3, "")</f>
        <v>0</v>
      </c>
      <c r="AHK3" s="24">
        <v>48</v>
      </c>
      <c r="AHL3" s="6" t="s">
        <v>25</v>
      </c>
      <c r="AHM3" s="24">
        <v>14</v>
      </c>
      <c r="AHN3" s="6" t="s">
        <v>25</v>
      </c>
      <c r="AHO3" s="5">
        <f>IF(OR(ISNUMBER(AHK3), ISNUMBER(AHM3)), IF(ISNUMBER(AHK3), AHK3, 0) + IF(ISNUMBER(AHM3), AHM3, 0), "")</f>
        <v>62</v>
      </c>
      <c r="AHP3" s="3"/>
      <c r="AHQ3" s="7">
        <f t="shared" ref="AHQ3:AHQ7" si="89">IF(ISNUMBER(AHO3), (AHE3+(AHF3*24))-AHO3, "")</f>
        <v>3</v>
      </c>
      <c r="AHR3" s="5">
        <v>3</v>
      </c>
      <c r="AHS3" s="10">
        <f t="shared" ref="AHS3:AHS7" si="90">IF(ISNUMBER(AHR3), AHR3-AHQ3, "")</f>
        <v>0</v>
      </c>
      <c r="AHU3" s="2">
        <v>48</v>
      </c>
      <c r="AHV3" s="6" t="s">
        <v>25</v>
      </c>
      <c r="AHW3" s="2">
        <v>14</v>
      </c>
      <c r="AHX3" s="6" t="s">
        <v>25</v>
      </c>
      <c r="AHY3" s="5">
        <f>IF(OR(ISNUMBER(AHU3), ISNUMBER(AHW3)), IF(ISNUMBER(AHU3), AHU3, 0) + IF(ISNUMBER(AHW3), AHW3, 0), "")</f>
        <v>62</v>
      </c>
      <c r="AHZ3" s="3"/>
      <c r="AIA3" s="7">
        <f t="shared" ref="AIA3:AIA7" si="91">IF(ISNUMBER(AHY3), (AHO3+(AHP3*24))-AHY3, "")</f>
        <v>0</v>
      </c>
      <c r="AIB3" s="5"/>
      <c r="AIC3" s="10" t="str">
        <f t="shared" ref="AIC3:AIC7" si="92">IF(ISNUMBER(AIB3), AIB3-AIA3, "")</f>
        <v/>
      </c>
      <c r="AIE3" s="24">
        <v>42</v>
      </c>
      <c r="AIF3" s="6" t="s">
        <v>25</v>
      </c>
      <c r="AIG3" s="24">
        <v>12</v>
      </c>
      <c r="AIH3" s="6" t="s">
        <v>25</v>
      </c>
      <c r="AII3" s="5">
        <f>IF(OR(ISNUMBER(AIE3), ISNUMBER(AIG3)), IF(ISNUMBER(AIE3), AIE3, 0) + IF(ISNUMBER(AIG3), AIG3, 0), "")</f>
        <v>54</v>
      </c>
      <c r="AIJ3" s="3"/>
      <c r="AIK3" s="7">
        <f t="shared" ref="AIK3:AIK7" si="93">IF(ISNUMBER(AII3), (AHY3+(AHZ3*24))-AII3, "")</f>
        <v>8</v>
      </c>
      <c r="AIL3" s="5">
        <v>8</v>
      </c>
      <c r="AIM3" s="10">
        <f t="shared" ref="AIM3:AIM7" si="94">IF(ISNUMBER(AIL3), AIL3-AIK3, "")</f>
        <v>0</v>
      </c>
      <c r="AIO3" s="24">
        <v>24</v>
      </c>
      <c r="AIP3" s="6" t="s">
        <v>25</v>
      </c>
      <c r="AIQ3" s="24">
        <v>26</v>
      </c>
      <c r="AIR3" s="6" t="s">
        <v>25</v>
      </c>
      <c r="AIS3" s="5">
        <f>IF(OR(ISNUMBER(AIO3), ISNUMBER(AIQ3)), IF(ISNUMBER(AIO3), AIO3, 0) + IF(ISNUMBER(AIQ3), AIQ3, 0), "")</f>
        <v>50</v>
      </c>
      <c r="AIT3" s="3"/>
      <c r="AIU3" s="7">
        <f t="shared" ref="AIU3:AIU7" si="95">IF(ISNUMBER(AIS3), (AII3+(AIJ3*24))-AIS3, "")</f>
        <v>4</v>
      </c>
      <c r="AIV3" s="5">
        <v>4</v>
      </c>
      <c r="AIW3" s="10">
        <f t="shared" ref="AIW3:AIW7" si="96">IF(ISNUMBER(AIV3), AIV3-AIU3, "")</f>
        <v>0</v>
      </c>
      <c r="AIY3" s="2">
        <v>24</v>
      </c>
      <c r="AIZ3" s="6" t="s">
        <v>25</v>
      </c>
      <c r="AJA3" s="2">
        <v>22</v>
      </c>
      <c r="AJB3" s="6" t="s">
        <v>25</v>
      </c>
      <c r="AJC3" s="5">
        <f>IF(OR(ISNUMBER(AIY3), ISNUMBER(AJA3)), IF(ISNUMBER(AIY3), AIY3, 0) + IF(ISNUMBER(AJA3), AJA3, 0), "")</f>
        <v>46</v>
      </c>
      <c r="AJD3" s="3"/>
      <c r="AJE3" s="7">
        <f t="shared" ref="AJE3:AJE7" si="97">IF(ISNUMBER(AJC3), (AIS3+(AIT3*24))-AJC3, "")</f>
        <v>4</v>
      </c>
      <c r="AJF3" s="5">
        <v>4</v>
      </c>
      <c r="AJG3" s="10">
        <f t="shared" ref="AJG3:AJG7" si="98">IF(ISNUMBER(AJF3), AJF3-AJE3, "")</f>
        <v>0</v>
      </c>
      <c r="AJI3" s="24">
        <v>12</v>
      </c>
      <c r="AJJ3" s="6" t="s">
        <v>25</v>
      </c>
      <c r="AJK3" s="24">
        <v>28</v>
      </c>
      <c r="AJL3" s="6" t="s">
        <v>25</v>
      </c>
      <c r="AJM3" s="5">
        <f>IF(OR(ISNUMBER(AJI3), ISNUMBER(AJK3)), IF(ISNUMBER(AJI3), AJI3, 0) + IF(ISNUMBER(AJK3), AJK3, 0), "")</f>
        <v>40</v>
      </c>
      <c r="AJN3" s="3"/>
      <c r="AJO3" s="7">
        <f t="shared" ref="AJO3:AJO7" si="99">IF(ISNUMBER(AJM3), (AJC3+(AJD3*24))-AJM3, "")</f>
        <v>6</v>
      </c>
      <c r="AJP3" s="5">
        <v>6</v>
      </c>
      <c r="AJQ3" s="10">
        <f t="shared" ref="AJQ3:AJQ7" si="100">IF(ISNUMBER(AJP3), AJP3-AJO3, "")</f>
        <v>0</v>
      </c>
      <c r="AJS3" s="2">
        <v>0</v>
      </c>
      <c r="AJT3" s="6" t="s">
        <v>25</v>
      </c>
      <c r="AJU3" s="2">
        <v>34</v>
      </c>
      <c r="AJV3" s="6" t="s">
        <v>25</v>
      </c>
      <c r="AJW3" s="5">
        <f>IF(OR(ISNUMBER(AJS3), ISNUMBER(AJU3)), IF(ISNUMBER(AJS3), AJS3, 0) + IF(ISNUMBER(AJU3), AJU3, 0), "")</f>
        <v>34</v>
      </c>
      <c r="AJX3" s="3"/>
      <c r="AJY3" s="7">
        <f t="shared" ref="AJY3:AJY7" si="101">IF(ISNUMBER(AJW3), (AJM3+(AJN3*24))-AJW3, "")</f>
        <v>6</v>
      </c>
      <c r="AJZ3" s="5">
        <v>6</v>
      </c>
      <c r="AKA3" s="10">
        <f t="shared" ref="AKA3:AKA7" si="102">IF(ISNUMBER(AJZ3), AJZ3-AJY3, "")</f>
        <v>0</v>
      </c>
      <c r="AKC3" s="24">
        <v>0</v>
      </c>
      <c r="AKD3" s="6" t="s">
        <v>25</v>
      </c>
      <c r="AKE3" s="24">
        <v>27</v>
      </c>
      <c r="AKF3" s="6" t="s">
        <v>25</v>
      </c>
      <c r="AKG3" s="5">
        <f>IF(OR(ISNUMBER(AKC3), ISNUMBER(AKE3)), IF(ISNUMBER(AKC3), AKC3, 0) + IF(ISNUMBER(AKE3), AKE3, 0), "")</f>
        <v>27</v>
      </c>
      <c r="AKH3" s="3"/>
      <c r="AKI3" s="7">
        <f t="shared" ref="AKI3:AKI7" si="103">IF(ISNUMBER(AKG3), (AJW3+(AJX3*24))-AKG3, "")</f>
        <v>7</v>
      </c>
      <c r="AKJ3" s="5">
        <v>7</v>
      </c>
      <c r="AKK3" s="7">
        <f>IF(ISNUMBER(AKJ3), AKJ3-AKI3, "")</f>
        <v>0</v>
      </c>
      <c r="AKM3" s="2">
        <v>0</v>
      </c>
      <c r="AKN3" s="6" t="s">
        <v>25</v>
      </c>
      <c r="AKO3" s="2">
        <v>21</v>
      </c>
      <c r="AKP3" s="6" t="s">
        <v>25</v>
      </c>
      <c r="AKQ3" s="5">
        <f>IF(OR(ISNUMBER(AKM3), ISNUMBER(AKO3)), IF(ISNUMBER(AKM3), AKM3, 0) + IF(ISNUMBER(AKO3), AKO3, 0), "")</f>
        <v>21</v>
      </c>
      <c r="AKR3" s="3"/>
      <c r="AKS3" s="7">
        <f t="shared" ref="AKS3:AKS7" si="104">IF(ISNUMBER(AKQ3), (AKG3+(AKH3*24))-AKQ3, "")</f>
        <v>6</v>
      </c>
      <c r="AKT3" s="5">
        <v>6</v>
      </c>
      <c r="AKU3" s="7">
        <f>IF(ISNUMBER(AKT3), AKT3-AKS3, "")</f>
        <v>0</v>
      </c>
      <c r="AKW3" s="2">
        <v>0</v>
      </c>
      <c r="AKX3" s="6" t="s">
        <v>25</v>
      </c>
      <c r="AKY3" s="2">
        <v>20</v>
      </c>
      <c r="AKZ3" s="6" t="s">
        <v>25</v>
      </c>
      <c r="ALA3" s="5">
        <f>IF(OR(ISNUMBER(AKW3), ISNUMBER(AKY3)), IF(ISNUMBER(AKW3), AKW3, 0) + IF(ISNUMBER(AKY3), AKY3, 0), "")</f>
        <v>20</v>
      </c>
      <c r="ALB3" s="3">
        <v>2</v>
      </c>
      <c r="ALC3" s="7">
        <f t="shared" ref="ALC3:ALC7" si="105">IF(ISNUMBER(ALA3), (AKQ3+(AKR3*24))-ALA3, "")</f>
        <v>1</v>
      </c>
      <c r="ALD3" s="5">
        <v>1</v>
      </c>
      <c r="ALE3" s="7">
        <f>IF(ISNUMBER(ALD3), ALD3-ALC3, "")</f>
        <v>0</v>
      </c>
      <c r="ALG3" s="2">
        <v>48</v>
      </c>
      <c r="ALH3" s="6" t="s">
        <v>25</v>
      </c>
      <c r="ALI3" s="2">
        <v>12</v>
      </c>
      <c r="ALJ3" s="6" t="s">
        <v>25</v>
      </c>
      <c r="ALK3" s="5">
        <f>IF(OR(ISNUMBER(ALG3), ISNUMBER(ALI3)), IF(ISNUMBER(ALG3), ALG3, 0) + IF(ISNUMBER(ALI3), ALI3, 0), "")</f>
        <v>60</v>
      </c>
      <c r="ALL3" s="3"/>
      <c r="ALM3" s="7">
        <f t="shared" ref="ALM3:ALM7" si="106">IF(ISNUMBER(ALK3), (ALA3+(ALB3*24))-ALK3, "")</f>
        <v>8</v>
      </c>
      <c r="ALN3" s="5">
        <v>8</v>
      </c>
      <c r="ALO3" s="7">
        <f>IF(ISNUMBER(ALN3), ALN3-ALM3, "")</f>
        <v>0</v>
      </c>
      <c r="ALQ3" s="2">
        <v>24</v>
      </c>
      <c r="ALR3" s="6" t="s">
        <v>25</v>
      </c>
      <c r="ALS3" s="2">
        <v>34</v>
      </c>
      <c r="ALT3" s="6" t="s">
        <v>25</v>
      </c>
      <c r="ALU3" s="5">
        <f>IF(OR(ISNUMBER(ALQ3), ISNUMBER(ALS3)), IF(ISNUMBER(ALQ3), ALQ3, 0) + IF(ISNUMBER(ALS3), ALS3, 0), "")</f>
        <v>58</v>
      </c>
      <c r="ALV3" s="3"/>
      <c r="ALW3" s="7">
        <f t="shared" ref="ALW3:ALW7" si="107">IF(ISNUMBER(ALU3), (ALK3+(ALL3*24))-ALU3, "")</f>
        <v>2</v>
      </c>
      <c r="ALX3" s="5">
        <v>2</v>
      </c>
      <c r="ALY3" s="7">
        <f>IF(ISNUMBER(ALX3), ALX3-ALW3, "")</f>
        <v>0</v>
      </c>
      <c r="AMA3" s="24">
        <v>24</v>
      </c>
      <c r="AMB3" s="6" t="s">
        <v>25</v>
      </c>
      <c r="AMC3" s="24">
        <v>31</v>
      </c>
      <c r="AMD3" s="6" t="s">
        <v>25</v>
      </c>
      <c r="AME3" s="5">
        <f>IF(OR(ISNUMBER(AMA3), ISNUMBER(AMC3)), IF(ISNUMBER(AMA3), AMA3, 0) + IF(ISNUMBER(AMC3), AMC3, 0), "")</f>
        <v>55</v>
      </c>
      <c r="AMF3" s="3"/>
      <c r="AMG3" s="7">
        <f t="shared" ref="AMG3:AMG7" si="108">IF(ISNUMBER(AME3), (ALU3+(ALV3*24))-AME3, "")</f>
        <v>3</v>
      </c>
      <c r="AMH3" s="5">
        <v>3</v>
      </c>
      <c r="AMI3" s="7">
        <f>IF(ISNUMBER(AMH3), AMH3-AMG3, "")</f>
        <v>0</v>
      </c>
      <c r="AMK3" s="24">
        <v>24</v>
      </c>
      <c r="AML3" s="6" t="s">
        <v>25</v>
      </c>
      <c r="AMM3" s="24">
        <v>27</v>
      </c>
      <c r="AMN3" s="6" t="s">
        <v>25</v>
      </c>
      <c r="AMO3" s="5">
        <f>IF(OR(ISNUMBER(AMK3), ISNUMBER(AMM3)), IF(ISNUMBER(AMK3), AMK3, 0) + IF(ISNUMBER(AMM3), AMM3, 0), "")</f>
        <v>51</v>
      </c>
      <c r="AMP3" s="3"/>
      <c r="AMQ3" s="7">
        <f t="shared" ref="AMQ3:AMQ7" si="109">IF(ISNUMBER(AMO3), (AME3+(AMF3*24))-AMO3, "")</f>
        <v>4</v>
      </c>
      <c r="AMR3" s="5">
        <v>4</v>
      </c>
      <c r="AMS3" s="7">
        <f>IF(ISNUMBER(AMR3), AMR3-AMQ3, "")</f>
        <v>0</v>
      </c>
      <c r="AMU3" s="24">
        <v>24</v>
      </c>
      <c r="AMV3" s="6" t="s">
        <v>25</v>
      </c>
      <c r="AMW3" s="24">
        <v>22</v>
      </c>
      <c r="AMX3" s="6" t="s">
        <v>25</v>
      </c>
      <c r="AMY3" s="5">
        <f>IF(OR(ISNUMBER(AMU3), ISNUMBER(AMW3)), IF(ISNUMBER(AMU3), AMU3, 0) + IF(ISNUMBER(AMW3), AMW3, 0), "")</f>
        <v>46</v>
      </c>
      <c r="AMZ3" s="3"/>
      <c r="ANA3" s="7">
        <f t="shared" ref="ANA3:ANA7" si="110">IF(ISNUMBER(AMY3), (AMO3+(AMP3*24))-AMY3, "")</f>
        <v>5</v>
      </c>
      <c r="ANB3" s="5">
        <v>5</v>
      </c>
      <c r="ANC3" s="7">
        <f>IF(ISNUMBER(ANB3), ANB3-ANA3, "")</f>
        <v>0</v>
      </c>
      <c r="ANE3" s="24">
        <v>24</v>
      </c>
      <c r="ANF3" s="6" t="s">
        <v>25</v>
      </c>
      <c r="ANG3" s="24">
        <v>15</v>
      </c>
      <c r="ANH3" s="6" t="s">
        <v>25</v>
      </c>
      <c r="ANI3" s="5">
        <f>IF(OR(ISNUMBER(ANE3), ISNUMBER(ANG3)), IF(ISNUMBER(ANE3), ANE3, 0) + IF(ISNUMBER(ANG3), ANG3, 0), "")</f>
        <v>39</v>
      </c>
      <c r="ANJ3" s="3"/>
      <c r="ANK3" s="7">
        <f t="shared" ref="ANK3:ANK7" si="111">IF(ISNUMBER(ANI3), (AMY3+(AMZ3*24))-ANI3, "")</f>
        <v>7</v>
      </c>
      <c r="ANL3" s="5">
        <v>7</v>
      </c>
      <c r="ANM3" s="7">
        <f>IF(ISNUMBER(ANL3), ANL3-ANK3, "")</f>
        <v>0</v>
      </c>
      <c r="ANO3" s="24">
        <v>0</v>
      </c>
      <c r="ANP3" s="6" t="s">
        <v>25</v>
      </c>
      <c r="ANQ3" s="24">
        <v>32</v>
      </c>
      <c r="ANR3" s="6" t="s">
        <v>25</v>
      </c>
      <c r="ANS3" s="5">
        <f>IF(OR(ISNUMBER(ANO3), ISNUMBER(ANQ3)), IF(ISNUMBER(ANO3), ANO3, 0) + IF(ISNUMBER(ANQ3), ANQ3, 0), "")</f>
        <v>32</v>
      </c>
      <c r="ANT3" s="3"/>
      <c r="ANU3" s="7">
        <f t="shared" ref="ANU3:ANU7" si="112">IF(ISNUMBER(ANS3), (ANI3+(ANJ3*24))-ANS3, "")</f>
        <v>7</v>
      </c>
      <c r="ANV3" s="5">
        <v>8</v>
      </c>
      <c r="ANW3" s="7">
        <f>IF(ISNUMBER(ANV3), ANV3-ANU3, "")</f>
        <v>1</v>
      </c>
      <c r="ANY3" s="24">
        <v>0</v>
      </c>
      <c r="ANZ3" s="6" t="s">
        <v>25</v>
      </c>
      <c r="AOA3" s="24">
        <v>26</v>
      </c>
      <c r="AOB3" s="6" t="s">
        <v>25</v>
      </c>
      <c r="AOC3" s="5">
        <f>IF(OR(ISNUMBER(ANY3), ISNUMBER(AOA3)), IF(ISNUMBER(ANY3), ANY3, 0) + IF(ISNUMBER(AOA3), AOA3, 0), "")</f>
        <v>26</v>
      </c>
      <c r="AOD3" s="3">
        <v>1</v>
      </c>
      <c r="AOE3" s="7">
        <f t="shared" ref="AOE3:AOE7" si="113">IF(ISNUMBER(AOC3), (ANS3+(ANT3*24))-AOC3, "")</f>
        <v>6</v>
      </c>
      <c r="AOF3" s="5">
        <v>6</v>
      </c>
      <c r="AOG3" s="7">
        <f>IF(ISNUMBER(AOF3), AOF3-AOE3, "")</f>
        <v>0</v>
      </c>
      <c r="AOI3" s="24">
        <v>24</v>
      </c>
      <c r="AOJ3" s="6" t="s">
        <v>25</v>
      </c>
      <c r="AOK3" s="24">
        <v>22</v>
      </c>
      <c r="AOL3" s="6" t="s">
        <v>25</v>
      </c>
      <c r="AOM3" s="5">
        <f>IF(OR(ISNUMBER(AOI3), ISNUMBER(AOK3)), IF(ISNUMBER(AOI3), AOI3, 0) + IF(ISNUMBER(AOK3), AOK3, 0), "")</f>
        <v>46</v>
      </c>
      <c r="AON3" s="3"/>
      <c r="AOO3" s="7">
        <f t="shared" ref="AOO3:AOO7" si="114">IF(ISNUMBER(AOM3), (AOC3+(AOD3*24))-AOM3, "")</f>
        <v>4</v>
      </c>
      <c r="AOP3" s="5">
        <v>4</v>
      </c>
      <c r="AOQ3" s="7">
        <f>IF(ISNUMBER(AOP3), AOP3-AOO3, "")</f>
        <v>0</v>
      </c>
      <c r="AOS3" s="24">
        <v>24</v>
      </c>
      <c r="AOT3" s="6" t="s">
        <v>25</v>
      </c>
      <c r="AOU3" s="24">
        <v>14</v>
      </c>
      <c r="AOV3" s="6" t="s">
        <v>25</v>
      </c>
      <c r="AOW3" s="5">
        <f>IF(OR(ISNUMBER(AOS3), ISNUMBER(AOU3)), IF(ISNUMBER(AOS3), AOS3, 0) + IF(ISNUMBER(AOU3), AOU3, 0), "")</f>
        <v>38</v>
      </c>
      <c r="AOX3" s="3"/>
      <c r="AOY3" s="7">
        <f t="shared" ref="AOY3:AOY7" si="115">IF(ISNUMBER(AOW3), (AOM3+(AON3*24))-AOW3, "")</f>
        <v>8</v>
      </c>
      <c r="AOZ3" s="5">
        <v>7</v>
      </c>
      <c r="APA3" s="7">
        <f>IF(ISNUMBER(AOZ3), AOZ3-AOY3, "")</f>
        <v>-1</v>
      </c>
      <c r="APC3" s="24">
        <v>24</v>
      </c>
      <c r="APD3" s="6" t="s">
        <v>25</v>
      </c>
      <c r="APE3" s="24">
        <v>10</v>
      </c>
      <c r="APF3" s="6" t="s">
        <v>25</v>
      </c>
      <c r="APG3" s="5">
        <f>IF(OR(ISNUMBER(APC3), ISNUMBER(APE3)), IF(ISNUMBER(APC3), APC3, 0) + IF(ISNUMBER(APE3), APE3, 0), "")</f>
        <v>34</v>
      </c>
      <c r="APH3" s="3"/>
      <c r="API3" s="7">
        <f t="shared" ref="API3:API7" si="116">IF(ISNUMBER(APG3), (AOW3+(AOX3*24))-APG3, "")</f>
        <v>4</v>
      </c>
      <c r="APJ3" s="5">
        <v>4</v>
      </c>
      <c r="APK3" s="7">
        <f>IF(ISNUMBER(APJ3), APJ3-API3, "")</f>
        <v>0</v>
      </c>
      <c r="APM3" s="24">
        <v>24</v>
      </c>
      <c r="APN3" s="6" t="s">
        <v>25</v>
      </c>
      <c r="APO3" s="24">
        <v>6</v>
      </c>
      <c r="APP3" s="6" t="s">
        <v>25</v>
      </c>
      <c r="APQ3" s="5">
        <f>IF(OR(ISNUMBER(APM3), ISNUMBER(APO3)), IF(ISNUMBER(APM3), APM3, 0) + IF(ISNUMBER(APO3), APO3, 0), "")</f>
        <v>30</v>
      </c>
      <c r="APR3" s="3"/>
      <c r="APS3" s="7">
        <f t="shared" ref="APS3:APS7" si="117">IF(ISNUMBER(APQ3), (APG3+(APH3*24))-APQ3, "")</f>
        <v>4</v>
      </c>
      <c r="APT3" s="5">
        <v>4</v>
      </c>
      <c r="APU3" s="7">
        <f>IF(ISNUMBER(APT3), APT3-APS3, "")</f>
        <v>0</v>
      </c>
      <c r="APW3" s="95">
        <v>0</v>
      </c>
      <c r="APX3" s="96" t="s">
        <v>25</v>
      </c>
      <c r="APY3" s="95">
        <v>25</v>
      </c>
      <c r="APZ3" s="96" t="s">
        <v>25</v>
      </c>
      <c r="AQA3" s="97">
        <f>IF(OR(ISNUMBER(APW3), ISNUMBER(APY3)), IF(ISNUMBER(APW3), APW3, 0) + IF(ISNUMBER(APY3), APY3, 0), "")</f>
        <v>25</v>
      </c>
      <c r="AQB3" s="98"/>
      <c r="AQC3" s="99">
        <f t="shared" ref="AQC3:AQC7" si="118">IF(ISNUMBER(AQA3), (APQ3+(APR3*24))-AQA3, "")</f>
        <v>5</v>
      </c>
      <c r="AQD3" s="97">
        <v>5</v>
      </c>
      <c r="AQE3" s="99">
        <f>IF(ISNUMBER(AQD3), AQD3-AQC3, "")</f>
        <v>0</v>
      </c>
      <c r="AQG3" s="2"/>
      <c r="AQH3" s="6" t="s">
        <v>25</v>
      </c>
      <c r="AQI3" s="2"/>
      <c r="AQJ3" s="6" t="s">
        <v>25</v>
      </c>
      <c r="AQK3" s="5" t="str">
        <f>IF(OR(ISNUMBER(AQG3), ISNUMBER(AQI3)), IF(ISNUMBER(AQG3), AQG3, 0) + IF(ISNUMBER(AQI3), AQI3, 0), "")</f>
        <v/>
      </c>
      <c r="AQL3" s="3"/>
      <c r="AQM3" s="7" t="str">
        <f t="shared" ref="AQM3:AQM7" si="119">IF(ISNUMBER(AQK3), (AQA3+(AQB3*24))-AQK3, "")</f>
        <v/>
      </c>
      <c r="AQN3" s="5"/>
      <c r="AQO3" s="7" t="str">
        <f>IF(ISNUMBER(AQN3), AQN3-AQM3, "")</f>
        <v/>
      </c>
    </row>
    <row r="4" spans="1:1133" ht="12.75" customHeight="1" x14ac:dyDescent="0.2">
      <c r="A4" s="22" t="s">
        <v>26</v>
      </c>
      <c r="B4" s="13" t="s">
        <v>24</v>
      </c>
      <c r="C4" s="13">
        <v>24</v>
      </c>
      <c r="E4" s="24"/>
      <c r="F4" s="6" t="s">
        <v>25</v>
      </c>
      <c r="G4" s="24">
        <v>21</v>
      </c>
      <c r="H4" s="6" t="s">
        <v>25</v>
      </c>
      <c r="I4" s="5">
        <f t="shared" ref="I4:I7" si="120">IF(OR(ISNUMBER(E4), ISNUMBER(G4)), IF(ISNUMBER(E4), E4, 0) + IF(ISNUMBER(G4), G4, 0), "")</f>
        <v>21</v>
      </c>
      <c r="J4" s="3"/>
      <c r="K4" s="7"/>
      <c r="L4" s="5"/>
      <c r="M4" s="7" t="str">
        <f t="shared" ref="M4:M7" si="121">IF(ISNUMBER(L4), L4-K4, "")</f>
        <v/>
      </c>
      <c r="O4" s="24"/>
      <c r="P4" s="6" t="s">
        <v>25</v>
      </c>
      <c r="Q4" s="24">
        <v>16</v>
      </c>
      <c r="R4" s="6" t="s">
        <v>25</v>
      </c>
      <c r="S4" s="5">
        <f t="shared" ref="S4:S7" si="122">IF(OR(ISNUMBER(O4), ISNUMBER(Q4)), IF(ISNUMBER(O4), O4, 0) + IF(ISNUMBER(Q4), Q4, 0), "")</f>
        <v>16</v>
      </c>
      <c r="T4" s="3"/>
      <c r="U4" s="7">
        <f t="shared" si="0"/>
        <v>5</v>
      </c>
      <c r="V4" s="5">
        <v>5</v>
      </c>
      <c r="W4" s="7">
        <f t="shared" ref="W4:W7" si="123">IF(ISNUMBER(V4), V4-U4, "")</f>
        <v>0</v>
      </c>
      <c r="Y4" s="24"/>
      <c r="Z4" s="6" t="s">
        <v>25</v>
      </c>
      <c r="AA4" s="24">
        <v>14</v>
      </c>
      <c r="AB4" s="6" t="s">
        <v>25</v>
      </c>
      <c r="AC4" s="5">
        <f t="shared" ref="AC4:AC7" si="124">IF(OR(ISNUMBER(Y4), ISNUMBER(AA4)), IF(ISNUMBER(Y4), Y4, 0) + IF(ISNUMBER(AA4), AA4, 0), "")</f>
        <v>14</v>
      </c>
      <c r="AD4" s="3"/>
      <c r="AE4" s="7">
        <f t="shared" si="1"/>
        <v>2</v>
      </c>
      <c r="AF4" s="5">
        <v>2</v>
      </c>
      <c r="AG4" s="7">
        <f t="shared" ref="AG4:AG7" si="125">IF(ISNUMBER(AF4), AF4-AE4, "")</f>
        <v>0</v>
      </c>
      <c r="AI4" s="24"/>
      <c r="AJ4" s="6" t="s">
        <v>25</v>
      </c>
      <c r="AK4" s="24">
        <v>14</v>
      </c>
      <c r="AL4" s="6" t="s">
        <v>25</v>
      </c>
      <c r="AM4" s="5">
        <f t="shared" ref="AM4:AM5" si="126">IF(OR(ISNUMBER(AI4), ISNUMBER(AK4)), IF(ISNUMBER(AI4), AI4, 0) + IF(ISNUMBER(AK4), AK4, 0), "")</f>
        <v>14</v>
      </c>
      <c r="AN4" s="3"/>
      <c r="AO4" s="7">
        <f t="shared" si="2"/>
        <v>0</v>
      </c>
      <c r="AP4" s="5"/>
      <c r="AQ4" s="7" t="str">
        <f t="shared" ref="AQ4:AQ7" si="127">IF(ISNUMBER(AP4), AP4-AO4, "")</f>
        <v/>
      </c>
      <c r="AS4" s="24">
        <v>0</v>
      </c>
      <c r="AT4" s="6" t="s">
        <v>25</v>
      </c>
      <c r="AU4" s="24">
        <v>14</v>
      </c>
      <c r="AV4" s="6" t="s">
        <v>25</v>
      </c>
      <c r="AW4" s="5">
        <f t="shared" ref="AW4:AW5" si="128">IF(OR(ISNUMBER(AS4), ISNUMBER(AU4)), IF(ISNUMBER(AS4), AS4, 0) + IF(ISNUMBER(AU4), AU4, 0), "")</f>
        <v>14</v>
      </c>
      <c r="AX4" s="3"/>
      <c r="AY4" s="7">
        <f t="shared" si="3"/>
        <v>0</v>
      </c>
      <c r="AZ4" s="5"/>
      <c r="BA4" s="7" t="str">
        <f t="shared" ref="BA4:BA7" si="129">IF(ISNUMBER(AZ4), AZ4-AY4, "")</f>
        <v/>
      </c>
      <c r="BC4" s="24">
        <v>0</v>
      </c>
      <c r="BD4" s="6" t="s">
        <v>25</v>
      </c>
      <c r="BE4" s="24">
        <v>13</v>
      </c>
      <c r="BF4" s="6" t="s">
        <v>25</v>
      </c>
      <c r="BG4" s="5">
        <f t="shared" ref="BG4:BG5" si="130">IF(OR(ISNUMBER(BC4), ISNUMBER(BE4)), IF(ISNUMBER(BC4), BC4, 0) + IF(ISNUMBER(BE4), BE4, 0), "")</f>
        <v>13</v>
      </c>
      <c r="BH4" s="35">
        <v>0</v>
      </c>
      <c r="BI4" s="7">
        <f t="shared" si="4"/>
        <v>1</v>
      </c>
      <c r="BJ4" s="5">
        <v>1</v>
      </c>
      <c r="BK4" s="7">
        <f t="shared" ref="BK4:BK7" si="131">IF(ISNUMBER(BJ4), BJ4-BI4, "")</f>
        <v>0</v>
      </c>
      <c r="BM4" s="24">
        <v>0</v>
      </c>
      <c r="BN4" s="6" t="s">
        <v>25</v>
      </c>
      <c r="BO4" s="24">
        <v>13</v>
      </c>
      <c r="BP4" s="6" t="s">
        <v>25</v>
      </c>
      <c r="BQ4" s="5">
        <f t="shared" ref="BQ4:BQ5" si="132">IF(OR(ISNUMBER(BM4), ISNUMBER(BO4)), IF(ISNUMBER(BM4), BM4, 0) + IF(ISNUMBER(BO4), BO4, 0), "")</f>
        <v>13</v>
      </c>
      <c r="BR4" s="3"/>
      <c r="BS4" s="7">
        <f t="shared" si="5"/>
        <v>0</v>
      </c>
      <c r="BT4" s="5"/>
      <c r="BU4" s="7" t="str">
        <f t="shared" ref="BU4:BU7" si="133">IF(ISNUMBER(BT4), BT4-BS4, "")</f>
        <v/>
      </c>
      <c r="BW4" s="24">
        <v>0</v>
      </c>
      <c r="BX4" s="6" t="s">
        <v>25</v>
      </c>
      <c r="BY4" s="24">
        <v>12</v>
      </c>
      <c r="BZ4" s="6" t="s">
        <v>25</v>
      </c>
      <c r="CA4" s="5">
        <f t="shared" ref="CA4:CA5" si="134">IF(OR(ISNUMBER(BW4), ISNUMBER(BY4)), IF(ISNUMBER(BW4), BW4, 0) + IF(ISNUMBER(BY4), BY4, 0), "")</f>
        <v>12</v>
      </c>
      <c r="CB4" s="3"/>
      <c r="CC4" s="7">
        <f t="shared" si="6"/>
        <v>1</v>
      </c>
      <c r="CD4" s="5">
        <v>1</v>
      </c>
      <c r="CE4" s="7">
        <f t="shared" ref="CE4:CE7" si="135">IF(ISNUMBER(CD4), CD4-CC4, "")</f>
        <v>0</v>
      </c>
      <c r="CG4" s="24">
        <v>0</v>
      </c>
      <c r="CH4" s="6" t="s">
        <v>25</v>
      </c>
      <c r="CI4" s="24">
        <v>9</v>
      </c>
      <c r="CJ4" s="6" t="s">
        <v>25</v>
      </c>
      <c r="CK4" s="5">
        <f t="shared" ref="CK4:CK5" si="136">IF(OR(ISNUMBER(CG4), ISNUMBER(CI4)), IF(ISNUMBER(CG4), CG4, 0) + IF(ISNUMBER(CI4), CI4, 0), "")</f>
        <v>9</v>
      </c>
      <c r="CL4" s="3"/>
      <c r="CM4" s="7">
        <f t="shared" si="7"/>
        <v>3</v>
      </c>
      <c r="CN4" s="5">
        <v>3</v>
      </c>
      <c r="CO4" s="7">
        <f t="shared" ref="CO4:CO7" si="137">IF(ISNUMBER(CN4), CN4-CM4, "")</f>
        <v>0</v>
      </c>
      <c r="CQ4" s="24">
        <v>0</v>
      </c>
      <c r="CR4" s="6" t="s">
        <v>25</v>
      </c>
      <c r="CS4" s="24">
        <v>9</v>
      </c>
      <c r="CT4" s="6" t="s">
        <v>25</v>
      </c>
      <c r="CU4" s="5">
        <f t="shared" ref="CU4:CU5" si="138">IF(OR(ISNUMBER(CQ4), ISNUMBER(CS4)), IF(ISNUMBER(CQ4), CQ4, 0) + IF(ISNUMBER(CS4), CS4, 0), "")</f>
        <v>9</v>
      </c>
      <c r="CV4" s="3"/>
      <c r="CW4" s="7">
        <f t="shared" si="8"/>
        <v>0</v>
      </c>
      <c r="CX4" s="5"/>
      <c r="CY4" s="7" t="str">
        <f t="shared" ref="CY4:CY7" si="139">IF(ISNUMBER(CX4), CX4-CW4, "")</f>
        <v/>
      </c>
      <c r="DA4" s="24">
        <v>0</v>
      </c>
      <c r="DB4" s="6" t="s">
        <v>25</v>
      </c>
      <c r="DC4" s="24">
        <v>8</v>
      </c>
      <c r="DD4" s="6" t="s">
        <v>25</v>
      </c>
      <c r="DE4" s="5">
        <f t="shared" ref="DE4:DE5" si="140">IF(OR(ISNUMBER(DA4), ISNUMBER(DC4)), IF(ISNUMBER(DA4), DA4, 0) + IF(ISNUMBER(DC4), DC4, 0), "")</f>
        <v>8</v>
      </c>
      <c r="DF4" s="3"/>
      <c r="DG4" s="7">
        <f t="shared" si="9"/>
        <v>1</v>
      </c>
      <c r="DH4" s="5">
        <v>1</v>
      </c>
      <c r="DI4" s="7">
        <f t="shared" ref="DI4:DI7" si="141">IF(ISNUMBER(DH4), DH4-DG4, "")</f>
        <v>0</v>
      </c>
      <c r="DK4" s="24">
        <v>0</v>
      </c>
      <c r="DL4" s="6" t="s">
        <v>25</v>
      </c>
      <c r="DM4" s="24">
        <v>8</v>
      </c>
      <c r="DN4" s="6" t="s">
        <v>25</v>
      </c>
      <c r="DO4" s="5">
        <f t="shared" ref="DO4:DO5" si="142">IF(OR(ISNUMBER(DK4), ISNUMBER(DM4)), IF(ISNUMBER(DK4), DK4, 0) + IF(ISNUMBER(DM4), DM4, 0), "")</f>
        <v>8</v>
      </c>
      <c r="DP4" s="3">
        <v>1</v>
      </c>
      <c r="DQ4" s="7">
        <f t="shared" si="10"/>
        <v>0</v>
      </c>
      <c r="DR4" s="5"/>
      <c r="DS4" s="7" t="str">
        <f t="shared" ref="DS4:DS7" si="143">IF(ISNUMBER(DR4), DR4-DQ4, "")</f>
        <v/>
      </c>
      <c r="DU4" s="24">
        <v>24</v>
      </c>
      <c r="DV4" s="6" t="s">
        <v>25</v>
      </c>
      <c r="DW4" s="24">
        <v>7</v>
      </c>
      <c r="DX4" s="6" t="s">
        <v>25</v>
      </c>
      <c r="DY4" s="5">
        <f t="shared" ref="DY4:DY5" si="144">IF(OR(ISNUMBER(DU4), ISNUMBER(DW4)), IF(ISNUMBER(DU4), DU4, 0) + IF(ISNUMBER(DW4), DW4, 0), "")</f>
        <v>31</v>
      </c>
      <c r="DZ4" s="3"/>
      <c r="EA4" s="7">
        <f t="shared" si="11"/>
        <v>1</v>
      </c>
      <c r="EB4" s="5">
        <v>1</v>
      </c>
      <c r="EC4" s="7">
        <f t="shared" ref="EC4:EC7" si="145">IF(ISNUMBER(EB4), EB4-EA4, "")</f>
        <v>0</v>
      </c>
      <c r="EE4" s="24">
        <v>24</v>
      </c>
      <c r="EF4" s="6" t="s">
        <v>25</v>
      </c>
      <c r="EG4" s="24">
        <v>5</v>
      </c>
      <c r="EH4" s="6" t="s">
        <v>25</v>
      </c>
      <c r="EI4" s="5">
        <f t="shared" ref="EI4:EI5" si="146">IF(OR(ISNUMBER(EE4), ISNUMBER(EG4)), IF(ISNUMBER(EE4), EE4, 0) + IF(ISNUMBER(EG4), EG4, 0), "")</f>
        <v>29</v>
      </c>
      <c r="EJ4" s="3"/>
      <c r="EK4" s="7">
        <f t="shared" si="12"/>
        <v>2</v>
      </c>
      <c r="EL4" s="5">
        <v>1</v>
      </c>
      <c r="EM4" s="7">
        <f t="shared" ref="EM4:EM7" si="147">IF(ISNUMBER(EL4), EL4-EK4, "")</f>
        <v>-1</v>
      </c>
      <c r="EO4" s="24">
        <v>18</v>
      </c>
      <c r="EP4" s="6"/>
      <c r="EQ4" s="24">
        <v>9</v>
      </c>
      <c r="ER4" s="6" t="s">
        <v>25</v>
      </c>
      <c r="ES4" s="5">
        <f t="shared" ref="ES4:ES5" si="148">IF(OR(ISNUMBER(EO4), ISNUMBER(EQ4)), IF(ISNUMBER(EO4), EO4, 0) + IF(ISNUMBER(EQ4), EQ4, 0), "")</f>
        <v>27</v>
      </c>
      <c r="ET4" s="3"/>
      <c r="EU4" s="7">
        <f t="shared" si="13"/>
        <v>2</v>
      </c>
      <c r="EV4" s="5">
        <v>2</v>
      </c>
      <c r="EW4" s="7">
        <f t="shared" ref="EW4:EW7" si="149">IF(ISNUMBER(EV4), EV4-EU4, "")</f>
        <v>0</v>
      </c>
      <c r="EY4" s="2">
        <v>18</v>
      </c>
      <c r="EZ4" s="6" t="s">
        <v>25</v>
      </c>
      <c r="FA4" s="2">
        <v>9</v>
      </c>
      <c r="FB4" s="6" t="s">
        <v>25</v>
      </c>
      <c r="FC4" s="5">
        <f t="shared" ref="FC4:FC5" si="150">IF(OR(ISNUMBER(EY4), ISNUMBER(FA4)), IF(ISNUMBER(EY4), EY4, 0) + IF(ISNUMBER(FA4), FA4, 0), "")</f>
        <v>27</v>
      </c>
      <c r="FD4" s="3"/>
      <c r="FE4" s="7">
        <f t="shared" si="14"/>
        <v>0</v>
      </c>
      <c r="FF4" s="5"/>
      <c r="FG4" s="7" t="str">
        <f t="shared" ref="FG4:FG7" si="151">IF(ISNUMBER(FF4), FF4-FE4, "")</f>
        <v/>
      </c>
      <c r="FI4" s="24">
        <v>18</v>
      </c>
      <c r="FJ4" s="6" t="s">
        <v>25</v>
      </c>
      <c r="FK4" s="24">
        <v>8</v>
      </c>
      <c r="FL4" s="6" t="s">
        <v>25</v>
      </c>
      <c r="FM4" s="5">
        <f t="shared" ref="FM4:FM5" si="152">IF(OR(ISNUMBER(FI4), ISNUMBER(FK4)), IF(ISNUMBER(FI4), FI4, 0) + IF(ISNUMBER(FK4), FK4, 0), "")</f>
        <v>26</v>
      </c>
      <c r="FN4" s="3"/>
      <c r="FO4" s="7">
        <f t="shared" si="15"/>
        <v>1</v>
      </c>
      <c r="FP4" s="5">
        <v>1</v>
      </c>
      <c r="FQ4" s="7">
        <f t="shared" ref="FQ4:FQ7" si="153">IF(ISNUMBER(FP4), FP4-FO4, "")</f>
        <v>0</v>
      </c>
      <c r="FS4" s="24">
        <v>14</v>
      </c>
      <c r="FT4" s="6" t="s">
        <v>25</v>
      </c>
      <c r="FU4" s="24">
        <v>11</v>
      </c>
      <c r="FV4" s="6" t="s">
        <v>25</v>
      </c>
      <c r="FW4" s="5">
        <f t="shared" ref="FW4:FW5" si="154">IF(OR(ISNUMBER(FS4), ISNUMBER(FU4)), IF(ISNUMBER(FS4), FS4, 0) + IF(ISNUMBER(FU4), FU4, 0), "")</f>
        <v>25</v>
      </c>
      <c r="FX4" s="3"/>
      <c r="FY4" s="7">
        <f t="shared" si="16"/>
        <v>1</v>
      </c>
      <c r="FZ4" s="5">
        <v>1</v>
      </c>
      <c r="GA4" s="7">
        <f t="shared" ref="GA4:GA7" si="155">IF(ISNUMBER(FZ4), FZ4-FY4, "")</f>
        <v>0</v>
      </c>
      <c r="GC4" s="24">
        <v>14</v>
      </c>
      <c r="GD4" s="6" t="s">
        <v>25</v>
      </c>
      <c r="GE4" s="24">
        <v>7</v>
      </c>
      <c r="GF4" s="6" t="s">
        <v>25</v>
      </c>
      <c r="GG4" s="5">
        <f t="shared" ref="GG4:GG5" si="156">IF(OR(ISNUMBER(GC4), ISNUMBER(GE4)), IF(ISNUMBER(GC4), GC4, 0) + IF(ISNUMBER(GE4), GE4, 0), "")</f>
        <v>21</v>
      </c>
      <c r="GH4" s="3"/>
      <c r="GI4" s="7">
        <f t="shared" si="17"/>
        <v>4</v>
      </c>
      <c r="GJ4" s="5">
        <v>4</v>
      </c>
      <c r="GK4" s="7">
        <f t="shared" ref="GK4:GK7" si="157">IF(ISNUMBER(GJ4), GJ4-GI4, "")</f>
        <v>0</v>
      </c>
      <c r="GM4" s="24">
        <v>8</v>
      </c>
      <c r="GN4" s="6" t="s">
        <v>25</v>
      </c>
      <c r="GO4" s="24">
        <v>11</v>
      </c>
      <c r="GP4" s="6" t="s">
        <v>25</v>
      </c>
      <c r="GQ4" s="5">
        <f t="shared" ref="GQ4:GQ5" si="158">IF(OR(ISNUMBER(GM4), ISNUMBER(GO4)), IF(ISNUMBER(GM4), GM4, 0) + IF(ISNUMBER(GO4), GO4, 0), "")</f>
        <v>19</v>
      </c>
      <c r="GR4" s="3"/>
      <c r="GS4" s="7">
        <f t="shared" si="18"/>
        <v>2</v>
      </c>
      <c r="GT4" s="5">
        <v>2</v>
      </c>
      <c r="GU4" s="7">
        <f t="shared" ref="GU4:GU7" si="159">IF(ISNUMBER(GT4), GT4-GS4, "")</f>
        <v>0</v>
      </c>
      <c r="GW4" s="24">
        <v>4</v>
      </c>
      <c r="GX4" s="6" t="s">
        <v>25</v>
      </c>
      <c r="GY4" s="24">
        <v>14</v>
      </c>
      <c r="GZ4" s="6" t="s">
        <v>25</v>
      </c>
      <c r="HA4" s="5">
        <f t="shared" ref="HA4:HA5" si="160">IF(OR(ISNUMBER(GW4), ISNUMBER(GY4)), IF(ISNUMBER(GW4), GW4, 0) + IF(ISNUMBER(GY4), GY4, 0), "")</f>
        <v>18</v>
      </c>
      <c r="HB4" s="3"/>
      <c r="HC4" s="7">
        <f t="shared" si="19"/>
        <v>1</v>
      </c>
      <c r="HD4" s="5">
        <v>1</v>
      </c>
      <c r="HE4" s="7">
        <f t="shared" ref="HE4:HE7" si="161">IF(ISNUMBER(HD4), HD4-HC4, "")</f>
        <v>0</v>
      </c>
      <c r="HG4" s="2">
        <v>4</v>
      </c>
      <c r="HH4" s="6" t="s">
        <v>25</v>
      </c>
      <c r="HI4" s="2">
        <v>14</v>
      </c>
      <c r="HJ4" s="6" t="s">
        <v>25</v>
      </c>
      <c r="HK4" s="5">
        <f t="shared" ref="HK4:HK5" si="162">IF(OR(ISNUMBER(HG4), ISNUMBER(HI4)), IF(ISNUMBER(HG4), HG4, 0) + IF(ISNUMBER(HI4), HI4, 0), "")</f>
        <v>18</v>
      </c>
      <c r="HL4" s="3"/>
      <c r="HM4" s="7">
        <f t="shared" si="20"/>
        <v>0</v>
      </c>
      <c r="HN4" s="5"/>
      <c r="HO4" s="7" t="str">
        <f t="shared" ref="HO4:HO7" si="163">IF(ISNUMBER(HN4), HN4-HM4, "")</f>
        <v/>
      </c>
      <c r="HQ4" s="24">
        <v>0</v>
      </c>
      <c r="HR4" s="6" t="s">
        <v>25</v>
      </c>
      <c r="HS4" s="24">
        <v>17</v>
      </c>
      <c r="HT4" s="6" t="s">
        <v>25</v>
      </c>
      <c r="HU4" s="5">
        <f t="shared" ref="HU4:HU5" si="164">IF(OR(ISNUMBER(HQ4), ISNUMBER(HS4)), IF(ISNUMBER(HQ4), HQ4, 0) + IF(ISNUMBER(HS4), HS4, 0), "")</f>
        <v>17</v>
      </c>
      <c r="HV4" s="3"/>
      <c r="HW4" s="7">
        <f t="shared" si="21"/>
        <v>1</v>
      </c>
      <c r="HX4" s="5"/>
      <c r="HY4" s="7" t="str">
        <f t="shared" ref="HY4:HY7" si="165">IF(ISNUMBER(HX4), HX4-HW4, "")</f>
        <v/>
      </c>
      <c r="IA4" s="24">
        <v>0</v>
      </c>
      <c r="IB4" s="6" t="s">
        <v>25</v>
      </c>
      <c r="IC4" s="24">
        <v>14</v>
      </c>
      <c r="ID4" s="6" t="s">
        <v>25</v>
      </c>
      <c r="IE4" s="5">
        <f t="shared" ref="IE4:IE5" si="166">IF(OR(ISNUMBER(IA4), ISNUMBER(IC4)), IF(ISNUMBER(IA4), IA4, 0) + IF(ISNUMBER(IC4), IC4, 0), "")</f>
        <v>14</v>
      </c>
      <c r="IF4" s="3"/>
      <c r="IG4" s="7">
        <f t="shared" si="22"/>
        <v>3</v>
      </c>
      <c r="IH4" s="5">
        <v>3</v>
      </c>
      <c r="II4" s="7">
        <f t="shared" ref="II4:II7" si="167">IF(ISNUMBER(IH4), IH4-IG4, "")</f>
        <v>0</v>
      </c>
      <c r="IK4" s="24">
        <v>0</v>
      </c>
      <c r="IL4" s="6" t="s">
        <v>25</v>
      </c>
      <c r="IM4" s="24">
        <v>12</v>
      </c>
      <c r="IN4" s="6" t="s">
        <v>25</v>
      </c>
      <c r="IO4" s="5">
        <f t="shared" ref="IO4:IO5" si="168">IF(OR(ISNUMBER(IK4), ISNUMBER(IM4)), IF(ISNUMBER(IK4), IK4, 0) + IF(ISNUMBER(IM4), IM4, 0), "")</f>
        <v>12</v>
      </c>
      <c r="IP4" s="3">
        <v>1</v>
      </c>
      <c r="IQ4" s="7">
        <f t="shared" si="23"/>
        <v>2</v>
      </c>
      <c r="IR4" s="5">
        <v>2</v>
      </c>
      <c r="IS4" s="7">
        <f t="shared" ref="IS4:IS7" si="169">IF(ISNUMBER(IR4), IR4-IQ4, "")</f>
        <v>0</v>
      </c>
      <c r="IU4" s="24">
        <v>24</v>
      </c>
      <c r="IV4" s="6" t="s">
        <v>25</v>
      </c>
      <c r="IW4" s="24">
        <v>12</v>
      </c>
      <c r="IX4" s="6" t="s">
        <v>25</v>
      </c>
      <c r="IY4" s="5">
        <f t="shared" ref="IY4:IY5" si="170">IF(OR(ISNUMBER(IU4), ISNUMBER(IW4)), IF(ISNUMBER(IU4), IU4, 0) + IF(ISNUMBER(IW4), IW4, 0), "")</f>
        <v>36</v>
      </c>
      <c r="IZ4" s="3"/>
      <c r="JA4" s="7">
        <f t="shared" si="24"/>
        <v>0</v>
      </c>
      <c r="JB4" s="5"/>
      <c r="JC4" s="7" t="str">
        <f t="shared" ref="JC4:JC7" si="171">IF(ISNUMBER(JB4), JB4-JA4, "")</f>
        <v/>
      </c>
      <c r="JE4" s="24">
        <v>24</v>
      </c>
      <c r="JF4" s="6" t="s">
        <v>25</v>
      </c>
      <c r="JG4" s="24">
        <v>8</v>
      </c>
      <c r="JH4" s="6" t="s">
        <v>25</v>
      </c>
      <c r="JI4" s="5">
        <f t="shared" ref="JI4:JI5" si="172">IF(OR(ISNUMBER(JE4), ISNUMBER(JG4)), IF(ISNUMBER(JE4), JE4, 0) + IF(ISNUMBER(JG4), JG4, 0), "")</f>
        <v>32</v>
      </c>
      <c r="JJ4" s="3"/>
      <c r="JK4" s="7">
        <f t="shared" si="25"/>
        <v>4</v>
      </c>
      <c r="JL4" s="5">
        <v>2</v>
      </c>
      <c r="JM4" s="7">
        <f t="shared" ref="JM4:JM7" si="173">IF(ISNUMBER(JL4), JL4-JK4, "")</f>
        <v>-2</v>
      </c>
      <c r="JO4" s="24">
        <v>24</v>
      </c>
      <c r="JP4" s="6" t="s">
        <v>25</v>
      </c>
      <c r="JQ4" s="24">
        <v>8</v>
      </c>
      <c r="JR4" s="6" t="s">
        <v>25</v>
      </c>
      <c r="JS4" s="5">
        <f t="shared" ref="JS4:JS5" si="174">IF(OR(ISNUMBER(JO4), ISNUMBER(JQ4)), IF(ISNUMBER(JO4), JO4, 0) + IF(ISNUMBER(JQ4), JQ4, 0), "")</f>
        <v>32</v>
      </c>
      <c r="JT4" s="3"/>
      <c r="JU4" s="7">
        <f t="shared" si="26"/>
        <v>0</v>
      </c>
      <c r="JV4" s="5"/>
      <c r="JW4" s="7" t="str">
        <f t="shared" ref="JW4:JW7" si="175">IF(ISNUMBER(JV4), JV4-JU4, "")</f>
        <v/>
      </c>
      <c r="JY4" s="24">
        <v>24</v>
      </c>
      <c r="JZ4" s="6" t="s">
        <v>25</v>
      </c>
      <c r="KA4" s="24">
        <v>7</v>
      </c>
      <c r="KB4" s="6" t="s">
        <v>25</v>
      </c>
      <c r="KC4" s="5">
        <f t="shared" ref="KC4:KC5" si="176">IF(OR(ISNUMBER(JY4), ISNUMBER(KA4)), IF(ISNUMBER(JY4), JY4, 0) + IF(ISNUMBER(KA4), KA4, 0), "")</f>
        <v>31</v>
      </c>
      <c r="KD4" s="3"/>
      <c r="KE4" s="7">
        <f t="shared" si="27"/>
        <v>1</v>
      </c>
      <c r="KF4" s="5">
        <v>1</v>
      </c>
      <c r="KG4" s="7">
        <f t="shared" ref="KG4:KG7" si="177">IF(ISNUMBER(KF4), KF4-KE4, "")</f>
        <v>0</v>
      </c>
      <c r="KI4" s="24">
        <v>13</v>
      </c>
      <c r="KJ4" s="6" t="s">
        <v>25</v>
      </c>
      <c r="KK4" s="24">
        <v>14</v>
      </c>
      <c r="KL4" s="6" t="s">
        <v>25</v>
      </c>
      <c r="KM4" s="5">
        <f t="shared" ref="KM4:KM5" si="178">IF(OR(ISNUMBER(KI4), ISNUMBER(KK4)), IF(ISNUMBER(KI4), KI4, 0) + IF(ISNUMBER(KK4), KK4, 0), "")</f>
        <v>27</v>
      </c>
      <c r="KN4" s="3"/>
      <c r="KO4" s="7">
        <f t="shared" si="28"/>
        <v>4</v>
      </c>
      <c r="KP4" s="5">
        <v>4</v>
      </c>
      <c r="KQ4" s="7">
        <f t="shared" ref="KQ4:KQ7" si="179">IF(ISNUMBER(KP4), KP4-KO4, "")</f>
        <v>0</v>
      </c>
      <c r="KS4" s="24">
        <v>13</v>
      </c>
      <c r="KT4" s="6" t="s">
        <v>25</v>
      </c>
      <c r="KU4" s="24">
        <v>11</v>
      </c>
      <c r="KV4" s="6" t="s">
        <v>25</v>
      </c>
      <c r="KW4" s="5">
        <f t="shared" ref="KW4:KW5" si="180">IF(OR(ISNUMBER(KS4), ISNUMBER(KU4)), IF(ISNUMBER(KS4), KS4, 0) + IF(ISNUMBER(KU4), KU4, 0), "")</f>
        <v>24</v>
      </c>
      <c r="KX4" s="3"/>
      <c r="KY4" s="7">
        <f t="shared" si="29"/>
        <v>3</v>
      </c>
      <c r="KZ4" s="5">
        <v>3</v>
      </c>
      <c r="LA4" s="7">
        <f t="shared" ref="LA4:LA7" si="181">IF(ISNUMBER(KZ4), KZ4-KY4, "")</f>
        <v>0</v>
      </c>
      <c r="LC4" s="24">
        <v>12</v>
      </c>
      <c r="LD4" s="6" t="s">
        <v>25</v>
      </c>
      <c r="LE4" s="24">
        <v>12</v>
      </c>
      <c r="LF4" s="6" t="s">
        <v>25</v>
      </c>
      <c r="LG4" s="5">
        <f t="shared" ref="LG4:LG5" si="182">IF(OR(ISNUMBER(LC4), ISNUMBER(LE4)), IF(ISNUMBER(LC4), LC4, 0) + IF(ISNUMBER(LE4), LE4, 0), "")</f>
        <v>24</v>
      </c>
      <c r="LH4" s="3"/>
      <c r="LI4" s="7">
        <f t="shared" si="30"/>
        <v>0</v>
      </c>
      <c r="LJ4" s="5"/>
      <c r="LK4" s="7" t="str">
        <f t="shared" ref="LK4:LK7" si="183">IF(ISNUMBER(LJ4), LJ4-LI4, "")</f>
        <v/>
      </c>
      <c r="LM4" s="24">
        <v>12</v>
      </c>
      <c r="LN4" s="6" t="s">
        <v>25</v>
      </c>
      <c r="LO4" s="24">
        <v>9</v>
      </c>
      <c r="LP4" s="6" t="s">
        <v>25</v>
      </c>
      <c r="LQ4" s="5">
        <f t="shared" ref="LQ4:LQ5" si="184">IF(OR(ISNUMBER(LM4), ISNUMBER(LO4)), IF(ISNUMBER(LM4), LM4, 0) + IF(ISNUMBER(LO4), LO4, 0), "")</f>
        <v>21</v>
      </c>
      <c r="LR4" s="3"/>
      <c r="LS4" s="7">
        <f t="shared" si="31"/>
        <v>3</v>
      </c>
      <c r="LT4" s="5">
        <v>3</v>
      </c>
      <c r="LU4" s="7">
        <f t="shared" ref="LU4:LU7" si="185">IF(ISNUMBER(LT4), LT4-LS4, "")</f>
        <v>0</v>
      </c>
      <c r="LW4" s="24">
        <v>12</v>
      </c>
      <c r="LX4" s="6" t="s">
        <v>25</v>
      </c>
      <c r="LY4" s="24">
        <v>7</v>
      </c>
      <c r="LZ4" s="6" t="s">
        <v>25</v>
      </c>
      <c r="MA4" s="5">
        <f t="shared" ref="MA4:MA5" si="186">IF(OR(ISNUMBER(LW4), ISNUMBER(LY4)), IF(ISNUMBER(LW4), LW4, 0) + IF(ISNUMBER(LY4), LY4, 0), "")</f>
        <v>19</v>
      </c>
      <c r="MB4" s="3"/>
      <c r="MC4" s="7">
        <f t="shared" si="32"/>
        <v>2</v>
      </c>
      <c r="MD4" s="5">
        <v>2</v>
      </c>
      <c r="ME4" s="7">
        <f t="shared" ref="ME4:ME7" si="187">IF(ISNUMBER(MD4), MD4-MC4, "")</f>
        <v>0</v>
      </c>
      <c r="MG4" s="24">
        <v>12</v>
      </c>
      <c r="MH4" s="6" t="s">
        <v>25</v>
      </c>
      <c r="MI4" s="24">
        <v>6</v>
      </c>
      <c r="MJ4" s="6" t="s">
        <v>25</v>
      </c>
      <c r="MK4" s="5">
        <f t="shared" ref="MK4:MK5" si="188">IF(OR(ISNUMBER(MG4), ISNUMBER(MI4)), IF(ISNUMBER(MG4), MG4, 0) + IF(ISNUMBER(MI4), MI4, 0), "")</f>
        <v>18</v>
      </c>
      <c r="ML4" s="3"/>
      <c r="MM4" s="7">
        <f t="shared" si="33"/>
        <v>1</v>
      </c>
      <c r="MN4" s="5">
        <v>1</v>
      </c>
      <c r="MO4" s="7">
        <f t="shared" ref="MO4:MO7" si="189">IF(ISNUMBER(MN4), MN4-MM4, "")</f>
        <v>0</v>
      </c>
      <c r="MQ4" s="24">
        <v>12</v>
      </c>
      <c r="MR4" s="6" t="s">
        <v>25</v>
      </c>
      <c r="MS4" s="24">
        <v>6</v>
      </c>
      <c r="MT4" s="6" t="s">
        <v>25</v>
      </c>
      <c r="MU4" s="5">
        <f t="shared" ref="MU4:MU5" si="190">IF(OR(ISNUMBER(MQ4), ISNUMBER(MS4)), IF(ISNUMBER(MQ4), MQ4, 0) + IF(ISNUMBER(MS4), MS4, 0), "")</f>
        <v>18</v>
      </c>
      <c r="MV4" s="3"/>
      <c r="MW4" s="7">
        <f t="shared" si="34"/>
        <v>0</v>
      </c>
      <c r="MX4" s="5"/>
      <c r="MY4" s="7" t="str">
        <f t="shared" ref="MY4:MY7" si="191">IF(ISNUMBER(MX4), MX4-MW4, "")</f>
        <v/>
      </c>
      <c r="NA4" s="24">
        <v>12</v>
      </c>
      <c r="NB4" s="6" t="s">
        <v>25</v>
      </c>
      <c r="NC4" s="24">
        <v>5</v>
      </c>
      <c r="ND4" s="6" t="s">
        <v>25</v>
      </c>
      <c r="NE4" s="5">
        <f t="shared" ref="NE4:NE5" si="192">IF(OR(ISNUMBER(NA4), ISNUMBER(NC4)), IF(ISNUMBER(NA4), NA4, 0) + IF(ISNUMBER(NC4), NC4, 0), "")</f>
        <v>17</v>
      </c>
      <c r="NF4" s="3">
        <v>1</v>
      </c>
      <c r="NG4" s="7">
        <f t="shared" si="35"/>
        <v>1</v>
      </c>
      <c r="NH4" s="5">
        <v>1</v>
      </c>
      <c r="NI4" s="7">
        <f t="shared" ref="NI4:NI7" si="193">IF(ISNUMBER(NH4), NH4-NG4, "")</f>
        <v>0</v>
      </c>
      <c r="NK4" s="24">
        <v>36</v>
      </c>
      <c r="NL4" s="6" t="s">
        <v>25</v>
      </c>
      <c r="NM4" s="24">
        <v>4</v>
      </c>
      <c r="NN4" s="6" t="s">
        <v>25</v>
      </c>
      <c r="NO4" s="5">
        <f t="shared" ref="NO4:NO5" si="194">IF(OR(ISNUMBER(NK4), ISNUMBER(NM4)), IF(ISNUMBER(NK4), NK4, 0) + IF(ISNUMBER(NM4), NM4, 0), "")</f>
        <v>40</v>
      </c>
      <c r="NP4" s="3"/>
      <c r="NQ4" s="7">
        <f t="shared" si="36"/>
        <v>1</v>
      </c>
      <c r="NR4" s="5">
        <v>1</v>
      </c>
      <c r="NS4" s="7">
        <f t="shared" ref="NS4:NS7" si="195">IF(ISNUMBER(NR4), NR4-NQ4, "")</f>
        <v>0</v>
      </c>
      <c r="NU4" s="24">
        <v>36</v>
      </c>
      <c r="NV4" s="6" t="s">
        <v>25</v>
      </c>
      <c r="NW4" s="24">
        <v>4</v>
      </c>
      <c r="NX4" s="6" t="s">
        <v>25</v>
      </c>
      <c r="NY4" s="5">
        <f t="shared" ref="NY4:NY5" si="196">IF(OR(ISNUMBER(NU4), ISNUMBER(NW4)), IF(ISNUMBER(NU4), NU4, 0) + IF(ISNUMBER(NW4), NW4, 0), "")</f>
        <v>40</v>
      </c>
      <c r="NZ4" s="3"/>
      <c r="OA4" s="7">
        <f t="shared" si="37"/>
        <v>0</v>
      </c>
      <c r="OB4" s="5"/>
      <c r="OC4" s="7" t="str">
        <f t="shared" ref="OC4:OC7" si="197">IF(ISNUMBER(OB4), OB4-OA4, "")</f>
        <v/>
      </c>
      <c r="OE4" s="2">
        <v>36</v>
      </c>
      <c r="OF4" s="6" t="s">
        <v>25</v>
      </c>
      <c r="OG4" s="2">
        <v>3</v>
      </c>
      <c r="OH4" s="6" t="s">
        <v>25</v>
      </c>
      <c r="OI4" s="5">
        <f t="shared" ref="OI4:OI5" si="198">IF(OR(ISNUMBER(OE4), ISNUMBER(OG4)), IF(ISNUMBER(OE4), OE4, 0) + IF(ISNUMBER(OG4), OG4, 0), "")</f>
        <v>39</v>
      </c>
      <c r="OJ4" s="3"/>
      <c r="OK4" s="7">
        <f t="shared" si="38"/>
        <v>1</v>
      </c>
      <c r="OL4" s="5">
        <v>1</v>
      </c>
      <c r="OM4" s="7">
        <f t="shared" ref="OM4:OM7" si="199">IF(ISNUMBER(OL4), OL4-OK4, "")</f>
        <v>0</v>
      </c>
      <c r="OO4" s="24">
        <v>24</v>
      </c>
      <c r="OP4" s="6" t="s">
        <v>25</v>
      </c>
      <c r="OQ4" s="24">
        <v>15</v>
      </c>
      <c r="OR4" s="6" t="s">
        <v>25</v>
      </c>
      <c r="OS4" s="5">
        <f t="shared" ref="OS4:OS5" si="200">IF(OR(ISNUMBER(OO4), ISNUMBER(OQ4)), IF(ISNUMBER(OO4), OO4, 0) + IF(ISNUMBER(OQ4), OQ4, 0), "")</f>
        <v>39</v>
      </c>
      <c r="OT4" s="3"/>
      <c r="OU4" s="7">
        <f t="shared" si="39"/>
        <v>0</v>
      </c>
      <c r="OV4" s="5"/>
      <c r="OW4" s="7" t="str">
        <f t="shared" ref="OW4:OW7" si="201">IF(ISNUMBER(OV4), OV4-OU4, "")</f>
        <v/>
      </c>
      <c r="OY4" s="24">
        <v>12</v>
      </c>
      <c r="OZ4" s="6" t="s">
        <v>25</v>
      </c>
      <c r="PA4" s="24">
        <v>15</v>
      </c>
      <c r="PB4" s="6" t="s">
        <v>25</v>
      </c>
      <c r="PC4" s="5">
        <f t="shared" ref="PC4:PC5" si="202">IF(OR(ISNUMBER(OY4), ISNUMBER(PA4)), IF(ISNUMBER(OY4), OY4, 0) + IF(ISNUMBER(PA4), PA4, 0), "")</f>
        <v>27</v>
      </c>
      <c r="PD4" s="3"/>
      <c r="PE4" s="7">
        <f t="shared" si="40"/>
        <v>12</v>
      </c>
      <c r="PF4" s="5"/>
      <c r="PG4" s="7" t="str">
        <f t="shared" ref="PG4:PG7" si="203">IF(ISNUMBER(PF4), PF4-PE4, "")</f>
        <v/>
      </c>
      <c r="PI4" s="2">
        <v>24</v>
      </c>
      <c r="PJ4" s="36" t="s">
        <v>25</v>
      </c>
      <c r="PK4" s="2">
        <v>14</v>
      </c>
      <c r="PL4" s="36" t="s">
        <v>25</v>
      </c>
      <c r="PM4" s="5">
        <f t="shared" ref="PM4:PM5" si="204">IF(OR(ISNUMBER(PI4), ISNUMBER(PK4)), IF(ISNUMBER(PI4), PI4, 0) + IF(ISNUMBER(PK4), PK4, 0), "")</f>
        <v>38</v>
      </c>
      <c r="PN4" s="3"/>
      <c r="PO4" s="7">
        <f t="shared" si="41"/>
        <v>-11</v>
      </c>
      <c r="PP4" s="5">
        <v>1</v>
      </c>
      <c r="PQ4" s="7">
        <f t="shared" ref="PQ4:PQ7" si="205">IF(ISNUMBER(PP4), PP4-PO4, "")</f>
        <v>12</v>
      </c>
      <c r="PS4" s="2">
        <v>24</v>
      </c>
      <c r="PT4" s="6" t="s">
        <v>25</v>
      </c>
      <c r="PU4" s="2">
        <v>14</v>
      </c>
      <c r="PV4" s="6" t="s">
        <v>25</v>
      </c>
      <c r="PW4" s="5">
        <f t="shared" ref="PW4:PW5" si="206">IF(OR(ISNUMBER(PS4), ISNUMBER(PU4)), IF(ISNUMBER(PS4), PS4, 0) + IF(ISNUMBER(PU4), PU4, 0), "")</f>
        <v>38</v>
      </c>
      <c r="PX4" s="3"/>
      <c r="PY4" s="7">
        <f t="shared" si="42"/>
        <v>0</v>
      </c>
      <c r="PZ4" s="5"/>
      <c r="QA4" s="7" t="str">
        <f t="shared" ref="QA4:QA7" si="207">IF(ISNUMBER(PZ4), PZ4-PY4, "")</f>
        <v/>
      </c>
      <c r="QC4" s="2">
        <v>24</v>
      </c>
      <c r="QD4" s="6" t="s">
        <v>25</v>
      </c>
      <c r="QE4" s="2">
        <v>12</v>
      </c>
      <c r="QF4" s="6" t="s">
        <v>25</v>
      </c>
      <c r="QG4" s="5">
        <f t="shared" ref="QG4:QG5" si="208">IF(OR(ISNUMBER(QC4), ISNUMBER(QE4)), IF(ISNUMBER(QC4), QC4, 0) + IF(ISNUMBER(QE4), QE4, 0), "")</f>
        <v>36</v>
      </c>
      <c r="QH4" s="3"/>
      <c r="QI4" s="7">
        <f t="shared" si="43"/>
        <v>2</v>
      </c>
      <c r="QJ4" s="5">
        <v>2</v>
      </c>
      <c r="QK4" s="7">
        <f t="shared" ref="QK4:QK7" si="209">IF(ISNUMBER(QJ4), QJ4-QI4, "")</f>
        <v>0</v>
      </c>
      <c r="QM4" s="24">
        <v>24</v>
      </c>
      <c r="QN4" s="6" t="s">
        <v>25</v>
      </c>
      <c r="QO4" s="24">
        <v>12</v>
      </c>
      <c r="QP4" s="6" t="s">
        <v>25</v>
      </c>
      <c r="QQ4" s="5">
        <f t="shared" ref="QQ4:QQ5" si="210">IF(OR(ISNUMBER(QM4), ISNUMBER(QO4)), IF(ISNUMBER(QM4), QM4, 0) + IF(ISNUMBER(QO4), QO4, 0), "")</f>
        <v>36</v>
      </c>
      <c r="QR4" s="3"/>
      <c r="QS4" s="7">
        <f t="shared" si="44"/>
        <v>0</v>
      </c>
      <c r="QT4" s="5"/>
      <c r="QU4" s="7" t="str">
        <f t="shared" ref="QU4:QU7" si="211">IF(ISNUMBER(QT4), QT4-QS4, "")</f>
        <v/>
      </c>
      <c r="QW4" s="24">
        <v>24</v>
      </c>
      <c r="QX4" s="6" t="s">
        <v>25</v>
      </c>
      <c r="QY4" s="24">
        <v>8</v>
      </c>
      <c r="QZ4" s="6" t="s">
        <v>25</v>
      </c>
      <c r="RA4" s="5">
        <f t="shared" ref="RA4:RA5" si="212">IF(OR(ISNUMBER(QW4), ISNUMBER(QY4)), IF(ISNUMBER(QW4), QW4, 0) + IF(ISNUMBER(QY4), QY4, 0), "")</f>
        <v>32</v>
      </c>
      <c r="RB4" s="3"/>
      <c r="RC4" s="7">
        <f t="shared" si="45"/>
        <v>4</v>
      </c>
      <c r="RD4" s="5">
        <v>4</v>
      </c>
      <c r="RE4" s="7">
        <f t="shared" ref="RE4:RE7" si="213">IF(ISNUMBER(RD4), RD4-RC4, "")</f>
        <v>0</v>
      </c>
      <c r="RG4" s="24">
        <v>24</v>
      </c>
      <c r="RH4" s="6" t="s">
        <v>25</v>
      </c>
      <c r="RI4" s="24">
        <v>7</v>
      </c>
      <c r="RJ4" s="6" t="s">
        <v>25</v>
      </c>
      <c r="RK4" s="5">
        <f t="shared" ref="RK4:RK5" si="214">IF(OR(ISNUMBER(RG4), ISNUMBER(RI4)), IF(ISNUMBER(RG4), RG4, 0) + IF(ISNUMBER(RI4), RI4, 0), "")</f>
        <v>31</v>
      </c>
      <c r="RL4" s="3"/>
      <c r="RM4" s="7">
        <f t="shared" si="46"/>
        <v>1</v>
      </c>
      <c r="RN4" s="5">
        <v>1</v>
      </c>
      <c r="RO4" s="7">
        <f t="shared" ref="RO4:RO7" si="215">IF(ISNUMBER(RN4), RN4-RM4, "")</f>
        <v>0</v>
      </c>
      <c r="RQ4" s="24">
        <v>24</v>
      </c>
      <c r="RR4" s="6" t="s">
        <v>25</v>
      </c>
      <c r="RS4" s="24">
        <v>7</v>
      </c>
      <c r="RT4" s="6" t="s">
        <v>25</v>
      </c>
      <c r="RU4" s="5">
        <f t="shared" ref="RU4:RU5" si="216">IF(OR(ISNUMBER(RQ4), ISNUMBER(RS4)), IF(ISNUMBER(RQ4), RQ4, 0) + IF(ISNUMBER(RS4), RS4, 0), "")</f>
        <v>31</v>
      </c>
      <c r="RV4" s="3"/>
      <c r="RW4" s="7">
        <f t="shared" si="47"/>
        <v>0</v>
      </c>
      <c r="RX4" s="5"/>
      <c r="RY4" s="7" t="str">
        <f t="shared" ref="RY4:RY7" si="217">IF(ISNUMBER(RX4), RX4-RW4, "")</f>
        <v/>
      </c>
      <c r="SA4" s="2">
        <v>20</v>
      </c>
      <c r="SB4" s="6" t="s">
        <v>25</v>
      </c>
      <c r="SC4" s="2">
        <v>9</v>
      </c>
      <c r="SD4" s="6" t="s">
        <v>25</v>
      </c>
      <c r="SE4" s="5">
        <f t="shared" ref="SE4:SE5" si="218">IF(OR(ISNUMBER(SA4), ISNUMBER(SC4)), IF(ISNUMBER(SA4), SA4, 0) + IF(ISNUMBER(SC4), SC4, 0), "")</f>
        <v>29</v>
      </c>
      <c r="SF4" s="3"/>
      <c r="SG4" s="7">
        <f t="shared" si="48"/>
        <v>2</v>
      </c>
      <c r="SH4" s="5">
        <v>2</v>
      </c>
      <c r="SI4" s="7">
        <f t="shared" ref="SI4:SI7" si="219">IF(ISNUMBER(SH4), SH4-SG4, "")</f>
        <v>0</v>
      </c>
      <c r="SK4" s="24">
        <v>14</v>
      </c>
      <c r="SL4" s="6" t="s">
        <v>25</v>
      </c>
      <c r="SM4" s="24">
        <v>11</v>
      </c>
      <c r="SN4" s="6" t="s">
        <v>25</v>
      </c>
      <c r="SO4" s="5">
        <f t="shared" ref="SO4:SO5" si="220">IF(OR(ISNUMBER(SK4), ISNUMBER(SM4)), IF(ISNUMBER(SK4), SK4, 0) + IF(ISNUMBER(SM4), SM4, 0), "")</f>
        <v>25</v>
      </c>
      <c r="SP4" s="3"/>
      <c r="SQ4" s="7">
        <f t="shared" si="49"/>
        <v>4</v>
      </c>
      <c r="SR4" s="5">
        <v>4</v>
      </c>
      <c r="SS4" s="7">
        <f t="shared" ref="SS4:SS7" si="221">IF(ISNUMBER(SR4), SR4-SQ4, "")</f>
        <v>0</v>
      </c>
      <c r="SU4" s="24">
        <v>12</v>
      </c>
      <c r="SV4" s="6" t="s">
        <v>25</v>
      </c>
      <c r="SW4" s="24">
        <v>13</v>
      </c>
      <c r="SX4" s="6" t="s">
        <v>25</v>
      </c>
      <c r="SY4" s="5">
        <f t="shared" ref="SY4:SY5" si="222">IF(OR(ISNUMBER(SU4), ISNUMBER(SW4)), IF(ISNUMBER(SU4), SU4, 0) + IF(ISNUMBER(SW4), SW4, 0), "")</f>
        <v>25</v>
      </c>
      <c r="SZ4" s="3"/>
      <c r="TA4" s="7">
        <f t="shared" si="50"/>
        <v>0</v>
      </c>
      <c r="TB4" s="5"/>
      <c r="TC4" s="7" t="str">
        <f t="shared" ref="TC4:TC7" si="223">IF(ISNUMBER(TB4), TB4-TA4, "")</f>
        <v/>
      </c>
      <c r="TE4" s="24">
        <v>0</v>
      </c>
      <c r="TF4" s="6" t="s">
        <v>25</v>
      </c>
      <c r="TG4" s="24">
        <v>24</v>
      </c>
      <c r="TH4" s="6" t="s">
        <v>25</v>
      </c>
      <c r="TI4" s="5">
        <f t="shared" ref="TI4:TI5" si="224">IF(OR(ISNUMBER(TE4), ISNUMBER(TG4)), IF(ISNUMBER(TE4), TE4, 0) + IF(ISNUMBER(TG4), TG4, 0), "")</f>
        <v>24</v>
      </c>
      <c r="TJ4" s="3"/>
      <c r="TK4" s="7">
        <f t="shared" si="51"/>
        <v>1</v>
      </c>
      <c r="TL4" s="5"/>
      <c r="TM4" s="7" t="str">
        <f t="shared" ref="TM4:TM7" si="225">IF(ISNUMBER(TL4), TL4-TK4, "")</f>
        <v/>
      </c>
      <c r="TO4" s="2">
        <v>0</v>
      </c>
      <c r="TP4" s="6" t="s">
        <v>25</v>
      </c>
      <c r="TQ4" s="2">
        <v>24</v>
      </c>
      <c r="TR4" s="6" t="s">
        <v>25</v>
      </c>
      <c r="TS4" s="5">
        <f t="shared" ref="TS4:TS5" si="226">IF(OR(ISNUMBER(TO4), ISNUMBER(TQ4)), IF(ISNUMBER(TO4), TO4, 0) + IF(ISNUMBER(TQ4), TQ4, 0), "")</f>
        <v>24</v>
      </c>
      <c r="TT4" s="3"/>
      <c r="TU4" s="7">
        <f t="shared" si="52"/>
        <v>0</v>
      </c>
      <c r="TV4" s="5"/>
      <c r="TW4" s="7" t="str">
        <f t="shared" ref="TW4:TW7" si="227">IF(ISNUMBER(TV4), TV4-TU4, "")</f>
        <v/>
      </c>
      <c r="TY4" s="24">
        <v>0</v>
      </c>
      <c r="TZ4" s="6" t="s">
        <v>25</v>
      </c>
      <c r="UA4" s="24">
        <v>22</v>
      </c>
      <c r="UB4" s="6" t="s">
        <v>25</v>
      </c>
      <c r="UC4" s="5">
        <f t="shared" ref="UC4:UC5" si="228">IF(OR(ISNUMBER(TY4), ISNUMBER(UA4)), IF(ISNUMBER(TY4), TY4, 0) + IF(ISNUMBER(UA4), UA4, 0), "")</f>
        <v>22</v>
      </c>
      <c r="UD4" s="3"/>
      <c r="UE4" s="7">
        <f t="shared" si="53"/>
        <v>2</v>
      </c>
      <c r="UF4" s="5">
        <v>2</v>
      </c>
      <c r="UG4" s="7">
        <f t="shared" ref="UG4:UG7" si="229">IF(ISNUMBER(UF4), UF4-UE4, "")</f>
        <v>0</v>
      </c>
      <c r="UI4" s="2">
        <v>0</v>
      </c>
      <c r="UJ4" s="6" t="s">
        <v>25</v>
      </c>
      <c r="UK4" s="2">
        <v>22</v>
      </c>
      <c r="UL4" s="6" t="s">
        <v>25</v>
      </c>
      <c r="UM4" s="5">
        <f t="shared" ref="UM4:UM5" si="230">IF(OR(ISNUMBER(UI4), ISNUMBER(UK4)), IF(ISNUMBER(UI4), UI4, 0) + IF(ISNUMBER(UK4), UK4, 0), "")</f>
        <v>22</v>
      </c>
      <c r="UN4" s="3"/>
      <c r="UO4" s="7">
        <f t="shared" si="54"/>
        <v>0</v>
      </c>
      <c r="UP4" s="5"/>
      <c r="UQ4" s="7" t="str">
        <f t="shared" ref="UQ4:UQ7" si="231">IF(ISNUMBER(UP4), UP4-UO4, "")</f>
        <v/>
      </c>
      <c r="US4" s="2">
        <v>0</v>
      </c>
      <c r="UT4" s="6" t="s">
        <v>25</v>
      </c>
      <c r="UU4" s="2">
        <v>22</v>
      </c>
      <c r="UV4" s="6" t="s">
        <v>25</v>
      </c>
      <c r="UW4" s="5">
        <f t="shared" ref="UW4:UW5" si="232">IF(OR(ISNUMBER(US4), ISNUMBER(UU4)), IF(ISNUMBER(US4), US4, 0) + IF(ISNUMBER(UU4), UU4, 0), "")</f>
        <v>22</v>
      </c>
      <c r="UX4" s="3"/>
      <c r="UY4" s="7">
        <f t="shared" si="55"/>
        <v>0</v>
      </c>
      <c r="UZ4" s="5"/>
      <c r="VA4" s="7" t="str">
        <f t="shared" ref="VA4:VA7" si="233">IF(ISNUMBER(UZ4), UZ4-UY4, "")</f>
        <v/>
      </c>
      <c r="VC4" s="24">
        <v>0</v>
      </c>
      <c r="VD4" s="6" t="s">
        <v>25</v>
      </c>
      <c r="VE4" s="24">
        <v>22</v>
      </c>
      <c r="VF4" s="6" t="s">
        <v>25</v>
      </c>
      <c r="VG4" s="5">
        <f t="shared" ref="VG4:VG5" si="234">IF(OR(ISNUMBER(VC4), ISNUMBER(VE4)), IF(ISNUMBER(VC4), VC4, 0) + IF(ISNUMBER(VE4), VE4, 0), "")</f>
        <v>22</v>
      </c>
      <c r="VH4" s="3"/>
      <c r="VI4" s="7">
        <f t="shared" si="56"/>
        <v>0</v>
      </c>
      <c r="VJ4" s="5"/>
      <c r="VK4" s="7" t="str">
        <f t="shared" ref="VK4:VK7" si="235">IF(ISNUMBER(VJ4), VJ4-VI4, "")</f>
        <v/>
      </c>
      <c r="VM4" s="24">
        <v>0</v>
      </c>
      <c r="VN4" s="6" t="s">
        <v>25</v>
      </c>
      <c r="VO4" s="24">
        <v>22</v>
      </c>
      <c r="VP4" s="6" t="s">
        <v>25</v>
      </c>
      <c r="VQ4" s="5">
        <f t="shared" ref="VQ4:VQ5" si="236">IF(OR(ISNUMBER(VM4), ISNUMBER(VO4)), IF(ISNUMBER(VM4), VM4, 0) + IF(ISNUMBER(VO4), VO4, 0), "")</f>
        <v>22</v>
      </c>
      <c r="VR4" s="3"/>
      <c r="VS4" s="7">
        <f t="shared" si="57"/>
        <v>0</v>
      </c>
      <c r="VT4" s="5">
        <v>3</v>
      </c>
      <c r="VU4" s="7">
        <f t="shared" ref="VU4:VU7" si="237">IF(ISNUMBER(VT4), VT4-VS4, "")</f>
        <v>3</v>
      </c>
      <c r="VW4" s="2">
        <v>0</v>
      </c>
      <c r="VX4" s="6" t="s">
        <v>25</v>
      </c>
      <c r="VY4" s="2">
        <v>22</v>
      </c>
      <c r="VZ4" s="6" t="s">
        <v>25</v>
      </c>
      <c r="WA4" s="5">
        <f t="shared" ref="WA4:WA5" si="238">IF(OR(ISNUMBER(VW4), ISNUMBER(VY4)), IF(ISNUMBER(VW4), VW4, 0) + IF(ISNUMBER(VY4), VY4, 0), "")</f>
        <v>22</v>
      </c>
      <c r="WB4" s="3"/>
      <c r="WC4" s="7">
        <f t="shared" si="58"/>
        <v>0</v>
      </c>
      <c r="WD4" s="5"/>
      <c r="WE4" s="7" t="str">
        <f t="shared" ref="WE4:WE7" si="239">IF(ISNUMBER(WD4), WD4-WC4, "")</f>
        <v/>
      </c>
      <c r="WG4" s="24">
        <v>0</v>
      </c>
      <c r="WH4" s="6" t="s">
        <v>25</v>
      </c>
      <c r="WI4" s="24">
        <v>20</v>
      </c>
      <c r="WJ4" s="6" t="s">
        <v>25</v>
      </c>
      <c r="WK4" s="5">
        <f t="shared" ref="WK4:WK5" si="240">IF(OR(ISNUMBER(WG4), ISNUMBER(WI4)), IF(ISNUMBER(WG4), WG4, 0) + IF(ISNUMBER(WI4), WI4, 0), "")</f>
        <v>20</v>
      </c>
      <c r="WL4" s="3"/>
      <c r="WM4" s="7">
        <f t="shared" si="59"/>
        <v>2</v>
      </c>
      <c r="WN4" s="5">
        <v>1</v>
      </c>
      <c r="WO4" s="7">
        <f t="shared" ref="WO4:WO7" si="241">IF(ISNUMBER(WN4), WN4-WM4, "")</f>
        <v>-1</v>
      </c>
      <c r="WQ4" s="24">
        <v>0</v>
      </c>
      <c r="WR4" s="6" t="s">
        <v>25</v>
      </c>
      <c r="WS4" s="24">
        <v>19</v>
      </c>
      <c r="WT4" s="6" t="s">
        <v>25</v>
      </c>
      <c r="WU4" s="5">
        <f t="shared" ref="WU4:WU5" si="242">IF(OR(ISNUMBER(WQ4), ISNUMBER(WS4)), IF(ISNUMBER(WQ4), WQ4, 0) + IF(ISNUMBER(WS4), WS4, 0), "")</f>
        <v>19</v>
      </c>
      <c r="WV4" s="3"/>
      <c r="WW4" s="7">
        <f t="shared" si="60"/>
        <v>1</v>
      </c>
      <c r="WX4" s="5">
        <v>1</v>
      </c>
      <c r="WY4" s="7">
        <f t="shared" ref="WY4:WY7" si="243">IF(ISNUMBER(WX4), WX4-WW4, "")</f>
        <v>0</v>
      </c>
      <c r="XA4" s="24"/>
      <c r="XB4" s="6" t="s">
        <v>25</v>
      </c>
      <c r="XC4" s="24">
        <v>18</v>
      </c>
      <c r="XD4" s="6" t="s">
        <v>25</v>
      </c>
      <c r="XE4" s="5">
        <f t="shared" ref="XE4:XE5" si="244">IF(OR(ISNUMBER(XA4), ISNUMBER(XC4)), IF(ISNUMBER(XA4), XA4, 0) + IF(ISNUMBER(XC4), XC4, 0), "")</f>
        <v>18</v>
      </c>
      <c r="XF4" s="3"/>
      <c r="XG4" s="7">
        <f t="shared" si="61"/>
        <v>1</v>
      </c>
      <c r="XH4" s="5">
        <v>1</v>
      </c>
      <c r="XI4" s="7">
        <f t="shared" ref="XI4:XI7" si="245">IF(ISNUMBER(XH4), XH4-XG4, "")</f>
        <v>0</v>
      </c>
      <c r="XK4" s="24">
        <v>0</v>
      </c>
      <c r="XL4" s="6" t="s">
        <v>25</v>
      </c>
      <c r="XM4" s="24">
        <v>17</v>
      </c>
      <c r="XN4" s="6" t="s">
        <v>25</v>
      </c>
      <c r="XO4" s="5">
        <f t="shared" ref="XO4:XO5" si="246">IF(OR(ISNUMBER(XK4), ISNUMBER(XM4)), IF(ISNUMBER(XK4), XK4, 0) + IF(ISNUMBER(XM4), XM4, 0), "")</f>
        <v>17</v>
      </c>
      <c r="XP4" s="3"/>
      <c r="XQ4" s="7">
        <f t="shared" si="62"/>
        <v>1</v>
      </c>
      <c r="XR4" s="5">
        <v>1</v>
      </c>
      <c r="XS4" s="7">
        <f t="shared" ref="XS4:XS7" si="247">IF(ISNUMBER(XR4), XR4-XQ4, "")</f>
        <v>0</v>
      </c>
      <c r="XU4" s="24">
        <v>0</v>
      </c>
      <c r="XV4" s="6" t="s">
        <v>25</v>
      </c>
      <c r="XW4" s="24">
        <v>15</v>
      </c>
      <c r="XX4" s="6" t="s">
        <v>25</v>
      </c>
      <c r="XY4" s="5">
        <f t="shared" ref="XY4:XY5" si="248">IF(OR(ISNUMBER(XU4), ISNUMBER(XW4)), IF(ISNUMBER(XU4), XU4, 0) + IF(ISNUMBER(XW4), XW4, 0), "")</f>
        <v>15</v>
      </c>
      <c r="XZ4" s="3"/>
      <c r="YA4" s="7">
        <f t="shared" si="63"/>
        <v>2</v>
      </c>
      <c r="YB4" s="5">
        <v>2</v>
      </c>
      <c r="YC4" s="7">
        <f t="shared" ref="YC4:YC7" si="249">IF(ISNUMBER(YB4), YB4-YA4, "")</f>
        <v>0</v>
      </c>
      <c r="YE4" s="24">
        <v>0</v>
      </c>
      <c r="YF4" s="6" t="s">
        <v>25</v>
      </c>
      <c r="YG4" s="24">
        <v>15</v>
      </c>
      <c r="YH4" s="6" t="s">
        <v>25</v>
      </c>
      <c r="YI4" s="5">
        <f t="shared" ref="YI4:YI5" si="250">IF(OR(ISNUMBER(YE4), ISNUMBER(YG4)), IF(ISNUMBER(YE4), YE4, 0) + IF(ISNUMBER(YG4), YG4, 0), "")</f>
        <v>15</v>
      </c>
      <c r="YJ4" s="3"/>
      <c r="YK4" s="7">
        <f t="shared" si="64"/>
        <v>0</v>
      </c>
      <c r="YL4" s="5"/>
      <c r="YM4" s="7" t="str">
        <f t="shared" ref="YM4:YM7" si="251">IF(ISNUMBER(YL4), YL4-YK4, "")</f>
        <v/>
      </c>
      <c r="YO4" s="24">
        <v>0</v>
      </c>
      <c r="YP4" s="6" t="s">
        <v>25</v>
      </c>
      <c r="YQ4" s="24">
        <v>15</v>
      </c>
      <c r="YR4" s="6" t="s">
        <v>25</v>
      </c>
      <c r="YS4" s="5">
        <f t="shared" ref="YS4:YS5" si="252">IF(OR(ISNUMBER(YO4), ISNUMBER(YQ4)), IF(ISNUMBER(YO4), YO4, 0) + IF(ISNUMBER(YQ4), YQ4, 0), "")</f>
        <v>15</v>
      </c>
      <c r="YT4" s="3"/>
      <c r="YU4" s="7">
        <f t="shared" si="65"/>
        <v>0</v>
      </c>
      <c r="YV4" s="5"/>
      <c r="YW4" s="7" t="str">
        <f t="shared" ref="YW4:YW7" si="253">IF(ISNUMBER(YV4), YV4-YU4, "")</f>
        <v/>
      </c>
      <c r="YY4" s="2">
        <v>0</v>
      </c>
      <c r="YZ4" s="6" t="s">
        <v>25</v>
      </c>
      <c r="ZA4" s="2">
        <v>12</v>
      </c>
      <c r="ZB4" s="6" t="s">
        <v>25</v>
      </c>
      <c r="ZC4" s="5">
        <f t="shared" ref="ZC4:ZC5" si="254">IF(OR(ISNUMBER(YY4), ISNUMBER(ZA4)), IF(ISNUMBER(YY4), YY4, 0) + IF(ISNUMBER(ZA4), ZA4, 0), "")</f>
        <v>12</v>
      </c>
      <c r="ZD4" s="3"/>
      <c r="ZE4" s="7">
        <f t="shared" si="66"/>
        <v>3</v>
      </c>
      <c r="ZF4" s="5">
        <v>3</v>
      </c>
      <c r="ZG4" s="7">
        <f t="shared" ref="ZG4:ZG7" si="255">IF(ISNUMBER(ZF4), ZF4-ZE4, "")</f>
        <v>0</v>
      </c>
      <c r="ZI4" s="24">
        <v>0</v>
      </c>
      <c r="ZJ4" s="6" t="s">
        <v>25</v>
      </c>
      <c r="ZK4" s="24">
        <v>12</v>
      </c>
      <c r="ZL4" s="6" t="s">
        <v>25</v>
      </c>
      <c r="ZM4" s="5">
        <f t="shared" ref="ZM4:ZM5" si="256">IF(OR(ISNUMBER(ZI4), ISNUMBER(ZK4)), IF(ISNUMBER(ZI4), ZI4, 0) + IF(ISNUMBER(ZK4), ZK4, 0), "")</f>
        <v>12</v>
      </c>
      <c r="ZN4" s="3"/>
      <c r="ZO4" s="7">
        <f t="shared" si="67"/>
        <v>0</v>
      </c>
      <c r="ZP4" s="5"/>
      <c r="ZQ4" s="7" t="str">
        <f t="shared" ref="ZQ4:ZQ7" si="257">IF(ISNUMBER(ZP4), ZP4-ZO4, "")</f>
        <v/>
      </c>
      <c r="ZS4" s="24">
        <v>0</v>
      </c>
      <c r="ZT4" s="6" t="s">
        <v>25</v>
      </c>
      <c r="ZU4" s="24">
        <v>11</v>
      </c>
      <c r="ZV4" s="6" t="s">
        <v>25</v>
      </c>
      <c r="ZW4" s="5">
        <f t="shared" ref="ZW4:ZW5" si="258">IF(OR(ISNUMBER(ZS4), ISNUMBER(ZU4)), IF(ISNUMBER(ZS4), ZS4, 0) + IF(ISNUMBER(ZU4), ZU4, 0), "")</f>
        <v>11</v>
      </c>
      <c r="ZX4" s="3"/>
      <c r="ZY4" s="7">
        <f t="shared" si="68"/>
        <v>1</v>
      </c>
      <c r="ZZ4" s="5">
        <v>1</v>
      </c>
      <c r="AAA4" s="7">
        <f t="shared" ref="AAA4:AAA7" si="259">IF(ISNUMBER(ZZ4), ZZ4-ZY4, "")</f>
        <v>0</v>
      </c>
      <c r="AAC4" s="24">
        <v>0</v>
      </c>
      <c r="AAD4" s="6" t="s">
        <v>25</v>
      </c>
      <c r="AAE4" s="24">
        <v>11</v>
      </c>
      <c r="AAF4" s="6" t="s">
        <v>25</v>
      </c>
      <c r="AAG4" s="5">
        <f t="shared" ref="AAG4:AAG5" si="260">IF(OR(ISNUMBER(AAC4), ISNUMBER(AAE4)), IF(ISNUMBER(AAC4), AAC4, 0) + IF(ISNUMBER(AAE4), AAE4, 0), "")</f>
        <v>11</v>
      </c>
      <c r="AAH4" s="3"/>
      <c r="AAI4" s="7">
        <f t="shared" si="69"/>
        <v>0</v>
      </c>
      <c r="AAJ4" s="5"/>
      <c r="AAK4" s="7" t="str">
        <f t="shared" ref="AAK4:AAK7" si="261">IF(ISNUMBER(AAJ4), AAJ4-AAI4, "")</f>
        <v/>
      </c>
      <c r="AAM4" s="24">
        <v>0</v>
      </c>
      <c r="AAN4" s="6" t="s">
        <v>25</v>
      </c>
      <c r="AAO4" s="24">
        <v>9</v>
      </c>
      <c r="AAP4" s="6" t="s">
        <v>25</v>
      </c>
      <c r="AAQ4" s="5">
        <f t="shared" ref="AAQ4:AAQ5" si="262">IF(OR(ISNUMBER(AAM4), ISNUMBER(AAO4)), IF(ISNUMBER(AAM4), AAM4, 0) + IF(ISNUMBER(AAO4), AAO4, 0), "")</f>
        <v>9</v>
      </c>
      <c r="AAR4" s="3"/>
      <c r="AAS4" s="7">
        <f t="shared" si="70"/>
        <v>2</v>
      </c>
      <c r="AAT4" s="5">
        <v>2</v>
      </c>
      <c r="AAU4" s="7">
        <f t="shared" ref="AAU4:AAU7" si="263">IF(ISNUMBER(AAT4), AAT4-AAS4, "")</f>
        <v>0</v>
      </c>
      <c r="AAW4" s="2">
        <v>0</v>
      </c>
      <c r="AAX4" s="6" t="s">
        <v>25</v>
      </c>
      <c r="AAY4" s="2">
        <v>9</v>
      </c>
      <c r="AAZ4" s="6" t="s">
        <v>25</v>
      </c>
      <c r="ABA4" s="5">
        <f t="shared" ref="ABA4:ABA5" si="264">IF(OR(ISNUMBER(AAW4), ISNUMBER(AAY4)), IF(ISNUMBER(AAW4), AAW4, 0) + IF(ISNUMBER(AAY4), AAY4, 0), "")</f>
        <v>9</v>
      </c>
      <c r="ABB4" s="3"/>
      <c r="ABC4" s="7">
        <f t="shared" si="71"/>
        <v>0</v>
      </c>
      <c r="ABD4" s="5"/>
      <c r="ABE4" s="7" t="str">
        <f t="shared" ref="ABE4:ABE7" si="265">IF(ISNUMBER(ABD4), ABD4-ABC4, "")</f>
        <v/>
      </c>
      <c r="ABG4" s="24">
        <v>0</v>
      </c>
      <c r="ABH4" s="6" t="s">
        <v>25</v>
      </c>
      <c r="ABI4" s="24">
        <v>7</v>
      </c>
      <c r="ABJ4" s="6" t="s">
        <v>25</v>
      </c>
      <c r="ABK4" s="5">
        <f t="shared" ref="ABK4:ABK5" si="266">IF(OR(ISNUMBER(ABG4), ISNUMBER(ABI4)), IF(ISNUMBER(ABG4), ABG4, 0) + IF(ISNUMBER(ABI4), ABI4, 0), "")</f>
        <v>7</v>
      </c>
      <c r="ABL4" s="3"/>
      <c r="ABM4" s="7">
        <f t="shared" si="72"/>
        <v>2</v>
      </c>
      <c r="ABN4" s="5">
        <v>2</v>
      </c>
      <c r="ABO4" s="7">
        <f t="shared" ref="ABO4:ABO7" si="267">IF(ISNUMBER(ABN4), ABN4-ABM4, "")</f>
        <v>0</v>
      </c>
      <c r="ABQ4" s="24">
        <v>0</v>
      </c>
      <c r="ABR4" s="6" t="s">
        <v>25</v>
      </c>
      <c r="ABS4" s="24">
        <v>7</v>
      </c>
      <c r="ABT4" s="6" t="s">
        <v>25</v>
      </c>
      <c r="ABU4" s="5">
        <f t="shared" ref="ABU4:ABU5" si="268">IF(OR(ISNUMBER(ABQ4), ISNUMBER(ABS4)), IF(ISNUMBER(ABQ4), ABQ4, 0) + IF(ISNUMBER(ABS4), ABS4, 0), "")</f>
        <v>7</v>
      </c>
      <c r="ABV4" s="3">
        <v>1</v>
      </c>
      <c r="ABW4" s="7">
        <f t="shared" si="73"/>
        <v>0</v>
      </c>
      <c r="ABX4" s="5"/>
      <c r="ABY4" s="7" t="str">
        <f t="shared" ref="ABY4:ABY7" si="269">IF(ISNUMBER(ABX4), ABX4-ABW4, "")</f>
        <v/>
      </c>
      <c r="ACA4" s="24">
        <v>0</v>
      </c>
      <c r="ACB4" s="6" t="s">
        <v>25</v>
      </c>
      <c r="ACC4" s="24">
        <v>29</v>
      </c>
      <c r="ACD4" s="6" t="s">
        <v>25</v>
      </c>
      <c r="ACE4" s="5">
        <f t="shared" ref="ACE4:ACE5" si="270">IF(OR(ISNUMBER(ACA4), ISNUMBER(ACC4)), IF(ISNUMBER(ACA4), ACA4, 0) + IF(ISNUMBER(ACC4), ACC4, 0), "")</f>
        <v>29</v>
      </c>
      <c r="ACF4" s="3"/>
      <c r="ACG4" s="7">
        <f t="shared" si="74"/>
        <v>2</v>
      </c>
      <c r="ACH4" s="5">
        <v>2</v>
      </c>
      <c r="ACI4" s="7">
        <f t="shared" ref="ACI4:ACI7" si="271">IF(ISNUMBER(ACH4), ACH4-ACG4, "")</f>
        <v>0</v>
      </c>
      <c r="ACK4" s="2">
        <v>0</v>
      </c>
      <c r="ACL4" s="6" t="s">
        <v>25</v>
      </c>
      <c r="ACM4" s="2">
        <v>28</v>
      </c>
      <c r="ACN4" s="6" t="s">
        <v>25</v>
      </c>
      <c r="ACO4" s="5">
        <f t="shared" ref="ACO4:ACO5" si="272">IF(OR(ISNUMBER(ACK4), ISNUMBER(ACM4)), IF(ISNUMBER(ACK4), ACK4, 0) + IF(ISNUMBER(ACM4), ACM4, 0), "")</f>
        <v>28</v>
      </c>
      <c r="ACP4" s="3"/>
      <c r="ACQ4" s="7">
        <f t="shared" si="75"/>
        <v>1</v>
      </c>
      <c r="ACR4" s="5">
        <v>0</v>
      </c>
      <c r="ACS4" s="7">
        <f t="shared" ref="ACS4:ACS7" si="273">IF(ISNUMBER(ACR4), ACR4-ACQ4, "")</f>
        <v>-1</v>
      </c>
      <c r="ACU4" s="2">
        <v>0</v>
      </c>
      <c r="ACV4" s="6" t="s">
        <v>25</v>
      </c>
      <c r="ACW4" s="2">
        <v>28</v>
      </c>
      <c r="ACX4" s="6" t="s">
        <v>25</v>
      </c>
      <c r="ACY4" s="5">
        <f t="shared" ref="ACY4:ACY5" si="274">IF(OR(ISNUMBER(ACU4), ISNUMBER(ACW4)), IF(ISNUMBER(ACU4), ACU4, 0) + IF(ISNUMBER(ACW4), ACW4, 0), "")</f>
        <v>28</v>
      </c>
      <c r="ACZ4" s="3"/>
      <c r="ADA4" s="7">
        <f t="shared" si="76"/>
        <v>0</v>
      </c>
      <c r="ADB4" s="5">
        <v>1</v>
      </c>
      <c r="ADC4" s="7">
        <f t="shared" ref="ADC4:ADC7" si="275">IF(ISNUMBER(ADB4), ADB4-ADA4, "")</f>
        <v>1</v>
      </c>
      <c r="ADE4" s="24">
        <v>0</v>
      </c>
      <c r="ADF4" s="6" t="s">
        <v>25</v>
      </c>
      <c r="ADG4" s="24">
        <v>27</v>
      </c>
      <c r="ADH4" s="6" t="s">
        <v>25</v>
      </c>
      <c r="ADI4" s="5">
        <f t="shared" ref="ADI4:ADI5" si="276">IF(OR(ISNUMBER(ADE4), ISNUMBER(ADG4)), IF(ISNUMBER(ADE4), ADE4, 0) + IF(ISNUMBER(ADG4), ADG4, 0), "")</f>
        <v>27</v>
      </c>
      <c r="ADJ4" s="3"/>
      <c r="ADK4" s="7">
        <f t="shared" si="77"/>
        <v>1</v>
      </c>
      <c r="ADL4" s="5">
        <v>1</v>
      </c>
      <c r="ADM4" s="7">
        <f t="shared" ref="ADM4:ADM7" si="277">IF(ISNUMBER(ADL4), ADL4-ADK4, "")</f>
        <v>0</v>
      </c>
      <c r="ADO4" s="24">
        <v>0</v>
      </c>
      <c r="ADP4" s="6" t="s">
        <v>25</v>
      </c>
      <c r="ADQ4" s="24">
        <v>27</v>
      </c>
      <c r="ADR4" s="6" t="s">
        <v>25</v>
      </c>
      <c r="ADS4" s="5">
        <f t="shared" ref="ADS4:ADS5" si="278">IF(OR(ISNUMBER(ADO4), ISNUMBER(ADQ4)), IF(ISNUMBER(ADO4), ADO4, 0) + IF(ISNUMBER(ADQ4), ADQ4, 0), "")</f>
        <v>27</v>
      </c>
      <c r="ADT4" s="3"/>
      <c r="ADU4" s="7">
        <f t="shared" si="78"/>
        <v>0</v>
      </c>
      <c r="ADV4" s="5"/>
      <c r="ADW4" s="7" t="str">
        <f t="shared" ref="ADW4:ADW7" si="279">IF(ISNUMBER(ADV4), ADV4-ADU4, "")</f>
        <v/>
      </c>
      <c r="ADY4" s="24">
        <v>0</v>
      </c>
      <c r="ADZ4" s="6" t="s">
        <v>25</v>
      </c>
      <c r="AEA4" s="24">
        <v>26</v>
      </c>
      <c r="AEB4" s="6" t="s">
        <v>25</v>
      </c>
      <c r="AEC4" s="5">
        <f t="shared" ref="AEC4:AEC5" si="280">IF(OR(ISNUMBER(ADY4), ISNUMBER(AEA4)), IF(ISNUMBER(ADY4), ADY4, 0) + IF(ISNUMBER(AEA4), AEA4, 0), "")</f>
        <v>26</v>
      </c>
      <c r="AED4" s="3"/>
      <c r="AEE4" s="7">
        <f t="shared" si="79"/>
        <v>1</v>
      </c>
      <c r="AEF4" s="5">
        <v>1</v>
      </c>
      <c r="AEG4" s="7">
        <f t="shared" ref="AEG4:AEG7" si="281">IF(ISNUMBER(AEF4), AEF4-AEE4, "")</f>
        <v>0</v>
      </c>
      <c r="AEI4" s="2">
        <v>0</v>
      </c>
      <c r="AEJ4" s="6" t="s">
        <v>25</v>
      </c>
      <c r="AEK4" s="2">
        <v>26</v>
      </c>
      <c r="AEL4" s="6" t="s">
        <v>25</v>
      </c>
      <c r="AEM4" s="5">
        <f t="shared" ref="AEM4:AEM5" si="282">IF(OR(ISNUMBER(AEI4), ISNUMBER(AEK4)), IF(ISNUMBER(AEI4), AEI4, 0) + IF(ISNUMBER(AEK4), AEK4, 0), "")</f>
        <v>26</v>
      </c>
      <c r="AEN4" s="3"/>
      <c r="AEO4" s="7">
        <f t="shared" si="80"/>
        <v>0</v>
      </c>
      <c r="AEP4" s="5"/>
      <c r="AEQ4" s="7" t="str">
        <f t="shared" ref="AEQ4:AEQ7" si="283">IF(ISNUMBER(AEP4), AEP4-AEO4, "")</f>
        <v/>
      </c>
      <c r="AES4" s="24">
        <v>0</v>
      </c>
      <c r="AET4" s="6" t="s">
        <v>25</v>
      </c>
      <c r="AEU4" s="24">
        <v>26</v>
      </c>
      <c r="AEV4" s="6" t="s">
        <v>25</v>
      </c>
      <c r="AEW4" s="5">
        <f t="shared" ref="AEW4:AEW5" si="284">IF(OR(ISNUMBER(AES4), ISNUMBER(AEU4)), IF(ISNUMBER(AES4), AES4, 0) + IF(ISNUMBER(AEU4), AEU4, 0), "")</f>
        <v>26</v>
      </c>
      <c r="AEX4" s="3"/>
      <c r="AEY4" s="7">
        <f t="shared" si="81"/>
        <v>0</v>
      </c>
      <c r="AEZ4" s="5"/>
      <c r="AFA4" s="7" t="str">
        <f t="shared" ref="AFA4:AFA7" si="285">IF(ISNUMBER(AEZ4), AEZ4-AEY4, "")</f>
        <v/>
      </c>
      <c r="AFC4" s="24">
        <v>0</v>
      </c>
      <c r="AFD4" s="6" t="s">
        <v>25</v>
      </c>
      <c r="AFE4" s="24">
        <v>24</v>
      </c>
      <c r="AFF4" s="6" t="s">
        <v>25</v>
      </c>
      <c r="AFG4" s="5">
        <f t="shared" ref="AFG4:AFG5" si="286">IF(OR(ISNUMBER(AFC4), ISNUMBER(AFE4)), IF(ISNUMBER(AFC4), AFC4, 0) + IF(ISNUMBER(AFE4), AFE4, 0), "")</f>
        <v>24</v>
      </c>
      <c r="AFH4" s="3"/>
      <c r="AFI4" s="7">
        <f t="shared" si="82"/>
        <v>2</v>
      </c>
      <c r="AFJ4" s="5">
        <v>2</v>
      </c>
      <c r="AFK4" s="7">
        <f t="shared" ref="AFK4:AFK7" si="287">IF(ISNUMBER(AFJ4), AFJ4-AFI4, "")</f>
        <v>0</v>
      </c>
      <c r="AFM4" s="2">
        <v>0</v>
      </c>
      <c r="AFN4" s="6" t="s">
        <v>25</v>
      </c>
      <c r="AFO4" s="2">
        <v>24</v>
      </c>
      <c r="AFP4" s="6" t="s">
        <v>25</v>
      </c>
      <c r="AFQ4" s="5">
        <f t="shared" ref="AFQ4:AFQ5" si="288">IF(OR(ISNUMBER(AFM4), ISNUMBER(AFO4)), IF(ISNUMBER(AFM4), AFM4, 0) + IF(ISNUMBER(AFO4), AFO4, 0), "")</f>
        <v>24</v>
      </c>
      <c r="AFR4" s="3"/>
      <c r="AFS4" s="7">
        <f t="shared" si="83"/>
        <v>0</v>
      </c>
      <c r="AFT4" s="5"/>
      <c r="AFU4" s="7" t="str">
        <f t="shared" ref="AFU4:AFU7" si="289">IF(ISNUMBER(AFT4), AFT4-AFS4, "")</f>
        <v/>
      </c>
      <c r="AFW4" s="2">
        <v>0</v>
      </c>
      <c r="AFX4" s="6" t="s">
        <v>25</v>
      </c>
      <c r="AFY4" s="2">
        <v>24</v>
      </c>
      <c r="AFZ4" s="6" t="s">
        <v>25</v>
      </c>
      <c r="AGA4" s="5">
        <f t="shared" ref="AGA4:AGA5" si="290">IF(OR(ISNUMBER(AFW4), ISNUMBER(AFY4)), IF(ISNUMBER(AFW4), AFW4, 0) + IF(ISNUMBER(AFY4), AFY4, 0), "")</f>
        <v>24</v>
      </c>
      <c r="AGB4" s="3"/>
      <c r="AGC4" s="7">
        <f t="shared" si="84"/>
        <v>0</v>
      </c>
      <c r="AGD4" s="5"/>
      <c r="AGE4" s="7" t="str">
        <f t="shared" ref="AGE4:AGE7" si="291">IF(ISNUMBER(AGD4), AGD4-AGC4, "")</f>
        <v/>
      </c>
      <c r="AGG4" s="2">
        <v>0</v>
      </c>
      <c r="AGH4" s="6" t="s">
        <v>25</v>
      </c>
      <c r="AGI4" s="2">
        <v>24</v>
      </c>
      <c r="AGJ4" s="6" t="s">
        <v>25</v>
      </c>
      <c r="AGK4" s="5">
        <f t="shared" ref="AGK4:AGK5" si="292">IF(OR(ISNUMBER(AGG4), ISNUMBER(AGI4)), IF(ISNUMBER(AGG4), AGG4, 0) + IF(ISNUMBER(AGI4), AGI4, 0), "")</f>
        <v>24</v>
      </c>
      <c r="AGL4" s="3"/>
      <c r="AGM4" s="7">
        <f t="shared" si="85"/>
        <v>0</v>
      </c>
      <c r="AGN4" s="5"/>
      <c r="AGO4" s="7" t="str">
        <f t="shared" ref="AGO4:AGO7" si="293">IF(ISNUMBER(AGN4), AGN4-AGM4, "")</f>
        <v/>
      </c>
      <c r="AGQ4" s="24">
        <v>0</v>
      </c>
      <c r="AGR4" s="6" t="s">
        <v>25</v>
      </c>
      <c r="AGS4" s="24">
        <v>24</v>
      </c>
      <c r="AGT4" s="6" t="s">
        <v>25</v>
      </c>
      <c r="AGU4" s="5">
        <f t="shared" ref="AGU4:AGU5" si="294">IF(OR(ISNUMBER(AGQ4), ISNUMBER(AGS4)), IF(ISNUMBER(AGQ4), AGQ4, 0) + IF(ISNUMBER(AGS4), AGS4, 0), "")</f>
        <v>24</v>
      </c>
      <c r="AGV4" s="3"/>
      <c r="AGW4" s="7">
        <f t="shared" si="86"/>
        <v>0</v>
      </c>
      <c r="AGX4" s="5"/>
      <c r="AGY4" s="7" t="str">
        <f t="shared" ref="AGY4:AGY7" si="295">IF(ISNUMBER(AGX4), AGX4-AGW4, "")</f>
        <v/>
      </c>
      <c r="AHA4" s="24">
        <v>0</v>
      </c>
      <c r="AHB4" s="6" t="s">
        <v>25</v>
      </c>
      <c r="AHC4" s="24">
        <v>23</v>
      </c>
      <c r="AHD4" s="6" t="s">
        <v>25</v>
      </c>
      <c r="AHE4" s="5">
        <f t="shared" ref="AHE4:AHE5" si="296">IF(OR(ISNUMBER(AHA4), ISNUMBER(AHC4)), IF(ISNUMBER(AHA4), AHA4, 0) + IF(ISNUMBER(AHC4), AHC4, 0), "")</f>
        <v>23</v>
      </c>
      <c r="AHF4" s="3"/>
      <c r="AHG4" s="7">
        <f t="shared" si="87"/>
        <v>1</v>
      </c>
      <c r="AHH4" s="5">
        <v>1</v>
      </c>
      <c r="AHI4" s="10">
        <f t="shared" si="88"/>
        <v>0</v>
      </c>
      <c r="AHK4" s="24">
        <v>0</v>
      </c>
      <c r="AHL4" s="6" t="s">
        <v>25</v>
      </c>
      <c r="AHM4" s="24">
        <v>23</v>
      </c>
      <c r="AHN4" s="6" t="s">
        <v>25</v>
      </c>
      <c r="AHO4" s="5">
        <f t="shared" ref="AHO4:AHO5" si="297">IF(OR(ISNUMBER(AHK4), ISNUMBER(AHM4)), IF(ISNUMBER(AHK4), AHK4, 0) + IF(ISNUMBER(AHM4), AHM4, 0), "")</f>
        <v>23</v>
      </c>
      <c r="AHP4" s="3"/>
      <c r="AHQ4" s="7">
        <f t="shared" si="89"/>
        <v>0</v>
      </c>
      <c r="AHR4" s="5"/>
      <c r="AHS4" s="10" t="str">
        <f t="shared" si="90"/>
        <v/>
      </c>
      <c r="AHU4" s="2">
        <v>0</v>
      </c>
      <c r="AHV4" s="6" t="s">
        <v>25</v>
      </c>
      <c r="AHW4" s="2">
        <v>23</v>
      </c>
      <c r="AHX4" s="6" t="s">
        <v>25</v>
      </c>
      <c r="AHY4" s="5">
        <f t="shared" ref="AHY4:AHY5" si="298">IF(OR(ISNUMBER(AHU4), ISNUMBER(AHW4)), IF(ISNUMBER(AHU4), AHU4, 0) + IF(ISNUMBER(AHW4), AHW4, 0), "")</f>
        <v>23</v>
      </c>
      <c r="AHZ4" s="3"/>
      <c r="AIA4" s="7">
        <f t="shared" si="91"/>
        <v>0</v>
      </c>
      <c r="AIB4" s="5"/>
      <c r="AIC4" s="10" t="str">
        <f t="shared" si="92"/>
        <v/>
      </c>
      <c r="AIE4" s="24">
        <v>0</v>
      </c>
      <c r="AIF4" s="6" t="s">
        <v>25</v>
      </c>
      <c r="AIG4" s="24">
        <v>20</v>
      </c>
      <c r="AIH4" s="6" t="s">
        <v>25</v>
      </c>
      <c r="AII4" s="5">
        <f t="shared" ref="AII4:AII5" si="299">IF(OR(ISNUMBER(AIE4), ISNUMBER(AIG4)), IF(ISNUMBER(AIE4), AIE4, 0) + IF(ISNUMBER(AIG4), AIG4, 0), "")</f>
        <v>20</v>
      </c>
      <c r="AIJ4" s="3"/>
      <c r="AIK4" s="7">
        <f t="shared" si="93"/>
        <v>3</v>
      </c>
      <c r="AIL4" s="5">
        <v>3</v>
      </c>
      <c r="AIM4" s="10">
        <f t="shared" si="94"/>
        <v>0</v>
      </c>
      <c r="AIO4" s="24"/>
      <c r="AIP4" s="6" t="s">
        <v>25</v>
      </c>
      <c r="AIQ4" s="24">
        <v>18</v>
      </c>
      <c r="AIR4" s="6" t="s">
        <v>25</v>
      </c>
      <c r="AIS4" s="5">
        <f t="shared" ref="AIS4:AIS5" si="300">IF(OR(ISNUMBER(AIO4), ISNUMBER(AIQ4)), IF(ISNUMBER(AIO4), AIO4, 0) + IF(ISNUMBER(AIQ4), AIQ4, 0), "")</f>
        <v>18</v>
      </c>
      <c r="AIT4" s="3"/>
      <c r="AIU4" s="7">
        <f t="shared" si="95"/>
        <v>2</v>
      </c>
      <c r="AIV4" s="5">
        <v>2</v>
      </c>
      <c r="AIW4" s="10">
        <f t="shared" si="96"/>
        <v>0</v>
      </c>
      <c r="AIY4" s="2">
        <v>0</v>
      </c>
      <c r="AIZ4" s="6" t="s">
        <v>25</v>
      </c>
      <c r="AJA4" s="2">
        <v>18</v>
      </c>
      <c r="AJB4" s="6" t="s">
        <v>25</v>
      </c>
      <c r="AJC4" s="5">
        <f t="shared" ref="AJC4:AJC5" si="301">IF(OR(ISNUMBER(AIY4), ISNUMBER(AJA4)), IF(ISNUMBER(AIY4), AIY4, 0) + IF(ISNUMBER(AJA4), AJA4, 0), "")</f>
        <v>18</v>
      </c>
      <c r="AJD4" s="3"/>
      <c r="AJE4" s="7">
        <f t="shared" si="97"/>
        <v>0</v>
      </c>
      <c r="AJF4" s="5"/>
      <c r="AJG4" s="10" t="str">
        <f t="shared" si="98"/>
        <v/>
      </c>
      <c r="AJI4" s="24">
        <v>0</v>
      </c>
      <c r="AJJ4" s="6" t="s">
        <v>25</v>
      </c>
      <c r="AJK4" s="24">
        <v>15</v>
      </c>
      <c r="AJL4" s="6" t="s">
        <v>25</v>
      </c>
      <c r="AJM4" s="5">
        <f t="shared" ref="AJM4:AJM5" si="302">IF(OR(ISNUMBER(AJI4), ISNUMBER(AJK4)), IF(ISNUMBER(AJI4), AJI4, 0) + IF(ISNUMBER(AJK4), AJK4, 0), "")</f>
        <v>15</v>
      </c>
      <c r="AJN4" s="3"/>
      <c r="AJO4" s="7">
        <f t="shared" si="99"/>
        <v>3</v>
      </c>
      <c r="AJP4" s="5">
        <v>3</v>
      </c>
      <c r="AJQ4" s="10">
        <f t="shared" si="100"/>
        <v>0</v>
      </c>
      <c r="AJS4" s="2">
        <v>0</v>
      </c>
      <c r="AJT4" s="6" t="s">
        <v>25</v>
      </c>
      <c r="AJU4" s="2">
        <v>14</v>
      </c>
      <c r="AJV4" s="6" t="s">
        <v>25</v>
      </c>
      <c r="AJW4" s="5">
        <f t="shared" ref="AJW4:AJW5" si="303">IF(OR(ISNUMBER(AJS4), ISNUMBER(AJU4)), IF(ISNUMBER(AJS4), AJS4, 0) + IF(ISNUMBER(AJU4), AJU4, 0), "")</f>
        <v>14</v>
      </c>
      <c r="AJX4" s="3"/>
      <c r="AJY4" s="7">
        <f t="shared" si="101"/>
        <v>1</v>
      </c>
      <c r="AJZ4" s="5">
        <v>1</v>
      </c>
      <c r="AKA4" s="10">
        <f t="shared" si="102"/>
        <v>0</v>
      </c>
      <c r="AKC4" s="24">
        <v>0</v>
      </c>
      <c r="AKD4" s="6" t="s">
        <v>25</v>
      </c>
      <c r="AKE4" s="24">
        <v>11</v>
      </c>
      <c r="AKF4" s="6" t="s">
        <v>25</v>
      </c>
      <c r="AKG4" s="5">
        <f t="shared" ref="AKG4:AKG5" si="304">IF(OR(ISNUMBER(AKC4), ISNUMBER(AKE4)), IF(ISNUMBER(AKC4), AKC4, 0) + IF(ISNUMBER(AKE4), AKE4, 0), "")</f>
        <v>11</v>
      </c>
      <c r="AKH4" s="3"/>
      <c r="AKI4" s="7">
        <f t="shared" si="103"/>
        <v>3</v>
      </c>
      <c r="AKJ4" s="5">
        <v>2</v>
      </c>
      <c r="AKK4" s="7">
        <f t="shared" ref="AKK4:AKK7" si="305">IF(ISNUMBER(AKJ4), AKJ4-AKI4, "")</f>
        <v>-1</v>
      </c>
      <c r="AKM4" s="2">
        <v>0</v>
      </c>
      <c r="AKN4" s="6" t="s">
        <v>25</v>
      </c>
      <c r="AKO4" s="2">
        <v>7</v>
      </c>
      <c r="AKP4" s="6" t="s">
        <v>25</v>
      </c>
      <c r="AKQ4" s="5">
        <f t="shared" ref="AKQ4:AKQ5" si="306">IF(OR(ISNUMBER(AKM4), ISNUMBER(AKO4)), IF(ISNUMBER(AKM4), AKM4, 0) + IF(ISNUMBER(AKO4), AKO4, 0), "")</f>
        <v>7</v>
      </c>
      <c r="AKR4" s="3"/>
      <c r="AKS4" s="7">
        <f t="shared" si="104"/>
        <v>4</v>
      </c>
      <c r="AKT4" s="5">
        <v>4</v>
      </c>
      <c r="AKU4" s="7">
        <f t="shared" ref="AKU4:AKU7" si="307">IF(ISNUMBER(AKT4), AKT4-AKS4, "")</f>
        <v>0</v>
      </c>
      <c r="AKW4" s="2">
        <v>0</v>
      </c>
      <c r="AKX4" s="6" t="s">
        <v>25</v>
      </c>
      <c r="AKY4" s="2">
        <v>6</v>
      </c>
      <c r="AKZ4" s="6" t="s">
        <v>25</v>
      </c>
      <c r="ALA4" s="5">
        <f t="shared" ref="ALA4:ALA5" si="308">IF(OR(ISNUMBER(AKW4), ISNUMBER(AKY4)), IF(ISNUMBER(AKW4), AKW4, 0) + IF(ISNUMBER(AKY4), AKY4, 0), "")</f>
        <v>6</v>
      </c>
      <c r="ALB4" s="3">
        <v>1</v>
      </c>
      <c r="ALC4" s="7">
        <f t="shared" si="105"/>
        <v>1</v>
      </c>
      <c r="ALD4" s="5">
        <v>2</v>
      </c>
      <c r="ALE4" s="7">
        <f t="shared" ref="ALE4:ALE7" si="309">IF(ISNUMBER(ALD4), ALD4-ALC4, "")</f>
        <v>1</v>
      </c>
      <c r="ALG4" s="2">
        <v>24</v>
      </c>
      <c r="ALH4" s="6" t="s">
        <v>25</v>
      </c>
      <c r="ALI4" s="2">
        <v>6</v>
      </c>
      <c r="ALJ4" s="6" t="s">
        <v>25</v>
      </c>
      <c r="ALK4" s="5">
        <f t="shared" ref="ALK4:ALK5" si="310">IF(OR(ISNUMBER(ALG4), ISNUMBER(ALI4)), IF(ISNUMBER(ALG4), ALG4, 0) + IF(ISNUMBER(ALI4), ALI4, 0), "")</f>
        <v>30</v>
      </c>
      <c r="ALL4" s="3"/>
      <c r="ALM4" s="7">
        <f t="shared" si="106"/>
        <v>0</v>
      </c>
      <c r="ALN4" s="5"/>
      <c r="ALO4" s="7" t="str">
        <f t="shared" ref="ALO4:ALO7" si="311">IF(ISNUMBER(ALN4), ALN4-ALM4, "")</f>
        <v/>
      </c>
      <c r="ALQ4" s="2">
        <v>16</v>
      </c>
      <c r="ALR4" s="6" t="s">
        <v>25</v>
      </c>
      <c r="ALS4" s="2">
        <v>12</v>
      </c>
      <c r="ALT4" s="6" t="s">
        <v>25</v>
      </c>
      <c r="ALU4" s="5">
        <f t="shared" ref="ALU4:ALU5" si="312">IF(OR(ISNUMBER(ALQ4), ISNUMBER(ALS4)), IF(ISNUMBER(ALQ4), ALQ4, 0) + IF(ISNUMBER(ALS4), ALS4, 0), "")</f>
        <v>28</v>
      </c>
      <c r="ALV4" s="3"/>
      <c r="ALW4" s="7">
        <f t="shared" si="107"/>
        <v>2</v>
      </c>
      <c r="ALX4" s="5">
        <v>2</v>
      </c>
      <c r="ALY4" s="7">
        <f t="shared" ref="ALY4:ALY7" si="313">IF(ISNUMBER(ALX4), ALX4-ALW4, "")</f>
        <v>0</v>
      </c>
      <c r="AMA4" s="24">
        <v>16</v>
      </c>
      <c r="AMB4" s="6" t="s">
        <v>25</v>
      </c>
      <c r="AMC4" s="24">
        <v>9</v>
      </c>
      <c r="AMD4" s="6" t="s">
        <v>25</v>
      </c>
      <c r="AME4" s="5">
        <f t="shared" ref="AME4:AME5" si="314">IF(OR(ISNUMBER(AMA4), ISNUMBER(AMC4)), IF(ISNUMBER(AMA4), AMA4, 0) + IF(ISNUMBER(AMC4), AMC4, 0), "")</f>
        <v>25</v>
      </c>
      <c r="AMF4" s="3"/>
      <c r="AMG4" s="7">
        <f t="shared" si="108"/>
        <v>3</v>
      </c>
      <c r="AMH4" s="5">
        <v>3</v>
      </c>
      <c r="AMI4" s="7">
        <f t="shared" ref="AMI4:AMI7" si="315">IF(ISNUMBER(AMH4), AMH4-AMG4, "")</f>
        <v>0</v>
      </c>
      <c r="AMK4" s="24">
        <v>16</v>
      </c>
      <c r="AML4" s="6" t="s">
        <v>25</v>
      </c>
      <c r="AMM4" s="24">
        <v>5</v>
      </c>
      <c r="AMN4" s="6" t="s">
        <v>25</v>
      </c>
      <c r="AMO4" s="5">
        <f t="shared" ref="AMO4:AMO5" si="316">IF(OR(ISNUMBER(AMK4), ISNUMBER(AMM4)), IF(ISNUMBER(AMK4), AMK4, 0) + IF(ISNUMBER(AMM4), AMM4, 0), "")</f>
        <v>21</v>
      </c>
      <c r="AMP4" s="3"/>
      <c r="AMQ4" s="7">
        <f t="shared" si="109"/>
        <v>4</v>
      </c>
      <c r="AMR4" s="5">
        <v>4</v>
      </c>
      <c r="AMS4" s="7">
        <f t="shared" ref="AMS4:AMS7" si="317">IF(ISNUMBER(AMR4), AMR4-AMQ4, "")</f>
        <v>0</v>
      </c>
      <c r="AMU4" s="24">
        <v>0</v>
      </c>
      <c r="AMV4" s="6" t="s">
        <v>25</v>
      </c>
      <c r="AMW4" s="24">
        <v>18</v>
      </c>
      <c r="AMX4" s="6" t="s">
        <v>25</v>
      </c>
      <c r="AMY4" s="5">
        <f t="shared" ref="AMY4:AMY5" si="318">IF(OR(ISNUMBER(AMU4), ISNUMBER(AMW4)), IF(ISNUMBER(AMU4), AMU4, 0) + IF(ISNUMBER(AMW4), AMW4, 0), "")</f>
        <v>18</v>
      </c>
      <c r="AMZ4" s="3"/>
      <c r="ANA4" s="7">
        <f t="shared" si="110"/>
        <v>3</v>
      </c>
      <c r="ANB4" s="5">
        <v>3</v>
      </c>
      <c r="ANC4" s="7">
        <f t="shared" ref="ANC4:ANC7" si="319">IF(ISNUMBER(ANB4), ANB4-ANA4, "")</f>
        <v>0</v>
      </c>
      <c r="ANE4" s="24">
        <v>0</v>
      </c>
      <c r="ANF4" s="6" t="s">
        <v>25</v>
      </c>
      <c r="ANG4" s="24">
        <v>16</v>
      </c>
      <c r="ANH4" s="6" t="s">
        <v>25</v>
      </c>
      <c r="ANI4" s="5">
        <f t="shared" ref="ANI4:ANI5" si="320">IF(OR(ISNUMBER(ANE4), ISNUMBER(ANG4)), IF(ISNUMBER(ANE4), ANE4, 0) + IF(ISNUMBER(ANG4), ANG4, 0), "")</f>
        <v>16</v>
      </c>
      <c r="ANJ4" s="3"/>
      <c r="ANK4" s="7">
        <f t="shared" si="111"/>
        <v>2</v>
      </c>
      <c r="ANL4" s="5">
        <v>2</v>
      </c>
      <c r="ANM4" s="7">
        <f t="shared" ref="ANM4:ANM7" si="321">IF(ISNUMBER(ANL4), ANL4-ANK4, "")</f>
        <v>0</v>
      </c>
      <c r="ANO4" s="24">
        <v>0</v>
      </c>
      <c r="ANP4" s="6" t="s">
        <v>25</v>
      </c>
      <c r="ANQ4" s="24">
        <v>16</v>
      </c>
      <c r="ANR4" s="6" t="s">
        <v>25</v>
      </c>
      <c r="ANS4" s="5">
        <f t="shared" ref="ANS4:ANS5" si="322">IF(OR(ISNUMBER(ANO4), ISNUMBER(ANQ4)), IF(ISNUMBER(ANO4), ANO4, 0) + IF(ISNUMBER(ANQ4), ANQ4, 0), "")</f>
        <v>16</v>
      </c>
      <c r="ANT4" s="3"/>
      <c r="ANU4" s="7">
        <f t="shared" si="112"/>
        <v>0</v>
      </c>
      <c r="ANV4" s="5">
        <v>1</v>
      </c>
      <c r="ANW4" s="7">
        <f t="shared" ref="ANW4:ANW7" si="323">IF(ISNUMBER(ANV4), ANV4-ANU4, "")</f>
        <v>1</v>
      </c>
      <c r="ANY4" s="24">
        <v>0</v>
      </c>
      <c r="ANZ4" s="6" t="s">
        <v>25</v>
      </c>
      <c r="AOA4" s="24">
        <v>14</v>
      </c>
      <c r="AOB4" s="6" t="s">
        <v>25</v>
      </c>
      <c r="AOC4" s="5">
        <f t="shared" ref="AOC4:AOC5" si="324">IF(OR(ISNUMBER(ANY4), ISNUMBER(AOA4)), IF(ISNUMBER(ANY4), ANY4, 0) + IF(ISNUMBER(AOA4), AOA4, 0), "")</f>
        <v>14</v>
      </c>
      <c r="AOD4" s="3"/>
      <c r="AOE4" s="7">
        <f t="shared" si="113"/>
        <v>2</v>
      </c>
      <c r="AOF4" s="5">
        <v>1</v>
      </c>
      <c r="AOG4" s="7">
        <f t="shared" ref="AOG4:AOG7" si="325">IF(ISNUMBER(AOF4), AOF4-AOE4, "")</f>
        <v>-1</v>
      </c>
      <c r="AOI4" s="24">
        <v>0</v>
      </c>
      <c r="AOJ4" s="6" t="s">
        <v>25</v>
      </c>
      <c r="AOK4" s="24">
        <v>12</v>
      </c>
      <c r="AOL4" s="6" t="s">
        <v>25</v>
      </c>
      <c r="AOM4" s="5">
        <f t="shared" ref="AOM4:AOM5" si="326">IF(OR(ISNUMBER(AOI4), ISNUMBER(AOK4)), IF(ISNUMBER(AOI4), AOI4, 0) + IF(ISNUMBER(AOK4), AOK4, 0), "")</f>
        <v>12</v>
      </c>
      <c r="AON4" s="3"/>
      <c r="AOO4" s="7">
        <f t="shared" si="114"/>
        <v>2</v>
      </c>
      <c r="AOP4" s="5">
        <v>2</v>
      </c>
      <c r="AOQ4" s="7">
        <f t="shared" ref="AOQ4:AOQ7" si="327">IF(ISNUMBER(AOP4), AOP4-AOO4, "")</f>
        <v>0</v>
      </c>
      <c r="AOS4" s="24">
        <v>0</v>
      </c>
      <c r="AOT4" s="6" t="s">
        <v>25</v>
      </c>
      <c r="AOU4" s="24">
        <v>10</v>
      </c>
      <c r="AOV4" s="6" t="s">
        <v>25</v>
      </c>
      <c r="AOW4" s="5">
        <f t="shared" ref="AOW4:AOW5" si="328">IF(OR(ISNUMBER(AOS4), ISNUMBER(AOU4)), IF(ISNUMBER(AOS4), AOS4, 0) + IF(ISNUMBER(AOU4), AOU4, 0), "")</f>
        <v>10</v>
      </c>
      <c r="AOX4" s="3"/>
      <c r="AOY4" s="7">
        <f t="shared" si="115"/>
        <v>2</v>
      </c>
      <c r="AOZ4" s="5">
        <v>1</v>
      </c>
      <c r="APA4" s="7">
        <f t="shared" ref="APA4:APA7" si="329">IF(ISNUMBER(AOZ4), AOZ4-AOY4, "")</f>
        <v>-1</v>
      </c>
      <c r="APC4" s="24">
        <v>0</v>
      </c>
      <c r="APD4" s="6" t="s">
        <v>25</v>
      </c>
      <c r="APE4" s="24">
        <v>10</v>
      </c>
      <c r="APF4" s="6" t="s">
        <v>25</v>
      </c>
      <c r="APG4" s="5">
        <f t="shared" ref="APG4:APG5" si="330">IF(OR(ISNUMBER(APC4), ISNUMBER(APE4)), IF(ISNUMBER(APC4), APC4, 0) + IF(ISNUMBER(APE4), APE4, 0), "")</f>
        <v>10</v>
      </c>
      <c r="APH4" s="3"/>
      <c r="API4" s="7">
        <f t="shared" si="116"/>
        <v>0</v>
      </c>
      <c r="APJ4" s="5"/>
      <c r="APK4" s="7" t="str">
        <f t="shared" ref="APK4:APK7" si="331">IF(ISNUMBER(APJ4), APJ4-API4, "")</f>
        <v/>
      </c>
      <c r="APM4" s="24">
        <v>0</v>
      </c>
      <c r="APN4" s="6" t="s">
        <v>25</v>
      </c>
      <c r="APO4" s="24">
        <v>10</v>
      </c>
      <c r="APP4" s="6" t="s">
        <v>25</v>
      </c>
      <c r="APQ4" s="5">
        <f t="shared" ref="APQ4:APQ5" si="332">IF(OR(ISNUMBER(APM4), ISNUMBER(APO4)), IF(ISNUMBER(APM4), APM4, 0) + IF(ISNUMBER(APO4), APO4, 0), "")</f>
        <v>10</v>
      </c>
      <c r="APR4" s="3">
        <v>1</v>
      </c>
      <c r="APS4" s="7">
        <f t="shared" si="117"/>
        <v>0</v>
      </c>
      <c r="APT4" s="5"/>
      <c r="APU4" s="7" t="str">
        <f t="shared" ref="APU4:APU7" si="333">IF(ISNUMBER(APT4), APT4-APS4, "")</f>
        <v/>
      </c>
      <c r="APW4" s="95">
        <v>24</v>
      </c>
      <c r="APX4" s="96" t="s">
        <v>25</v>
      </c>
      <c r="APY4" s="95">
        <v>9</v>
      </c>
      <c r="APZ4" s="96" t="s">
        <v>25</v>
      </c>
      <c r="AQA4" s="97">
        <f t="shared" ref="AQA4:AQA5" si="334">IF(OR(ISNUMBER(APW4), ISNUMBER(APY4)), IF(ISNUMBER(APW4), APW4, 0) + IF(ISNUMBER(APY4), APY4, 0), "")</f>
        <v>33</v>
      </c>
      <c r="AQB4" s="98"/>
      <c r="AQC4" s="99">
        <f t="shared" si="118"/>
        <v>1</v>
      </c>
      <c r="AQD4" s="97">
        <v>1</v>
      </c>
      <c r="AQE4" s="99">
        <f t="shared" ref="AQE4:AQE7" si="335">IF(ISNUMBER(AQD4), AQD4-AQC4, "")</f>
        <v>0</v>
      </c>
      <c r="AQG4" s="2"/>
      <c r="AQH4" s="6" t="s">
        <v>25</v>
      </c>
      <c r="AQI4" s="2"/>
      <c r="AQJ4" s="6" t="s">
        <v>25</v>
      </c>
      <c r="AQK4" s="5" t="str">
        <f t="shared" ref="AQK4:AQK5" si="336">IF(OR(ISNUMBER(AQG4), ISNUMBER(AQI4)), IF(ISNUMBER(AQG4), AQG4, 0) + IF(ISNUMBER(AQI4), AQI4, 0), "")</f>
        <v/>
      </c>
      <c r="AQL4" s="3"/>
      <c r="AQM4" s="7" t="str">
        <f t="shared" si="119"/>
        <v/>
      </c>
      <c r="AQN4" s="5"/>
      <c r="AQO4" s="7" t="str">
        <f t="shared" ref="AQO4:AQO7" si="337">IF(ISNUMBER(AQN4), AQN4-AQM4, "")</f>
        <v/>
      </c>
    </row>
    <row r="5" spans="1:1133" ht="12.75" customHeight="1" x14ac:dyDescent="0.2">
      <c r="A5" s="22" t="s">
        <v>27</v>
      </c>
      <c r="B5" s="13" t="s">
        <v>24</v>
      </c>
      <c r="C5" s="13">
        <v>36</v>
      </c>
      <c r="E5" s="24"/>
      <c r="F5" s="6" t="s">
        <v>25</v>
      </c>
      <c r="G5" s="24">
        <v>11</v>
      </c>
      <c r="H5" s="6" t="s">
        <v>25</v>
      </c>
      <c r="I5" s="5">
        <f t="shared" si="120"/>
        <v>11</v>
      </c>
      <c r="J5" s="3"/>
      <c r="K5" s="7"/>
      <c r="L5" s="5"/>
      <c r="M5" s="7" t="str">
        <f t="shared" si="121"/>
        <v/>
      </c>
      <c r="O5" s="24"/>
      <c r="P5" s="6" t="s">
        <v>25</v>
      </c>
      <c r="Q5" s="24">
        <v>6</v>
      </c>
      <c r="R5" s="6" t="s">
        <v>25</v>
      </c>
      <c r="S5" s="5">
        <f t="shared" si="122"/>
        <v>6</v>
      </c>
      <c r="T5" s="3">
        <v>1</v>
      </c>
      <c r="U5" s="7">
        <f t="shared" si="0"/>
        <v>5</v>
      </c>
      <c r="V5" s="5">
        <v>8</v>
      </c>
      <c r="W5" s="7">
        <f t="shared" si="123"/>
        <v>3</v>
      </c>
      <c r="Y5" s="24">
        <v>24</v>
      </c>
      <c r="Z5" s="6" t="s">
        <v>25</v>
      </c>
      <c r="AA5" s="24"/>
      <c r="AB5" s="6" t="s">
        <v>25</v>
      </c>
      <c r="AC5" s="5">
        <f t="shared" si="124"/>
        <v>24</v>
      </c>
      <c r="AD5" s="3"/>
      <c r="AE5" s="7">
        <f t="shared" si="1"/>
        <v>6</v>
      </c>
      <c r="AF5" s="5">
        <v>3</v>
      </c>
      <c r="AG5" s="7">
        <f t="shared" si="125"/>
        <v>-3</v>
      </c>
      <c r="AI5" s="24">
        <v>21</v>
      </c>
      <c r="AJ5" s="6" t="s">
        <v>25</v>
      </c>
      <c r="AK5" s="24"/>
      <c r="AL5" s="6" t="s">
        <v>25</v>
      </c>
      <c r="AM5" s="5">
        <f t="shared" si="126"/>
        <v>21</v>
      </c>
      <c r="AN5" s="3"/>
      <c r="AO5" s="7">
        <f t="shared" si="2"/>
        <v>3</v>
      </c>
      <c r="AP5" s="5">
        <v>4</v>
      </c>
      <c r="AQ5" s="7">
        <f t="shared" si="127"/>
        <v>1</v>
      </c>
      <c r="AS5" s="24">
        <v>6</v>
      </c>
      <c r="AT5" s="6" t="s">
        <v>25</v>
      </c>
      <c r="AU5" s="24">
        <v>11</v>
      </c>
      <c r="AV5" s="6" t="s">
        <v>25</v>
      </c>
      <c r="AW5" s="5">
        <f t="shared" si="128"/>
        <v>17</v>
      </c>
      <c r="AX5" s="3"/>
      <c r="AY5" s="7">
        <f t="shared" si="3"/>
        <v>4</v>
      </c>
      <c r="AZ5" s="5">
        <v>4</v>
      </c>
      <c r="BA5" s="7">
        <f t="shared" si="129"/>
        <v>0</v>
      </c>
      <c r="BC5" s="24">
        <v>0</v>
      </c>
      <c r="BD5" s="6" t="s">
        <v>25</v>
      </c>
      <c r="BE5" s="24">
        <v>10</v>
      </c>
      <c r="BF5" s="6" t="s">
        <v>25</v>
      </c>
      <c r="BG5" s="5">
        <f t="shared" si="130"/>
        <v>10</v>
      </c>
      <c r="BH5" s="3">
        <v>1</v>
      </c>
      <c r="BI5" s="7">
        <f t="shared" si="4"/>
        <v>7</v>
      </c>
      <c r="BJ5" s="5">
        <v>7</v>
      </c>
      <c r="BK5" s="7">
        <f t="shared" si="131"/>
        <v>0</v>
      </c>
      <c r="BM5" s="24">
        <v>18</v>
      </c>
      <c r="BN5" s="6" t="s">
        <v>25</v>
      </c>
      <c r="BO5" s="24">
        <v>12</v>
      </c>
      <c r="BP5" s="6" t="s">
        <v>25</v>
      </c>
      <c r="BQ5" s="5">
        <f t="shared" si="132"/>
        <v>30</v>
      </c>
      <c r="BR5" s="3"/>
      <c r="BS5" s="7">
        <f t="shared" si="5"/>
        <v>4</v>
      </c>
      <c r="BT5" s="5">
        <v>4</v>
      </c>
      <c r="BU5" s="7">
        <f t="shared" si="133"/>
        <v>0</v>
      </c>
      <c r="BW5" s="24">
        <v>12</v>
      </c>
      <c r="BX5" s="6" t="s">
        <v>25</v>
      </c>
      <c r="BY5" s="24">
        <v>12</v>
      </c>
      <c r="BZ5" s="6" t="s">
        <v>25</v>
      </c>
      <c r="CA5" s="5">
        <f t="shared" si="134"/>
        <v>24</v>
      </c>
      <c r="CB5" s="3"/>
      <c r="CC5" s="7">
        <f t="shared" si="6"/>
        <v>6</v>
      </c>
      <c r="CD5" s="5">
        <v>6</v>
      </c>
      <c r="CE5" s="7">
        <f t="shared" si="135"/>
        <v>0</v>
      </c>
      <c r="CG5" s="24">
        <v>6</v>
      </c>
      <c r="CH5" s="6" t="s">
        <v>25</v>
      </c>
      <c r="CI5" s="24">
        <v>9</v>
      </c>
      <c r="CJ5" s="6" t="s">
        <v>25</v>
      </c>
      <c r="CK5" s="5">
        <f t="shared" si="136"/>
        <v>15</v>
      </c>
      <c r="CL5" s="3"/>
      <c r="CM5" s="7">
        <f t="shared" si="7"/>
        <v>9</v>
      </c>
      <c r="CN5" s="5">
        <v>9</v>
      </c>
      <c r="CO5" s="7">
        <f t="shared" si="137"/>
        <v>0</v>
      </c>
      <c r="CQ5" s="24">
        <v>6</v>
      </c>
      <c r="CR5" s="6" t="s">
        <v>25</v>
      </c>
      <c r="CS5" s="24">
        <v>7</v>
      </c>
      <c r="CT5" s="6" t="s">
        <v>25</v>
      </c>
      <c r="CU5" s="5">
        <f t="shared" si="138"/>
        <v>13</v>
      </c>
      <c r="CV5" s="3"/>
      <c r="CW5" s="7">
        <f t="shared" si="8"/>
        <v>2</v>
      </c>
      <c r="CX5" s="5">
        <v>2</v>
      </c>
      <c r="CY5" s="7">
        <f t="shared" si="139"/>
        <v>0</v>
      </c>
      <c r="DA5" s="24">
        <v>0</v>
      </c>
      <c r="DB5" s="6" t="s">
        <v>25</v>
      </c>
      <c r="DC5" s="24">
        <v>8</v>
      </c>
      <c r="DD5" s="6" t="s">
        <v>25</v>
      </c>
      <c r="DE5" s="5">
        <f t="shared" si="140"/>
        <v>8</v>
      </c>
      <c r="DF5" s="3"/>
      <c r="DG5" s="7">
        <f t="shared" si="9"/>
        <v>5</v>
      </c>
      <c r="DH5" s="5">
        <v>5</v>
      </c>
      <c r="DI5" s="7">
        <f t="shared" si="141"/>
        <v>0</v>
      </c>
      <c r="DK5" s="24">
        <v>0</v>
      </c>
      <c r="DL5" s="6" t="s">
        <v>25</v>
      </c>
      <c r="DM5" s="24">
        <v>0</v>
      </c>
      <c r="DN5" s="6" t="s">
        <v>25</v>
      </c>
      <c r="DO5" s="5">
        <f t="shared" si="142"/>
        <v>0</v>
      </c>
      <c r="DP5" s="3">
        <v>1</v>
      </c>
      <c r="DQ5" s="7">
        <f t="shared" si="10"/>
        <v>8</v>
      </c>
      <c r="DR5" s="5">
        <v>7</v>
      </c>
      <c r="DS5" s="7">
        <f t="shared" si="143"/>
        <v>-1</v>
      </c>
      <c r="DU5" s="24">
        <v>18</v>
      </c>
      <c r="DV5" s="6" t="s">
        <v>25</v>
      </c>
      <c r="DW5" s="24">
        <v>3</v>
      </c>
      <c r="DX5" s="6" t="s">
        <v>25</v>
      </c>
      <c r="DY5" s="5">
        <f t="shared" si="144"/>
        <v>21</v>
      </c>
      <c r="DZ5" s="3"/>
      <c r="EA5" s="7">
        <f t="shared" si="11"/>
        <v>3</v>
      </c>
      <c r="EB5" s="5">
        <v>3</v>
      </c>
      <c r="EC5" s="7">
        <f t="shared" si="145"/>
        <v>0</v>
      </c>
      <c r="EE5" s="24">
        <v>8</v>
      </c>
      <c r="EF5" s="6" t="s">
        <v>25</v>
      </c>
      <c r="EG5" s="24">
        <v>10</v>
      </c>
      <c r="EH5" s="6" t="s">
        <v>25</v>
      </c>
      <c r="EI5" s="5">
        <f t="shared" si="146"/>
        <v>18</v>
      </c>
      <c r="EJ5" s="3"/>
      <c r="EK5" s="7">
        <f t="shared" si="12"/>
        <v>3</v>
      </c>
      <c r="EL5" s="5">
        <v>3</v>
      </c>
      <c r="EM5" s="7">
        <f t="shared" si="147"/>
        <v>0</v>
      </c>
      <c r="EO5" s="24">
        <v>0</v>
      </c>
      <c r="EP5" s="6" t="s">
        <v>25</v>
      </c>
      <c r="EQ5" s="24">
        <v>14</v>
      </c>
      <c r="ER5" s="6" t="s">
        <v>25</v>
      </c>
      <c r="ES5" s="5">
        <f t="shared" si="148"/>
        <v>14</v>
      </c>
      <c r="ET5" s="3"/>
      <c r="EU5" s="7">
        <f t="shared" si="13"/>
        <v>4</v>
      </c>
      <c r="EV5" s="5">
        <v>2</v>
      </c>
      <c r="EW5" s="7">
        <f t="shared" si="149"/>
        <v>-2</v>
      </c>
      <c r="EY5" s="2">
        <v>0</v>
      </c>
      <c r="EZ5" s="6" t="s">
        <v>25</v>
      </c>
      <c r="FA5" s="2">
        <v>14</v>
      </c>
      <c r="FB5" s="6" t="s">
        <v>25</v>
      </c>
      <c r="FC5" s="5">
        <f t="shared" si="150"/>
        <v>14</v>
      </c>
      <c r="FD5" s="3"/>
      <c r="FE5" s="7">
        <f t="shared" si="14"/>
        <v>0</v>
      </c>
      <c r="FF5" s="5"/>
      <c r="FG5" s="7" t="str">
        <f t="shared" si="151"/>
        <v/>
      </c>
      <c r="FI5" s="24">
        <v>8</v>
      </c>
      <c r="FJ5" s="6" t="s">
        <v>25</v>
      </c>
      <c r="FK5" s="24"/>
      <c r="FL5" s="6" t="s">
        <v>25</v>
      </c>
      <c r="FM5" s="5">
        <f t="shared" si="152"/>
        <v>8</v>
      </c>
      <c r="FN5" s="3">
        <v>1</v>
      </c>
      <c r="FO5" s="7">
        <f t="shared" si="15"/>
        <v>6</v>
      </c>
      <c r="FP5" s="5">
        <v>6</v>
      </c>
      <c r="FQ5" s="7">
        <f t="shared" si="153"/>
        <v>0</v>
      </c>
      <c r="FS5" s="24">
        <v>12</v>
      </c>
      <c r="FT5" s="6" t="s">
        <v>25</v>
      </c>
      <c r="FU5" s="24">
        <v>16</v>
      </c>
      <c r="FV5" s="6" t="s">
        <v>25</v>
      </c>
      <c r="FW5" s="5">
        <f t="shared" si="154"/>
        <v>28</v>
      </c>
      <c r="FX5" s="3"/>
      <c r="FY5" s="7">
        <f t="shared" si="16"/>
        <v>4</v>
      </c>
      <c r="FZ5" s="5">
        <v>4</v>
      </c>
      <c r="GA5" s="7">
        <f t="shared" si="155"/>
        <v>0</v>
      </c>
      <c r="GC5" s="24">
        <v>6</v>
      </c>
      <c r="GD5" s="6" t="s">
        <v>25</v>
      </c>
      <c r="GE5" s="24">
        <v>8</v>
      </c>
      <c r="GF5" s="6" t="s">
        <v>25</v>
      </c>
      <c r="GG5" s="5">
        <f t="shared" si="156"/>
        <v>14</v>
      </c>
      <c r="GH5" s="3"/>
      <c r="GI5" s="7">
        <f t="shared" si="17"/>
        <v>14</v>
      </c>
      <c r="GJ5" s="5">
        <v>7</v>
      </c>
      <c r="GK5" s="7">
        <f t="shared" si="157"/>
        <v>-7</v>
      </c>
      <c r="GM5" s="24">
        <v>12</v>
      </c>
      <c r="GN5" s="6" t="s">
        <v>25</v>
      </c>
      <c r="GO5" s="24">
        <v>8</v>
      </c>
      <c r="GP5" s="6" t="s">
        <v>25</v>
      </c>
      <c r="GQ5" s="5">
        <f t="shared" si="158"/>
        <v>20</v>
      </c>
      <c r="GR5" s="3"/>
      <c r="GS5" s="7">
        <f t="shared" si="18"/>
        <v>-6</v>
      </c>
      <c r="GT5" s="5"/>
      <c r="GU5" s="7" t="str">
        <f t="shared" si="159"/>
        <v/>
      </c>
      <c r="GW5" s="24">
        <v>0</v>
      </c>
      <c r="GX5" s="6" t="s">
        <v>25</v>
      </c>
      <c r="GY5" s="24">
        <v>18</v>
      </c>
      <c r="GZ5" s="6" t="s">
        <v>25</v>
      </c>
      <c r="HA5" s="5">
        <f t="shared" si="160"/>
        <v>18</v>
      </c>
      <c r="HB5" s="3"/>
      <c r="HC5" s="7">
        <f t="shared" si="19"/>
        <v>2</v>
      </c>
      <c r="HD5" s="5">
        <v>2</v>
      </c>
      <c r="HE5" s="7">
        <f t="shared" si="161"/>
        <v>0</v>
      </c>
      <c r="HG5" s="2"/>
      <c r="HH5" s="6" t="s">
        <v>25</v>
      </c>
      <c r="HI5" s="2">
        <v>16</v>
      </c>
      <c r="HJ5" s="6" t="s">
        <v>25</v>
      </c>
      <c r="HK5" s="5">
        <f t="shared" si="162"/>
        <v>16</v>
      </c>
      <c r="HL5" s="3"/>
      <c r="HM5" s="7">
        <f t="shared" si="20"/>
        <v>2</v>
      </c>
      <c r="HN5" s="5">
        <v>1</v>
      </c>
      <c r="HO5" s="7">
        <f t="shared" si="163"/>
        <v>-1</v>
      </c>
      <c r="HQ5" s="24">
        <v>0</v>
      </c>
      <c r="HR5" s="6" t="s">
        <v>25</v>
      </c>
      <c r="HS5" s="24">
        <v>15</v>
      </c>
      <c r="HT5" s="6" t="s">
        <v>25</v>
      </c>
      <c r="HU5" s="5">
        <f t="shared" si="164"/>
        <v>15</v>
      </c>
      <c r="HV5" s="3"/>
      <c r="HW5" s="7">
        <f t="shared" si="21"/>
        <v>1</v>
      </c>
      <c r="HX5" s="5">
        <v>1</v>
      </c>
      <c r="HY5" s="7">
        <f t="shared" si="165"/>
        <v>0</v>
      </c>
      <c r="IA5" s="24">
        <v>0</v>
      </c>
      <c r="IB5" s="6" t="s">
        <v>25</v>
      </c>
      <c r="IC5" s="24">
        <v>6</v>
      </c>
      <c r="ID5" s="6" t="s">
        <v>25</v>
      </c>
      <c r="IE5" s="5">
        <f t="shared" si="166"/>
        <v>6</v>
      </c>
      <c r="IF5" s="3"/>
      <c r="IG5" s="7">
        <f t="shared" si="22"/>
        <v>9</v>
      </c>
      <c r="IH5" s="5">
        <v>9</v>
      </c>
      <c r="II5" s="7">
        <f t="shared" si="167"/>
        <v>0</v>
      </c>
      <c r="IK5" s="24">
        <v>0</v>
      </c>
      <c r="IL5" s="6" t="s">
        <v>25</v>
      </c>
      <c r="IM5" s="24">
        <v>0</v>
      </c>
      <c r="IN5" s="6" t="s">
        <v>25</v>
      </c>
      <c r="IO5" s="5">
        <f t="shared" si="168"/>
        <v>0</v>
      </c>
      <c r="IP5" s="3">
        <v>1</v>
      </c>
      <c r="IQ5" s="7">
        <f t="shared" si="23"/>
        <v>6</v>
      </c>
      <c r="IR5" s="5">
        <v>5</v>
      </c>
      <c r="IS5" s="7">
        <f t="shared" si="169"/>
        <v>-1</v>
      </c>
      <c r="IU5" s="24">
        <v>24</v>
      </c>
      <c r="IV5" s="6" t="s">
        <v>25</v>
      </c>
      <c r="IW5" s="24">
        <v>0</v>
      </c>
      <c r="IX5" s="6" t="s">
        <v>25</v>
      </c>
      <c r="IY5" s="5">
        <f t="shared" si="170"/>
        <v>24</v>
      </c>
      <c r="IZ5" s="3"/>
      <c r="JA5" s="7">
        <f t="shared" si="24"/>
        <v>0</v>
      </c>
      <c r="JB5" s="5">
        <v>1</v>
      </c>
      <c r="JC5" s="7">
        <f t="shared" si="171"/>
        <v>1</v>
      </c>
      <c r="JE5" s="24">
        <v>22</v>
      </c>
      <c r="JF5" s="6" t="s">
        <v>25</v>
      </c>
      <c r="JG5" s="24">
        <v>0</v>
      </c>
      <c r="JH5" s="6" t="s">
        <v>25</v>
      </c>
      <c r="JI5" s="5">
        <f t="shared" si="172"/>
        <v>22</v>
      </c>
      <c r="JJ5" s="3"/>
      <c r="JK5" s="7">
        <f t="shared" si="25"/>
        <v>2</v>
      </c>
      <c r="JL5" s="5">
        <v>3</v>
      </c>
      <c r="JM5" s="7">
        <f t="shared" si="173"/>
        <v>1</v>
      </c>
      <c r="JO5" s="24">
        <v>0</v>
      </c>
      <c r="JP5" s="6" t="s">
        <v>25</v>
      </c>
      <c r="JQ5" s="24">
        <v>16</v>
      </c>
      <c r="JR5" s="6" t="s">
        <v>25</v>
      </c>
      <c r="JS5" s="5">
        <f t="shared" si="174"/>
        <v>16</v>
      </c>
      <c r="JT5" s="3"/>
      <c r="JU5" s="7">
        <f t="shared" si="26"/>
        <v>6</v>
      </c>
      <c r="JV5" s="5">
        <v>6</v>
      </c>
      <c r="JW5" s="7">
        <f t="shared" si="175"/>
        <v>0</v>
      </c>
      <c r="JY5" s="24">
        <v>0</v>
      </c>
      <c r="JZ5" s="6" t="s">
        <v>25</v>
      </c>
      <c r="KA5" s="24">
        <v>12</v>
      </c>
      <c r="KB5" s="6" t="s">
        <v>25</v>
      </c>
      <c r="KC5" s="5">
        <f t="shared" si="176"/>
        <v>12</v>
      </c>
      <c r="KD5" s="3"/>
      <c r="KE5" s="7">
        <f t="shared" si="27"/>
        <v>4</v>
      </c>
      <c r="KF5" s="5">
        <v>3</v>
      </c>
      <c r="KG5" s="7">
        <f t="shared" si="177"/>
        <v>-1</v>
      </c>
      <c r="KI5" s="24">
        <v>0</v>
      </c>
      <c r="KJ5" s="6" t="s">
        <v>25</v>
      </c>
      <c r="KK5" s="24">
        <v>8</v>
      </c>
      <c r="KL5" s="6" t="s">
        <v>25</v>
      </c>
      <c r="KM5" s="5">
        <f t="shared" si="178"/>
        <v>8</v>
      </c>
      <c r="KN5" s="3"/>
      <c r="KO5" s="7">
        <f t="shared" si="28"/>
        <v>4</v>
      </c>
      <c r="KP5" s="5">
        <v>4</v>
      </c>
      <c r="KQ5" s="7">
        <f t="shared" si="179"/>
        <v>0</v>
      </c>
      <c r="KS5" s="24">
        <v>0</v>
      </c>
      <c r="KT5" s="6" t="s">
        <v>25</v>
      </c>
      <c r="KU5" s="24">
        <v>0</v>
      </c>
      <c r="KV5" s="6" t="s">
        <v>25</v>
      </c>
      <c r="KW5" s="5">
        <f t="shared" si="180"/>
        <v>0</v>
      </c>
      <c r="KX5" s="3">
        <v>1</v>
      </c>
      <c r="KY5" s="7">
        <f t="shared" si="29"/>
        <v>8</v>
      </c>
      <c r="KZ5" s="5">
        <v>9</v>
      </c>
      <c r="LA5" s="7">
        <f t="shared" si="181"/>
        <v>1</v>
      </c>
      <c r="LC5" s="24">
        <v>16</v>
      </c>
      <c r="LD5" s="6" t="s">
        <v>25</v>
      </c>
      <c r="LE5" s="24">
        <v>5</v>
      </c>
      <c r="LF5" s="6" t="s">
        <v>25</v>
      </c>
      <c r="LG5" s="5">
        <f t="shared" si="182"/>
        <v>21</v>
      </c>
      <c r="LH5" s="3"/>
      <c r="LI5" s="7">
        <f t="shared" si="30"/>
        <v>3</v>
      </c>
      <c r="LJ5" s="5">
        <v>3</v>
      </c>
      <c r="LK5" s="7">
        <f t="shared" si="183"/>
        <v>0</v>
      </c>
      <c r="LM5" s="24">
        <v>6</v>
      </c>
      <c r="LN5" s="6" t="s">
        <v>25</v>
      </c>
      <c r="LO5" s="24">
        <v>11</v>
      </c>
      <c r="LP5" s="6" t="s">
        <v>25</v>
      </c>
      <c r="LQ5" s="5">
        <f t="shared" si="184"/>
        <v>17</v>
      </c>
      <c r="LR5" s="3"/>
      <c r="LS5" s="7">
        <f t="shared" si="31"/>
        <v>4</v>
      </c>
      <c r="LT5" s="5">
        <v>4</v>
      </c>
      <c r="LU5" s="7">
        <f t="shared" si="185"/>
        <v>0</v>
      </c>
      <c r="LW5" s="24">
        <v>8</v>
      </c>
      <c r="LX5" s="6" t="s">
        <v>25</v>
      </c>
      <c r="LY5" s="24">
        <v>0</v>
      </c>
      <c r="LZ5" s="6" t="s">
        <v>25</v>
      </c>
      <c r="MA5" s="5">
        <f t="shared" si="186"/>
        <v>8</v>
      </c>
      <c r="MB5" s="3"/>
      <c r="MC5" s="7">
        <f t="shared" si="32"/>
        <v>9</v>
      </c>
      <c r="MD5" s="5">
        <v>4</v>
      </c>
      <c r="ME5" s="7">
        <f t="shared" si="187"/>
        <v>-5</v>
      </c>
      <c r="MG5" s="24">
        <v>0</v>
      </c>
      <c r="MH5" s="6" t="s">
        <v>25</v>
      </c>
      <c r="MI5" s="24">
        <v>1</v>
      </c>
      <c r="MJ5" s="6" t="s">
        <v>25</v>
      </c>
      <c r="MK5" s="5">
        <f t="shared" si="188"/>
        <v>1</v>
      </c>
      <c r="ML5" s="3">
        <v>1</v>
      </c>
      <c r="MM5" s="7">
        <f t="shared" si="33"/>
        <v>7</v>
      </c>
      <c r="MN5" s="5">
        <v>12</v>
      </c>
      <c r="MO5" s="7">
        <f t="shared" si="189"/>
        <v>5</v>
      </c>
      <c r="MQ5" s="24">
        <v>12</v>
      </c>
      <c r="MR5" s="6" t="s">
        <v>25</v>
      </c>
      <c r="MS5" s="24">
        <v>6</v>
      </c>
      <c r="MT5" s="6" t="s">
        <v>25</v>
      </c>
      <c r="MU5" s="5">
        <f t="shared" si="190"/>
        <v>18</v>
      </c>
      <c r="MV5" s="3"/>
      <c r="MW5" s="7">
        <f t="shared" si="34"/>
        <v>7</v>
      </c>
      <c r="MX5" s="5">
        <v>7</v>
      </c>
      <c r="MY5" s="7">
        <f t="shared" si="191"/>
        <v>0</v>
      </c>
      <c r="NA5" s="24">
        <v>0</v>
      </c>
      <c r="NB5" s="6" t="s">
        <v>25</v>
      </c>
      <c r="NC5" s="24">
        <v>8</v>
      </c>
      <c r="ND5" s="6" t="s">
        <v>25</v>
      </c>
      <c r="NE5" s="5">
        <f t="shared" si="192"/>
        <v>8</v>
      </c>
      <c r="NF5" s="3">
        <v>1</v>
      </c>
      <c r="NG5" s="7">
        <f t="shared" si="35"/>
        <v>10</v>
      </c>
      <c r="NH5" s="5">
        <v>12</v>
      </c>
      <c r="NI5" s="7">
        <f t="shared" si="193"/>
        <v>2</v>
      </c>
      <c r="NK5" s="24">
        <v>18</v>
      </c>
      <c r="NL5" s="6" t="s">
        <v>25</v>
      </c>
      <c r="NM5" s="24">
        <v>5</v>
      </c>
      <c r="NN5" s="6" t="s">
        <v>25</v>
      </c>
      <c r="NO5" s="5">
        <f t="shared" si="194"/>
        <v>23</v>
      </c>
      <c r="NP5" s="3"/>
      <c r="NQ5" s="7">
        <f t="shared" si="36"/>
        <v>9</v>
      </c>
      <c r="NR5" s="5">
        <v>7</v>
      </c>
      <c r="NS5" s="7">
        <f t="shared" si="195"/>
        <v>-2</v>
      </c>
      <c r="NU5" s="24">
        <v>0</v>
      </c>
      <c r="NV5" s="6" t="s">
        <v>25</v>
      </c>
      <c r="NW5" s="24">
        <v>10</v>
      </c>
      <c r="NX5" s="6" t="s">
        <v>25</v>
      </c>
      <c r="NY5" s="5">
        <f t="shared" si="196"/>
        <v>10</v>
      </c>
      <c r="NZ5" s="3"/>
      <c r="OA5" s="7">
        <f t="shared" si="37"/>
        <v>13</v>
      </c>
      <c r="OB5" s="5">
        <v>13</v>
      </c>
      <c r="OC5" s="7">
        <f t="shared" si="197"/>
        <v>0</v>
      </c>
      <c r="OE5" s="2">
        <v>0</v>
      </c>
      <c r="OF5" s="6" t="s">
        <v>25</v>
      </c>
      <c r="OG5" s="2">
        <v>7</v>
      </c>
      <c r="OH5" s="6" t="s">
        <v>25</v>
      </c>
      <c r="OI5" s="5">
        <f t="shared" si="198"/>
        <v>7</v>
      </c>
      <c r="OJ5" s="3"/>
      <c r="OK5" s="7">
        <f t="shared" si="38"/>
        <v>3</v>
      </c>
      <c r="OL5" s="5">
        <v>3</v>
      </c>
      <c r="OM5" s="7">
        <f t="shared" si="199"/>
        <v>0</v>
      </c>
      <c r="OO5" s="24">
        <v>0</v>
      </c>
      <c r="OP5" s="6" t="s">
        <v>25</v>
      </c>
      <c r="OQ5" s="24">
        <v>0</v>
      </c>
      <c r="OR5" s="6" t="s">
        <v>25</v>
      </c>
      <c r="OS5" s="5">
        <f t="shared" si="200"/>
        <v>0</v>
      </c>
      <c r="OT5" s="3">
        <v>1</v>
      </c>
      <c r="OU5" s="7">
        <f t="shared" si="39"/>
        <v>7</v>
      </c>
      <c r="OV5" s="5">
        <v>7</v>
      </c>
      <c r="OW5" s="7">
        <f t="shared" si="201"/>
        <v>0</v>
      </c>
      <c r="OY5" s="24">
        <v>18</v>
      </c>
      <c r="OZ5" s="6" t="s">
        <v>25</v>
      </c>
      <c r="PA5" s="24">
        <v>5</v>
      </c>
      <c r="PB5" s="6" t="s">
        <v>25</v>
      </c>
      <c r="PC5" s="5">
        <f t="shared" si="202"/>
        <v>23</v>
      </c>
      <c r="PD5" s="3"/>
      <c r="PE5" s="7">
        <f t="shared" si="40"/>
        <v>1</v>
      </c>
      <c r="PF5" s="5">
        <v>1</v>
      </c>
      <c r="PG5" s="7">
        <f t="shared" si="203"/>
        <v>0</v>
      </c>
      <c r="PI5" s="2">
        <v>10</v>
      </c>
      <c r="PJ5" s="36" t="s">
        <v>25</v>
      </c>
      <c r="PK5" s="2">
        <v>5</v>
      </c>
      <c r="PL5" s="36" t="s">
        <v>25</v>
      </c>
      <c r="PM5" s="5">
        <f t="shared" si="204"/>
        <v>15</v>
      </c>
      <c r="PN5" s="3"/>
      <c r="PO5" s="7">
        <f t="shared" si="41"/>
        <v>8</v>
      </c>
      <c r="PP5" s="5">
        <v>8</v>
      </c>
      <c r="PQ5" s="7">
        <f t="shared" si="205"/>
        <v>0</v>
      </c>
      <c r="PS5" s="2">
        <v>0</v>
      </c>
      <c r="PT5" s="6" t="s">
        <v>25</v>
      </c>
      <c r="PU5" s="2">
        <v>9</v>
      </c>
      <c r="PV5" s="6" t="s">
        <v>25</v>
      </c>
      <c r="PW5" s="5">
        <f t="shared" si="206"/>
        <v>9</v>
      </c>
      <c r="PX5" s="3"/>
      <c r="PY5" s="7">
        <f t="shared" si="42"/>
        <v>6</v>
      </c>
      <c r="PZ5" s="5">
        <v>6</v>
      </c>
      <c r="QA5" s="7">
        <f t="shared" si="207"/>
        <v>0</v>
      </c>
      <c r="QC5" s="2">
        <v>0</v>
      </c>
      <c r="QD5" s="6" t="s">
        <v>25</v>
      </c>
      <c r="QE5" s="2">
        <v>0</v>
      </c>
      <c r="QF5" s="6" t="s">
        <v>25</v>
      </c>
      <c r="QG5" s="5">
        <f t="shared" si="208"/>
        <v>0</v>
      </c>
      <c r="QH5" s="3">
        <v>1</v>
      </c>
      <c r="QI5" s="7">
        <f t="shared" si="43"/>
        <v>9</v>
      </c>
      <c r="QJ5" s="5">
        <v>11</v>
      </c>
      <c r="QK5" s="7">
        <f t="shared" si="209"/>
        <v>2</v>
      </c>
      <c r="QM5" s="24">
        <v>18</v>
      </c>
      <c r="QN5" s="6" t="s">
        <v>25</v>
      </c>
      <c r="QO5" s="24">
        <v>6</v>
      </c>
      <c r="QP5" s="6" t="s">
        <v>25</v>
      </c>
      <c r="QQ5" s="5">
        <f t="shared" si="210"/>
        <v>24</v>
      </c>
      <c r="QR5" s="3"/>
      <c r="QS5" s="7">
        <f t="shared" si="44"/>
        <v>0</v>
      </c>
      <c r="QT5" s="5">
        <v>1</v>
      </c>
      <c r="QU5" s="7">
        <f t="shared" si="211"/>
        <v>1</v>
      </c>
      <c r="QW5" s="24">
        <v>0</v>
      </c>
      <c r="QX5" s="6" t="s">
        <v>25</v>
      </c>
      <c r="QY5" s="24">
        <v>20</v>
      </c>
      <c r="QZ5" s="6" t="s">
        <v>25</v>
      </c>
      <c r="RA5" s="5">
        <f t="shared" si="212"/>
        <v>20</v>
      </c>
      <c r="RB5" s="3"/>
      <c r="RC5" s="7">
        <f t="shared" si="45"/>
        <v>4</v>
      </c>
      <c r="RD5" s="5">
        <v>4</v>
      </c>
      <c r="RE5" s="7">
        <f t="shared" si="213"/>
        <v>0</v>
      </c>
      <c r="RG5" s="24">
        <v>0</v>
      </c>
      <c r="RH5" s="6" t="s">
        <v>25</v>
      </c>
      <c r="RI5" s="24">
        <v>14</v>
      </c>
      <c r="RJ5" s="6" t="s">
        <v>25</v>
      </c>
      <c r="RK5" s="5">
        <f t="shared" si="214"/>
        <v>14</v>
      </c>
      <c r="RL5" s="3"/>
      <c r="RM5" s="7">
        <f t="shared" si="46"/>
        <v>6</v>
      </c>
      <c r="RN5" s="5">
        <v>6</v>
      </c>
      <c r="RO5" s="7">
        <f t="shared" si="215"/>
        <v>0</v>
      </c>
      <c r="RQ5" s="24">
        <v>0</v>
      </c>
      <c r="RR5" s="6" t="s">
        <v>25</v>
      </c>
      <c r="RS5" s="24">
        <v>12</v>
      </c>
      <c r="RT5" s="6" t="s">
        <v>25</v>
      </c>
      <c r="RU5" s="5">
        <f t="shared" si="216"/>
        <v>12</v>
      </c>
      <c r="RV5" s="3"/>
      <c r="RW5" s="7">
        <f t="shared" si="47"/>
        <v>2</v>
      </c>
      <c r="RX5" s="5">
        <v>2</v>
      </c>
      <c r="RY5" s="7">
        <f t="shared" si="217"/>
        <v>0</v>
      </c>
      <c r="SA5" s="2">
        <v>0</v>
      </c>
      <c r="SB5" s="6" t="s">
        <v>25</v>
      </c>
      <c r="SC5" s="2">
        <v>10</v>
      </c>
      <c r="SD5" s="6" t="s">
        <v>25</v>
      </c>
      <c r="SE5" s="5">
        <f t="shared" si="218"/>
        <v>10</v>
      </c>
      <c r="SF5" s="3"/>
      <c r="SG5" s="7">
        <f t="shared" si="48"/>
        <v>2</v>
      </c>
      <c r="SH5" s="5">
        <v>2</v>
      </c>
      <c r="SI5" s="7">
        <f t="shared" si="219"/>
        <v>0</v>
      </c>
      <c r="SK5" s="24">
        <v>0</v>
      </c>
      <c r="SL5" s="6" t="s">
        <v>25</v>
      </c>
      <c r="SM5" s="24">
        <v>5</v>
      </c>
      <c r="SN5" s="6" t="s">
        <v>25</v>
      </c>
      <c r="SO5" s="5">
        <f t="shared" si="220"/>
        <v>5</v>
      </c>
      <c r="SP5" s="3">
        <v>1</v>
      </c>
      <c r="SQ5" s="7">
        <f t="shared" si="49"/>
        <v>5</v>
      </c>
      <c r="SR5" s="5">
        <v>5</v>
      </c>
      <c r="SS5" s="7">
        <f t="shared" si="221"/>
        <v>0</v>
      </c>
      <c r="SU5" s="24">
        <v>12</v>
      </c>
      <c r="SV5" s="6" t="s">
        <v>25</v>
      </c>
      <c r="SW5" s="24">
        <v>14</v>
      </c>
      <c r="SX5" s="6" t="s">
        <v>25</v>
      </c>
      <c r="SY5" s="5">
        <f t="shared" si="222"/>
        <v>26</v>
      </c>
      <c r="SZ5" s="3"/>
      <c r="TA5" s="7">
        <f t="shared" si="50"/>
        <v>3</v>
      </c>
      <c r="TB5" s="5">
        <v>2</v>
      </c>
      <c r="TC5" s="7">
        <f t="shared" si="223"/>
        <v>-1</v>
      </c>
      <c r="TE5" s="24">
        <v>12</v>
      </c>
      <c r="TF5" s="6" t="s">
        <v>25</v>
      </c>
      <c r="TG5" s="24">
        <v>12</v>
      </c>
      <c r="TH5" s="6" t="s">
        <v>25</v>
      </c>
      <c r="TI5" s="5">
        <f t="shared" si="224"/>
        <v>24</v>
      </c>
      <c r="TJ5" s="3"/>
      <c r="TK5" s="7">
        <f t="shared" si="51"/>
        <v>2</v>
      </c>
      <c r="TL5" s="5">
        <v>2</v>
      </c>
      <c r="TM5" s="7">
        <f t="shared" si="225"/>
        <v>0</v>
      </c>
      <c r="TO5" s="2">
        <v>0</v>
      </c>
      <c r="TP5" s="6" t="s">
        <v>25</v>
      </c>
      <c r="TQ5" s="2">
        <v>0</v>
      </c>
      <c r="TR5" s="6" t="s">
        <v>25</v>
      </c>
      <c r="TS5" s="5">
        <f t="shared" si="226"/>
        <v>0</v>
      </c>
      <c r="TT5" s="3">
        <v>2</v>
      </c>
      <c r="TU5" s="7">
        <f t="shared" si="52"/>
        <v>24</v>
      </c>
      <c r="TV5" s="5">
        <v>23</v>
      </c>
      <c r="TW5" s="7">
        <f t="shared" si="227"/>
        <v>-1</v>
      </c>
      <c r="TY5" s="24">
        <v>36</v>
      </c>
      <c r="TZ5" s="6" t="s">
        <v>25</v>
      </c>
      <c r="UA5" s="24">
        <v>12</v>
      </c>
      <c r="UB5" s="6" t="s">
        <v>25</v>
      </c>
      <c r="UC5" s="5">
        <f t="shared" si="228"/>
        <v>48</v>
      </c>
      <c r="UD5" s="3"/>
      <c r="UE5" s="7">
        <f t="shared" si="53"/>
        <v>0</v>
      </c>
      <c r="UF5" s="5"/>
      <c r="UG5" s="7" t="str">
        <f t="shared" si="229"/>
        <v/>
      </c>
      <c r="UI5" s="39">
        <v>36</v>
      </c>
      <c r="UJ5" s="6" t="s">
        <v>25</v>
      </c>
      <c r="UK5" s="2">
        <v>9</v>
      </c>
      <c r="UL5" s="6" t="s">
        <v>25</v>
      </c>
      <c r="UM5" s="5">
        <f t="shared" si="230"/>
        <v>45</v>
      </c>
      <c r="UN5" s="3"/>
      <c r="UO5" s="7">
        <f t="shared" si="54"/>
        <v>3</v>
      </c>
      <c r="UP5" s="5">
        <v>3</v>
      </c>
      <c r="UQ5" s="7">
        <f t="shared" si="231"/>
        <v>0</v>
      </c>
      <c r="US5" s="2">
        <v>30</v>
      </c>
      <c r="UT5" s="6" t="s">
        <v>25</v>
      </c>
      <c r="UU5" s="2">
        <v>10</v>
      </c>
      <c r="UV5" s="6" t="s">
        <v>25</v>
      </c>
      <c r="UW5" s="5">
        <f t="shared" si="232"/>
        <v>40</v>
      </c>
      <c r="UX5" s="35">
        <v>1</v>
      </c>
      <c r="UY5" s="7">
        <f t="shared" si="55"/>
        <v>5</v>
      </c>
      <c r="UZ5" s="5">
        <v>4</v>
      </c>
      <c r="VA5" s="7">
        <f t="shared" si="233"/>
        <v>-1</v>
      </c>
      <c r="VC5" s="24">
        <v>48</v>
      </c>
      <c r="VD5" s="6" t="s">
        <v>25</v>
      </c>
      <c r="VE5" s="24">
        <v>6</v>
      </c>
      <c r="VF5" s="6" t="s">
        <v>25</v>
      </c>
      <c r="VG5" s="5">
        <f t="shared" si="234"/>
        <v>54</v>
      </c>
      <c r="VH5" s="3"/>
      <c r="VI5" s="7">
        <f t="shared" si="56"/>
        <v>10</v>
      </c>
      <c r="VJ5" s="5">
        <v>10</v>
      </c>
      <c r="VK5" s="7">
        <f t="shared" si="235"/>
        <v>0</v>
      </c>
      <c r="VM5" s="24">
        <v>30</v>
      </c>
      <c r="VN5" s="6" t="s">
        <v>25</v>
      </c>
      <c r="VO5" s="24">
        <v>11</v>
      </c>
      <c r="VP5" s="6" t="s">
        <v>25</v>
      </c>
      <c r="VQ5" s="5">
        <f t="shared" si="236"/>
        <v>41</v>
      </c>
      <c r="VR5" s="3"/>
      <c r="VS5" s="7">
        <f t="shared" si="57"/>
        <v>13</v>
      </c>
      <c r="VT5" s="5"/>
      <c r="VU5" s="7" t="str">
        <f t="shared" si="237"/>
        <v/>
      </c>
      <c r="VW5" s="2">
        <v>30</v>
      </c>
      <c r="VX5" s="6" t="s">
        <v>25</v>
      </c>
      <c r="VY5" s="2">
        <v>13</v>
      </c>
      <c r="VZ5" s="6" t="s">
        <v>25</v>
      </c>
      <c r="WA5" s="40">
        <f t="shared" si="238"/>
        <v>43</v>
      </c>
      <c r="WB5" s="3"/>
      <c r="WC5" s="7">
        <f t="shared" si="58"/>
        <v>-2</v>
      </c>
      <c r="WD5" s="5">
        <v>6</v>
      </c>
      <c r="WE5" s="7">
        <f t="shared" si="239"/>
        <v>8</v>
      </c>
      <c r="WG5" s="24">
        <v>30</v>
      </c>
      <c r="WH5" s="6" t="s">
        <v>25</v>
      </c>
      <c r="WI5" s="24">
        <v>13</v>
      </c>
      <c r="WJ5" s="6" t="s">
        <v>25</v>
      </c>
      <c r="WK5" s="5">
        <f t="shared" si="240"/>
        <v>43</v>
      </c>
      <c r="WL5" s="3"/>
      <c r="WM5" s="7">
        <f t="shared" si="59"/>
        <v>0</v>
      </c>
      <c r="WN5" s="5">
        <v>2</v>
      </c>
      <c r="WO5" s="7">
        <f t="shared" si="241"/>
        <v>2</v>
      </c>
      <c r="WQ5" s="24">
        <v>24</v>
      </c>
      <c r="WR5" s="6" t="s">
        <v>25</v>
      </c>
      <c r="WS5" s="24">
        <v>15</v>
      </c>
      <c r="WT5" s="6" t="s">
        <v>25</v>
      </c>
      <c r="WU5" s="5">
        <f t="shared" si="242"/>
        <v>39</v>
      </c>
      <c r="WV5" s="3"/>
      <c r="WW5" s="7">
        <f t="shared" si="60"/>
        <v>4</v>
      </c>
      <c r="WX5" s="5">
        <v>4</v>
      </c>
      <c r="WY5" s="7">
        <f t="shared" si="243"/>
        <v>0</v>
      </c>
      <c r="XA5" s="24">
        <v>24</v>
      </c>
      <c r="XB5" s="6" t="s">
        <v>25</v>
      </c>
      <c r="XC5" s="24">
        <v>12</v>
      </c>
      <c r="XD5" s="6" t="s">
        <v>25</v>
      </c>
      <c r="XE5" s="5">
        <f t="shared" si="244"/>
        <v>36</v>
      </c>
      <c r="XF5" s="3"/>
      <c r="XG5" s="7">
        <f t="shared" si="61"/>
        <v>3</v>
      </c>
      <c r="XH5" s="5">
        <v>3</v>
      </c>
      <c r="XI5" s="7">
        <f t="shared" si="245"/>
        <v>0</v>
      </c>
      <c r="XK5" s="24">
        <v>12</v>
      </c>
      <c r="XL5" s="6" t="s">
        <v>25</v>
      </c>
      <c r="XM5" s="24">
        <v>20</v>
      </c>
      <c r="XN5" s="6" t="s">
        <v>25</v>
      </c>
      <c r="XO5" s="5">
        <f t="shared" si="246"/>
        <v>32</v>
      </c>
      <c r="XP5" s="3"/>
      <c r="XQ5" s="7">
        <f t="shared" si="62"/>
        <v>4</v>
      </c>
      <c r="XR5" s="5">
        <v>3</v>
      </c>
      <c r="XS5" s="7">
        <f t="shared" si="247"/>
        <v>-1</v>
      </c>
      <c r="XU5" s="24">
        <v>12</v>
      </c>
      <c r="XV5" s="6" t="s">
        <v>25</v>
      </c>
      <c r="XW5" s="24">
        <v>19</v>
      </c>
      <c r="XX5" s="6" t="s">
        <v>25</v>
      </c>
      <c r="XY5" s="5">
        <f t="shared" si="248"/>
        <v>31</v>
      </c>
      <c r="XZ5" s="3"/>
      <c r="YA5" s="7">
        <f t="shared" si="63"/>
        <v>1</v>
      </c>
      <c r="YB5" s="5">
        <v>1</v>
      </c>
      <c r="YC5" s="7">
        <f t="shared" si="249"/>
        <v>0</v>
      </c>
      <c r="YE5" s="24">
        <v>6</v>
      </c>
      <c r="YF5" s="6" t="s">
        <v>25</v>
      </c>
      <c r="YG5" s="24">
        <v>19</v>
      </c>
      <c r="YH5" s="6" t="s">
        <v>25</v>
      </c>
      <c r="YI5" s="5">
        <f t="shared" si="250"/>
        <v>25</v>
      </c>
      <c r="YJ5" s="3"/>
      <c r="YK5" s="7">
        <f t="shared" si="64"/>
        <v>6</v>
      </c>
      <c r="YL5" s="5">
        <v>6</v>
      </c>
      <c r="YM5" s="7">
        <f t="shared" si="251"/>
        <v>0</v>
      </c>
      <c r="YO5" s="24">
        <v>6</v>
      </c>
      <c r="YP5" s="6" t="s">
        <v>25</v>
      </c>
      <c r="YQ5" s="24">
        <v>18</v>
      </c>
      <c r="YR5" s="6" t="s">
        <v>25</v>
      </c>
      <c r="YS5" s="5">
        <f t="shared" si="252"/>
        <v>24</v>
      </c>
      <c r="YT5" s="3"/>
      <c r="YU5" s="7">
        <f t="shared" si="65"/>
        <v>1</v>
      </c>
      <c r="YV5" s="5">
        <v>1</v>
      </c>
      <c r="YW5" s="7">
        <f t="shared" si="253"/>
        <v>0</v>
      </c>
      <c r="YY5" s="2">
        <v>0</v>
      </c>
      <c r="YZ5" s="6" t="s">
        <v>25</v>
      </c>
      <c r="ZA5" s="2">
        <v>22</v>
      </c>
      <c r="ZB5" s="6" t="s">
        <v>25</v>
      </c>
      <c r="ZC5" s="5">
        <f t="shared" si="254"/>
        <v>22</v>
      </c>
      <c r="ZD5" s="3"/>
      <c r="ZE5" s="7">
        <f t="shared" si="66"/>
        <v>2</v>
      </c>
      <c r="ZF5" s="5">
        <v>2</v>
      </c>
      <c r="ZG5" s="7">
        <f t="shared" si="255"/>
        <v>0</v>
      </c>
      <c r="ZI5" s="24">
        <v>0</v>
      </c>
      <c r="ZJ5" s="6" t="s">
        <v>25</v>
      </c>
      <c r="ZK5" s="24">
        <v>21</v>
      </c>
      <c r="ZL5" s="6" t="s">
        <v>25</v>
      </c>
      <c r="ZM5" s="5">
        <f t="shared" si="256"/>
        <v>21</v>
      </c>
      <c r="ZN5" s="3"/>
      <c r="ZO5" s="7">
        <f t="shared" si="67"/>
        <v>1</v>
      </c>
      <c r="ZP5" s="5">
        <v>1</v>
      </c>
      <c r="ZQ5" s="7">
        <f t="shared" si="257"/>
        <v>0</v>
      </c>
      <c r="ZS5" s="24">
        <v>0</v>
      </c>
      <c r="ZT5" s="6" t="s">
        <v>25</v>
      </c>
      <c r="ZU5" s="24">
        <v>16</v>
      </c>
      <c r="ZV5" s="6" t="s">
        <v>25</v>
      </c>
      <c r="ZW5" s="5">
        <f t="shared" si="258"/>
        <v>16</v>
      </c>
      <c r="ZX5" s="3"/>
      <c r="ZY5" s="7">
        <f t="shared" si="68"/>
        <v>5</v>
      </c>
      <c r="ZZ5" s="5">
        <v>5</v>
      </c>
      <c r="AAA5" s="7">
        <f t="shared" si="259"/>
        <v>0</v>
      </c>
      <c r="AAC5" s="24">
        <v>0</v>
      </c>
      <c r="AAD5" s="6" t="s">
        <v>25</v>
      </c>
      <c r="AAE5" s="24">
        <v>10</v>
      </c>
      <c r="AAF5" s="6" t="s">
        <v>25</v>
      </c>
      <c r="AAG5" s="5">
        <f t="shared" si="260"/>
        <v>10</v>
      </c>
      <c r="AAH5" s="3">
        <v>1</v>
      </c>
      <c r="AAI5" s="7">
        <f t="shared" si="69"/>
        <v>6</v>
      </c>
      <c r="AAJ5" s="5">
        <v>6</v>
      </c>
      <c r="AAK5" s="7">
        <f t="shared" si="261"/>
        <v>0</v>
      </c>
      <c r="AAM5" s="24">
        <v>12</v>
      </c>
      <c r="AAN5" s="6" t="s">
        <v>25</v>
      </c>
      <c r="AAO5" s="24">
        <v>11</v>
      </c>
      <c r="AAP5" s="6" t="s">
        <v>25</v>
      </c>
      <c r="AAQ5" s="5">
        <f t="shared" si="262"/>
        <v>23</v>
      </c>
      <c r="AAR5" s="3"/>
      <c r="AAS5" s="7">
        <f t="shared" si="70"/>
        <v>11</v>
      </c>
      <c r="AAT5" s="5">
        <v>11</v>
      </c>
      <c r="AAU5" s="7">
        <f t="shared" si="263"/>
        <v>0</v>
      </c>
      <c r="AAW5" s="2">
        <v>6</v>
      </c>
      <c r="AAX5" s="6" t="s">
        <v>25</v>
      </c>
      <c r="AAY5" s="2">
        <v>12</v>
      </c>
      <c r="AAZ5" s="6" t="s">
        <v>25</v>
      </c>
      <c r="ABA5" s="5">
        <f t="shared" si="264"/>
        <v>18</v>
      </c>
      <c r="ABB5" s="3"/>
      <c r="ABC5" s="7">
        <f t="shared" si="71"/>
        <v>5</v>
      </c>
      <c r="ABD5" s="5">
        <v>5</v>
      </c>
      <c r="ABE5" s="7">
        <f t="shared" si="265"/>
        <v>0</v>
      </c>
      <c r="ABG5" s="24">
        <v>0</v>
      </c>
      <c r="ABH5" s="6" t="s">
        <v>25</v>
      </c>
      <c r="ABI5" s="24">
        <v>17</v>
      </c>
      <c r="ABJ5" s="6" t="s">
        <v>25</v>
      </c>
      <c r="ABK5" s="5">
        <f t="shared" si="266"/>
        <v>17</v>
      </c>
      <c r="ABL5" s="3"/>
      <c r="ABM5" s="7">
        <f t="shared" si="72"/>
        <v>1</v>
      </c>
      <c r="ABN5" s="5">
        <v>1</v>
      </c>
      <c r="ABO5" s="7">
        <f t="shared" si="267"/>
        <v>0</v>
      </c>
      <c r="ABQ5" s="24">
        <v>0</v>
      </c>
      <c r="ABR5" s="6" t="s">
        <v>25</v>
      </c>
      <c r="ABS5" s="24">
        <v>12</v>
      </c>
      <c r="ABT5" s="6" t="s">
        <v>25</v>
      </c>
      <c r="ABU5" s="5">
        <f t="shared" si="268"/>
        <v>12</v>
      </c>
      <c r="ABV5" s="3">
        <v>1</v>
      </c>
      <c r="ABW5" s="7">
        <f t="shared" si="73"/>
        <v>5</v>
      </c>
      <c r="ABX5" s="5">
        <v>5</v>
      </c>
      <c r="ABY5" s="7">
        <f t="shared" si="269"/>
        <v>0</v>
      </c>
      <c r="ACA5" s="24">
        <v>24</v>
      </c>
      <c r="ACB5" s="6" t="s">
        <v>25</v>
      </c>
      <c r="ACC5" s="24">
        <v>9</v>
      </c>
      <c r="ACD5" s="6" t="s">
        <v>25</v>
      </c>
      <c r="ACE5" s="5">
        <f t="shared" si="270"/>
        <v>33</v>
      </c>
      <c r="ACF5" s="3"/>
      <c r="ACG5" s="7">
        <f t="shared" si="74"/>
        <v>3</v>
      </c>
      <c r="ACH5" s="5">
        <v>3</v>
      </c>
      <c r="ACI5" s="7">
        <f t="shared" si="271"/>
        <v>0</v>
      </c>
      <c r="ACK5" s="2">
        <v>18</v>
      </c>
      <c r="ACL5" s="6" t="s">
        <v>25</v>
      </c>
      <c r="ACM5" s="2">
        <v>9</v>
      </c>
      <c r="ACN5" s="6" t="s">
        <v>25</v>
      </c>
      <c r="ACO5" s="5">
        <f t="shared" si="272"/>
        <v>27</v>
      </c>
      <c r="ACP5" s="3"/>
      <c r="ACQ5" s="7">
        <f t="shared" si="75"/>
        <v>6</v>
      </c>
      <c r="ACR5" s="5">
        <v>6</v>
      </c>
      <c r="ACS5" s="7">
        <f t="shared" si="273"/>
        <v>0</v>
      </c>
      <c r="ACU5" s="2">
        <v>12</v>
      </c>
      <c r="ACV5" s="6" t="s">
        <v>25</v>
      </c>
      <c r="ACW5" s="2">
        <v>14</v>
      </c>
      <c r="ACX5" s="6" t="s">
        <v>25</v>
      </c>
      <c r="ACY5" s="5">
        <f t="shared" si="274"/>
        <v>26</v>
      </c>
      <c r="ACZ5" s="3"/>
      <c r="ADA5" s="7">
        <f t="shared" si="76"/>
        <v>1</v>
      </c>
      <c r="ADB5" s="5">
        <v>1</v>
      </c>
      <c r="ADC5" s="7">
        <f t="shared" si="275"/>
        <v>0</v>
      </c>
      <c r="ADE5" s="24">
        <v>12</v>
      </c>
      <c r="ADF5" s="6" t="s">
        <v>25</v>
      </c>
      <c r="ADG5" s="24">
        <v>12</v>
      </c>
      <c r="ADH5" s="6" t="s">
        <v>25</v>
      </c>
      <c r="ADI5" s="5">
        <f t="shared" si="276"/>
        <v>24</v>
      </c>
      <c r="ADJ5" s="3"/>
      <c r="ADK5" s="7">
        <f t="shared" si="77"/>
        <v>2</v>
      </c>
      <c r="ADL5" s="5">
        <v>2</v>
      </c>
      <c r="ADM5" s="7">
        <f t="shared" si="277"/>
        <v>0</v>
      </c>
      <c r="ADO5" s="24">
        <v>6</v>
      </c>
      <c r="ADP5" s="6" t="s">
        <v>25</v>
      </c>
      <c r="ADQ5" s="24">
        <v>15</v>
      </c>
      <c r="ADR5" s="6" t="s">
        <v>25</v>
      </c>
      <c r="ADS5" s="5">
        <f t="shared" si="278"/>
        <v>21</v>
      </c>
      <c r="ADT5" s="3"/>
      <c r="ADU5" s="7">
        <f t="shared" si="78"/>
        <v>3</v>
      </c>
      <c r="ADV5" s="5">
        <v>3</v>
      </c>
      <c r="ADW5" s="7">
        <f t="shared" si="279"/>
        <v>0</v>
      </c>
      <c r="ADY5" s="24">
        <v>0</v>
      </c>
      <c r="ADZ5" s="6" t="s">
        <v>25</v>
      </c>
      <c r="AEA5" s="24">
        <v>10</v>
      </c>
      <c r="AEB5" s="6" t="s">
        <v>25</v>
      </c>
      <c r="AEC5" s="5">
        <f t="shared" si="280"/>
        <v>10</v>
      </c>
      <c r="AED5" s="3">
        <v>1</v>
      </c>
      <c r="AEE5" s="7">
        <f t="shared" si="79"/>
        <v>11</v>
      </c>
      <c r="AEF5" s="5">
        <v>11</v>
      </c>
      <c r="AEG5" s="7">
        <f t="shared" si="281"/>
        <v>0</v>
      </c>
      <c r="AEI5" s="2">
        <v>12</v>
      </c>
      <c r="AEJ5" s="6" t="s">
        <v>25</v>
      </c>
      <c r="AEK5" s="2">
        <v>19</v>
      </c>
      <c r="AEL5" s="6" t="s">
        <v>25</v>
      </c>
      <c r="AEM5" s="5">
        <f t="shared" si="282"/>
        <v>31</v>
      </c>
      <c r="AEN5" s="3"/>
      <c r="AEO5" s="7">
        <f t="shared" si="80"/>
        <v>3</v>
      </c>
      <c r="AEP5" s="5">
        <v>3</v>
      </c>
      <c r="AEQ5" s="7">
        <f t="shared" si="283"/>
        <v>0</v>
      </c>
      <c r="AES5" s="24">
        <v>0</v>
      </c>
      <c r="AET5" s="6" t="s">
        <v>25</v>
      </c>
      <c r="AEU5" s="24">
        <v>23</v>
      </c>
      <c r="AEV5" s="6" t="s">
        <v>25</v>
      </c>
      <c r="AEW5" s="5">
        <f t="shared" si="284"/>
        <v>23</v>
      </c>
      <c r="AEX5" s="3"/>
      <c r="AEY5" s="7">
        <f t="shared" si="81"/>
        <v>8</v>
      </c>
      <c r="AEZ5" s="5">
        <v>8</v>
      </c>
      <c r="AFA5" s="7">
        <f t="shared" si="285"/>
        <v>0</v>
      </c>
      <c r="AFC5" s="24">
        <v>0</v>
      </c>
      <c r="AFD5" s="6" t="s">
        <v>25</v>
      </c>
      <c r="AFE5" s="24">
        <v>18</v>
      </c>
      <c r="AFF5" s="6" t="s">
        <v>25</v>
      </c>
      <c r="AFG5" s="5">
        <f t="shared" si="286"/>
        <v>18</v>
      </c>
      <c r="AFH5" s="3"/>
      <c r="AFI5" s="7">
        <f t="shared" si="82"/>
        <v>5</v>
      </c>
      <c r="AFJ5" s="5">
        <v>5</v>
      </c>
      <c r="AFK5" s="7">
        <f t="shared" si="287"/>
        <v>0</v>
      </c>
      <c r="AFM5" s="2">
        <v>0</v>
      </c>
      <c r="AFN5" s="6" t="s">
        <v>25</v>
      </c>
      <c r="AFO5" s="2">
        <v>15</v>
      </c>
      <c r="AFP5" s="6" t="s">
        <v>25</v>
      </c>
      <c r="AFQ5" s="5">
        <f t="shared" si="288"/>
        <v>15</v>
      </c>
      <c r="AFR5" s="3">
        <v>1</v>
      </c>
      <c r="AFS5" s="7">
        <f t="shared" si="83"/>
        <v>3</v>
      </c>
      <c r="AFT5" s="5">
        <v>3</v>
      </c>
      <c r="AFU5" s="7">
        <f t="shared" si="289"/>
        <v>0</v>
      </c>
      <c r="AFW5" s="2">
        <v>18</v>
      </c>
      <c r="AFX5" s="6" t="s">
        <v>25</v>
      </c>
      <c r="AFY5" s="2">
        <v>16</v>
      </c>
      <c r="AFZ5" s="6" t="s">
        <v>25</v>
      </c>
      <c r="AGA5" s="5">
        <f t="shared" si="290"/>
        <v>34</v>
      </c>
      <c r="AGB5" s="3"/>
      <c r="AGC5" s="7">
        <f t="shared" si="84"/>
        <v>5</v>
      </c>
      <c r="AGD5" s="5">
        <v>5</v>
      </c>
      <c r="AGE5" s="7">
        <f t="shared" si="291"/>
        <v>0</v>
      </c>
      <c r="AGG5" s="2">
        <v>18</v>
      </c>
      <c r="AGH5" s="6" t="s">
        <v>25</v>
      </c>
      <c r="AGI5" s="2">
        <v>13</v>
      </c>
      <c r="AGJ5" s="6" t="s">
        <v>25</v>
      </c>
      <c r="AGK5" s="5">
        <f t="shared" si="292"/>
        <v>31</v>
      </c>
      <c r="AGL5" s="3"/>
      <c r="AGM5" s="7">
        <f t="shared" si="85"/>
        <v>3</v>
      </c>
      <c r="AGN5" s="5">
        <v>3</v>
      </c>
      <c r="AGO5" s="7">
        <f t="shared" si="293"/>
        <v>0</v>
      </c>
      <c r="AGQ5" s="24">
        <v>12</v>
      </c>
      <c r="AGR5" s="6" t="s">
        <v>25</v>
      </c>
      <c r="AGS5" s="24">
        <v>14</v>
      </c>
      <c r="AGT5" s="6" t="s">
        <v>25</v>
      </c>
      <c r="AGU5" s="5">
        <f t="shared" si="294"/>
        <v>26</v>
      </c>
      <c r="AGV5" s="3"/>
      <c r="AGW5" s="7">
        <f t="shared" si="86"/>
        <v>5</v>
      </c>
      <c r="AGX5" s="5">
        <v>5</v>
      </c>
      <c r="AGY5" s="7">
        <f t="shared" si="295"/>
        <v>0</v>
      </c>
      <c r="AHA5" s="24">
        <v>6</v>
      </c>
      <c r="AHB5" s="6" t="s">
        <v>25</v>
      </c>
      <c r="AHC5" s="24">
        <v>17</v>
      </c>
      <c r="AHD5" s="6" t="s">
        <v>25</v>
      </c>
      <c r="AHE5" s="5">
        <f t="shared" si="296"/>
        <v>23</v>
      </c>
      <c r="AHF5" s="3">
        <v>1</v>
      </c>
      <c r="AHG5" s="7">
        <f t="shared" si="87"/>
        <v>3</v>
      </c>
      <c r="AHH5" s="5">
        <v>3</v>
      </c>
      <c r="AHI5" s="10">
        <f t="shared" si="88"/>
        <v>0</v>
      </c>
      <c r="AHK5" s="24">
        <v>24</v>
      </c>
      <c r="AHL5" s="6" t="s">
        <v>25</v>
      </c>
      <c r="AHM5" s="24">
        <v>13</v>
      </c>
      <c r="AHN5" s="6" t="s">
        <v>25</v>
      </c>
      <c r="AHO5" s="5">
        <f t="shared" si="297"/>
        <v>37</v>
      </c>
      <c r="AHP5" s="3"/>
      <c r="AHQ5" s="7">
        <f t="shared" si="89"/>
        <v>10</v>
      </c>
      <c r="AHR5" s="5">
        <v>10</v>
      </c>
      <c r="AHS5" s="10">
        <f t="shared" si="90"/>
        <v>0</v>
      </c>
      <c r="AHU5" s="2">
        <v>12</v>
      </c>
      <c r="AHV5" s="6" t="s">
        <v>25</v>
      </c>
      <c r="AHW5" s="2">
        <v>21</v>
      </c>
      <c r="AHX5" s="6" t="s">
        <v>25</v>
      </c>
      <c r="AHY5" s="5">
        <f t="shared" si="298"/>
        <v>33</v>
      </c>
      <c r="AHZ5" s="3"/>
      <c r="AIA5" s="7">
        <f t="shared" si="91"/>
        <v>4</v>
      </c>
      <c r="AIB5" s="5">
        <v>4</v>
      </c>
      <c r="AIC5" s="10">
        <f t="shared" si="92"/>
        <v>0</v>
      </c>
      <c r="AIE5" s="24">
        <v>6</v>
      </c>
      <c r="AIF5" s="6" t="s">
        <v>25</v>
      </c>
      <c r="AIG5" s="24">
        <v>23</v>
      </c>
      <c r="AIH5" s="6" t="s">
        <v>25</v>
      </c>
      <c r="AII5" s="5">
        <f t="shared" si="299"/>
        <v>29</v>
      </c>
      <c r="AIJ5" s="3"/>
      <c r="AIK5" s="7">
        <f t="shared" si="93"/>
        <v>4</v>
      </c>
      <c r="AIL5" s="5">
        <v>4</v>
      </c>
      <c r="AIM5" s="10">
        <f t="shared" si="94"/>
        <v>0</v>
      </c>
      <c r="AIO5" s="24"/>
      <c r="AIP5" s="6" t="s">
        <v>25</v>
      </c>
      <c r="AIQ5" s="24">
        <v>23</v>
      </c>
      <c r="AIR5" s="6" t="s">
        <v>25</v>
      </c>
      <c r="AIS5" s="5">
        <f t="shared" si="300"/>
        <v>23</v>
      </c>
      <c r="AIT5" s="3"/>
      <c r="AIU5" s="7">
        <f t="shared" si="95"/>
        <v>6</v>
      </c>
      <c r="AIV5" s="5">
        <v>6</v>
      </c>
      <c r="AIW5" s="10">
        <f t="shared" si="96"/>
        <v>0</v>
      </c>
      <c r="AIY5" s="2">
        <v>0</v>
      </c>
      <c r="AIZ5" s="6" t="s">
        <v>25</v>
      </c>
      <c r="AJA5" s="2">
        <v>21</v>
      </c>
      <c r="AJB5" s="6" t="s">
        <v>25</v>
      </c>
      <c r="AJC5" s="5">
        <f t="shared" si="301"/>
        <v>21</v>
      </c>
      <c r="AJD5" s="3"/>
      <c r="AJE5" s="7">
        <f t="shared" si="97"/>
        <v>2</v>
      </c>
      <c r="AJF5" s="5">
        <v>3</v>
      </c>
      <c r="AJG5" s="10">
        <f t="shared" si="98"/>
        <v>1</v>
      </c>
      <c r="AJI5" s="24">
        <v>0</v>
      </c>
      <c r="AJJ5" s="6" t="s">
        <v>25</v>
      </c>
      <c r="AJK5" s="24">
        <v>14</v>
      </c>
      <c r="AJL5" s="6" t="s">
        <v>25</v>
      </c>
      <c r="AJM5" s="5">
        <f t="shared" si="302"/>
        <v>14</v>
      </c>
      <c r="AJN5" s="3"/>
      <c r="AJO5" s="7">
        <f t="shared" si="99"/>
        <v>7</v>
      </c>
      <c r="AJP5" s="5">
        <v>5</v>
      </c>
      <c r="AJQ5" s="10">
        <f t="shared" si="100"/>
        <v>-2</v>
      </c>
      <c r="AJS5" s="2">
        <v>0</v>
      </c>
      <c r="AJT5" s="6" t="s">
        <v>25</v>
      </c>
      <c r="AJU5" s="2">
        <v>10</v>
      </c>
      <c r="AJV5" s="6" t="s">
        <v>25</v>
      </c>
      <c r="AJW5" s="5">
        <f t="shared" si="303"/>
        <v>10</v>
      </c>
      <c r="AJX5" s="3"/>
      <c r="AJY5" s="7">
        <f t="shared" si="101"/>
        <v>4</v>
      </c>
      <c r="AJZ5" s="5">
        <v>4</v>
      </c>
      <c r="AKA5" s="10">
        <f t="shared" si="102"/>
        <v>0</v>
      </c>
      <c r="AKC5" s="24">
        <v>0</v>
      </c>
      <c r="AKD5" s="6" t="s">
        <v>25</v>
      </c>
      <c r="AKE5" s="24">
        <v>8</v>
      </c>
      <c r="AKF5" s="6" t="s">
        <v>25</v>
      </c>
      <c r="AKG5" s="5">
        <f t="shared" si="304"/>
        <v>8</v>
      </c>
      <c r="AKH5" s="3">
        <v>1</v>
      </c>
      <c r="AKI5" s="7">
        <f t="shared" si="103"/>
        <v>2</v>
      </c>
      <c r="AKJ5" s="5">
        <v>2</v>
      </c>
      <c r="AKK5" s="7">
        <f t="shared" si="305"/>
        <v>0</v>
      </c>
      <c r="AKM5" s="2">
        <v>12</v>
      </c>
      <c r="AKN5" s="6" t="s">
        <v>25</v>
      </c>
      <c r="AKO5" s="2">
        <v>15</v>
      </c>
      <c r="AKP5" s="6" t="s">
        <v>25</v>
      </c>
      <c r="AKQ5" s="5">
        <f t="shared" si="306"/>
        <v>27</v>
      </c>
      <c r="AKR5" s="3"/>
      <c r="AKS5" s="7">
        <f t="shared" si="104"/>
        <v>5</v>
      </c>
      <c r="AKT5" s="5">
        <v>5</v>
      </c>
      <c r="AKU5" s="7">
        <f t="shared" si="307"/>
        <v>0</v>
      </c>
      <c r="AKW5" s="2">
        <v>6</v>
      </c>
      <c r="AKX5" s="6" t="s">
        <v>25</v>
      </c>
      <c r="AKY5" s="2">
        <v>15</v>
      </c>
      <c r="AKZ5" s="6" t="s">
        <v>25</v>
      </c>
      <c r="ALA5" s="5">
        <f t="shared" si="308"/>
        <v>21</v>
      </c>
      <c r="ALB5" s="3">
        <v>1</v>
      </c>
      <c r="ALC5" s="7">
        <f t="shared" si="105"/>
        <v>6</v>
      </c>
      <c r="ALD5" s="5">
        <v>6</v>
      </c>
      <c r="ALE5" s="7">
        <f t="shared" si="309"/>
        <v>0</v>
      </c>
      <c r="ALG5" s="2">
        <v>30</v>
      </c>
      <c r="ALH5" s="6" t="s">
        <v>25</v>
      </c>
      <c r="ALI5" s="2">
        <v>13</v>
      </c>
      <c r="ALJ5" s="6" t="s">
        <v>25</v>
      </c>
      <c r="ALK5" s="5">
        <f t="shared" si="310"/>
        <v>43</v>
      </c>
      <c r="ALL5" s="3"/>
      <c r="ALM5" s="7">
        <f t="shared" si="106"/>
        <v>2</v>
      </c>
      <c r="ALN5" s="5">
        <v>2</v>
      </c>
      <c r="ALO5" s="7">
        <f t="shared" si="311"/>
        <v>0</v>
      </c>
      <c r="ALQ5" s="2">
        <v>30</v>
      </c>
      <c r="ALR5" s="6" t="s">
        <v>25</v>
      </c>
      <c r="ALS5" s="2">
        <v>12</v>
      </c>
      <c r="ALT5" s="6" t="s">
        <v>25</v>
      </c>
      <c r="ALU5" s="5">
        <f t="shared" si="312"/>
        <v>42</v>
      </c>
      <c r="ALV5" s="3"/>
      <c r="ALW5" s="7">
        <f t="shared" si="107"/>
        <v>1</v>
      </c>
      <c r="ALX5" s="5">
        <v>1</v>
      </c>
      <c r="ALY5" s="7">
        <f t="shared" si="313"/>
        <v>0</v>
      </c>
      <c r="AMA5" s="24">
        <v>21</v>
      </c>
      <c r="AMB5" s="6" t="s">
        <v>25</v>
      </c>
      <c r="AMC5" s="24">
        <v>12</v>
      </c>
      <c r="AMD5" s="6" t="s">
        <v>25</v>
      </c>
      <c r="AME5" s="5">
        <f t="shared" si="314"/>
        <v>33</v>
      </c>
      <c r="AMF5" s="3"/>
      <c r="AMG5" s="7">
        <f t="shared" si="108"/>
        <v>9</v>
      </c>
      <c r="AMH5" s="5">
        <v>9</v>
      </c>
      <c r="AMI5" s="7">
        <f t="shared" si="315"/>
        <v>0</v>
      </c>
      <c r="AMK5" s="24">
        <v>18</v>
      </c>
      <c r="AML5" s="6" t="s">
        <v>25</v>
      </c>
      <c r="AMM5" s="24">
        <v>13</v>
      </c>
      <c r="AMN5" s="6" t="s">
        <v>25</v>
      </c>
      <c r="AMO5" s="5">
        <f t="shared" si="316"/>
        <v>31</v>
      </c>
      <c r="AMP5" s="3"/>
      <c r="AMQ5" s="7">
        <f t="shared" si="109"/>
        <v>2</v>
      </c>
      <c r="AMR5" s="5">
        <v>2</v>
      </c>
      <c r="AMS5" s="7">
        <f t="shared" si="317"/>
        <v>0</v>
      </c>
      <c r="AMU5" s="24">
        <v>18</v>
      </c>
      <c r="AMV5" s="6" t="s">
        <v>25</v>
      </c>
      <c r="AMW5" s="24">
        <v>11</v>
      </c>
      <c r="AMX5" s="6" t="s">
        <v>25</v>
      </c>
      <c r="AMY5" s="5">
        <f t="shared" si="318"/>
        <v>29</v>
      </c>
      <c r="AMZ5" s="3"/>
      <c r="ANA5" s="7">
        <f t="shared" si="110"/>
        <v>2</v>
      </c>
      <c r="ANB5" s="5">
        <v>2</v>
      </c>
      <c r="ANC5" s="7">
        <f t="shared" si="319"/>
        <v>0</v>
      </c>
      <c r="ANE5" s="24">
        <v>12</v>
      </c>
      <c r="ANF5" s="6" t="s">
        <v>25</v>
      </c>
      <c r="ANG5" s="24">
        <v>13</v>
      </c>
      <c r="ANH5" s="6" t="s">
        <v>25</v>
      </c>
      <c r="ANI5" s="5">
        <f t="shared" si="320"/>
        <v>25</v>
      </c>
      <c r="ANJ5" s="3"/>
      <c r="ANK5" s="7">
        <f t="shared" si="111"/>
        <v>4</v>
      </c>
      <c r="ANL5" s="5">
        <v>4</v>
      </c>
      <c r="ANM5" s="7">
        <f t="shared" si="321"/>
        <v>0</v>
      </c>
      <c r="ANO5" s="24">
        <v>0</v>
      </c>
      <c r="ANP5" s="6" t="s">
        <v>25</v>
      </c>
      <c r="ANQ5" s="24">
        <v>15</v>
      </c>
      <c r="ANR5" s="6" t="s">
        <v>25</v>
      </c>
      <c r="ANS5" s="5">
        <f t="shared" si="322"/>
        <v>15</v>
      </c>
      <c r="ANT5" s="3"/>
      <c r="ANU5" s="7">
        <f t="shared" si="112"/>
        <v>10</v>
      </c>
      <c r="ANV5" s="5">
        <v>10</v>
      </c>
      <c r="ANW5" s="7">
        <f t="shared" si="323"/>
        <v>0</v>
      </c>
      <c r="ANY5" s="24">
        <v>0</v>
      </c>
      <c r="ANZ5" s="6" t="s">
        <v>25</v>
      </c>
      <c r="AOA5" s="24">
        <v>12</v>
      </c>
      <c r="AOB5" s="6" t="s">
        <v>25</v>
      </c>
      <c r="AOC5" s="5">
        <f t="shared" si="324"/>
        <v>12</v>
      </c>
      <c r="AOD5" s="3">
        <v>1</v>
      </c>
      <c r="AOE5" s="7">
        <f t="shared" si="113"/>
        <v>3</v>
      </c>
      <c r="AOF5" s="5">
        <v>3</v>
      </c>
      <c r="AOG5" s="7">
        <f t="shared" si="325"/>
        <v>0</v>
      </c>
      <c r="AOI5" s="24">
        <v>24</v>
      </c>
      <c r="AOJ5" s="6" t="s">
        <v>25</v>
      </c>
      <c r="AOK5" s="24">
        <v>7</v>
      </c>
      <c r="AOL5" s="6" t="s">
        <v>25</v>
      </c>
      <c r="AOM5" s="5">
        <f t="shared" si="326"/>
        <v>31</v>
      </c>
      <c r="AON5" s="3"/>
      <c r="AOO5" s="7">
        <f t="shared" si="114"/>
        <v>5</v>
      </c>
      <c r="AOP5" s="5">
        <v>5</v>
      </c>
      <c r="AOQ5" s="7">
        <f t="shared" si="327"/>
        <v>0</v>
      </c>
      <c r="AOS5" s="24">
        <v>24</v>
      </c>
      <c r="AOT5" s="6" t="s">
        <v>25</v>
      </c>
      <c r="AOU5" s="24">
        <v>1</v>
      </c>
      <c r="AOV5" s="6" t="s">
        <v>25</v>
      </c>
      <c r="AOW5" s="5">
        <f t="shared" si="328"/>
        <v>25</v>
      </c>
      <c r="AOX5" s="3"/>
      <c r="AOY5" s="7">
        <f t="shared" si="115"/>
        <v>6</v>
      </c>
      <c r="AOZ5" s="5">
        <v>6</v>
      </c>
      <c r="APA5" s="7">
        <f t="shared" si="329"/>
        <v>0</v>
      </c>
      <c r="APC5" s="24">
        <v>12</v>
      </c>
      <c r="APD5" s="6" t="s">
        <v>25</v>
      </c>
      <c r="APE5" s="24">
        <v>9</v>
      </c>
      <c r="APF5" s="6" t="s">
        <v>25</v>
      </c>
      <c r="APG5" s="5">
        <f t="shared" si="330"/>
        <v>21</v>
      </c>
      <c r="APH5" s="3"/>
      <c r="API5" s="7">
        <f t="shared" si="116"/>
        <v>4</v>
      </c>
      <c r="APJ5" s="5">
        <v>4</v>
      </c>
      <c r="APK5" s="7">
        <f t="shared" si="331"/>
        <v>0</v>
      </c>
      <c r="APM5" s="24">
        <v>0</v>
      </c>
      <c r="APN5" s="6" t="s">
        <v>25</v>
      </c>
      <c r="APO5" s="24">
        <v>5</v>
      </c>
      <c r="APP5" s="6" t="s">
        <v>25</v>
      </c>
      <c r="APQ5" s="5">
        <f t="shared" si="332"/>
        <v>5</v>
      </c>
      <c r="APR5" s="3">
        <v>2</v>
      </c>
      <c r="APS5" s="7">
        <f t="shared" si="117"/>
        <v>16</v>
      </c>
      <c r="APT5" s="5">
        <v>16</v>
      </c>
      <c r="APU5" s="7">
        <f t="shared" si="333"/>
        <v>0</v>
      </c>
      <c r="APW5" s="95">
        <v>24</v>
      </c>
      <c r="APX5" s="96" t="s">
        <v>25</v>
      </c>
      <c r="APY5" s="95">
        <v>22</v>
      </c>
      <c r="APZ5" s="96" t="s">
        <v>25</v>
      </c>
      <c r="AQA5" s="97">
        <f t="shared" si="334"/>
        <v>46</v>
      </c>
      <c r="AQB5" s="98"/>
      <c r="AQC5" s="99">
        <f t="shared" si="118"/>
        <v>7</v>
      </c>
      <c r="AQD5" s="97">
        <v>7</v>
      </c>
      <c r="AQE5" s="99">
        <f t="shared" si="335"/>
        <v>0</v>
      </c>
      <c r="AQG5" s="2"/>
      <c r="AQH5" s="6" t="s">
        <v>25</v>
      </c>
      <c r="AQI5" s="2"/>
      <c r="AQJ5" s="6" t="s">
        <v>25</v>
      </c>
      <c r="AQK5" s="5" t="str">
        <f t="shared" si="336"/>
        <v/>
      </c>
      <c r="AQL5" s="3"/>
      <c r="AQM5" s="7" t="str">
        <f t="shared" si="119"/>
        <v/>
      </c>
      <c r="AQN5" s="5"/>
      <c r="AQO5" s="7" t="str">
        <f t="shared" si="337"/>
        <v/>
      </c>
    </row>
    <row r="6" spans="1:1133" ht="12.75" customHeight="1" x14ac:dyDescent="0.2">
      <c r="A6" s="22" t="s">
        <v>28</v>
      </c>
      <c r="B6" s="13" t="s">
        <v>24</v>
      </c>
      <c r="C6" s="13">
        <v>24</v>
      </c>
      <c r="E6" s="24"/>
      <c r="F6" s="6" t="s">
        <v>25</v>
      </c>
      <c r="G6" s="24">
        <v>15</v>
      </c>
      <c r="H6" s="6" t="s">
        <v>25</v>
      </c>
      <c r="I6" s="5">
        <f t="shared" ref="I6" si="338">IF(OR(ISNUMBER(E6), ISNUMBER(G6)), IF(ISNUMBER(E6), E6, 0) + IF(ISNUMBER(G6), G6, 0), "")</f>
        <v>15</v>
      </c>
      <c r="J6" s="3"/>
      <c r="K6" s="7"/>
      <c r="L6" s="5"/>
      <c r="M6" s="7" t="str">
        <f t="shared" ref="M6" si="339">IF(ISNUMBER(L6), L6-K6, "")</f>
        <v/>
      </c>
      <c r="O6" s="24"/>
      <c r="P6" s="6" t="s">
        <v>25</v>
      </c>
      <c r="Q6" s="24">
        <v>15</v>
      </c>
      <c r="R6" s="6" t="s">
        <v>25</v>
      </c>
      <c r="S6" s="5">
        <f t="shared" ref="S6" si="340">IF(OR(ISNUMBER(O6), ISNUMBER(Q6)), IF(ISNUMBER(O6), O6, 0) + IF(ISNUMBER(Q6), Q6, 0), "")</f>
        <v>15</v>
      </c>
      <c r="T6" s="3"/>
      <c r="U6" s="7">
        <f t="shared" si="0"/>
        <v>0</v>
      </c>
      <c r="V6" s="5">
        <v>1</v>
      </c>
      <c r="W6" s="7">
        <f t="shared" ref="W6" si="341">IF(ISNUMBER(V6), V6-U6, "")</f>
        <v>1</v>
      </c>
      <c r="Y6" s="24"/>
      <c r="Z6" s="6" t="s">
        <v>25</v>
      </c>
      <c r="AA6" s="24">
        <v>10</v>
      </c>
      <c r="AB6" s="6" t="s">
        <v>25</v>
      </c>
      <c r="AC6" s="5">
        <f t="shared" ref="AC6" si="342">IF(OR(ISNUMBER(Y6), ISNUMBER(AA6)), IF(ISNUMBER(Y6), Y6, 0) + IF(ISNUMBER(AA6), AA6, 0), "")</f>
        <v>10</v>
      </c>
      <c r="AD6" s="3"/>
      <c r="AE6" s="7">
        <f t="shared" si="1"/>
        <v>5</v>
      </c>
      <c r="AF6" s="5">
        <v>5</v>
      </c>
      <c r="AG6" s="7">
        <f t="shared" ref="AG6" si="343">IF(ISNUMBER(AF6), AF6-AE6, "")</f>
        <v>0</v>
      </c>
      <c r="AI6" s="24"/>
      <c r="AJ6" s="6" t="s">
        <v>25</v>
      </c>
      <c r="AK6" s="24">
        <v>7</v>
      </c>
      <c r="AL6" s="6" t="s">
        <v>25</v>
      </c>
      <c r="AM6" s="5">
        <f>IF(OR(ISNUMBER(AI6), ISNUMBER(AK6)), IF(ISNUMBER(AI6), AI6, 0) + IF(ISNUMBER(AK6), AK6, 0), "")</f>
        <v>7</v>
      </c>
      <c r="AN6" s="3">
        <v>1</v>
      </c>
      <c r="AO6" s="7">
        <f t="shared" si="2"/>
        <v>3</v>
      </c>
      <c r="AP6" s="5">
        <v>2</v>
      </c>
      <c r="AQ6" s="7">
        <f t="shared" si="127"/>
        <v>-1</v>
      </c>
      <c r="AS6" s="24">
        <v>24</v>
      </c>
      <c r="AT6" s="6" t="s">
        <v>25</v>
      </c>
      <c r="AU6" s="24">
        <v>7</v>
      </c>
      <c r="AV6" s="6" t="s">
        <v>25</v>
      </c>
      <c r="AW6" s="5">
        <f>IF(OR(ISNUMBER(AS6), ISNUMBER(AU6)), IF(ISNUMBER(AS6), AS6, 0) + IF(ISNUMBER(AU6), AU6, 0), "")</f>
        <v>31</v>
      </c>
      <c r="AX6" s="3"/>
      <c r="AY6" s="7">
        <f t="shared" si="3"/>
        <v>0</v>
      </c>
      <c r="AZ6" s="5"/>
      <c r="BA6" s="7" t="str">
        <f t="shared" si="129"/>
        <v/>
      </c>
      <c r="BC6" s="24">
        <v>18</v>
      </c>
      <c r="BD6" s="6" t="s">
        <v>25</v>
      </c>
      <c r="BE6" s="24">
        <v>8</v>
      </c>
      <c r="BF6" s="6" t="s">
        <v>25</v>
      </c>
      <c r="BG6" s="5">
        <f>IF(OR(ISNUMBER(BC6), ISNUMBER(BE6)), IF(ISNUMBER(BC6), BC6, 0) + IF(ISNUMBER(BE6), BE6, 0), "")</f>
        <v>26</v>
      </c>
      <c r="BH6" s="3"/>
      <c r="BI6" s="7">
        <f t="shared" si="4"/>
        <v>5</v>
      </c>
      <c r="BJ6" s="5">
        <v>4</v>
      </c>
      <c r="BK6" s="7">
        <f t="shared" si="131"/>
        <v>-1</v>
      </c>
      <c r="BM6" s="24">
        <v>18</v>
      </c>
      <c r="BN6" s="6" t="s">
        <v>25</v>
      </c>
      <c r="BO6" s="24">
        <v>6</v>
      </c>
      <c r="BP6" s="6" t="s">
        <v>25</v>
      </c>
      <c r="BQ6" s="5">
        <f>IF(OR(ISNUMBER(BM6), ISNUMBER(BO6)), IF(ISNUMBER(BM6), BM6, 0) + IF(ISNUMBER(BO6), BO6, 0), "")</f>
        <v>24</v>
      </c>
      <c r="BR6" s="3"/>
      <c r="BS6" s="7">
        <f t="shared" si="5"/>
        <v>2</v>
      </c>
      <c r="BT6" s="5">
        <v>2</v>
      </c>
      <c r="BU6" s="7">
        <f t="shared" si="133"/>
        <v>0</v>
      </c>
      <c r="BW6" s="24">
        <v>18</v>
      </c>
      <c r="BX6" s="6" t="s">
        <v>25</v>
      </c>
      <c r="BY6" s="24">
        <v>5</v>
      </c>
      <c r="BZ6" s="6" t="s">
        <v>25</v>
      </c>
      <c r="CA6" s="5">
        <f>IF(OR(ISNUMBER(BW6), ISNUMBER(BY6)), IF(ISNUMBER(BW6), BW6, 0) + IF(ISNUMBER(BY6), BY6, 0), "")</f>
        <v>23</v>
      </c>
      <c r="CB6" s="3"/>
      <c r="CC6" s="7">
        <f t="shared" si="6"/>
        <v>1</v>
      </c>
      <c r="CD6" s="5">
        <v>1</v>
      </c>
      <c r="CE6" s="7">
        <f t="shared" si="135"/>
        <v>0</v>
      </c>
      <c r="CG6" s="24">
        <v>12</v>
      </c>
      <c r="CH6" s="6" t="s">
        <v>25</v>
      </c>
      <c r="CI6" s="24">
        <v>11</v>
      </c>
      <c r="CJ6" s="6" t="s">
        <v>25</v>
      </c>
      <c r="CK6" s="5">
        <f>IF(OR(ISNUMBER(CG6), ISNUMBER(CI6)), IF(ISNUMBER(CG6), CG6, 0) + IF(ISNUMBER(CI6), CI6, 0), "")</f>
        <v>23</v>
      </c>
      <c r="CL6" s="3"/>
      <c r="CM6" s="7">
        <f t="shared" si="7"/>
        <v>0</v>
      </c>
      <c r="CN6" s="5"/>
      <c r="CO6" s="7" t="str">
        <f t="shared" si="137"/>
        <v/>
      </c>
      <c r="CQ6" s="24">
        <v>12</v>
      </c>
      <c r="CR6" s="6" t="s">
        <v>25</v>
      </c>
      <c r="CS6" s="24">
        <v>8</v>
      </c>
      <c r="CT6" s="6" t="s">
        <v>25</v>
      </c>
      <c r="CU6" s="5">
        <f>IF(OR(ISNUMBER(CQ6), ISNUMBER(CS6)), IF(ISNUMBER(CQ6), CQ6, 0) + IF(ISNUMBER(CS6), CS6, 0), "")</f>
        <v>20</v>
      </c>
      <c r="CV6" s="3"/>
      <c r="CW6" s="7">
        <f t="shared" si="8"/>
        <v>3</v>
      </c>
      <c r="CX6" s="5">
        <v>3</v>
      </c>
      <c r="CY6" s="7">
        <f t="shared" si="139"/>
        <v>0</v>
      </c>
      <c r="DA6" s="24">
        <v>12</v>
      </c>
      <c r="DB6" s="6" t="s">
        <v>25</v>
      </c>
      <c r="DC6" s="24">
        <v>6</v>
      </c>
      <c r="DD6" s="6" t="s">
        <v>25</v>
      </c>
      <c r="DE6" s="5">
        <f>IF(OR(ISNUMBER(DA6), ISNUMBER(DC6)), IF(ISNUMBER(DA6), DA6, 0) + IF(ISNUMBER(DC6), DC6, 0), "")</f>
        <v>18</v>
      </c>
      <c r="DF6" s="3"/>
      <c r="DG6" s="7">
        <f t="shared" si="9"/>
        <v>2</v>
      </c>
      <c r="DH6" s="5">
        <v>2</v>
      </c>
      <c r="DI6" s="7">
        <f t="shared" si="141"/>
        <v>0</v>
      </c>
      <c r="DK6" s="24">
        <v>6</v>
      </c>
      <c r="DL6" s="6" t="s">
        <v>25</v>
      </c>
      <c r="DM6" s="24">
        <v>8</v>
      </c>
      <c r="DN6" s="6" t="s">
        <v>25</v>
      </c>
      <c r="DO6" s="5">
        <f>IF(OR(ISNUMBER(DK6), ISNUMBER(DM6)), IF(ISNUMBER(DK6), DK6, 0) + IF(ISNUMBER(DM6), DM6, 0), "")</f>
        <v>14</v>
      </c>
      <c r="DP6" s="3"/>
      <c r="DQ6" s="7">
        <f t="shared" si="10"/>
        <v>4</v>
      </c>
      <c r="DR6" s="5">
        <v>4</v>
      </c>
      <c r="DS6" s="7">
        <f t="shared" si="143"/>
        <v>0</v>
      </c>
      <c r="DU6" s="24">
        <v>6</v>
      </c>
      <c r="DV6" s="6" t="s">
        <v>25</v>
      </c>
      <c r="DW6" s="24">
        <v>7</v>
      </c>
      <c r="DX6" s="6" t="s">
        <v>25</v>
      </c>
      <c r="DY6" s="5">
        <f>IF(OR(ISNUMBER(DU6), ISNUMBER(DW6)), IF(ISNUMBER(DU6), DU6, 0) + IF(ISNUMBER(DW6), DW6, 0), "")</f>
        <v>13</v>
      </c>
      <c r="DZ6" s="3"/>
      <c r="EA6" s="7">
        <f t="shared" si="11"/>
        <v>1</v>
      </c>
      <c r="EB6" s="5">
        <v>1</v>
      </c>
      <c r="EC6" s="7">
        <f t="shared" si="145"/>
        <v>0</v>
      </c>
      <c r="EE6" s="24">
        <v>6</v>
      </c>
      <c r="EF6" s="6" t="s">
        <v>25</v>
      </c>
      <c r="EG6" s="24">
        <v>6</v>
      </c>
      <c r="EH6" s="6" t="s">
        <v>25</v>
      </c>
      <c r="EI6" s="5">
        <f>IF(OR(ISNUMBER(EE6), ISNUMBER(EG6)), IF(ISNUMBER(EE6), EE6, 0) + IF(ISNUMBER(EG6), EG6, 0), "")</f>
        <v>12</v>
      </c>
      <c r="EJ6" s="3"/>
      <c r="EK6" s="7">
        <f t="shared" si="12"/>
        <v>1</v>
      </c>
      <c r="EL6" s="5">
        <v>1</v>
      </c>
      <c r="EM6" s="7">
        <f t="shared" si="147"/>
        <v>0</v>
      </c>
      <c r="EO6" s="24">
        <v>0</v>
      </c>
      <c r="EP6" s="6" t="s">
        <v>25</v>
      </c>
      <c r="EQ6" s="24">
        <v>5</v>
      </c>
      <c r="ER6" s="6" t="s">
        <v>25</v>
      </c>
      <c r="ES6" s="5">
        <f>IF(OR(ISNUMBER(EO6), ISNUMBER(EQ6)), IF(ISNUMBER(EO6), EO6, 0) + IF(ISNUMBER(EQ6), EQ6, 0), "")</f>
        <v>5</v>
      </c>
      <c r="ET6" s="3"/>
      <c r="EU6" s="7">
        <f t="shared" si="13"/>
        <v>7</v>
      </c>
      <c r="EV6" s="5">
        <v>3</v>
      </c>
      <c r="EW6" s="7">
        <f t="shared" si="149"/>
        <v>-4</v>
      </c>
      <c r="EY6" s="2">
        <v>0</v>
      </c>
      <c r="EZ6" s="6" t="s">
        <v>25</v>
      </c>
      <c r="FA6" s="2">
        <v>5</v>
      </c>
      <c r="FB6" s="6" t="s">
        <v>25</v>
      </c>
      <c r="FC6" s="5">
        <f>IF(OR(ISNUMBER(EY6), ISNUMBER(FA6)), IF(ISNUMBER(EY6), EY6, 0) + IF(ISNUMBER(FA6), FA6, 0), "")</f>
        <v>5</v>
      </c>
      <c r="FD6" s="3"/>
      <c r="FE6" s="7">
        <f t="shared" si="14"/>
        <v>0</v>
      </c>
      <c r="FF6" s="5"/>
      <c r="FG6" s="7" t="str">
        <f t="shared" si="151"/>
        <v/>
      </c>
      <c r="FI6" s="24"/>
      <c r="FJ6" s="6" t="s">
        <v>25</v>
      </c>
      <c r="FK6" s="24">
        <v>1</v>
      </c>
      <c r="FL6" s="6" t="s">
        <v>25</v>
      </c>
      <c r="FM6" s="5">
        <f>IF(OR(ISNUMBER(FI6), ISNUMBER(FK6)), IF(ISNUMBER(FI6), FI6, 0) + IF(ISNUMBER(FK6), FK6, 0), "")</f>
        <v>1</v>
      </c>
      <c r="FN6" s="3">
        <v>1</v>
      </c>
      <c r="FO6" s="7">
        <f t="shared" si="15"/>
        <v>4</v>
      </c>
      <c r="FP6" s="5">
        <v>5</v>
      </c>
      <c r="FQ6" s="7">
        <f t="shared" si="153"/>
        <v>1</v>
      </c>
      <c r="FS6" s="24">
        <v>24</v>
      </c>
      <c r="FT6" s="6" t="s">
        <v>25</v>
      </c>
      <c r="FU6" s="24">
        <v>0</v>
      </c>
      <c r="FV6" s="6" t="s">
        <v>25</v>
      </c>
      <c r="FW6" s="5">
        <f>IF(OR(ISNUMBER(FS6), ISNUMBER(FU6)), IF(ISNUMBER(FS6), FS6, 0) + IF(ISNUMBER(FU6), FU6, 0), "")</f>
        <v>24</v>
      </c>
      <c r="FX6" s="3"/>
      <c r="FY6" s="7">
        <f t="shared" si="16"/>
        <v>1</v>
      </c>
      <c r="FZ6" s="5"/>
      <c r="GA6" s="7" t="str">
        <f t="shared" si="155"/>
        <v/>
      </c>
      <c r="GC6" s="24">
        <v>22</v>
      </c>
      <c r="GD6" s="6" t="s">
        <v>25</v>
      </c>
      <c r="GE6" s="24">
        <v>1</v>
      </c>
      <c r="GF6" s="6" t="s">
        <v>25</v>
      </c>
      <c r="GG6" s="5">
        <f>IF(OR(ISNUMBER(GC6), ISNUMBER(GE6)), IF(ISNUMBER(GC6), GC6, 0) + IF(ISNUMBER(GE6), GE6, 0), "")</f>
        <v>23</v>
      </c>
      <c r="GH6" s="3"/>
      <c r="GI6" s="7">
        <f t="shared" si="17"/>
        <v>1</v>
      </c>
      <c r="GJ6" s="5">
        <v>1</v>
      </c>
      <c r="GK6" s="7">
        <f t="shared" si="157"/>
        <v>0</v>
      </c>
      <c r="GM6" s="24">
        <v>16</v>
      </c>
      <c r="GN6" s="6" t="s">
        <v>25</v>
      </c>
      <c r="GO6" s="24">
        <v>7</v>
      </c>
      <c r="GP6" s="6" t="s">
        <v>25</v>
      </c>
      <c r="GQ6" s="5">
        <f>IF(OR(ISNUMBER(GM6), ISNUMBER(GO6)), IF(ISNUMBER(GM6), GM6, 0) + IF(ISNUMBER(GO6), GO6, 0), "")</f>
        <v>23</v>
      </c>
      <c r="GR6" s="3"/>
      <c r="GS6" s="7">
        <f t="shared" si="18"/>
        <v>0</v>
      </c>
      <c r="GT6" s="5"/>
      <c r="GU6" s="7" t="str">
        <f t="shared" si="159"/>
        <v/>
      </c>
      <c r="GW6" s="24">
        <v>14</v>
      </c>
      <c r="GX6" s="6" t="s">
        <v>25</v>
      </c>
      <c r="GY6" s="24">
        <v>9</v>
      </c>
      <c r="GZ6" s="6" t="s">
        <v>25</v>
      </c>
      <c r="HA6" s="5">
        <f>IF(OR(ISNUMBER(GW6), ISNUMBER(GY6)), IF(ISNUMBER(GW6), GW6, 0) + IF(ISNUMBER(GY6), GY6, 0), "")</f>
        <v>23</v>
      </c>
      <c r="HB6" s="3"/>
      <c r="HC6" s="7">
        <f t="shared" si="19"/>
        <v>0</v>
      </c>
      <c r="HD6" s="5"/>
      <c r="HE6" s="7" t="str">
        <f t="shared" si="161"/>
        <v/>
      </c>
      <c r="HG6" s="2">
        <v>14</v>
      </c>
      <c r="HH6" s="6" t="s">
        <v>25</v>
      </c>
      <c r="HI6" s="2">
        <v>9</v>
      </c>
      <c r="HJ6" s="6" t="s">
        <v>25</v>
      </c>
      <c r="HK6" s="5">
        <f>IF(OR(ISNUMBER(HG6), ISNUMBER(HI6)), IF(ISNUMBER(HG6), HG6, 0) + IF(ISNUMBER(HI6), HI6, 0), "")</f>
        <v>23</v>
      </c>
      <c r="HL6" s="3"/>
      <c r="HM6" s="7">
        <f t="shared" si="20"/>
        <v>0</v>
      </c>
      <c r="HN6" s="5"/>
      <c r="HO6" s="7" t="str">
        <f t="shared" si="163"/>
        <v/>
      </c>
      <c r="HQ6" s="24">
        <v>12</v>
      </c>
      <c r="HR6" s="6" t="s">
        <v>25</v>
      </c>
      <c r="HS6" s="24">
        <v>8</v>
      </c>
      <c r="HT6" s="6" t="s">
        <v>25</v>
      </c>
      <c r="HU6" s="5">
        <f>IF(OR(ISNUMBER(HQ6), ISNUMBER(HS6)), IF(ISNUMBER(HQ6), HQ6, 0) + IF(ISNUMBER(HS6), HS6, 0), "")</f>
        <v>20</v>
      </c>
      <c r="HV6" s="3"/>
      <c r="HW6" s="7">
        <f t="shared" si="21"/>
        <v>3</v>
      </c>
      <c r="HX6" s="5">
        <v>3</v>
      </c>
      <c r="HY6" s="7">
        <f t="shared" si="165"/>
        <v>0</v>
      </c>
      <c r="IA6" s="24">
        <v>6</v>
      </c>
      <c r="IB6" s="6" t="s">
        <v>25</v>
      </c>
      <c r="IC6" s="24">
        <v>7</v>
      </c>
      <c r="ID6" s="6" t="s">
        <v>25</v>
      </c>
      <c r="IE6" s="5">
        <f>IF(OR(ISNUMBER(IA6), ISNUMBER(IC6)), IF(ISNUMBER(IA6), IA6, 0) + IF(ISNUMBER(IC6), IC6, 0), "")</f>
        <v>13</v>
      </c>
      <c r="IF6" s="3"/>
      <c r="IG6" s="7">
        <f t="shared" si="22"/>
        <v>7</v>
      </c>
      <c r="IH6" s="5">
        <v>7</v>
      </c>
      <c r="II6" s="7">
        <f t="shared" si="167"/>
        <v>0</v>
      </c>
      <c r="IK6" s="24">
        <v>6</v>
      </c>
      <c r="IL6" s="6" t="s">
        <v>25</v>
      </c>
      <c r="IM6" s="24">
        <v>7</v>
      </c>
      <c r="IN6" s="6" t="s">
        <v>25</v>
      </c>
      <c r="IO6" s="5">
        <f>IF(OR(ISNUMBER(IK6), ISNUMBER(IM6)), IF(ISNUMBER(IK6), IK6, 0) + IF(ISNUMBER(IM6), IM6, 0), "")</f>
        <v>13</v>
      </c>
      <c r="IP6" s="3"/>
      <c r="IQ6" s="7">
        <f t="shared" si="23"/>
        <v>0</v>
      </c>
      <c r="IR6" s="5"/>
      <c r="IS6" s="7" t="str">
        <f t="shared" si="169"/>
        <v/>
      </c>
      <c r="IU6" s="24">
        <v>6</v>
      </c>
      <c r="IV6" s="6" t="s">
        <v>25</v>
      </c>
      <c r="IW6" s="24">
        <v>6</v>
      </c>
      <c r="IX6" s="6" t="s">
        <v>25</v>
      </c>
      <c r="IY6" s="5">
        <f>IF(OR(ISNUMBER(IU6), ISNUMBER(IW6)), IF(ISNUMBER(IU6), IU6, 0) + IF(ISNUMBER(IW6), IW6, 0), "")</f>
        <v>12</v>
      </c>
      <c r="IZ6" s="3"/>
      <c r="JA6" s="7">
        <f t="shared" si="24"/>
        <v>1</v>
      </c>
      <c r="JB6" s="5">
        <v>1</v>
      </c>
      <c r="JC6" s="7">
        <f t="shared" si="171"/>
        <v>0</v>
      </c>
      <c r="JE6" s="24">
        <v>6</v>
      </c>
      <c r="JF6" s="6" t="s">
        <v>25</v>
      </c>
      <c r="JG6" s="24">
        <v>5</v>
      </c>
      <c r="JH6" s="6" t="s">
        <v>25</v>
      </c>
      <c r="JI6" s="5">
        <f>IF(OR(ISNUMBER(JE6), ISNUMBER(JG6)), IF(ISNUMBER(JE6), JE6, 0) + IF(ISNUMBER(JG6), JG6, 0), "")</f>
        <v>11</v>
      </c>
      <c r="JJ6" s="3"/>
      <c r="JK6" s="7">
        <f t="shared" si="25"/>
        <v>1</v>
      </c>
      <c r="JL6" s="5"/>
      <c r="JM6" s="7" t="str">
        <f t="shared" si="173"/>
        <v/>
      </c>
      <c r="JO6" s="24">
        <v>0</v>
      </c>
      <c r="JP6" s="6" t="s">
        <v>25</v>
      </c>
      <c r="JQ6" s="24">
        <v>10</v>
      </c>
      <c r="JR6" s="6" t="s">
        <v>25</v>
      </c>
      <c r="JS6" s="5">
        <f>IF(OR(ISNUMBER(JO6), ISNUMBER(JQ6)), IF(ISNUMBER(JO6), JO6, 0) + IF(ISNUMBER(JQ6), JQ6, 0), "")</f>
        <v>10</v>
      </c>
      <c r="JT6" s="3"/>
      <c r="JU6" s="7">
        <f t="shared" si="26"/>
        <v>1</v>
      </c>
      <c r="JV6" s="5">
        <v>1</v>
      </c>
      <c r="JW6" s="7">
        <f t="shared" si="175"/>
        <v>0</v>
      </c>
      <c r="JY6" s="24">
        <v>0</v>
      </c>
      <c r="JZ6" s="6" t="s">
        <v>25</v>
      </c>
      <c r="KA6" s="24">
        <v>10</v>
      </c>
      <c r="KB6" s="6" t="s">
        <v>25</v>
      </c>
      <c r="KC6" s="5">
        <f>IF(OR(ISNUMBER(JY6), ISNUMBER(KA6)), IF(ISNUMBER(JY6), JY6, 0) + IF(ISNUMBER(KA6), KA6, 0), "")</f>
        <v>10</v>
      </c>
      <c r="KD6" s="3"/>
      <c r="KE6" s="7">
        <f t="shared" si="27"/>
        <v>0</v>
      </c>
      <c r="KF6" s="5"/>
      <c r="KG6" s="7" t="str">
        <f t="shared" si="177"/>
        <v/>
      </c>
      <c r="KI6" s="24">
        <v>0</v>
      </c>
      <c r="KJ6" s="6" t="s">
        <v>25</v>
      </c>
      <c r="KK6" s="24">
        <v>10</v>
      </c>
      <c r="KL6" s="6" t="s">
        <v>25</v>
      </c>
      <c r="KM6" s="5">
        <f>IF(OR(ISNUMBER(KI6), ISNUMBER(KK6)), IF(ISNUMBER(KI6), KI6, 0) + IF(ISNUMBER(KK6), KK6, 0), "")</f>
        <v>10</v>
      </c>
      <c r="KN6" s="3"/>
      <c r="KO6" s="7">
        <f t="shared" si="28"/>
        <v>0</v>
      </c>
      <c r="KP6" s="5"/>
      <c r="KQ6" s="7" t="str">
        <f t="shared" si="179"/>
        <v/>
      </c>
      <c r="KS6" s="24">
        <v>0</v>
      </c>
      <c r="KT6" s="6" t="s">
        <v>25</v>
      </c>
      <c r="KU6" s="24">
        <v>9</v>
      </c>
      <c r="KV6" s="6" t="s">
        <v>25</v>
      </c>
      <c r="KW6" s="5">
        <f>IF(OR(ISNUMBER(KS6), ISNUMBER(KU6)), IF(ISNUMBER(KS6), KS6, 0) + IF(ISNUMBER(KU6), KU6, 0), "")</f>
        <v>9</v>
      </c>
      <c r="KX6" s="3"/>
      <c r="KY6" s="7">
        <f t="shared" si="29"/>
        <v>1</v>
      </c>
      <c r="KZ6" s="5">
        <v>1</v>
      </c>
      <c r="LA6" s="7">
        <f t="shared" si="181"/>
        <v>0</v>
      </c>
      <c r="LC6" s="24">
        <v>0</v>
      </c>
      <c r="LD6" s="6" t="s">
        <v>25</v>
      </c>
      <c r="LE6" s="24">
        <v>8</v>
      </c>
      <c r="LF6" s="6" t="s">
        <v>25</v>
      </c>
      <c r="LG6" s="5">
        <f>IF(OR(ISNUMBER(LC6), ISNUMBER(LE6)), IF(ISNUMBER(LC6), LC6, 0) + IF(ISNUMBER(LE6), LE6, 0), "")</f>
        <v>8</v>
      </c>
      <c r="LH6" s="3"/>
      <c r="LI6" s="7">
        <f t="shared" si="30"/>
        <v>1</v>
      </c>
      <c r="LJ6" s="5">
        <v>1</v>
      </c>
      <c r="LK6" s="7">
        <f t="shared" si="183"/>
        <v>0</v>
      </c>
      <c r="LM6" s="24">
        <v>0</v>
      </c>
      <c r="LN6" s="6" t="s">
        <v>25</v>
      </c>
      <c r="LO6" s="24">
        <v>5</v>
      </c>
      <c r="LP6" s="6" t="s">
        <v>25</v>
      </c>
      <c r="LQ6" s="5">
        <f>IF(OR(ISNUMBER(LM6), ISNUMBER(LO6)), IF(ISNUMBER(LM6), LM6, 0) + IF(ISNUMBER(LO6), LO6, 0), "")</f>
        <v>5</v>
      </c>
      <c r="LR6" s="3">
        <v>1</v>
      </c>
      <c r="LS6" s="7">
        <f t="shared" si="31"/>
        <v>3</v>
      </c>
      <c r="LT6" s="5">
        <v>3</v>
      </c>
      <c r="LU6" s="7">
        <f t="shared" si="185"/>
        <v>0</v>
      </c>
      <c r="LW6" s="24">
        <v>24</v>
      </c>
      <c r="LX6" s="6" t="s">
        <v>25</v>
      </c>
      <c r="LY6" s="24">
        <v>5</v>
      </c>
      <c r="LZ6" s="6" t="s">
        <v>25</v>
      </c>
      <c r="MA6" s="5">
        <f>IF(OR(ISNUMBER(LW6), ISNUMBER(LY6)), IF(ISNUMBER(LW6), LW6, 0) + IF(ISNUMBER(LY6), LY6, 0), "")</f>
        <v>29</v>
      </c>
      <c r="MB6" s="3"/>
      <c r="MC6" s="7">
        <f t="shared" si="32"/>
        <v>0</v>
      </c>
      <c r="MD6" s="5">
        <v>0</v>
      </c>
      <c r="ME6" s="7">
        <f t="shared" si="187"/>
        <v>0</v>
      </c>
      <c r="MG6" s="24">
        <v>24</v>
      </c>
      <c r="MH6" s="6" t="s">
        <v>25</v>
      </c>
      <c r="MI6" s="24">
        <v>3</v>
      </c>
      <c r="MJ6" s="6" t="s">
        <v>25</v>
      </c>
      <c r="MK6" s="5">
        <f>IF(OR(ISNUMBER(MG6), ISNUMBER(MI6)), IF(ISNUMBER(MG6), MG6, 0) + IF(ISNUMBER(MI6), MI6, 0), "")</f>
        <v>27</v>
      </c>
      <c r="ML6" s="3"/>
      <c r="MM6" s="7">
        <f t="shared" si="33"/>
        <v>2</v>
      </c>
      <c r="MN6" s="5">
        <v>2</v>
      </c>
      <c r="MO6" s="7">
        <f t="shared" si="189"/>
        <v>0</v>
      </c>
      <c r="MQ6" s="24">
        <v>12</v>
      </c>
      <c r="MR6" s="6" t="s">
        <v>25</v>
      </c>
      <c r="MS6" s="24">
        <v>13</v>
      </c>
      <c r="MT6" s="6" t="s">
        <v>25</v>
      </c>
      <c r="MU6" s="5">
        <f>IF(OR(ISNUMBER(MQ6), ISNUMBER(MS6)), IF(ISNUMBER(MQ6), MQ6, 0) + IF(ISNUMBER(MS6), MS6, 0), "")</f>
        <v>25</v>
      </c>
      <c r="MV6" s="3"/>
      <c r="MW6" s="7">
        <f t="shared" si="34"/>
        <v>2</v>
      </c>
      <c r="MX6" s="5">
        <v>2</v>
      </c>
      <c r="MY6" s="7">
        <f t="shared" si="191"/>
        <v>0</v>
      </c>
      <c r="NA6" s="24">
        <v>12</v>
      </c>
      <c r="NB6" s="6" t="s">
        <v>25</v>
      </c>
      <c r="NC6" s="24">
        <v>13</v>
      </c>
      <c r="ND6" s="6" t="s">
        <v>25</v>
      </c>
      <c r="NE6" s="5">
        <f>IF(OR(ISNUMBER(NA6), ISNUMBER(NC6)), IF(ISNUMBER(NA6), NA6, 0) + IF(ISNUMBER(NC6), NC6, 0), "")</f>
        <v>25</v>
      </c>
      <c r="NF6" s="3"/>
      <c r="NG6" s="7">
        <f t="shared" si="35"/>
        <v>0</v>
      </c>
      <c r="NH6" s="5"/>
      <c r="NI6" s="7" t="str">
        <f t="shared" si="193"/>
        <v/>
      </c>
      <c r="NK6" s="24">
        <v>12</v>
      </c>
      <c r="NL6" s="6" t="s">
        <v>25</v>
      </c>
      <c r="NM6" s="24">
        <v>13</v>
      </c>
      <c r="NN6" s="6" t="s">
        <v>25</v>
      </c>
      <c r="NO6" s="5">
        <f>IF(OR(ISNUMBER(NK6), ISNUMBER(NM6)), IF(ISNUMBER(NK6), NK6, 0) + IF(ISNUMBER(NM6), NM6, 0), "")</f>
        <v>25</v>
      </c>
      <c r="NP6" s="3"/>
      <c r="NQ6" s="7">
        <f t="shared" si="36"/>
        <v>0</v>
      </c>
      <c r="NR6" s="5"/>
      <c r="NS6" s="7" t="str">
        <f t="shared" si="195"/>
        <v/>
      </c>
      <c r="NU6" s="24">
        <v>12</v>
      </c>
      <c r="NV6" s="6" t="s">
        <v>25</v>
      </c>
      <c r="NW6" s="24">
        <v>12</v>
      </c>
      <c r="NX6" s="6" t="s">
        <v>25</v>
      </c>
      <c r="NY6" s="5">
        <f>IF(OR(ISNUMBER(NU6), ISNUMBER(NW6)), IF(ISNUMBER(NU6), NU6, 0) + IF(ISNUMBER(NW6), NW6, 0), "")</f>
        <v>24</v>
      </c>
      <c r="NZ6" s="3"/>
      <c r="OA6" s="7">
        <f t="shared" si="37"/>
        <v>1</v>
      </c>
      <c r="OB6" s="5">
        <v>1</v>
      </c>
      <c r="OC6" s="7">
        <f t="shared" si="197"/>
        <v>0</v>
      </c>
      <c r="OE6" s="2">
        <v>12</v>
      </c>
      <c r="OF6" s="6" t="s">
        <v>25</v>
      </c>
      <c r="OG6" s="2">
        <v>10</v>
      </c>
      <c r="OH6" s="6" t="s">
        <v>25</v>
      </c>
      <c r="OI6" s="5">
        <f>IF(OR(ISNUMBER(OE6), ISNUMBER(OG6)), IF(ISNUMBER(OE6), OE6, 0) + IF(ISNUMBER(OG6), OG6, 0), "")</f>
        <v>22</v>
      </c>
      <c r="OJ6" s="3"/>
      <c r="OK6" s="7">
        <f t="shared" si="38"/>
        <v>2</v>
      </c>
      <c r="OL6" s="5">
        <v>2</v>
      </c>
      <c r="OM6" s="7">
        <f t="shared" si="199"/>
        <v>0</v>
      </c>
      <c r="OO6" s="24">
        <v>12</v>
      </c>
      <c r="OP6" s="6" t="s">
        <v>25</v>
      </c>
      <c r="OQ6" s="24">
        <v>9</v>
      </c>
      <c r="OR6" s="6" t="s">
        <v>25</v>
      </c>
      <c r="OS6" s="5">
        <f>IF(OR(ISNUMBER(OO6), ISNUMBER(OQ6)), IF(ISNUMBER(OO6), OO6, 0) + IF(ISNUMBER(OQ6), OQ6, 0), "")</f>
        <v>21</v>
      </c>
      <c r="OT6" s="3"/>
      <c r="OU6" s="7">
        <f t="shared" si="39"/>
        <v>1</v>
      </c>
      <c r="OV6" s="5">
        <v>1</v>
      </c>
      <c r="OW6" s="7">
        <f t="shared" si="201"/>
        <v>0</v>
      </c>
      <c r="OY6" s="24">
        <v>12</v>
      </c>
      <c r="OZ6" s="6" t="s">
        <v>25</v>
      </c>
      <c r="PA6" s="24">
        <v>6</v>
      </c>
      <c r="PB6" s="6" t="s">
        <v>25</v>
      </c>
      <c r="PC6" s="5">
        <f>IF(OR(ISNUMBER(OY6), ISNUMBER(PA6)), IF(ISNUMBER(OY6), OY6, 0) + IF(ISNUMBER(PA6), PA6, 0), "")</f>
        <v>18</v>
      </c>
      <c r="PD6" s="3"/>
      <c r="PE6" s="7">
        <f t="shared" si="40"/>
        <v>3</v>
      </c>
      <c r="PF6" s="5">
        <v>3</v>
      </c>
      <c r="PG6" s="7">
        <f t="shared" si="203"/>
        <v>0</v>
      </c>
      <c r="PI6" s="2">
        <v>12</v>
      </c>
      <c r="PJ6" s="36" t="s">
        <v>25</v>
      </c>
      <c r="PK6" s="2">
        <v>6</v>
      </c>
      <c r="PL6" s="36" t="s">
        <v>25</v>
      </c>
      <c r="PM6" s="5">
        <f>IF(OR(ISNUMBER(PI6), ISNUMBER(PK6)), IF(ISNUMBER(PI6), PI6, 0) + IF(ISNUMBER(PK6), PK6, 0), "")</f>
        <v>18</v>
      </c>
      <c r="PN6" s="3"/>
      <c r="PO6" s="7">
        <f t="shared" si="41"/>
        <v>0</v>
      </c>
      <c r="PP6" s="5"/>
      <c r="PQ6" s="7" t="str">
        <f t="shared" si="205"/>
        <v/>
      </c>
      <c r="PS6" s="2">
        <v>17</v>
      </c>
      <c r="PT6" s="6" t="s">
        <v>25</v>
      </c>
      <c r="PU6" s="2">
        <v>6</v>
      </c>
      <c r="PV6" s="6" t="s">
        <v>25</v>
      </c>
      <c r="PW6" s="5">
        <f>IF(OR(ISNUMBER(PS6), ISNUMBER(PU6)), IF(ISNUMBER(PS6), PS6, 0) + IF(ISNUMBER(PU6), PU6, 0), "")</f>
        <v>23</v>
      </c>
      <c r="PX6" s="3"/>
      <c r="PY6" s="7">
        <f t="shared" si="42"/>
        <v>-5</v>
      </c>
      <c r="PZ6" s="5"/>
      <c r="QA6" s="7" t="str">
        <f t="shared" si="207"/>
        <v/>
      </c>
      <c r="QC6" s="2">
        <v>12</v>
      </c>
      <c r="QD6" s="6" t="s">
        <v>25</v>
      </c>
      <c r="QE6" s="2">
        <v>6</v>
      </c>
      <c r="QF6" s="6" t="s">
        <v>25</v>
      </c>
      <c r="QG6" s="5">
        <f>IF(OR(ISNUMBER(QC6), ISNUMBER(QE6)), IF(ISNUMBER(QC6), QC6, 0) + IF(ISNUMBER(QE6), QE6, 0), "")</f>
        <v>18</v>
      </c>
      <c r="QH6" s="3"/>
      <c r="QI6" s="7">
        <f t="shared" si="43"/>
        <v>5</v>
      </c>
      <c r="QJ6" s="5"/>
      <c r="QK6" s="7" t="str">
        <f t="shared" si="209"/>
        <v/>
      </c>
      <c r="QM6" s="24">
        <v>12</v>
      </c>
      <c r="QN6" s="6" t="s">
        <v>25</v>
      </c>
      <c r="QO6" s="24">
        <v>0</v>
      </c>
      <c r="QP6" s="6" t="s">
        <v>25</v>
      </c>
      <c r="QQ6" s="5">
        <f>IF(OR(ISNUMBER(QM6), ISNUMBER(QO6)), IF(ISNUMBER(QM6), QM6, 0) + IF(ISNUMBER(QO6), QO6, 0), "")</f>
        <v>12</v>
      </c>
      <c r="QR6" s="3"/>
      <c r="QS6" s="7">
        <f t="shared" si="44"/>
        <v>6</v>
      </c>
      <c r="QT6" s="5">
        <v>6</v>
      </c>
      <c r="QU6" s="7">
        <f t="shared" si="211"/>
        <v>0</v>
      </c>
      <c r="QW6" s="24">
        <v>12</v>
      </c>
      <c r="QX6" s="6" t="s">
        <v>25</v>
      </c>
      <c r="QY6" s="24">
        <v>0</v>
      </c>
      <c r="QZ6" s="6" t="s">
        <v>25</v>
      </c>
      <c r="RA6" s="5">
        <f>IF(OR(ISNUMBER(QW6), ISNUMBER(QY6)), IF(ISNUMBER(QW6), QW6, 0) + IF(ISNUMBER(QY6), QY6, 0), "")</f>
        <v>12</v>
      </c>
      <c r="RB6" s="3"/>
      <c r="RC6" s="7">
        <f t="shared" si="45"/>
        <v>0</v>
      </c>
      <c r="RD6" s="5"/>
      <c r="RE6" s="7" t="str">
        <f t="shared" si="213"/>
        <v/>
      </c>
      <c r="RG6" s="24">
        <v>12</v>
      </c>
      <c r="RH6" s="6" t="s">
        <v>25</v>
      </c>
      <c r="RI6" s="24">
        <v>0</v>
      </c>
      <c r="RJ6" s="6" t="s">
        <v>25</v>
      </c>
      <c r="RK6" s="5">
        <f>IF(OR(ISNUMBER(RG6), ISNUMBER(RI6)), IF(ISNUMBER(RG6), RG6, 0) + IF(ISNUMBER(RI6), RI6, 0), "")</f>
        <v>12</v>
      </c>
      <c r="RL6" s="3"/>
      <c r="RM6" s="7">
        <f t="shared" si="46"/>
        <v>0</v>
      </c>
      <c r="RN6" s="5"/>
      <c r="RO6" s="7" t="str">
        <f t="shared" si="215"/>
        <v/>
      </c>
      <c r="RQ6" s="24">
        <v>12</v>
      </c>
      <c r="RR6" s="6" t="s">
        <v>25</v>
      </c>
      <c r="RS6" s="24">
        <v>0</v>
      </c>
      <c r="RT6" s="6" t="s">
        <v>25</v>
      </c>
      <c r="RU6" s="5">
        <f>IF(OR(ISNUMBER(RQ6), ISNUMBER(RS6)), IF(ISNUMBER(RQ6), RQ6, 0) + IF(ISNUMBER(RS6), RS6, 0), "")</f>
        <v>12</v>
      </c>
      <c r="RV6" s="3"/>
      <c r="RW6" s="7">
        <f t="shared" si="47"/>
        <v>0</v>
      </c>
      <c r="RX6" s="5"/>
      <c r="RY6" s="7" t="str">
        <f t="shared" si="217"/>
        <v/>
      </c>
      <c r="SA6" s="2">
        <v>0</v>
      </c>
      <c r="SB6" s="6" t="s">
        <v>25</v>
      </c>
      <c r="SC6" s="2">
        <v>10</v>
      </c>
      <c r="SD6" s="6" t="s">
        <v>25</v>
      </c>
      <c r="SE6" s="5">
        <f>IF(OR(ISNUMBER(SA6), ISNUMBER(SC6)), IF(ISNUMBER(SA6), SA6, 0) + IF(ISNUMBER(SC6), SC6, 0), "")</f>
        <v>10</v>
      </c>
      <c r="SF6" s="3"/>
      <c r="SG6" s="7">
        <f t="shared" si="48"/>
        <v>2</v>
      </c>
      <c r="SH6" s="5">
        <v>2</v>
      </c>
      <c r="SI6" s="7">
        <f t="shared" si="219"/>
        <v>0</v>
      </c>
      <c r="SK6" s="24">
        <v>0</v>
      </c>
      <c r="SL6" s="6" t="s">
        <v>25</v>
      </c>
      <c r="SM6" s="24">
        <v>9</v>
      </c>
      <c r="SN6" s="6" t="s">
        <v>25</v>
      </c>
      <c r="SO6" s="5">
        <f>IF(OR(ISNUMBER(SK6), ISNUMBER(SM6)), IF(ISNUMBER(SK6), SK6, 0) + IF(ISNUMBER(SM6), SM6, 0), "")</f>
        <v>9</v>
      </c>
      <c r="SP6" s="3">
        <v>1</v>
      </c>
      <c r="SQ6" s="7">
        <f t="shared" si="49"/>
        <v>1</v>
      </c>
      <c r="SR6" s="5">
        <v>1</v>
      </c>
      <c r="SS6" s="7">
        <f t="shared" si="221"/>
        <v>0</v>
      </c>
      <c r="SU6" s="24">
        <v>24</v>
      </c>
      <c r="SV6" s="6" t="s">
        <v>25</v>
      </c>
      <c r="SW6" s="24">
        <v>3</v>
      </c>
      <c r="SX6" s="6" t="s">
        <v>25</v>
      </c>
      <c r="SY6" s="5">
        <f>IF(OR(ISNUMBER(SU6), ISNUMBER(SW6)), IF(ISNUMBER(SU6), SU6, 0) + IF(ISNUMBER(SW6), SW6, 0), "")</f>
        <v>27</v>
      </c>
      <c r="SZ6" s="3"/>
      <c r="TA6" s="7">
        <f t="shared" si="50"/>
        <v>6</v>
      </c>
      <c r="TB6" s="5">
        <v>6</v>
      </c>
      <c r="TC6" s="7">
        <f t="shared" si="223"/>
        <v>0</v>
      </c>
      <c r="TE6" s="24">
        <v>12</v>
      </c>
      <c r="TF6" s="6" t="s">
        <v>25</v>
      </c>
      <c r="TG6" s="24">
        <v>14</v>
      </c>
      <c r="TH6" s="6" t="s">
        <v>25</v>
      </c>
      <c r="TI6" s="5">
        <f>IF(OR(ISNUMBER(TE6), ISNUMBER(TG6)), IF(ISNUMBER(TE6), TE6, 0) + IF(ISNUMBER(TG6), TG6, 0), "")</f>
        <v>26</v>
      </c>
      <c r="TJ6" s="3"/>
      <c r="TK6" s="7">
        <f t="shared" si="51"/>
        <v>1</v>
      </c>
      <c r="TL6" s="5">
        <v>1</v>
      </c>
      <c r="TM6" s="7">
        <f t="shared" si="225"/>
        <v>0</v>
      </c>
      <c r="TO6" s="2">
        <v>11</v>
      </c>
      <c r="TP6" s="6" t="s">
        <v>25</v>
      </c>
      <c r="TQ6" s="2">
        <v>13</v>
      </c>
      <c r="TR6" s="6" t="s">
        <v>25</v>
      </c>
      <c r="TS6" s="5">
        <f>IF(OR(ISNUMBER(TO6), ISNUMBER(TQ6)), IF(ISNUMBER(TO6), TO6, 0) + IF(ISNUMBER(TQ6), TQ6, 0), "")</f>
        <v>24</v>
      </c>
      <c r="TT6" s="3"/>
      <c r="TU6" s="7">
        <f t="shared" si="52"/>
        <v>2</v>
      </c>
      <c r="TV6" s="5">
        <v>1</v>
      </c>
      <c r="TW6" s="7">
        <f t="shared" si="227"/>
        <v>-1</v>
      </c>
      <c r="TY6" s="24">
        <v>7</v>
      </c>
      <c r="TZ6" s="6" t="s">
        <v>25</v>
      </c>
      <c r="UA6" s="24">
        <v>12</v>
      </c>
      <c r="UB6" s="6" t="s">
        <v>25</v>
      </c>
      <c r="UC6" s="5">
        <f>IF(OR(ISNUMBER(TY6), ISNUMBER(UA6)), IF(ISNUMBER(TY6), TY6, 0) + IF(ISNUMBER(UA6), UA6, 0), "")</f>
        <v>19</v>
      </c>
      <c r="UD6" s="3"/>
      <c r="UE6" s="7">
        <f t="shared" si="53"/>
        <v>5</v>
      </c>
      <c r="UF6" s="5">
        <v>5</v>
      </c>
      <c r="UG6" s="7">
        <f t="shared" si="229"/>
        <v>0</v>
      </c>
      <c r="UI6" s="2">
        <v>7</v>
      </c>
      <c r="UJ6" s="6" t="s">
        <v>25</v>
      </c>
      <c r="UK6" s="2">
        <v>12</v>
      </c>
      <c r="UL6" s="6" t="s">
        <v>25</v>
      </c>
      <c r="UM6" s="5">
        <f>IF(OR(ISNUMBER(UI6), ISNUMBER(UK6)), IF(ISNUMBER(UI6), UI6, 0) + IF(ISNUMBER(UK6), UK6, 0), "")</f>
        <v>19</v>
      </c>
      <c r="UN6" s="3"/>
      <c r="UO6" s="7">
        <f t="shared" si="54"/>
        <v>0</v>
      </c>
      <c r="UP6" s="5"/>
      <c r="UQ6" s="7" t="str">
        <f t="shared" si="231"/>
        <v/>
      </c>
      <c r="US6" s="2">
        <v>6</v>
      </c>
      <c r="UT6" s="6" t="s">
        <v>25</v>
      </c>
      <c r="UU6" s="2">
        <v>12</v>
      </c>
      <c r="UV6" s="6" t="s">
        <v>25</v>
      </c>
      <c r="UW6" s="5">
        <f>IF(OR(ISNUMBER(US6), ISNUMBER(UU6)), IF(ISNUMBER(US6), US6, 0) + IF(ISNUMBER(UU6), UU6, 0), "")</f>
        <v>18</v>
      </c>
      <c r="UX6" s="3"/>
      <c r="UY6" s="7">
        <f t="shared" si="55"/>
        <v>1</v>
      </c>
      <c r="UZ6" s="5"/>
      <c r="VA6" s="7" t="str">
        <f t="shared" si="233"/>
        <v/>
      </c>
      <c r="VC6" s="24">
        <v>6</v>
      </c>
      <c r="VD6" s="6" t="s">
        <v>25</v>
      </c>
      <c r="VE6" s="24">
        <v>12</v>
      </c>
      <c r="VF6" s="6" t="s">
        <v>25</v>
      </c>
      <c r="VG6" s="5">
        <f>IF(OR(ISNUMBER(VC6), ISNUMBER(VE6)), IF(ISNUMBER(VC6), VC6, 0) + IF(ISNUMBER(VE6), VE6, 0), "")</f>
        <v>18</v>
      </c>
      <c r="VH6" s="3"/>
      <c r="VI6" s="7">
        <f t="shared" si="56"/>
        <v>0</v>
      </c>
      <c r="VJ6" s="5"/>
      <c r="VK6" s="7" t="str">
        <f t="shared" si="235"/>
        <v/>
      </c>
      <c r="VM6" s="24">
        <v>0</v>
      </c>
      <c r="VN6" s="6" t="s">
        <v>25</v>
      </c>
      <c r="VO6" s="24">
        <v>16</v>
      </c>
      <c r="VP6" s="6" t="s">
        <v>25</v>
      </c>
      <c r="VQ6" s="5">
        <f>IF(OR(ISNUMBER(VM6), ISNUMBER(VO6)), IF(ISNUMBER(VM6), VM6, 0) + IF(ISNUMBER(VO6), VO6, 0), "")</f>
        <v>16</v>
      </c>
      <c r="VR6" s="3"/>
      <c r="VS6" s="7">
        <f t="shared" si="57"/>
        <v>2</v>
      </c>
      <c r="VT6" s="5"/>
      <c r="VU6" s="7" t="str">
        <f t="shared" si="237"/>
        <v/>
      </c>
      <c r="VW6" s="2">
        <v>0</v>
      </c>
      <c r="VX6" s="6" t="s">
        <v>25</v>
      </c>
      <c r="VY6" s="2">
        <v>16</v>
      </c>
      <c r="VZ6" s="6" t="s">
        <v>25</v>
      </c>
      <c r="WA6" s="5">
        <f>IF(OR(ISNUMBER(VW6), ISNUMBER(VY6)), IF(ISNUMBER(VW6), VW6, 0) + IF(ISNUMBER(VY6), VY6, 0), "")</f>
        <v>16</v>
      </c>
      <c r="WB6" s="3"/>
      <c r="WC6" s="7">
        <f t="shared" si="58"/>
        <v>0</v>
      </c>
      <c r="WD6" s="5"/>
      <c r="WE6" s="7" t="str">
        <f t="shared" si="239"/>
        <v/>
      </c>
      <c r="WG6" s="24">
        <v>0</v>
      </c>
      <c r="WH6" s="6" t="s">
        <v>25</v>
      </c>
      <c r="WI6" s="24">
        <v>16</v>
      </c>
      <c r="WJ6" s="6" t="s">
        <v>25</v>
      </c>
      <c r="WK6" s="5">
        <f>IF(OR(ISNUMBER(WG6), ISNUMBER(WI6)), IF(ISNUMBER(WG6), WG6, 0) + IF(ISNUMBER(WI6), WI6, 0), "")</f>
        <v>16</v>
      </c>
      <c r="WL6" s="3"/>
      <c r="WM6" s="7">
        <f t="shared" si="59"/>
        <v>0</v>
      </c>
      <c r="WN6" s="5"/>
      <c r="WO6" s="7" t="str">
        <f t="shared" si="241"/>
        <v/>
      </c>
      <c r="WQ6" s="24">
        <v>0</v>
      </c>
      <c r="WR6" s="6" t="s">
        <v>25</v>
      </c>
      <c r="WS6" s="24">
        <v>14</v>
      </c>
      <c r="WT6" s="6" t="s">
        <v>25</v>
      </c>
      <c r="WU6" s="5">
        <f>IF(OR(ISNUMBER(WQ6), ISNUMBER(WS6)), IF(ISNUMBER(WQ6), WQ6, 0) + IF(ISNUMBER(WS6), WS6, 0), "")</f>
        <v>14</v>
      </c>
      <c r="WV6" s="3"/>
      <c r="WW6" s="7">
        <f t="shared" si="60"/>
        <v>2</v>
      </c>
      <c r="WX6" s="5">
        <v>2</v>
      </c>
      <c r="WY6" s="7">
        <f t="shared" si="243"/>
        <v>0</v>
      </c>
      <c r="XA6" s="24"/>
      <c r="XB6" s="6" t="s">
        <v>25</v>
      </c>
      <c r="XC6" s="24">
        <v>12</v>
      </c>
      <c r="XD6" s="6" t="s">
        <v>25</v>
      </c>
      <c r="XE6" s="5">
        <f>IF(OR(ISNUMBER(XA6), ISNUMBER(XC6)), IF(ISNUMBER(XA6), XA6, 0) + IF(ISNUMBER(XC6), XC6, 0), "")</f>
        <v>12</v>
      </c>
      <c r="XF6" s="3"/>
      <c r="XG6" s="7">
        <f t="shared" si="61"/>
        <v>2</v>
      </c>
      <c r="XH6" s="5">
        <v>2</v>
      </c>
      <c r="XI6" s="7">
        <f t="shared" si="245"/>
        <v>0</v>
      </c>
      <c r="XK6" s="24">
        <v>0</v>
      </c>
      <c r="XL6" s="6" t="s">
        <v>25</v>
      </c>
      <c r="XM6" s="24">
        <v>6</v>
      </c>
      <c r="XN6" s="6" t="s">
        <v>25</v>
      </c>
      <c r="XO6" s="5">
        <f>IF(OR(ISNUMBER(XK6), ISNUMBER(XM6)), IF(ISNUMBER(XK6), XK6, 0) + IF(ISNUMBER(XM6), XM6, 0), "")</f>
        <v>6</v>
      </c>
      <c r="XP6" s="3"/>
      <c r="XQ6" s="7">
        <f t="shared" si="62"/>
        <v>6</v>
      </c>
      <c r="XR6" s="5">
        <v>6</v>
      </c>
      <c r="XS6" s="7">
        <f t="shared" si="247"/>
        <v>0</v>
      </c>
      <c r="XU6" s="24">
        <v>0</v>
      </c>
      <c r="XV6" s="6" t="s">
        <v>25</v>
      </c>
      <c r="XW6" s="24">
        <v>2</v>
      </c>
      <c r="XX6" s="6" t="s">
        <v>25</v>
      </c>
      <c r="XY6" s="5">
        <f>IF(OR(ISNUMBER(XU6), ISNUMBER(XW6)), IF(ISNUMBER(XU6), XU6, 0) + IF(ISNUMBER(XW6), XW6, 0), "")</f>
        <v>2</v>
      </c>
      <c r="XZ6" s="3">
        <v>1</v>
      </c>
      <c r="YA6" s="7">
        <f t="shared" si="63"/>
        <v>4</v>
      </c>
      <c r="YB6" s="5">
        <v>4</v>
      </c>
      <c r="YC6" s="7">
        <f t="shared" si="249"/>
        <v>0</v>
      </c>
      <c r="YE6" s="24">
        <v>17</v>
      </c>
      <c r="YF6" s="6" t="s">
        <v>25</v>
      </c>
      <c r="YG6" s="24">
        <v>7</v>
      </c>
      <c r="YH6" s="6" t="s">
        <v>25</v>
      </c>
      <c r="YI6" s="5">
        <f>IF(OR(ISNUMBER(YE6), ISNUMBER(YG6)), IF(ISNUMBER(YE6), YE6, 0) + IF(ISNUMBER(YG6), YG6, 0), "")</f>
        <v>24</v>
      </c>
      <c r="YJ6" s="3"/>
      <c r="YK6" s="7">
        <f t="shared" si="64"/>
        <v>2</v>
      </c>
      <c r="YL6" s="5">
        <v>2</v>
      </c>
      <c r="YM6" s="7">
        <f t="shared" si="251"/>
        <v>0</v>
      </c>
      <c r="YO6" s="24">
        <v>17</v>
      </c>
      <c r="YP6" s="6" t="s">
        <v>25</v>
      </c>
      <c r="YQ6" s="24">
        <v>6</v>
      </c>
      <c r="YR6" s="6" t="s">
        <v>25</v>
      </c>
      <c r="YS6" s="5">
        <f>IF(OR(ISNUMBER(YO6), ISNUMBER(YQ6)), IF(ISNUMBER(YO6), YO6, 0) + IF(ISNUMBER(YQ6), YQ6, 0), "")</f>
        <v>23</v>
      </c>
      <c r="YT6" s="3"/>
      <c r="YU6" s="7">
        <f t="shared" si="65"/>
        <v>1</v>
      </c>
      <c r="YV6" s="5">
        <v>1</v>
      </c>
      <c r="YW6" s="7">
        <f t="shared" si="253"/>
        <v>0</v>
      </c>
      <c r="YY6" s="2">
        <v>17</v>
      </c>
      <c r="YZ6" s="6" t="s">
        <v>25</v>
      </c>
      <c r="ZA6" s="2">
        <v>4</v>
      </c>
      <c r="ZB6" s="6" t="s">
        <v>25</v>
      </c>
      <c r="ZC6" s="5">
        <f>IF(OR(ISNUMBER(YY6), ISNUMBER(ZA6)), IF(ISNUMBER(YY6), YY6, 0) + IF(ISNUMBER(ZA6), ZA6, 0), "")</f>
        <v>21</v>
      </c>
      <c r="ZD6" s="3"/>
      <c r="ZE6" s="7">
        <f t="shared" si="66"/>
        <v>2</v>
      </c>
      <c r="ZF6" s="5">
        <v>2</v>
      </c>
      <c r="ZG6" s="7">
        <f t="shared" si="255"/>
        <v>0</v>
      </c>
      <c r="ZI6" s="24">
        <v>17</v>
      </c>
      <c r="ZJ6" s="6" t="s">
        <v>25</v>
      </c>
      <c r="ZK6" s="24">
        <v>4</v>
      </c>
      <c r="ZL6" s="6" t="s">
        <v>25</v>
      </c>
      <c r="ZM6" s="5">
        <f>IF(OR(ISNUMBER(ZI6), ISNUMBER(ZK6)), IF(ISNUMBER(ZI6), ZI6, 0) + IF(ISNUMBER(ZK6), ZK6, 0), "")</f>
        <v>21</v>
      </c>
      <c r="ZN6" s="3"/>
      <c r="ZO6" s="7">
        <f t="shared" si="67"/>
        <v>0</v>
      </c>
      <c r="ZP6" s="5"/>
      <c r="ZQ6" s="7" t="str">
        <f t="shared" si="257"/>
        <v/>
      </c>
      <c r="ZS6" s="24">
        <v>16</v>
      </c>
      <c r="ZT6" s="6" t="s">
        <v>25</v>
      </c>
      <c r="ZU6" s="24">
        <v>3</v>
      </c>
      <c r="ZV6" s="6" t="s">
        <v>25</v>
      </c>
      <c r="ZW6" s="5">
        <f>IF(OR(ISNUMBER(ZS6), ISNUMBER(ZU6)), IF(ISNUMBER(ZS6), ZS6, 0) + IF(ISNUMBER(ZU6), ZU6, 0), "")</f>
        <v>19</v>
      </c>
      <c r="ZX6" s="3"/>
      <c r="ZY6" s="7">
        <f t="shared" si="68"/>
        <v>2</v>
      </c>
      <c r="ZZ6" s="5">
        <v>2</v>
      </c>
      <c r="AAA6" s="7">
        <f t="shared" si="259"/>
        <v>0</v>
      </c>
      <c r="AAC6" s="24">
        <v>0</v>
      </c>
      <c r="AAD6" s="6" t="s">
        <v>25</v>
      </c>
      <c r="AAE6" s="24">
        <v>16</v>
      </c>
      <c r="AAF6" s="6" t="s">
        <v>25</v>
      </c>
      <c r="AAG6" s="5">
        <f>IF(OR(ISNUMBER(AAC6), ISNUMBER(AAE6)), IF(ISNUMBER(AAC6), AAC6, 0) + IF(ISNUMBER(AAE6), AAE6, 0), "")</f>
        <v>16</v>
      </c>
      <c r="AAH6" s="3"/>
      <c r="AAI6" s="7">
        <f t="shared" si="69"/>
        <v>3</v>
      </c>
      <c r="AAJ6" s="5">
        <v>3</v>
      </c>
      <c r="AAK6" s="7">
        <f t="shared" si="261"/>
        <v>0</v>
      </c>
      <c r="AAM6" s="24">
        <v>0</v>
      </c>
      <c r="AAN6" s="6" t="s">
        <v>25</v>
      </c>
      <c r="AAO6" s="24">
        <v>11</v>
      </c>
      <c r="AAP6" s="6" t="s">
        <v>25</v>
      </c>
      <c r="AAQ6" s="5">
        <f>IF(OR(ISNUMBER(AAM6), ISNUMBER(AAO6)), IF(ISNUMBER(AAM6), AAM6, 0) + IF(ISNUMBER(AAO6), AAO6, 0), "")</f>
        <v>11</v>
      </c>
      <c r="AAR6" s="3"/>
      <c r="AAS6" s="7">
        <f t="shared" si="70"/>
        <v>5</v>
      </c>
      <c r="AAT6" s="5">
        <v>5</v>
      </c>
      <c r="AAU6" s="7">
        <f t="shared" si="263"/>
        <v>0</v>
      </c>
      <c r="AAW6" s="2">
        <v>0</v>
      </c>
      <c r="AAX6" s="6" t="s">
        <v>25</v>
      </c>
      <c r="AAY6" s="2">
        <v>11</v>
      </c>
      <c r="AAZ6" s="6" t="s">
        <v>25</v>
      </c>
      <c r="ABA6" s="5">
        <f>IF(OR(ISNUMBER(AAW6), ISNUMBER(AAY6)), IF(ISNUMBER(AAW6), AAW6, 0) + IF(ISNUMBER(AAY6), AAY6, 0), "")</f>
        <v>11</v>
      </c>
      <c r="ABB6" s="3"/>
      <c r="ABC6" s="7">
        <f t="shared" si="71"/>
        <v>0</v>
      </c>
      <c r="ABD6" s="5"/>
      <c r="ABE6" s="7" t="str">
        <f t="shared" si="265"/>
        <v/>
      </c>
      <c r="ABG6" s="24">
        <v>0</v>
      </c>
      <c r="ABH6" s="6" t="s">
        <v>25</v>
      </c>
      <c r="ABI6" s="24">
        <v>11</v>
      </c>
      <c r="ABJ6" s="6" t="s">
        <v>25</v>
      </c>
      <c r="ABK6" s="5">
        <f>IF(OR(ISNUMBER(ABG6), ISNUMBER(ABI6)), IF(ISNUMBER(ABG6), ABG6, 0) + IF(ISNUMBER(ABI6), ABI6, 0), "")</f>
        <v>11</v>
      </c>
      <c r="ABL6" s="3"/>
      <c r="ABM6" s="7">
        <f t="shared" si="72"/>
        <v>0</v>
      </c>
      <c r="ABN6" s="5"/>
      <c r="ABO6" s="7" t="str">
        <f t="shared" si="267"/>
        <v/>
      </c>
      <c r="ABQ6" s="24">
        <v>0</v>
      </c>
      <c r="ABR6" s="6" t="s">
        <v>25</v>
      </c>
      <c r="ABS6" s="24">
        <v>11</v>
      </c>
      <c r="ABT6" s="6" t="s">
        <v>25</v>
      </c>
      <c r="ABU6" s="5">
        <f>IF(OR(ISNUMBER(ABQ6), ISNUMBER(ABS6)), IF(ISNUMBER(ABQ6), ABQ6, 0) + IF(ISNUMBER(ABS6), ABS6, 0), "")</f>
        <v>11</v>
      </c>
      <c r="ABV6" s="3"/>
      <c r="ABW6" s="7">
        <f t="shared" si="73"/>
        <v>0</v>
      </c>
      <c r="ABX6" s="5"/>
      <c r="ABY6" s="7" t="str">
        <f t="shared" si="269"/>
        <v/>
      </c>
      <c r="ACA6" s="24">
        <v>0</v>
      </c>
      <c r="ACB6" s="6" t="s">
        <v>25</v>
      </c>
      <c r="ACC6" s="24">
        <v>9</v>
      </c>
      <c r="ACD6" s="6" t="s">
        <v>25</v>
      </c>
      <c r="ACE6" s="5">
        <f>IF(OR(ISNUMBER(ACA6), ISNUMBER(ACC6)), IF(ISNUMBER(ACA6), ACA6, 0) + IF(ISNUMBER(ACC6), ACC6, 0), "")</f>
        <v>9</v>
      </c>
      <c r="ACF6" s="3"/>
      <c r="ACG6" s="7">
        <f t="shared" si="74"/>
        <v>2</v>
      </c>
      <c r="ACH6" s="5">
        <v>2</v>
      </c>
      <c r="ACI6" s="7">
        <f t="shared" si="271"/>
        <v>0</v>
      </c>
      <c r="ACK6" s="2">
        <v>0</v>
      </c>
      <c r="ACL6" s="6" t="s">
        <v>25</v>
      </c>
      <c r="ACM6" s="2">
        <v>9</v>
      </c>
      <c r="ACN6" s="6" t="s">
        <v>25</v>
      </c>
      <c r="ACO6" s="5">
        <f>IF(OR(ISNUMBER(ACK6), ISNUMBER(ACM6)), IF(ISNUMBER(ACK6), ACK6, 0) + IF(ISNUMBER(ACM6), ACM6, 0), "")</f>
        <v>9</v>
      </c>
      <c r="ACP6" s="3"/>
      <c r="ACQ6" s="7">
        <f t="shared" si="75"/>
        <v>0</v>
      </c>
      <c r="ACR6" s="5"/>
      <c r="ACS6" s="7" t="str">
        <f t="shared" si="273"/>
        <v/>
      </c>
      <c r="ACU6" s="2">
        <v>0</v>
      </c>
      <c r="ACV6" s="6" t="s">
        <v>25</v>
      </c>
      <c r="ACW6" s="2">
        <v>7</v>
      </c>
      <c r="ACX6" s="6" t="s">
        <v>25</v>
      </c>
      <c r="ACY6" s="5">
        <f>IF(OR(ISNUMBER(ACU6), ISNUMBER(ACW6)), IF(ISNUMBER(ACU6), ACU6, 0) + IF(ISNUMBER(ACW6), ACW6, 0), "")</f>
        <v>7</v>
      </c>
      <c r="ACZ6" s="3"/>
      <c r="ADA6" s="7">
        <f t="shared" si="76"/>
        <v>2</v>
      </c>
      <c r="ADB6" s="5">
        <v>2</v>
      </c>
      <c r="ADC6" s="7">
        <f t="shared" si="275"/>
        <v>0</v>
      </c>
      <c r="ADE6" s="24">
        <v>0</v>
      </c>
      <c r="ADF6" s="6" t="s">
        <v>25</v>
      </c>
      <c r="ADG6" s="24">
        <v>5</v>
      </c>
      <c r="ADH6" s="6" t="s">
        <v>25</v>
      </c>
      <c r="ADI6" s="5">
        <f>IF(OR(ISNUMBER(ADE6), ISNUMBER(ADG6)), IF(ISNUMBER(ADE6), ADE6, 0) + IF(ISNUMBER(ADG6), ADG6, 0), "")</f>
        <v>5</v>
      </c>
      <c r="ADJ6" s="3">
        <v>1</v>
      </c>
      <c r="ADK6" s="7">
        <f t="shared" si="77"/>
        <v>2</v>
      </c>
      <c r="ADL6" s="5">
        <v>2</v>
      </c>
      <c r="ADM6" s="7">
        <f t="shared" si="277"/>
        <v>0</v>
      </c>
      <c r="ADO6" s="24">
        <v>24</v>
      </c>
      <c r="ADP6" s="6" t="s">
        <v>25</v>
      </c>
      <c r="ADQ6" s="24">
        <v>5</v>
      </c>
      <c r="ADR6" s="6" t="s">
        <v>25</v>
      </c>
      <c r="ADS6" s="5">
        <f>IF(OR(ISNUMBER(ADO6), ISNUMBER(ADQ6)), IF(ISNUMBER(ADO6), ADO6, 0) + IF(ISNUMBER(ADQ6), ADQ6, 0), "")</f>
        <v>29</v>
      </c>
      <c r="ADT6" s="3"/>
      <c r="ADU6" s="7">
        <f t="shared" si="78"/>
        <v>0</v>
      </c>
      <c r="ADV6" s="5"/>
      <c r="ADW6" s="7" t="str">
        <f t="shared" si="279"/>
        <v/>
      </c>
      <c r="ADY6" s="24">
        <v>19</v>
      </c>
      <c r="ADZ6" s="6" t="s">
        <v>25</v>
      </c>
      <c r="AEA6" s="24">
        <v>7</v>
      </c>
      <c r="AEB6" s="6" t="s">
        <v>25</v>
      </c>
      <c r="AEC6" s="5">
        <f>IF(OR(ISNUMBER(ADY6), ISNUMBER(AEA6)), IF(ISNUMBER(ADY6), ADY6, 0) + IF(ISNUMBER(AEA6), AEA6, 0), "")</f>
        <v>26</v>
      </c>
      <c r="AED6" s="3"/>
      <c r="AEE6" s="7">
        <f t="shared" si="79"/>
        <v>3</v>
      </c>
      <c r="AEF6" s="5">
        <v>3</v>
      </c>
      <c r="AEG6" s="7">
        <f t="shared" si="281"/>
        <v>0</v>
      </c>
      <c r="AEI6" s="2">
        <v>19</v>
      </c>
      <c r="AEJ6" s="6" t="s">
        <v>25</v>
      </c>
      <c r="AEK6" s="2">
        <v>4</v>
      </c>
      <c r="AEL6" s="6" t="s">
        <v>25</v>
      </c>
      <c r="AEM6" s="5">
        <f>IF(OR(ISNUMBER(AEI6), ISNUMBER(AEK6)), IF(ISNUMBER(AEI6), AEI6, 0) + IF(ISNUMBER(AEK6), AEK6, 0), "")</f>
        <v>23</v>
      </c>
      <c r="AEN6" s="3"/>
      <c r="AEO6" s="7">
        <f t="shared" si="80"/>
        <v>3</v>
      </c>
      <c r="AEP6" s="5">
        <v>3</v>
      </c>
      <c r="AEQ6" s="7">
        <f t="shared" si="283"/>
        <v>0</v>
      </c>
      <c r="AES6" s="24">
        <v>12</v>
      </c>
      <c r="AET6" s="6" t="s">
        <v>25</v>
      </c>
      <c r="AEU6" s="24">
        <v>11</v>
      </c>
      <c r="AEV6" s="6" t="s">
        <v>25</v>
      </c>
      <c r="AEW6" s="5">
        <f>IF(OR(ISNUMBER(AES6), ISNUMBER(AEU6)), IF(ISNUMBER(AES6), AES6, 0) + IF(ISNUMBER(AEU6), AEU6, 0), "")</f>
        <v>23</v>
      </c>
      <c r="AEX6" s="3"/>
      <c r="AEY6" s="7">
        <f t="shared" si="81"/>
        <v>0</v>
      </c>
      <c r="AEZ6" s="5"/>
      <c r="AFA6" s="7" t="str">
        <f t="shared" si="285"/>
        <v/>
      </c>
      <c r="AFC6" s="24">
        <v>12</v>
      </c>
      <c r="AFD6" s="6" t="s">
        <v>25</v>
      </c>
      <c r="AFE6" s="24">
        <v>11</v>
      </c>
      <c r="AFF6" s="6" t="s">
        <v>25</v>
      </c>
      <c r="AFG6" s="5">
        <f>IF(OR(ISNUMBER(AFC6), ISNUMBER(AFE6)), IF(ISNUMBER(AFC6), AFC6, 0) + IF(ISNUMBER(AFE6), AFE6, 0), "")</f>
        <v>23</v>
      </c>
      <c r="AFH6" s="3"/>
      <c r="AFI6" s="7">
        <f t="shared" si="82"/>
        <v>0</v>
      </c>
      <c r="AFJ6" s="5"/>
      <c r="AFK6" s="7" t="str">
        <f t="shared" si="287"/>
        <v/>
      </c>
      <c r="AFM6" s="2">
        <v>12</v>
      </c>
      <c r="AFN6" s="6" t="s">
        <v>25</v>
      </c>
      <c r="AFO6" s="2">
        <v>8</v>
      </c>
      <c r="AFP6" s="6" t="s">
        <v>25</v>
      </c>
      <c r="AFQ6" s="5">
        <f>IF(OR(ISNUMBER(AFM6), ISNUMBER(AFO6)), IF(ISNUMBER(AFM6), AFM6, 0) + IF(ISNUMBER(AFO6), AFO6, 0), "")</f>
        <v>20</v>
      </c>
      <c r="AFR6" s="3"/>
      <c r="AFS6" s="7">
        <f t="shared" si="83"/>
        <v>3</v>
      </c>
      <c r="AFT6" s="5">
        <v>3</v>
      </c>
      <c r="AFU6" s="7">
        <f t="shared" si="289"/>
        <v>0</v>
      </c>
      <c r="AFW6" s="2">
        <v>12</v>
      </c>
      <c r="AFX6" s="6" t="s">
        <v>25</v>
      </c>
      <c r="AFY6" s="2">
        <v>7</v>
      </c>
      <c r="AFZ6" s="6" t="s">
        <v>25</v>
      </c>
      <c r="AGA6" s="5">
        <f>IF(OR(ISNUMBER(AFW6), ISNUMBER(AFY6)), IF(ISNUMBER(AFW6), AFW6, 0) + IF(ISNUMBER(AFY6), AFY6, 0), "")</f>
        <v>19</v>
      </c>
      <c r="AGB6" s="3"/>
      <c r="AGC6" s="7">
        <f t="shared" si="84"/>
        <v>1</v>
      </c>
      <c r="AGD6" s="5">
        <v>5</v>
      </c>
      <c r="AGE6" s="7">
        <f t="shared" si="291"/>
        <v>4</v>
      </c>
      <c r="AGG6" s="2">
        <v>12</v>
      </c>
      <c r="AGH6" s="6" t="s">
        <v>25</v>
      </c>
      <c r="AGI6" s="2">
        <v>7</v>
      </c>
      <c r="AGJ6" s="6" t="s">
        <v>25</v>
      </c>
      <c r="AGK6" s="5">
        <f>IF(OR(ISNUMBER(AGG6), ISNUMBER(AGI6)), IF(ISNUMBER(AGG6), AGG6, 0) + IF(ISNUMBER(AGI6), AGI6, 0), "")</f>
        <v>19</v>
      </c>
      <c r="AGL6" s="3"/>
      <c r="AGM6" s="7">
        <f t="shared" si="85"/>
        <v>0</v>
      </c>
      <c r="AGN6" s="5"/>
      <c r="AGO6" s="7" t="str">
        <f t="shared" si="293"/>
        <v/>
      </c>
      <c r="AGQ6" s="24">
        <v>12</v>
      </c>
      <c r="AGR6" s="6" t="s">
        <v>25</v>
      </c>
      <c r="AGS6" s="24">
        <v>6</v>
      </c>
      <c r="AGT6" s="6" t="s">
        <v>25</v>
      </c>
      <c r="AGU6" s="5">
        <f>IF(OR(ISNUMBER(AGQ6), ISNUMBER(AGS6)), IF(ISNUMBER(AGQ6), AGQ6, 0) + IF(ISNUMBER(AGS6), AGS6, 0), "")</f>
        <v>18</v>
      </c>
      <c r="AGV6" s="3"/>
      <c r="AGW6" s="7">
        <f t="shared" si="86"/>
        <v>1</v>
      </c>
      <c r="AGX6" s="5">
        <v>1</v>
      </c>
      <c r="AGY6" s="7">
        <f t="shared" si="295"/>
        <v>0</v>
      </c>
      <c r="AHA6" s="24">
        <v>0</v>
      </c>
      <c r="AHB6" s="6" t="s">
        <v>25</v>
      </c>
      <c r="AHC6" s="24">
        <v>11</v>
      </c>
      <c r="AHD6" s="6" t="s">
        <v>25</v>
      </c>
      <c r="AHE6" s="5">
        <f>IF(OR(ISNUMBER(AHA6), ISNUMBER(AHC6)), IF(ISNUMBER(AHA6), AHA6, 0) + IF(ISNUMBER(AHC6), AHC6, 0), "")</f>
        <v>11</v>
      </c>
      <c r="AHF6" s="3">
        <v>1</v>
      </c>
      <c r="AHG6" s="7">
        <f t="shared" si="87"/>
        <v>7</v>
      </c>
      <c r="AHH6" s="5">
        <v>3</v>
      </c>
      <c r="AHI6" s="10">
        <f t="shared" si="88"/>
        <v>-4</v>
      </c>
      <c r="AHK6" s="24">
        <v>24</v>
      </c>
      <c r="AHL6" s="6" t="s">
        <v>25</v>
      </c>
      <c r="AHM6" s="24">
        <v>11</v>
      </c>
      <c r="AHN6" s="6" t="s">
        <v>25</v>
      </c>
      <c r="AHO6" s="5">
        <f>IF(OR(ISNUMBER(AHK6), ISNUMBER(AHM6)), IF(ISNUMBER(AHK6), AHK6, 0) + IF(ISNUMBER(AHM6), AHM6, 0), "")</f>
        <v>35</v>
      </c>
      <c r="AHP6" s="3"/>
      <c r="AHQ6" s="7">
        <f t="shared" si="89"/>
        <v>0</v>
      </c>
      <c r="AHR6" s="5"/>
      <c r="AHS6" s="10" t="str">
        <f t="shared" si="90"/>
        <v/>
      </c>
      <c r="AHU6" s="2">
        <v>24</v>
      </c>
      <c r="AHV6" s="6" t="s">
        <v>25</v>
      </c>
      <c r="AHW6" s="2">
        <v>8</v>
      </c>
      <c r="AHX6" s="6" t="s">
        <v>25</v>
      </c>
      <c r="AHY6" s="5">
        <f>IF(OR(ISNUMBER(AHU6), ISNUMBER(AHW6)), IF(ISNUMBER(AHU6), AHU6, 0) + IF(ISNUMBER(AHW6), AHW6, 0), "")</f>
        <v>32</v>
      </c>
      <c r="AHZ6" s="3"/>
      <c r="AIA6" s="7">
        <f t="shared" si="91"/>
        <v>3</v>
      </c>
      <c r="AIB6" s="5">
        <v>3</v>
      </c>
      <c r="AIC6" s="10">
        <f t="shared" si="92"/>
        <v>0</v>
      </c>
      <c r="AIE6" s="24">
        <v>24</v>
      </c>
      <c r="AIF6" s="6" t="s">
        <v>25</v>
      </c>
      <c r="AIG6" s="24">
        <v>6</v>
      </c>
      <c r="AIH6" s="6" t="s">
        <v>25</v>
      </c>
      <c r="AII6" s="5">
        <f>IF(OR(ISNUMBER(AIE6), ISNUMBER(AIG6)), IF(ISNUMBER(AIE6), AIE6, 0) + IF(ISNUMBER(AIG6), AIG6, 0), "")</f>
        <v>30</v>
      </c>
      <c r="AIJ6" s="3"/>
      <c r="AIK6" s="7">
        <f t="shared" si="93"/>
        <v>2</v>
      </c>
      <c r="AIL6" s="5">
        <v>2</v>
      </c>
      <c r="AIM6" s="10">
        <f t="shared" si="94"/>
        <v>0</v>
      </c>
      <c r="AIO6" s="24">
        <v>12</v>
      </c>
      <c r="AIP6" s="6" t="s">
        <v>25</v>
      </c>
      <c r="AIQ6" s="24">
        <v>17</v>
      </c>
      <c r="AIR6" s="6" t="s">
        <v>25</v>
      </c>
      <c r="AIS6" s="5">
        <f>IF(OR(ISNUMBER(AIO6), ISNUMBER(AIQ6)), IF(ISNUMBER(AIO6), AIO6, 0) + IF(ISNUMBER(AIQ6), AIQ6, 0), "")</f>
        <v>29</v>
      </c>
      <c r="AIT6" s="3"/>
      <c r="AIU6" s="7">
        <f t="shared" si="95"/>
        <v>1</v>
      </c>
      <c r="AIV6" s="5">
        <v>1</v>
      </c>
      <c r="AIW6" s="10">
        <f t="shared" si="96"/>
        <v>0</v>
      </c>
      <c r="AIY6" s="2">
        <v>12</v>
      </c>
      <c r="AIZ6" s="6" t="s">
        <v>25</v>
      </c>
      <c r="AJA6" s="2">
        <v>17</v>
      </c>
      <c r="AJB6" s="6" t="s">
        <v>25</v>
      </c>
      <c r="AJC6" s="5">
        <f>IF(OR(ISNUMBER(AIY6), ISNUMBER(AJA6)), IF(ISNUMBER(AIY6), AIY6, 0) + IF(ISNUMBER(AJA6), AJA6, 0), "")</f>
        <v>29</v>
      </c>
      <c r="AJD6" s="3"/>
      <c r="AJE6" s="7">
        <f t="shared" si="97"/>
        <v>0</v>
      </c>
      <c r="AJF6" s="5"/>
      <c r="AJG6" s="10" t="str">
        <f t="shared" si="98"/>
        <v/>
      </c>
      <c r="AJI6" s="24">
        <v>12</v>
      </c>
      <c r="AJJ6" s="6" t="s">
        <v>25</v>
      </c>
      <c r="AJK6" s="24">
        <v>17</v>
      </c>
      <c r="AJL6" s="6" t="s">
        <v>25</v>
      </c>
      <c r="AJM6" s="5">
        <f>IF(OR(ISNUMBER(AJI6), ISNUMBER(AJK6)), IF(ISNUMBER(AJI6), AJI6, 0) + IF(ISNUMBER(AJK6), AJK6, 0), "")</f>
        <v>29</v>
      </c>
      <c r="AJN6" s="3"/>
      <c r="AJO6" s="7">
        <f t="shared" si="99"/>
        <v>0</v>
      </c>
      <c r="AJP6" s="5"/>
      <c r="AJQ6" s="10" t="str">
        <f t="shared" si="100"/>
        <v/>
      </c>
      <c r="AJS6" s="2">
        <v>0</v>
      </c>
      <c r="AJT6" s="6" t="s">
        <v>25</v>
      </c>
      <c r="AJU6" s="2">
        <v>27</v>
      </c>
      <c r="AJV6" s="6" t="s">
        <v>25</v>
      </c>
      <c r="AJW6" s="5">
        <f>IF(OR(ISNUMBER(AJS6), ISNUMBER(AJU6)), IF(ISNUMBER(AJS6), AJS6, 0) + IF(ISNUMBER(AJU6), AJU6, 0), "")</f>
        <v>27</v>
      </c>
      <c r="AJX6" s="3"/>
      <c r="AJY6" s="7">
        <f t="shared" si="101"/>
        <v>2</v>
      </c>
      <c r="AJZ6" s="5">
        <v>2</v>
      </c>
      <c r="AKA6" s="10">
        <f t="shared" si="102"/>
        <v>0</v>
      </c>
      <c r="AKC6" s="24">
        <v>0</v>
      </c>
      <c r="AKD6" s="6" t="s">
        <v>25</v>
      </c>
      <c r="AKE6" s="24">
        <v>25</v>
      </c>
      <c r="AKF6" s="6" t="s">
        <v>25</v>
      </c>
      <c r="AKG6" s="5">
        <f>IF(OR(ISNUMBER(AKC6), ISNUMBER(AKE6)), IF(ISNUMBER(AKC6), AKC6, 0) + IF(ISNUMBER(AKE6), AKE6, 0), "")</f>
        <v>25</v>
      </c>
      <c r="AKH6" s="3"/>
      <c r="AKI6" s="7">
        <f t="shared" si="103"/>
        <v>2</v>
      </c>
      <c r="AKJ6" s="5">
        <v>2</v>
      </c>
      <c r="AKK6" s="7">
        <f t="shared" si="305"/>
        <v>0</v>
      </c>
      <c r="AKM6" s="2">
        <v>0</v>
      </c>
      <c r="AKN6" s="6" t="s">
        <v>25</v>
      </c>
      <c r="AKO6" s="2">
        <v>20</v>
      </c>
      <c r="AKP6" s="6" t="s">
        <v>25</v>
      </c>
      <c r="AKQ6" s="5">
        <f>IF(OR(ISNUMBER(AKM6), ISNUMBER(AKO6)), IF(ISNUMBER(AKM6), AKM6, 0) + IF(ISNUMBER(AKO6), AKO6, 0), "")</f>
        <v>20</v>
      </c>
      <c r="AKR6" s="3"/>
      <c r="AKS6" s="7">
        <f t="shared" si="104"/>
        <v>5</v>
      </c>
      <c r="AKT6" s="5">
        <v>5</v>
      </c>
      <c r="AKU6" s="7">
        <f t="shared" si="307"/>
        <v>0</v>
      </c>
      <c r="AKW6" s="2">
        <v>0</v>
      </c>
      <c r="AKX6" s="6" t="s">
        <v>25</v>
      </c>
      <c r="AKY6" s="2">
        <v>20</v>
      </c>
      <c r="AKZ6" s="6" t="s">
        <v>25</v>
      </c>
      <c r="ALA6" s="5">
        <f>IF(OR(ISNUMBER(AKW6), ISNUMBER(AKY6)), IF(ISNUMBER(AKW6), AKW6, 0) + IF(ISNUMBER(AKY6), AKY6, 0), "")</f>
        <v>20</v>
      </c>
      <c r="ALB6" s="3">
        <v>1</v>
      </c>
      <c r="ALC6" s="7">
        <f t="shared" si="105"/>
        <v>0</v>
      </c>
      <c r="ALD6" s="5"/>
      <c r="ALE6" s="7" t="str">
        <f t="shared" si="309"/>
        <v/>
      </c>
      <c r="ALG6" s="2">
        <v>24</v>
      </c>
      <c r="ALH6" s="6" t="s">
        <v>25</v>
      </c>
      <c r="ALI6" s="2">
        <v>19</v>
      </c>
      <c r="ALJ6" s="6" t="s">
        <v>25</v>
      </c>
      <c r="ALK6" s="5">
        <f>IF(OR(ISNUMBER(ALG6), ISNUMBER(ALI6)), IF(ISNUMBER(ALG6), ALG6, 0) + IF(ISNUMBER(ALI6), ALI6, 0), "")</f>
        <v>43</v>
      </c>
      <c r="ALL6" s="3"/>
      <c r="ALM6" s="7">
        <f t="shared" si="106"/>
        <v>1</v>
      </c>
      <c r="ALN6" s="5">
        <v>1</v>
      </c>
      <c r="ALO6" s="7">
        <f t="shared" si="311"/>
        <v>0</v>
      </c>
      <c r="ALQ6" s="2">
        <v>24</v>
      </c>
      <c r="ALR6" s="6" t="s">
        <v>25</v>
      </c>
      <c r="ALS6" s="2">
        <v>19</v>
      </c>
      <c r="ALT6" s="6" t="s">
        <v>25</v>
      </c>
      <c r="ALU6" s="5">
        <f>IF(OR(ISNUMBER(ALQ6), ISNUMBER(ALS6)), IF(ISNUMBER(ALQ6), ALQ6, 0) + IF(ISNUMBER(ALS6), ALS6, 0), "")</f>
        <v>43</v>
      </c>
      <c r="ALV6" s="3"/>
      <c r="ALW6" s="7">
        <f t="shared" si="107"/>
        <v>0</v>
      </c>
      <c r="ALX6" s="5"/>
      <c r="ALY6" s="7" t="str">
        <f t="shared" si="313"/>
        <v/>
      </c>
      <c r="AMA6" s="24">
        <v>24</v>
      </c>
      <c r="AMB6" s="6" t="s">
        <v>25</v>
      </c>
      <c r="AMC6" s="24">
        <v>15</v>
      </c>
      <c r="AMD6" s="6" t="s">
        <v>25</v>
      </c>
      <c r="AME6" s="5">
        <f>IF(OR(ISNUMBER(AMA6), ISNUMBER(AMC6)), IF(ISNUMBER(AMA6), AMA6, 0) + IF(ISNUMBER(AMC6), AMC6, 0), "")</f>
        <v>39</v>
      </c>
      <c r="AMF6" s="3"/>
      <c r="AMG6" s="7">
        <f t="shared" si="108"/>
        <v>4</v>
      </c>
      <c r="AMH6" s="5">
        <v>4</v>
      </c>
      <c r="AMI6" s="7">
        <f t="shared" si="315"/>
        <v>0</v>
      </c>
      <c r="AMK6" s="24">
        <v>24</v>
      </c>
      <c r="AML6" s="6" t="s">
        <v>25</v>
      </c>
      <c r="AMM6" s="24">
        <v>15</v>
      </c>
      <c r="AMN6" s="6" t="s">
        <v>25</v>
      </c>
      <c r="AMO6" s="5">
        <f>IF(OR(ISNUMBER(AMK6), ISNUMBER(AMM6)), IF(ISNUMBER(AMK6), AMK6, 0) + IF(ISNUMBER(AMM6), AMM6, 0), "")</f>
        <v>39</v>
      </c>
      <c r="AMP6" s="3"/>
      <c r="AMQ6" s="7">
        <f t="shared" si="109"/>
        <v>0</v>
      </c>
      <c r="AMR6" s="5"/>
      <c r="AMS6" s="7" t="str">
        <f t="shared" si="317"/>
        <v/>
      </c>
      <c r="AMU6" s="24">
        <v>24</v>
      </c>
      <c r="AMV6" s="6" t="s">
        <v>25</v>
      </c>
      <c r="AMW6" s="24">
        <v>12</v>
      </c>
      <c r="AMX6" s="6" t="s">
        <v>25</v>
      </c>
      <c r="AMY6" s="5">
        <f>IF(OR(ISNUMBER(AMU6), ISNUMBER(AMW6)), IF(ISNUMBER(AMU6), AMU6, 0) + IF(ISNUMBER(AMW6), AMW6, 0), "")</f>
        <v>36</v>
      </c>
      <c r="AMZ6" s="3"/>
      <c r="ANA6" s="7">
        <f t="shared" si="110"/>
        <v>3</v>
      </c>
      <c r="ANB6" s="5">
        <v>3</v>
      </c>
      <c r="ANC6" s="7">
        <f t="shared" si="319"/>
        <v>0</v>
      </c>
      <c r="ANE6" s="24">
        <v>24</v>
      </c>
      <c r="ANF6" s="6" t="s">
        <v>25</v>
      </c>
      <c r="ANG6" s="24">
        <v>10</v>
      </c>
      <c r="ANH6" s="6" t="s">
        <v>25</v>
      </c>
      <c r="ANI6" s="5">
        <f>IF(OR(ISNUMBER(ANE6), ISNUMBER(ANG6)), IF(ISNUMBER(ANE6), ANE6, 0) + IF(ISNUMBER(ANG6), ANG6, 0), "")</f>
        <v>34</v>
      </c>
      <c r="ANJ6" s="3"/>
      <c r="ANK6" s="7">
        <f t="shared" si="111"/>
        <v>2</v>
      </c>
      <c r="ANL6" s="5">
        <v>2</v>
      </c>
      <c r="ANM6" s="7">
        <f t="shared" si="321"/>
        <v>0</v>
      </c>
      <c r="ANO6" s="24">
        <v>24</v>
      </c>
      <c r="ANP6" s="6" t="s">
        <v>25</v>
      </c>
      <c r="ANQ6" s="24">
        <v>9</v>
      </c>
      <c r="ANR6" s="6" t="s">
        <v>25</v>
      </c>
      <c r="ANS6" s="5">
        <f>IF(OR(ISNUMBER(ANO6), ISNUMBER(ANQ6)), IF(ISNUMBER(ANO6), ANO6, 0) + IF(ISNUMBER(ANQ6), ANQ6, 0), "")</f>
        <v>33</v>
      </c>
      <c r="ANT6" s="3"/>
      <c r="ANU6" s="7">
        <f t="shared" si="112"/>
        <v>1</v>
      </c>
      <c r="ANV6" s="5">
        <v>1</v>
      </c>
      <c r="ANW6" s="7">
        <f t="shared" si="323"/>
        <v>0</v>
      </c>
      <c r="ANY6" s="24">
        <v>12</v>
      </c>
      <c r="ANZ6" s="6" t="s">
        <v>25</v>
      </c>
      <c r="AOA6" s="24">
        <v>20</v>
      </c>
      <c r="AOB6" s="6" t="s">
        <v>25</v>
      </c>
      <c r="AOC6" s="5">
        <f>IF(OR(ISNUMBER(ANY6), ISNUMBER(AOA6)), IF(ISNUMBER(ANY6), ANY6, 0) + IF(ISNUMBER(AOA6), AOA6, 0), "")</f>
        <v>32</v>
      </c>
      <c r="AOD6" s="3"/>
      <c r="AOE6" s="7">
        <f t="shared" si="113"/>
        <v>1</v>
      </c>
      <c r="AOF6" s="5">
        <v>1</v>
      </c>
      <c r="AOG6" s="7">
        <f t="shared" si="325"/>
        <v>0</v>
      </c>
      <c r="AOI6" s="24">
        <v>12</v>
      </c>
      <c r="AOJ6" s="6" t="s">
        <v>25</v>
      </c>
      <c r="AOK6" s="24">
        <v>18</v>
      </c>
      <c r="AOL6" s="6" t="s">
        <v>25</v>
      </c>
      <c r="AOM6" s="5">
        <f>IF(OR(ISNUMBER(AOI6), ISNUMBER(AOK6)), IF(ISNUMBER(AOI6), AOI6, 0) + IF(ISNUMBER(AOK6), AOK6, 0), "")</f>
        <v>30</v>
      </c>
      <c r="AON6" s="3"/>
      <c r="AOO6" s="7">
        <f t="shared" si="114"/>
        <v>2</v>
      </c>
      <c r="AOP6" s="5">
        <v>2</v>
      </c>
      <c r="AOQ6" s="7">
        <f t="shared" si="327"/>
        <v>0</v>
      </c>
      <c r="AOS6" s="24">
        <v>12</v>
      </c>
      <c r="AOT6" s="6" t="s">
        <v>25</v>
      </c>
      <c r="AOU6" s="24">
        <v>17</v>
      </c>
      <c r="AOV6" s="6" t="s">
        <v>25</v>
      </c>
      <c r="AOW6" s="5">
        <f>IF(OR(ISNUMBER(AOS6), ISNUMBER(AOU6)), IF(ISNUMBER(AOS6), AOS6, 0) + IF(ISNUMBER(AOU6), AOU6, 0), "")</f>
        <v>29</v>
      </c>
      <c r="AOX6" s="3"/>
      <c r="AOY6" s="7">
        <f t="shared" si="115"/>
        <v>1</v>
      </c>
      <c r="AOZ6" s="5">
        <v>1</v>
      </c>
      <c r="APA6" s="7">
        <f t="shared" si="329"/>
        <v>0</v>
      </c>
      <c r="APC6" s="24">
        <v>12</v>
      </c>
      <c r="APD6" s="6" t="s">
        <v>25</v>
      </c>
      <c r="APE6" s="24">
        <v>14</v>
      </c>
      <c r="APF6" s="6" t="s">
        <v>25</v>
      </c>
      <c r="APG6" s="5">
        <f>IF(OR(ISNUMBER(APC6), ISNUMBER(APE6)), IF(ISNUMBER(APC6), APC6, 0) + IF(ISNUMBER(APE6), APE6, 0), "")</f>
        <v>26</v>
      </c>
      <c r="APH6" s="3"/>
      <c r="API6" s="7">
        <f t="shared" si="116"/>
        <v>3</v>
      </c>
      <c r="APJ6" s="5">
        <v>3</v>
      </c>
      <c r="APK6" s="7">
        <f t="shared" si="331"/>
        <v>0</v>
      </c>
      <c r="APM6" s="24">
        <v>12</v>
      </c>
      <c r="APN6" s="6" t="s">
        <v>25</v>
      </c>
      <c r="APO6" s="24">
        <v>13</v>
      </c>
      <c r="APP6" s="6" t="s">
        <v>25</v>
      </c>
      <c r="APQ6" s="5">
        <f>IF(OR(ISNUMBER(APM6), ISNUMBER(APO6)), IF(ISNUMBER(APM6), APM6, 0) + IF(ISNUMBER(APO6), APO6, 0), "")</f>
        <v>25</v>
      </c>
      <c r="APR6" s="3"/>
      <c r="APS6" s="7">
        <f t="shared" si="117"/>
        <v>1</v>
      </c>
      <c r="APT6" s="5">
        <v>1</v>
      </c>
      <c r="APU6" s="7">
        <f t="shared" si="333"/>
        <v>0</v>
      </c>
      <c r="APW6" s="95">
        <v>0</v>
      </c>
      <c r="APX6" s="96" t="s">
        <v>25</v>
      </c>
      <c r="APY6" s="95">
        <v>23</v>
      </c>
      <c r="APZ6" s="96" t="s">
        <v>25</v>
      </c>
      <c r="AQA6" s="97">
        <f>IF(OR(ISNUMBER(APW6), ISNUMBER(APY6)), IF(ISNUMBER(APW6), APW6, 0) + IF(ISNUMBER(APY6), APY6, 0), "")</f>
        <v>23</v>
      </c>
      <c r="AQB6" s="98"/>
      <c r="AQC6" s="99">
        <f t="shared" si="118"/>
        <v>2</v>
      </c>
      <c r="AQD6" s="97">
        <v>3</v>
      </c>
      <c r="AQE6" s="99">
        <f t="shared" si="335"/>
        <v>1</v>
      </c>
      <c r="AQG6" s="2"/>
      <c r="AQH6" s="6" t="s">
        <v>25</v>
      </c>
      <c r="AQI6" s="2"/>
      <c r="AQJ6" s="6" t="s">
        <v>25</v>
      </c>
      <c r="AQK6" s="5" t="str">
        <f>IF(OR(ISNUMBER(AQG6), ISNUMBER(AQI6)), IF(ISNUMBER(AQG6), AQG6, 0) + IF(ISNUMBER(AQI6), AQI6, 0), "")</f>
        <v/>
      </c>
      <c r="AQL6" s="3"/>
      <c r="AQM6" s="7" t="str">
        <f t="shared" si="119"/>
        <v/>
      </c>
      <c r="AQN6" s="5"/>
      <c r="AQO6" s="7" t="str">
        <f t="shared" si="337"/>
        <v/>
      </c>
    </row>
    <row r="7" spans="1:1133" ht="12.75" customHeight="1" x14ac:dyDescent="0.2">
      <c r="A7" s="22" t="s">
        <v>29</v>
      </c>
      <c r="B7" s="13" t="s">
        <v>24</v>
      </c>
      <c r="C7" s="13">
        <v>48</v>
      </c>
      <c r="E7" s="24"/>
      <c r="F7" s="6" t="s">
        <v>25</v>
      </c>
      <c r="G7" s="24">
        <v>35</v>
      </c>
      <c r="H7" s="6" t="s">
        <v>25</v>
      </c>
      <c r="I7" s="5">
        <f t="shared" si="120"/>
        <v>35</v>
      </c>
      <c r="J7" s="3"/>
      <c r="K7" s="7"/>
      <c r="L7" s="5"/>
      <c r="M7" s="7" t="str">
        <f t="shared" si="121"/>
        <v/>
      </c>
      <c r="O7" s="24"/>
      <c r="P7" s="6" t="s">
        <v>25</v>
      </c>
      <c r="Q7" s="24">
        <v>25</v>
      </c>
      <c r="R7" s="6" t="s">
        <v>25</v>
      </c>
      <c r="S7" s="5">
        <f t="shared" si="122"/>
        <v>25</v>
      </c>
      <c r="T7" s="3">
        <v>1</v>
      </c>
      <c r="U7" s="7">
        <f t="shared" si="0"/>
        <v>10</v>
      </c>
      <c r="V7" s="5">
        <v>9</v>
      </c>
      <c r="W7" s="7">
        <f t="shared" si="123"/>
        <v>-1</v>
      </c>
      <c r="Y7" s="24">
        <v>30</v>
      </c>
      <c r="Z7" s="6" t="s">
        <v>25</v>
      </c>
      <c r="AA7" s="24">
        <v>12</v>
      </c>
      <c r="AB7" s="6" t="s">
        <v>25</v>
      </c>
      <c r="AC7" s="5">
        <f t="shared" si="124"/>
        <v>42</v>
      </c>
      <c r="AD7" s="3"/>
      <c r="AE7" s="7">
        <f t="shared" si="1"/>
        <v>7</v>
      </c>
      <c r="AF7" s="5">
        <v>9</v>
      </c>
      <c r="AG7" s="7">
        <f t="shared" si="125"/>
        <v>2</v>
      </c>
      <c r="AI7" s="24">
        <v>30</v>
      </c>
      <c r="AJ7" s="6" t="s">
        <v>25</v>
      </c>
      <c r="AK7" s="24">
        <v>9</v>
      </c>
      <c r="AL7" s="6" t="s">
        <v>25</v>
      </c>
      <c r="AM7" s="5">
        <f>IF(OR(ISNUMBER(AI7), ISNUMBER(AK7)), IF(ISNUMBER(AI7), AI7, 0) + IF(ISNUMBER(AK7), AK7, 0), "")</f>
        <v>39</v>
      </c>
      <c r="AN7" s="3"/>
      <c r="AO7" s="7">
        <f t="shared" si="2"/>
        <v>3</v>
      </c>
      <c r="AP7" s="5"/>
      <c r="AQ7" s="7" t="str">
        <f t="shared" si="127"/>
        <v/>
      </c>
      <c r="AS7" s="24">
        <v>28</v>
      </c>
      <c r="AT7" s="6" t="s">
        <v>25</v>
      </c>
      <c r="AU7" s="24">
        <v>4</v>
      </c>
      <c r="AV7" s="6" t="s">
        <v>25</v>
      </c>
      <c r="AW7" s="5">
        <f>IF(OR(ISNUMBER(AS7), ISNUMBER(AU7)), IF(ISNUMBER(AS7), AS7, 0) + IF(ISNUMBER(AU7), AU7, 0), "")</f>
        <v>32</v>
      </c>
      <c r="AX7" s="3"/>
      <c r="AY7" s="7">
        <f t="shared" si="3"/>
        <v>7</v>
      </c>
      <c r="AZ7" s="5">
        <v>4</v>
      </c>
      <c r="BA7" s="7">
        <f t="shared" si="129"/>
        <v>-3</v>
      </c>
      <c r="BC7" s="24">
        <v>24</v>
      </c>
      <c r="BD7" s="6" t="s">
        <v>25</v>
      </c>
      <c r="BE7" s="24">
        <v>5</v>
      </c>
      <c r="BF7" s="6" t="s">
        <v>25</v>
      </c>
      <c r="BG7" s="5">
        <f>IF(OR(ISNUMBER(BC7), ISNUMBER(BE7)), IF(ISNUMBER(BC7), BC7, 0) + IF(ISNUMBER(BE7), BE7, 0), "")</f>
        <v>29</v>
      </c>
      <c r="BH7" s="3">
        <v>1</v>
      </c>
      <c r="BI7" s="7">
        <f t="shared" si="4"/>
        <v>3</v>
      </c>
      <c r="BJ7" s="5">
        <v>2</v>
      </c>
      <c r="BK7" s="7">
        <f t="shared" si="131"/>
        <v>-1</v>
      </c>
      <c r="BM7" s="24">
        <v>42</v>
      </c>
      <c r="BN7" s="6" t="s">
        <v>25</v>
      </c>
      <c r="BO7" s="24">
        <v>1</v>
      </c>
      <c r="BP7" s="6" t="s">
        <v>25</v>
      </c>
      <c r="BQ7" s="5">
        <f>IF(OR(ISNUMBER(BM7), ISNUMBER(BO7)), IF(ISNUMBER(BM7), BM7, 0) + IF(ISNUMBER(BO7), BO7, 0), "")</f>
        <v>43</v>
      </c>
      <c r="BR7" s="3"/>
      <c r="BS7" s="7">
        <f t="shared" si="5"/>
        <v>10</v>
      </c>
      <c r="BT7" s="5">
        <v>7</v>
      </c>
      <c r="BU7" s="7">
        <f t="shared" si="133"/>
        <v>-3</v>
      </c>
      <c r="BW7" s="24">
        <v>30</v>
      </c>
      <c r="BX7" s="6" t="s">
        <v>25</v>
      </c>
      <c r="BY7" s="24">
        <v>9</v>
      </c>
      <c r="BZ7" s="6" t="s">
        <v>25</v>
      </c>
      <c r="CA7" s="5">
        <f>IF(OR(ISNUMBER(BW7), ISNUMBER(BY7)), IF(ISNUMBER(BW7), BW7, 0) + IF(ISNUMBER(BY7), BY7, 0), "")</f>
        <v>39</v>
      </c>
      <c r="CB7" s="3"/>
      <c r="CC7" s="7">
        <f t="shared" si="6"/>
        <v>4</v>
      </c>
      <c r="CD7" s="5">
        <v>5</v>
      </c>
      <c r="CE7" s="7">
        <f t="shared" si="135"/>
        <v>1</v>
      </c>
      <c r="CG7" s="24">
        <v>12</v>
      </c>
      <c r="CH7" s="6" t="s">
        <v>25</v>
      </c>
      <c r="CI7" s="24">
        <v>21</v>
      </c>
      <c r="CJ7" s="6" t="s">
        <v>25</v>
      </c>
      <c r="CK7" s="5">
        <f>IF(OR(ISNUMBER(CG7), ISNUMBER(CI7)), IF(ISNUMBER(CG7), CG7, 0) + IF(ISNUMBER(CI7), CI7, 0), "")</f>
        <v>33</v>
      </c>
      <c r="CL7" s="3"/>
      <c r="CM7" s="7">
        <f t="shared" si="7"/>
        <v>6</v>
      </c>
      <c r="CN7" s="5">
        <v>6</v>
      </c>
      <c r="CO7" s="7">
        <f t="shared" si="137"/>
        <v>0</v>
      </c>
      <c r="CQ7" s="24">
        <v>12</v>
      </c>
      <c r="CR7" s="6" t="s">
        <v>25</v>
      </c>
      <c r="CS7" s="24">
        <v>15</v>
      </c>
      <c r="CT7" s="6" t="s">
        <v>25</v>
      </c>
      <c r="CU7" s="5">
        <f>IF(OR(ISNUMBER(CQ7), ISNUMBER(CS7)), IF(ISNUMBER(CQ7), CQ7, 0) + IF(ISNUMBER(CS7), CS7, 0), "")</f>
        <v>27</v>
      </c>
      <c r="CV7" s="3"/>
      <c r="CW7" s="7">
        <f t="shared" si="8"/>
        <v>6</v>
      </c>
      <c r="CX7" s="5">
        <v>6</v>
      </c>
      <c r="CY7" s="7">
        <f t="shared" si="139"/>
        <v>0</v>
      </c>
      <c r="DA7" s="24">
        <v>12</v>
      </c>
      <c r="DB7" s="6" t="s">
        <v>25</v>
      </c>
      <c r="DC7" s="24">
        <v>9</v>
      </c>
      <c r="DD7" s="6" t="s">
        <v>25</v>
      </c>
      <c r="DE7" s="5">
        <f>IF(OR(ISNUMBER(DA7), ISNUMBER(DC7)), IF(ISNUMBER(DA7), DA7, 0) + IF(ISNUMBER(DC7), DC7, 0), "")</f>
        <v>21</v>
      </c>
      <c r="DF7" s="3"/>
      <c r="DG7" s="7">
        <f t="shared" si="9"/>
        <v>6</v>
      </c>
      <c r="DH7" s="5">
        <v>6</v>
      </c>
      <c r="DI7" s="7">
        <f t="shared" si="141"/>
        <v>0</v>
      </c>
      <c r="DK7" s="24">
        <v>6</v>
      </c>
      <c r="DL7" s="6" t="s">
        <v>25</v>
      </c>
      <c r="DM7" s="24">
        <v>9</v>
      </c>
      <c r="DN7" s="6" t="s">
        <v>25</v>
      </c>
      <c r="DO7" s="5">
        <f>IF(OR(ISNUMBER(DK7), ISNUMBER(DM7)), IF(ISNUMBER(DK7), DK7, 0) + IF(ISNUMBER(DM7), DM7, 0), "")</f>
        <v>15</v>
      </c>
      <c r="DP7" s="3">
        <v>1</v>
      </c>
      <c r="DQ7" s="7">
        <f t="shared" si="10"/>
        <v>6</v>
      </c>
      <c r="DR7" s="5">
        <v>5</v>
      </c>
      <c r="DS7" s="7">
        <f t="shared" si="143"/>
        <v>-1</v>
      </c>
      <c r="DU7" s="24">
        <v>30</v>
      </c>
      <c r="DV7" s="6" t="s">
        <v>25</v>
      </c>
      <c r="DW7" s="24">
        <v>2</v>
      </c>
      <c r="DX7" s="6" t="s">
        <v>25</v>
      </c>
      <c r="DY7" s="5">
        <f>IF(OR(ISNUMBER(DU7), ISNUMBER(DW7)), IF(ISNUMBER(DU7), DU7, 0) + IF(ISNUMBER(DW7), DW7, 0), "")</f>
        <v>32</v>
      </c>
      <c r="DZ7" s="3"/>
      <c r="EA7" s="7">
        <f t="shared" si="11"/>
        <v>7</v>
      </c>
      <c r="EB7" s="5">
        <v>8</v>
      </c>
      <c r="EC7" s="7">
        <f t="shared" si="145"/>
        <v>1</v>
      </c>
      <c r="EE7" s="24">
        <v>12</v>
      </c>
      <c r="EF7" s="6" t="s">
        <v>25</v>
      </c>
      <c r="EG7" s="24">
        <v>5</v>
      </c>
      <c r="EH7" s="6" t="s">
        <v>25</v>
      </c>
      <c r="EI7" s="5">
        <f>IF(OR(ISNUMBER(EE7), ISNUMBER(EG7)), IF(ISNUMBER(EE7), EE7, 0) + IF(ISNUMBER(EG7), EG7, 0), "")</f>
        <v>17</v>
      </c>
      <c r="EJ7" s="3">
        <v>1</v>
      </c>
      <c r="EK7" s="7">
        <f t="shared" si="12"/>
        <v>15</v>
      </c>
      <c r="EL7" s="5">
        <v>14</v>
      </c>
      <c r="EM7" s="7">
        <f t="shared" si="147"/>
        <v>-1</v>
      </c>
      <c r="EO7" s="24">
        <v>24</v>
      </c>
      <c r="EP7" s="6" t="s">
        <v>25</v>
      </c>
      <c r="EQ7" s="24">
        <v>8</v>
      </c>
      <c r="ER7" s="6" t="s">
        <v>25</v>
      </c>
      <c r="ES7" s="5">
        <f>IF(OR(ISNUMBER(EO7), ISNUMBER(EQ7)), IF(ISNUMBER(EO7), EO7, 0) + IF(ISNUMBER(EQ7), EQ7, 0), "")</f>
        <v>32</v>
      </c>
      <c r="ET7" s="3"/>
      <c r="EU7" s="7">
        <f t="shared" si="13"/>
        <v>9</v>
      </c>
      <c r="EV7" s="5">
        <v>12</v>
      </c>
      <c r="EW7" s="7">
        <f t="shared" si="149"/>
        <v>3</v>
      </c>
      <c r="EY7" s="2">
        <v>24</v>
      </c>
      <c r="EZ7" s="6" t="s">
        <v>25</v>
      </c>
      <c r="FA7" s="2">
        <v>6</v>
      </c>
      <c r="FB7" s="6" t="s">
        <v>25</v>
      </c>
      <c r="FC7" s="5">
        <f>IF(OR(ISNUMBER(EY7), ISNUMBER(FA7)), IF(ISNUMBER(EY7), EY7, 0) + IF(ISNUMBER(FA7), FA7, 0), "")</f>
        <v>30</v>
      </c>
      <c r="FD7" s="3"/>
      <c r="FE7" s="7">
        <f t="shared" si="14"/>
        <v>2</v>
      </c>
      <c r="FF7" s="5">
        <v>3</v>
      </c>
      <c r="FG7" s="7">
        <f t="shared" si="151"/>
        <v>1</v>
      </c>
      <c r="FI7" s="24">
        <v>18</v>
      </c>
      <c r="FJ7" s="6" t="s">
        <v>25</v>
      </c>
      <c r="FK7" s="24">
        <v>1</v>
      </c>
      <c r="FL7" s="6" t="s">
        <v>25</v>
      </c>
      <c r="FM7" s="5">
        <f>IF(OR(ISNUMBER(FI7), ISNUMBER(FK7)), IF(ISNUMBER(FI7), FI7, 0) + IF(ISNUMBER(FK7), FK7, 0), "")</f>
        <v>19</v>
      </c>
      <c r="FN7" s="3"/>
      <c r="FO7" s="7">
        <f t="shared" si="15"/>
        <v>11</v>
      </c>
      <c r="FP7" s="5">
        <v>10</v>
      </c>
      <c r="FQ7" s="7">
        <f t="shared" si="153"/>
        <v>-1</v>
      </c>
      <c r="FS7" s="24">
        <v>6</v>
      </c>
      <c r="FT7" s="6" t="s">
        <v>25</v>
      </c>
      <c r="FU7" s="24">
        <v>8</v>
      </c>
      <c r="FV7" s="6" t="s">
        <v>25</v>
      </c>
      <c r="FW7" s="5">
        <f>IF(OR(ISNUMBER(FS7), ISNUMBER(FU7)), IF(ISNUMBER(FS7), FS7, 0) + IF(ISNUMBER(FU7), FU7, 0), "")</f>
        <v>14</v>
      </c>
      <c r="FX7" s="3">
        <v>1</v>
      </c>
      <c r="FY7" s="7">
        <f t="shared" si="16"/>
        <v>5</v>
      </c>
      <c r="FZ7" s="5">
        <v>2</v>
      </c>
      <c r="GA7" s="7">
        <f t="shared" si="155"/>
        <v>-3</v>
      </c>
      <c r="GC7" s="24">
        <v>30</v>
      </c>
      <c r="GD7" s="6" t="s">
        <v>25</v>
      </c>
      <c r="GE7" s="24">
        <v>6</v>
      </c>
      <c r="GF7" s="6" t="s">
        <v>25</v>
      </c>
      <c r="GG7" s="5">
        <f>IF(OR(ISNUMBER(GC7), ISNUMBER(GE7)), IF(ISNUMBER(GC7), GC7, 0) + IF(ISNUMBER(GE7), GE7, 0), "")</f>
        <v>36</v>
      </c>
      <c r="GH7" s="3"/>
      <c r="GI7" s="7">
        <f t="shared" si="17"/>
        <v>2</v>
      </c>
      <c r="GJ7" s="5">
        <v>2</v>
      </c>
      <c r="GK7" s="7">
        <f t="shared" si="157"/>
        <v>0</v>
      </c>
      <c r="GM7" s="24">
        <v>24</v>
      </c>
      <c r="GN7" s="6" t="s">
        <v>25</v>
      </c>
      <c r="GO7" s="24">
        <v>1</v>
      </c>
      <c r="GP7" s="6" t="s">
        <v>25</v>
      </c>
      <c r="GQ7" s="5">
        <f>IF(OR(ISNUMBER(GM7), ISNUMBER(GO7)), IF(ISNUMBER(GM7), GM7, 0) + IF(ISNUMBER(GO7), GO7, 0), "")</f>
        <v>25</v>
      </c>
      <c r="GR7" s="3"/>
      <c r="GS7" s="7">
        <f t="shared" si="18"/>
        <v>11</v>
      </c>
      <c r="GT7" s="5">
        <v>11</v>
      </c>
      <c r="GU7" s="7">
        <f t="shared" si="159"/>
        <v>0</v>
      </c>
      <c r="GW7" s="24">
        <v>18</v>
      </c>
      <c r="GX7" s="6" t="s">
        <v>25</v>
      </c>
      <c r="GY7" s="24">
        <v>4</v>
      </c>
      <c r="GZ7" s="6" t="s">
        <v>25</v>
      </c>
      <c r="HA7" s="5">
        <f>IF(OR(ISNUMBER(GW7), ISNUMBER(GY7)), IF(ISNUMBER(GW7), GW7, 0) + IF(ISNUMBER(GY7), GY7, 0), "")</f>
        <v>22</v>
      </c>
      <c r="HB7" s="3"/>
      <c r="HC7" s="7">
        <f t="shared" si="19"/>
        <v>3</v>
      </c>
      <c r="HD7" s="5">
        <v>3</v>
      </c>
      <c r="HE7" s="7">
        <f t="shared" si="161"/>
        <v>0</v>
      </c>
      <c r="HG7" s="2">
        <v>6</v>
      </c>
      <c r="HH7" s="6" t="s">
        <v>25</v>
      </c>
      <c r="HI7" s="2">
        <v>11</v>
      </c>
      <c r="HJ7" s="6" t="s">
        <v>25</v>
      </c>
      <c r="HK7" s="5">
        <f>IF(OR(ISNUMBER(HG7), ISNUMBER(HI7)), IF(ISNUMBER(HG7), HG7, 0) + IF(ISNUMBER(HI7), HI7, 0), "")</f>
        <v>17</v>
      </c>
      <c r="HL7" s="3"/>
      <c r="HM7" s="7">
        <f t="shared" si="20"/>
        <v>5</v>
      </c>
      <c r="HN7" s="5">
        <v>5</v>
      </c>
      <c r="HO7" s="7">
        <f t="shared" si="163"/>
        <v>0</v>
      </c>
      <c r="HQ7" s="24">
        <v>6</v>
      </c>
      <c r="HR7" s="6" t="s">
        <v>25</v>
      </c>
      <c r="HS7" s="24">
        <v>5</v>
      </c>
      <c r="HT7" s="6" t="s">
        <v>25</v>
      </c>
      <c r="HU7" s="5">
        <f>IF(OR(ISNUMBER(HQ7), ISNUMBER(HS7)), IF(ISNUMBER(HQ7), HQ7, 0) + IF(ISNUMBER(HS7), HS7, 0), "")</f>
        <v>11</v>
      </c>
      <c r="HV7" s="3">
        <v>2</v>
      </c>
      <c r="HW7" s="7">
        <f t="shared" si="21"/>
        <v>6</v>
      </c>
      <c r="HX7" s="5">
        <v>6</v>
      </c>
      <c r="HY7" s="7">
        <f t="shared" si="165"/>
        <v>0</v>
      </c>
      <c r="IA7" s="24">
        <v>48</v>
      </c>
      <c r="IB7" s="6" t="s">
        <v>25</v>
      </c>
      <c r="IC7" s="24">
        <v>0</v>
      </c>
      <c r="ID7" s="6" t="s">
        <v>25</v>
      </c>
      <c r="IE7" s="5">
        <f>IF(OR(ISNUMBER(IA7), ISNUMBER(IC7)), IF(ISNUMBER(IA7), IA7, 0) + IF(ISNUMBER(IC7), IC7, 0), "")</f>
        <v>48</v>
      </c>
      <c r="IF7" s="3"/>
      <c r="IG7" s="7">
        <f t="shared" si="22"/>
        <v>11</v>
      </c>
      <c r="IH7" s="5">
        <v>9</v>
      </c>
      <c r="II7" s="7">
        <f t="shared" si="167"/>
        <v>-2</v>
      </c>
      <c r="IK7" s="24">
        <v>24</v>
      </c>
      <c r="IL7" s="6" t="s">
        <v>25</v>
      </c>
      <c r="IM7" s="24">
        <v>11</v>
      </c>
      <c r="IN7" s="6" t="s">
        <v>25</v>
      </c>
      <c r="IO7" s="5">
        <f>IF(OR(ISNUMBER(IK7), ISNUMBER(IM7)), IF(ISNUMBER(IK7), IK7, 0) + IF(ISNUMBER(IM7), IM7, 0), "")</f>
        <v>35</v>
      </c>
      <c r="IP7" s="3">
        <v>1</v>
      </c>
      <c r="IQ7" s="7">
        <f t="shared" si="23"/>
        <v>13</v>
      </c>
      <c r="IR7" s="5">
        <v>7</v>
      </c>
      <c r="IS7" s="7">
        <f t="shared" si="169"/>
        <v>-6</v>
      </c>
      <c r="IU7" s="24">
        <v>24</v>
      </c>
      <c r="IV7" s="6" t="s">
        <v>25</v>
      </c>
      <c r="IW7" s="24">
        <v>10</v>
      </c>
      <c r="IX7" s="6" t="s">
        <v>25</v>
      </c>
      <c r="IY7" s="5">
        <f>IF(OR(ISNUMBER(IU7), ISNUMBER(IW7)), IF(ISNUMBER(IU7), IU7, 0) + IF(ISNUMBER(IW7), IW7, 0), "")</f>
        <v>34</v>
      </c>
      <c r="IZ7" s="3"/>
      <c r="JA7" s="7">
        <f t="shared" si="24"/>
        <v>25</v>
      </c>
      <c r="JB7" s="5">
        <v>7</v>
      </c>
      <c r="JC7" s="7">
        <f t="shared" si="171"/>
        <v>-18</v>
      </c>
      <c r="JE7" s="24">
        <v>48</v>
      </c>
      <c r="JF7" s="6" t="s">
        <v>25</v>
      </c>
      <c r="JG7" s="24">
        <v>7</v>
      </c>
      <c r="JH7" s="6" t="s">
        <v>25</v>
      </c>
      <c r="JI7" s="5">
        <f>IF(OR(ISNUMBER(JE7), ISNUMBER(JG7)), IF(ISNUMBER(JE7), JE7, 0) + IF(ISNUMBER(JG7), JG7, 0), "")</f>
        <v>55</v>
      </c>
      <c r="JJ7" s="3"/>
      <c r="JK7" s="7">
        <f t="shared" si="25"/>
        <v>-21</v>
      </c>
      <c r="JL7" s="5">
        <v>4</v>
      </c>
      <c r="JM7" s="7">
        <f t="shared" si="173"/>
        <v>25</v>
      </c>
      <c r="JO7" s="24">
        <v>36</v>
      </c>
      <c r="JP7" s="6" t="s">
        <v>25</v>
      </c>
      <c r="JQ7" s="24">
        <v>15</v>
      </c>
      <c r="JR7" s="6" t="s">
        <v>25</v>
      </c>
      <c r="JS7" s="5">
        <f>IF(OR(ISNUMBER(JO7), ISNUMBER(JQ7)), IF(ISNUMBER(JO7), JO7, 0) + IF(ISNUMBER(JQ7), JQ7, 0), "")</f>
        <v>51</v>
      </c>
      <c r="JT7" s="3"/>
      <c r="JU7" s="7">
        <f t="shared" si="26"/>
        <v>4</v>
      </c>
      <c r="JV7" s="5">
        <v>3</v>
      </c>
      <c r="JW7" s="7">
        <f t="shared" si="175"/>
        <v>-1</v>
      </c>
      <c r="JY7" s="24">
        <v>24</v>
      </c>
      <c r="JZ7" s="6" t="s">
        <v>25</v>
      </c>
      <c r="KA7" s="24">
        <v>15</v>
      </c>
      <c r="KB7" s="6" t="s">
        <v>25</v>
      </c>
      <c r="KC7" s="5">
        <f>IF(OR(ISNUMBER(JY7), ISNUMBER(KA7)), IF(ISNUMBER(JY7), JY7, 0) + IF(ISNUMBER(KA7), KA7, 0), "")</f>
        <v>39</v>
      </c>
      <c r="KD7" s="3"/>
      <c r="KE7" s="7">
        <f t="shared" si="27"/>
        <v>12</v>
      </c>
      <c r="KF7" s="5">
        <v>11</v>
      </c>
      <c r="KG7" s="7">
        <f t="shared" si="177"/>
        <v>-1</v>
      </c>
      <c r="KI7" s="24">
        <v>24</v>
      </c>
      <c r="KJ7" s="6" t="s">
        <v>25</v>
      </c>
      <c r="KK7" s="24">
        <v>10</v>
      </c>
      <c r="KL7" s="6" t="s">
        <v>25</v>
      </c>
      <c r="KM7" s="5">
        <f>IF(OR(ISNUMBER(KI7), ISNUMBER(KK7)), IF(ISNUMBER(KI7), KI7, 0) + IF(ISNUMBER(KK7), KK7, 0), "")</f>
        <v>34</v>
      </c>
      <c r="KN7" s="3"/>
      <c r="KO7" s="7">
        <f t="shared" si="28"/>
        <v>5</v>
      </c>
      <c r="KP7" s="5">
        <v>4</v>
      </c>
      <c r="KQ7" s="7">
        <f t="shared" si="179"/>
        <v>-1</v>
      </c>
      <c r="KS7" s="24">
        <v>24</v>
      </c>
      <c r="KT7" s="6" t="s">
        <v>25</v>
      </c>
      <c r="KU7" s="24">
        <v>8</v>
      </c>
      <c r="KV7" s="6" t="s">
        <v>25</v>
      </c>
      <c r="KW7" s="5">
        <f>IF(OR(ISNUMBER(KS7), ISNUMBER(KU7)), IF(ISNUMBER(KS7), KS7, 0) + IF(ISNUMBER(KU7), KU7, 0), "")</f>
        <v>32</v>
      </c>
      <c r="KX7" s="3">
        <v>1</v>
      </c>
      <c r="KY7" s="7">
        <f t="shared" si="29"/>
        <v>2</v>
      </c>
      <c r="KZ7" s="5">
        <v>4</v>
      </c>
      <c r="LA7" s="7">
        <f t="shared" si="181"/>
        <v>2</v>
      </c>
      <c r="LC7" s="24">
        <v>36</v>
      </c>
      <c r="LD7" s="6" t="s">
        <v>25</v>
      </c>
      <c r="LE7" s="24">
        <v>3</v>
      </c>
      <c r="LF7" s="6" t="s">
        <v>25</v>
      </c>
      <c r="LG7" s="5">
        <f>IF(OR(ISNUMBER(LC7), ISNUMBER(LE7)), IF(ISNUMBER(LC7), LC7, 0) + IF(ISNUMBER(LE7), LE7, 0), "")</f>
        <v>39</v>
      </c>
      <c r="LH7" s="3"/>
      <c r="LI7" s="7">
        <f t="shared" si="30"/>
        <v>17</v>
      </c>
      <c r="LJ7" s="5">
        <v>14</v>
      </c>
      <c r="LK7" s="7">
        <f t="shared" si="183"/>
        <v>-3</v>
      </c>
      <c r="LM7" s="24">
        <v>31</v>
      </c>
      <c r="LN7" s="6" t="s">
        <v>25</v>
      </c>
      <c r="LO7" s="24">
        <v>3</v>
      </c>
      <c r="LP7" s="6" t="s">
        <v>25</v>
      </c>
      <c r="LQ7" s="5">
        <f>IF(OR(ISNUMBER(LM7), ISNUMBER(LO7)), IF(ISNUMBER(LM7), LM7, 0) + IF(ISNUMBER(LO7), LO7, 0), "")</f>
        <v>34</v>
      </c>
      <c r="LR7" s="3"/>
      <c r="LS7" s="7">
        <f t="shared" si="31"/>
        <v>5</v>
      </c>
      <c r="LT7" s="5">
        <v>5</v>
      </c>
      <c r="LU7" s="7">
        <f t="shared" si="185"/>
        <v>0</v>
      </c>
      <c r="LW7" s="24">
        <v>30</v>
      </c>
      <c r="LX7" s="6" t="s">
        <v>25</v>
      </c>
      <c r="LY7" s="24">
        <v>0</v>
      </c>
      <c r="LZ7" s="6" t="s">
        <v>25</v>
      </c>
      <c r="MA7" s="5">
        <f>IF(OR(ISNUMBER(LW7), ISNUMBER(LY7)), IF(ISNUMBER(LW7), LW7, 0) + IF(ISNUMBER(LY7), LY7, 0), "")</f>
        <v>30</v>
      </c>
      <c r="MB7" s="3"/>
      <c r="MC7" s="7">
        <f t="shared" si="32"/>
        <v>4</v>
      </c>
      <c r="MD7" s="5">
        <v>4</v>
      </c>
      <c r="ME7" s="7">
        <f t="shared" si="187"/>
        <v>0</v>
      </c>
      <c r="MG7" s="24">
        <v>18</v>
      </c>
      <c r="MH7" s="6" t="s">
        <v>25</v>
      </c>
      <c r="MI7" s="24">
        <v>8</v>
      </c>
      <c r="MJ7" s="6" t="s">
        <v>25</v>
      </c>
      <c r="MK7" s="5">
        <f>IF(OR(ISNUMBER(MG7), ISNUMBER(MI7)), IF(ISNUMBER(MG7), MG7, 0) + IF(ISNUMBER(MI7), MI7, 0), "")</f>
        <v>26</v>
      </c>
      <c r="ML7" s="3">
        <v>1</v>
      </c>
      <c r="MM7" s="7">
        <f t="shared" si="33"/>
        <v>4</v>
      </c>
      <c r="MN7" s="5">
        <v>4</v>
      </c>
      <c r="MO7" s="7">
        <f t="shared" si="189"/>
        <v>0</v>
      </c>
      <c r="MQ7" s="24">
        <v>30</v>
      </c>
      <c r="MR7" s="6" t="s">
        <v>25</v>
      </c>
      <c r="MS7" s="24">
        <v>15</v>
      </c>
      <c r="MT7" s="6" t="s">
        <v>25</v>
      </c>
      <c r="MU7" s="5">
        <f>IF(OR(ISNUMBER(MQ7), ISNUMBER(MS7)), IF(ISNUMBER(MQ7), MQ7, 0) + IF(ISNUMBER(MS7), MS7, 0), "")</f>
        <v>45</v>
      </c>
      <c r="MV7" s="3"/>
      <c r="MW7" s="7">
        <f t="shared" si="34"/>
        <v>5</v>
      </c>
      <c r="MX7" s="5">
        <v>5</v>
      </c>
      <c r="MY7" s="7">
        <f t="shared" si="191"/>
        <v>0</v>
      </c>
      <c r="NA7" s="24">
        <v>30</v>
      </c>
      <c r="NB7" s="6" t="s">
        <v>25</v>
      </c>
      <c r="NC7" s="24">
        <v>10</v>
      </c>
      <c r="ND7" s="6" t="s">
        <v>25</v>
      </c>
      <c r="NE7" s="5">
        <f>IF(OR(ISNUMBER(NA7), ISNUMBER(NC7)), IF(ISNUMBER(NA7), NA7, 0) + IF(ISNUMBER(NC7), NC7, 0), "")</f>
        <v>40</v>
      </c>
      <c r="NF7" s="3">
        <v>1</v>
      </c>
      <c r="NG7" s="7">
        <f t="shared" si="35"/>
        <v>5</v>
      </c>
      <c r="NH7" s="5">
        <v>5</v>
      </c>
      <c r="NI7" s="7">
        <f t="shared" si="193"/>
        <v>0</v>
      </c>
      <c r="NK7" s="24">
        <v>48</v>
      </c>
      <c r="NL7" s="6" t="s">
        <v>25</v>
      </c>
      <c r="NM7" s="24">
        <v>10</v>
      </c>
      <c r="NN7" s="6" t="s">
        <v>25</v>
      </c>
      <c r="NO7" s="5">
        <f>IF(OR(ISNUMBER(NK7), ISNUMBER(NM7)), IF(ISNUMBER(NK7), NK7, 0) + IF(ISNUMBER(NM7), NM7, 0), "")</f>
        <v>58</v>
      </c>
      <c r="NP7" s="3"/>
      <c r="NQ7" s="7">
        <f t="shared" si="36"/>
        <v>6</v>
      </c>
      <c r="NR7" s="5"/>
      <c r="NS7" s="7" t="str">
        <f t="shared" si="195"/>
        <v/>
      </c>
      <c r="NU7" s="2">
        <v>42</v>
      </c>
      <c r="NV7" s="36" t="s">
        <v>25</v>
      </c>
      <c r="NW7" s="2">
        <v>4</v>
      </c>
      <c r="NX7" s="6" t="s">
        <v>25</v>
      </c>
      <c r="NY7" s="5">
        <f>IF(OR(ISNUMBER(NU7), ISNUMBER(NW7)), IF(ISNUMBER(NU7), NU7, 0) + IF(ISNUMBER(NW7), NW7, 0), "")</f>
        <v>46</v>
      </c>
      <c r="NZ7" s="3"/>
      <c r="OA7" s="7">
        <f t="shared" si="37"/>
        <v>12</v>
      </c>
      <c r="OB7" s="5">
        <v>12</v>
      </c>
      <c r="OC7" s="7">
        <f t="shared" si="197"/>
        <v>0</v>
      </c>
      <c r="OE7" s="2">
        <v>36</v>
      </c>
      <c r="OF7" s="6" t="s">
        <v>25</v>
      </c>
      <c r="OG7" s="2">
        <v>4</v>
      </c>
      <c r="OH7" s="6" t="s">
        <v>25</v>
      </c>
      <c r="OI7" s="5">
        <f>IF(OR(ISNUMBER(OE7), ISNUMBER(OG7)), IF(ISNUMBER(OE7), OE7, 0) + IF(ISNUMBER(OG7), OG7, 0), "")</f>
        <v>40</v>
      </c>
      <c r="OJ7" s="3"/>
      <c r="OK7" s="7">
        <f t="shared" si="38"/>
        <v>6</v>
      </c>
      <c r="OL7" s="5">
        <v>6</v>
      </c>
      <c r="OM7" s="7">
        <f t="shared" si="199"/>
        <v>0</v>
      </c>
      <c r="OO7" s="24">
        <v>30</v>
      </c>
      <c r="OP7" s="6" t="s">
        <v>25</v>
      </c>
      <c r="OQ7" s="24">
        <v>5</v>
      </c>
      <c r="OR7" s="6" t="s">
        <v>25</v>
      </c>
      <c r="OS7" s="5">
        <f>IF(OR(ISNUMBER(OO7), ISNUMBER(OQ7)), IF(ISNUMBER(OO7), OO7, 0) + IF(ISNUMBER(OQ7), OQ7, 0), "")</f>
        <v>35</v>
      </c>
      <c r="OT7" s="3"/>
      <c r="OU7" s="7">
        <f t="shared" si="39"/>
        <v>5</v>
      </c>
      <c r="OV7" s="5">
        <v>5</v>
      </c>
      <c r="OW7" s="7">
        <f t="shared" si="201"/>
        <v>0</v>
      </c>
      <c r="OY7" s="24">
        <v>18</v>
      </c>
      <c r="OZ7" s="6" t="s">
        <v>25</v>
      </c>
      <c r="PA7" s="24">
        <v>7</v>
      </c>
      <c r="PB7" s="6" t="s">
        <v>25</v>
      </c>
      <c r="PC7" s="5">
        <f>IF(OR(ISNUMBER(OY7), ISNUMBER(PA7)), IF(ISNUMBER(OY7), OY7, 0) + IF(ISNUMBER(PA7), PA7, 0), "")</f>
        <v>25</v>
      </c>
      <c r="PD7" s="3"/>
      <c r="PE7" s="7">
        <f t="shared" si="40"/>
        <v>10</v>
      </c>
      <c r="PF7" s="5">
        <v>9</v>
      </c>
      <c r="PG7" s="7">
        <f t="shared" si="203"/>
        <v>-1</v>
      </c>
      <c r="PI7" s="2">
        <v>16</v>
      </c>
      <c r="PJ7" s="36" t="s">
        <v>25</v>
      </c>
      <c r="PK7" s="2">
        <v>6</v>
      </c>
      <c r="PL7" s="36" t="s">
        <v>25</v>
      </c>
      <c r="PM7" s="5">
        <f>IF(OR(ISNUMBER(PI7), ISNUMBER(PK7)), IF(ISNUMBER(PI7), PI7, 0) + IF(ISNUMBER(PK7), PK7, 0), "")</f>
        <v>22</v>
      </c>
      <c r="PN7" s="3"/>
      <c r="PO7" s="7">
        <f t="shared" si="41"/>
        <v>3</v>
      </c>
      <c r="PP7" s="5">
        <v>4</v>
      </c>
      <c r="PQ7" s="7">
        <f t="shared" si="205"/>
        <v>1</v>
      </c>
      <c r="PS7" s="2">
        <v>4</v>
      </c>
      <c r="PT7" s="6" t="s">
        <v>25</v>
      </c>
      <c r="PU7" s="2">
        <v>12</v>
      </c>
      <c r="PV7" s="6" t="s">
        <v>25</v>
      </c>
      <c r="PW7" s="5">
        <f>IF(OR(ISNUMBER(PS7), ISNUMBER(PU7)), IF(ISNUMBER(PS7), PS7, 0) + IF(ISNUMBER(PU7), PU7, 0), "")</f>
        <v>16</v>
      </c>
      <c r="PX7" s="3"/>
      <c r="PY7" s="7">
        <f t="shared" si="42"/>
        <v>6</v>
      </c>
      <c r="PZ7" s="5">
        <v>6</v>
      </c>
      <c r="QA7" s="7">
        <f t="shared" si="207"/>
        <v>0</v>
      </c>
      <c r="QC7" s="2">
        <v>0</v>
      </c>
      <c r="QD7" s="6" t="s">
        <v>25</v>
      </c>
      <c r="QE7" s="2">
        <v>14</v>
      </c>
      <c r="QF7" s="6" t="s">
        <v>25</v>
      </c>
      <c r="QG7" s="5">
        <f>IF(OR(ISNUMBER(QC7), ISNUMBER(QE7)), IF(ISNUMBER(QC7), QC7, 0) + IF(ISNUMBER(QE7), QE7, 0), "")</f>
        <v>14</v>
      </c>
      <c r="QH7" s="3">
        <v>1</v>
      </c>
      <c r="QI7" s="7">
        <f t="shared" si="43"/>
        <v>2</v>
      </c>
      <c r="QJ7" s="5">
        <v>1</v>
      </c>
      <c r="QK7" s="7">
        <f t="shared" si="209"/>
        <v>-1</v>
      </c>
      <c r="QM7" s="24">
        <v>18</v>
      </c>
      <c r="QN7" s="6" t="s">
        <v>25</v>
      </c>
      <c r="QO7" s="24">
        <v>7</v>
      </c>
      <c r="QP7" s="6" t="s">
        <v>25</v>
      </c>
      <c r="QQ7" s="5">
        <f>IF(OR(ISNUMBER(QM7), ISNUMBER(QO7)), IF(ISNUMBER(QM7), QM7, 0) + IF(ISNUMBER(QO7), QO7, 0), "")</f>
        <v>25</v>
      </c>
      <c r="QR7" s="3"/>
      <c r="QS7" s="7">
        <f t="shared" si="44"/>
        <v>13</v>
      </c>
      <c r="QT7" s="5">
        <v>13</v>
      </c>
      <c r="QU7" s="7">
        <f t="shared" si="211"/>
        <v>0</v>
      </c>
      <c r="QW7" s="24">
        <v>18</v>
      </c>
      <c r="QX7" s="6" t="s">
        <v>25</v>
      </c>
      <c r="QY7" s="24">
        <v>3</v>
      </c>
      <c r="QZ7" s="6" t="s">
        <v>25</v>
      </c>
      <c r="RA7" s="5">
        <f>IF(OR(ISNUMBER(QW7), ISNUMBER(QY7)), IF(ISNUMBER(QW7), QW7, 0) + IF(ISNUMBER(QY7), QY7, 0), "")</f>
        <v>21</v>
      </c>
      <c r="RB7" s="3"/>
      <c r="RC7" s="7">
        <f t="shared" si="45"/>
        <v>4</v>
      </c>
      <c r="RD7" s="5">
        <v>4</v>
      </c>
      <c r="RE7" s="7">
        <f t="shared" si="213"/>
        <v>0</v>
      </c>
      <c r="RG7" s="24">
        <v>12</v>
      </c>
      <c r="RH7" s="6" t="s">
        <v>25</v>
      </c>
      <c r="RI7" s="24">
        <v>8</v>
      </c>
      <c r="RJ7" s="6" t="s">
        <v>25</v>
      </c>
      <c r="RK7" s="5">
        <f>IF(OR(ISNUMBER(RG7), ISNUMBER(RI7)), IF(ISNUMBER(RG7), RG7, 0) + IF(ISNUMBER(RI7), RI7, 0), "")</f>
        <v>20</v>
      </c>
      <c r="RL7" s="3"/>
      <c r="RM7" s="7">
        <f t="shared" si="46"/>
        <v>1</v>
      </c>
      <c r="RN7" s="5">
        <v>1</v>
      </c>
      <c r="RO7" s="7">
        <f t="shared" si="215"/>
        <v>0</v>
      </c>
      <c r="RQ7" s="24">
        <v>6</v>
      </c>
      <c r="RR7" s="6" t="s">
        <v>25</v>
      </c>
      <c r="RS7" s="24">
        <v>10</v>
      </c>
      <c r="RT7" s="6" t="s">
        <v>25</v>
      </c>
      <c r="RU7" s="5">
        <f>IF(OR(ISNUMBER(RQ7), ISNUMBER(RS7)), IF(ISNUMBER(RQ7), RQ7, 0) + IF(ISNUMBER(RS7), RS7, 0), "")</f>
        <v>16</v>
      </c>
      <c r="RV7" s="3">
        <v>1</v>
      </c>
      <c r="RW7" s="7">
        <f t="shared" si="47"/>
        <v>4</v>
      </c>
      <c r="RX7" s="5">
        <v>4</v>
      </c>
      <c r="RY7" s="7">
        <f t="shared" si="217"/>
        <v>0</v>
      </c>
      <c r="SA7" s="2">
        <v>24</v>
      </c>
      <c r="SB7" s="6" t="s">
        <v>25</v>
      </c>
      <c r="SC7" s="2">
        <v>9</v>
      </c>
      <c r="SD7" s="6" t="s">
        <v>25</v>
      </c>
      <c r="SE7" s="5">
        <f>IF(OR(ISNUMBER(SA7), ISNUMBER(SC7)), IF(ISNUMBER(SA7), SA7, 0) + IF(ISNUMBER(SC7), SC7, 0), "")</f>
        <v>33</v>
      </c>
      <c r="SF7" s="3"/>
      <c r="SG7" s="7">
        <f t="shared" si="48"/>
        <v>7</v>
      </c>
      <c r="SH7" s="5">
        <v>7</v>
      </c>
      <c r="SI7" s="7">
        <f t="shared" si="219"/>
        <v>0</v>
      </c>
      <c r="SK7" s="24">
        <v>18</v>
      </c>
      <c r="SL7" s="6" t="s">
        <v>25</v>
      </c>
      <c r="SM7" s="24">
        <v>12</v>
      </c>
      <c r="SN7" s="6" t="s">
        <v>25</v>
      </c>
      <c r="SO7" s="5">
        <f>IF(OR(ISNUMBER(SK7), ISNUMBER(SM7)), IF(ISNUMBER(SK7), SK7, 0) + IF(ISNUMBER(SM7), SM7, 0), "")</f>
        <v>30</v>
      </c>
      <c r="SP7" s="3"/>
      <c r="SQ7" s="7">
        <f t="shared" si="49"/>
        <v>3</v>
      </c>
      <c r="SR7" s="5">
        <v>2</v>
      </c>
      <c r="SS7" s="7">
        <f t="shared" si="221"/>
        <v>-1</v>
      </c>
      <c r="SU7" s="24">
        <v>12</v>
      </c>
      <c r="SV7" s="6" t="s">
        <v>25</v>
      </c>
      <c r="SW7" s="24">
        <v>10</v>
      </c>
      <c r="SX7" s="6" t="s">
        <v>25</v>
      </c>
      <c r="SY7" s="5">
        <f>IF(OR(ISNUMBER(SU7), ISNUMBER(SW7)), IF(ISNUMBER(SU7), SU7, 0) + IF(ISNUMBER(SW7), SW7, 0), "")</f>
        <v>22</v>
      </c>
      <c r="SZ7" s="3"/>
      <c r="TA7" s="7">
        <f t="shared" si="50"/>
        <v>8</v>
      </c>
      <c r="TB7" s="5">
        <v>8</v>
      </c>
      <c r="TC7" s="7">
        <f t="shared" si="223"/>
        <v>0</v>
      </c>
      <c r="TE7" s="24">
        <v>12</v>
      </c>
      <c r="TF7" s="6" t="s">
        <v>25</v>
      </c>
      <c r="TG7" s="24">
        <v>4</v>
      </c>
      <c r="TH7" s="6" t="s">
        <v>25</v>
      </c>
      <c r="TI7" s="5">
        <f>IF(OR(ISNUMBER(TE7), ISNUMBER(TG7)), IF(ISNUMBER(TE7), TE7, 0) + IF(ISNUMBER(TG7), TG7, 0), "")</f>
        <v>16</v>
      </c>
      <c r="TJ7" s="3">
        <v>1</v>
      </c>
      <c r="TK7" s="7">
        <f t="shared" si="51"/>
        <v>6</v>
      </c>
      <c r="TL7" s="5">
        <v>7</v>
      </c>
      <c r="TM7" s="7">
        <f t="shared" si="225"/>
        <v>1</v>
      </c>
      <c r="TO7" s="2">
        <v>6</v>
      </c>
      <c r="TP7" s="6" t="s">
        <v>25</v>
      </c>
      <c r="TQ7" s="2">
        <v>9</v>
      </c>
      <c r="TR7" s="6" t="s">
        <v>25</v>
      </c>
      <c r="TS7" s="5">
        <f>IF(OR(ISNUMBER(TO7), ISNUMBER(TQ7)), IF(ISNUMBER(TO7), TO7, 0) + IF(ISNUMBER(TQ7), TQ7, 0), "")</f>
        <v>15</v>
      </c>
      <c r="TT7" s="3">
        <v>1</v>
      </c>
      <c r="TU7" s="7">
        <f t="shared" si="52"/>
        <v>25</v>
      </c>
      <c r="TV7" s="5">
        <v>24</v>
      </c>
      <c r="TW7" s="7">
        <f t="shared" si="227"/>
        <v>-1</v>
      </c>
      <c r="TY7" s="24">
        <v>12</v>
      </c>
      <c r="TZ7" s="6" t="s">
        <v>25</v>
      </c>
      <c r="UA7" s="24">
        <v>15</v>
      </c>
      <c r="UB7" s="6" t="s">
        <v>25</v>
      </c>
      <c r="UC7" s="5">
        <f>IF(OR(ISNUMBER(TY7), ISNUMBER(UA7)), IF(ISNUMBER(TY7), TY7, 0) + IF(ISNUMBER(UA7), UA7, 0), "")</f>
        <v>27</v>
      </c>
      <c r="UD7" s="3"/>
      <c r="UE7" s="7">
        <f t="shared" si="53"/>
        <v>12</v>
      </c>
      <c r="UF7" s="5">
        <v>12</v>
      </c>
      <c r="UG7" s="7">
        <f t="shared" si="229"/>
        <v>0</v>
      </c>
      <c r="UI7" s="2">
        <v>6</v>
      </c>
      <c r="UJ7" s="6" t="s">
        <v>25</v>
      </c>
      <c r="UK7" s="2">
        <v>17</v>
      </c>
      <c r="UL7" s="6" t="s">
        <v>25</v>
      </c>
      <c r="UM7" s="5">
        <f>IF(OR(ISNUMBER(UI7), ISNUMBER(UK7)), IF(ISNUMBER(UI7), UI7, 0) + IF(ISNUMBER(UK7), UK7, 0), "")</f>
        <v>23</v>
      </c>
      <c r="UN7" s="3"/>
      <c r="UO7" s="7">
        <f t="shared" si="54"/>
        <v>4</v>
      </c>
      <c r="UP7" s="5">
        <v>4</v>
      </c>
      <c r="UQ7" s="7">
        <f t="shared" si="231"/>
        <v>0</v>
      </c>
      <c r="US7" s="2">
        <v>0</v>
      </c>
      <c r="UT7" s="6" t="s">
        <v>25</v>
      </c>
      <c r="UU7" s="2">
        <v>20</v>
      </c>
      <c r="UV7" s="6" t="s">
        <v>25</v>
      </c>
      <c r="UW7" s="5">
        <f>IF(OR(ISNUMBER(US7), ISNUMBER(UU7)), IF(ISNUMBER(US7), US7, 0) + IF(ISNUMBER(UU7), UU7, 0), "")</f>
        <v>20</v>
      </c>
      <c r="UX7" s="3">
        <v>1</v>
      </c>
      <c r="UY7" s="7">
        <f t="shared" si="55"/>
        <v>3</v>
      </c>
      <c r="UZ7" s="5">
        <v>3</v>
      </c>
      <c r="VA7" s="7">
        <f t="shared" si="233"/>
        <v>0</v>
      </c>
      <c r="VC7" s="24">
        <v>24</v>
      </c>
      <c r="VD7" s="6" t="s">
        <v>25</v>
      </c>
      <c r="VE7" s="24">
        <v>10</v>
      </c>
      <c r="VF7" s="6" t="s">
        <v>25</v>
      </c>
      <c r="VG7" s="5">
        <f>IF(OR(ISNUMBER(VC7), ISNUMBER(VE7)), IF(ISNUMBER(VC7), VC7, 0) + IF(ISNUMBER(VE7), VE7, 0), "")</f>
        <v>34</v>
      </c>
      <c r="VH7" s="3"/>
      <c r="VI7" s="7">
        <f t="shared" si="56"/>
        <v>10</v>
      </c>
      <c r="VJ7" s="5">
        <v>9</v>
      </c>
      <c r="VK7" s="7">
        <f t="shared" si="235"/>
        <v>-1</v>
      </c>
      <c r="VM7" s="24">
        <v>24</v>
      </c>
      <c r="VN7" s="6" t="s">
        <v>25</v>
      </c>
      <c r="VO7" s="24">
        <v>10</v>
      </c>
      <c r="VP7" s="6" t="s">
        <v>25</v>
      </c>
      <c r="VQ7" s="5">
        <f>IF(OR(ISNUMBER(VM7), ISNUMBER(VO7)), IF(ISNUMBER(VM7), VM7, 0) + IF(ISNUMBER(VO7), VO7, 0), "")</f>
        <v>34</v>
      </c>
      <c r="VR7" s="3"/>
      <c r="VS7" s="7">
        <f t="shared" si="57"/>
        <v>0</v>
      </c>
      <c r="VT7" s="5"/>
      <c r="VU7" s="7" t="str">
        <f t="shared" si="237"/>
        <v/>
      </c>
      <c r="VW7" s="2">
        <v>24</v>
      </c>
      <c r="VX7" s="6" t="s">
        <v>25</v>
      </c>
      <c r="VY7" s="2">
        <v>10</v>
      </c>
      <c r="VZ7" s="6" t="s">
        <v>25</v>
      </c>
      <c r="WA7" s="5">
        <f>IF(OR(ISNUMBER(VW7), ISNUMBER(VY7)), IF(ISNUMBER(VW7), VW7, 0) + IF(ISNUMBER(VY7), VY7, 0), "")</f>
        <v>34</v>
      </c>
      <c r="WB7" s="3"/>
      <c r="WC7" s="7">
        <f t="shared" si="58"/>
        <v>0</v>
      </c>
      <c r="WD7" s="5"/>
      <c r="WE7" s="7" t="str">
        <f t="shared" si="239"/>
        <v/>
      </c>
      <c r="WG7" s="24">
        <v>12</v>
      </c>
      <c r="WH7" s="6" t="s">
        <v>25</v>
      </c>
      <c r="WI7" s="24">
        <v>15</v>
      </c>
      <c r="WJ7" s="6" t="s">
        <v>25</v>
      </c>
      <c r="WK7" s="5">
        <f>IF(OR(ISNUMBER(WG7), ISNUMBER(WI7)), IF(ISNUMBER(WG7), WG7, 0) + IF(ISNUMBER(WI7), WI7, 0), "")</f>
        <v>27</v>
      </c>
      <c r="WL7" s="3"/>
      <c r="WM7" s="7">
        <f t="shared" si="59"/>
        <v>7</v>
      </c>
      <c r="WN7" s="5">
        <v>7</v>
      </c>
      <c r="WO7" s="7">
        <f t="shared" si="241"/>
        <v>0</v>
      </c>
      <c r="WQ7" s="24">
        <v>12</v>
      </c>
      <c r="WR7" s="6" t="s">
        <v>25</v>
      </c>
      <c r="WS7" s="24">
        <v>12</v>
      </c>
      <c r="WT7" s="6" t="s">
        <v>25</v>
      </c>
      <c r="WU7" s="5">
        <f>IF(OR(ISNUMBER(WQ7), ISNUMBER(WS7)), IF(ISNUMBER(WQ7), WQ7, 0) + IF(ISNUMBER(WS7), WS7, 0), "")</f>
        <v>24</v>
      </c>
      <c r="WV7" s="3"/>
      <c r="WW7" s="7">
        <f t="shared" si="60"/>
        <v>3</v>
      </c>
      <c r="WX7" s="5">
        <v>3</v>
      </c>
      <c r="WY7" s="7">
        <f t="shared" si="243"/>
        <v>0</v>
      </c>
      <c r="XA7" s="24">
        <v>6</v>
      </c>
      <c r="XB7" s="6" t="s">
        <v>25</v>
      </c>
      <c r="XC7" s="24">
        <v>13</v>
      </c>
      <c r="XD7" s="6" t="s">
        <v>25</v>
      </c>
      <c r="XE7" s="5">
        <f>IF(OR(ISNUMBER(XA7), ISNUMBER(XC7)), IF(ISNUMBER(XA7), XA7, 0) + IF(ISNUMBER(XC7), XC7, 0), "")</f>
        <v>19</v>
      </c>
      <c r="XF7" s="3"/>
      <c r="XG7" s="7">
        <f t="shared" si="61"/>
        <v>5</v>
      </c>
      <c r="XH7" s="5">
        <v>5</v>
      </c>
      <c r="XI7" s="7">
        <f t="shared" si="245"/>
        <v>0</v>
      </c>
      <c r="XK7" s="24">
        <v>0</v>
      </c>
      <c r="XL7" s="6" t="s">
        <v>25</v>
      </c>
      <c r="XM7" s="24">
        <v>11</v>
      </c>
      <c r="XN7" s="6" t="s">
        <v>25</v>
      </c>
      <c r="XO7" s="5">
        <f>IF(OR(ISNUMBER(XK7), ISNUMBER(XM7)), IF(ISNUMBER(XK7), XK7, 0) + IF(ISNUMBER(XM7), XM7, 0), "")</f>
        <v>11</v>
      </c>
      <c r="XP7" s="3"/>
      <c r="XQ7" s="7">
        <f t="shared" si="62"/>
        <v>8</v>
      </c>
      <c r="XR7" s="5">
        <v>8</v>
      </c>
      <c r="XS7" s="7">
        <f t="shared" si="247"/>
        <v>0</v>
      </c>
      <c r="XU7" s="24">
        <v>0</v>
      </c>
      <c r="XV7" s="6" t="s">
        <v>25</v>
      </c>
      <c r="XW7" s="24">
        <v>9</v>
      </c>
      <c r="XX7" s="6" t="s">
        <v>25</v>
      </c>
      <c r="XY7" s="5">
        <f>IF(OR(ISNUMBER(XU7), ISNUMBER(XW7)), IF(ISNUMBER(XU7), XU7, 0) + IF(ISNUMBER(XW7), XW7, 0), "")</f>
        <v>9</v>
      </c>
      <c r="XZ7" s="3">
        <v>1</v>
      </c>
      <c r="YA7" s="7">
        <f t="shared" si="63"/>
        <v>2</v>
      </c>
      <c r="YB7" s="5">
        <v>2</v>
      </c>
      <c r="YC7" s="7">
        <f t="shared" si="249"/>
        <v>0</v>
      </c>
      <c r="YE7" s="24">
        <v>12</v>
      </c>
      <c r="YF7" s="6" t="s">
        <v>25</v>
      </c>
      <c r="YG7" s="24">
        <v>17</v>
      </c>
      <c r="YH7" s="6" t="s">
        <v>25</v>
      </c>
      <c r="YI7" s="5">
        <f>IF(OR(ISNUMBER(YE7), ISNUMBER(YG7)), IF(ISNUMBER(YE7), YE7, 0) + IF(ISNUMBER(YG7), YG7, 0), "")</f>
        <v>29</v>
      </c>
      <c r="YJ7" s="3"/>
      <c r="YK7" s="7">
        <f t="shared" si="64"/>
        <v>4</v>
      </c>
      <c r="YL7" s="5">
        <v>4</v>
      </c>
      <c r="YM7" s="7">
        <f t="shared" si="251"/>
        <v>0</v>
      </c>
      <c r="YO7" s="24">
        <v>12</v>
      </c>
      <c r="YP7" s="6" t="s">
        <v>25</v>
      </c>
      <c r="YQ7" s="24">
        <v>17</v>
      </c>
      <c r="YR7" s="6" t="s">
        <v>25</v>
      </c>
      <c r="YS7" s="5">
        <f>IF(OR(ISNUMBER(YO7), ISNUMBER(YQ7)), IF(ISNUMBER(YO7), YO7, 0) + IF(ISNUMBER(YQ7), YQ7, 0), "")</f>
        <v>29</v>
      </c>
      <c r="YT7" s="3"/>
      <c r="YU7" s="7">
        <f t="shared" si="65"/>
        <v>0</v>
      </c>
      <c r="YV7" s="5"/>
      <c r="YW7" s="7" t="str">
        <f t="shared" si="253"/>
        <v/>
      </c>
      <c r="YY7" s="2">
        <v>6</v>
      </c>
      <c r="YZ7" s="6" t="s">
        <v>25</v>
      </c>
      <c r="ZA7" s="2">
        <v>19</v>
      </c>
      <c r="ZB7" s="6" t="s">
        <v>25</v>
      </c>
      <c r="ZC7" s="5">
        <f>IF(OR(ISNUMBER(YY7), ISNUMBER(ZA7)), IF(ISNUMBER(YY7), YY7, 0) + IF(ISNUMBER(ZA7), ZA7, 0), "")</f>
        <v>25</v>
      </c>
      <c r="ZD7" s="3"/>
      <c r="ZE7" s="7">
        <f t="shared" si="66"/>
        <v>4</v>
      </c>
      <c r="ZF7" s="5">
        <v>4</v>
      </c>
      <c r="ZG7" s="7">
        <f t="shared" si="255"/>
        <v>0</v>
      </c>
      <c r="ZI7" s="24">
        <v>6</v>
      </c>
      <c r="ZJ7" s="6" t="s">
        <v>25</v>
      </c>
      <c r="ZK7" s="24">
        <v>16</v>
      </c>
      <c r="ZL7" s="6" t="s">
        <v>25</v>
      </c>
      <c r="ZM7" s="5">
        <f>IF(OR(ISNUMBER(ZI7), ISNUMBER(ZK7)), IF(ISNUMBER(ZI7), ZI7, 0) + IF(ISNUMBER(ZK7), ZK7, 0), "")</f>
        <v>22</v>
      </c>
      <c r="ZN7" s="3"/>
      <c r="ZO7" s="7">
        <f t="shared" si="67"/>
        <v>3</v>
      </c>
      <c r="ZP7" s="5">
        <v>3</v>
      </c>
      <c r="ZQ7" s="7">
        <f t="shared" si="257"/>
        <v>0</v>
      </c>
      <c r="ZS7" s="24">
        <v>6</v>
      </c>
      <c r="ZT7" s="6" t="s">
        <v>25</v>
      </c>
      <c r="ZU7" s="24">
        <v>15</v>
      </c>
      <c r="ZV7" s="6" t="s">
        <v>25</v>
      </c>
      <c r="ZW7" s="5">
        <f>IF(OR(ISNUMBER(ZS7), ISNUMBER(ZU7)), IF(ISNUMBER(ZS7), ZS7, 0) + IF(ISNUMBER(ZU7), ZU7, 0), "")</f>
        <v>21</v>
      </c>
      <c r="ZX7" s="3"/>
      <c r="ZY7" s="7">
        <f t="shared" si="68"/>
        <v>1</v>
      </c>
      <c r="ZZ7" s="5">
        <v>1</v>
      </c>
      <c r="AAA7" s="7">
        <f t="shared" si="259"/>
        <v>0</v>
      </c>
      <c r="AAC7" s="24">
        <v>0</v>
      </c>
      <c r="AAD7" s="6" t="s">
        <v>25</v>
      </c>
      <c r="AAE7" s="24">
        <v>11</v>
      </c>
      <c r="AAF7" s="6" t="s">
        <v>25</v>
      </c>
      <c r="AAG7" s="5">
        <f>IF(OR(ISNUMBER(AAC7), ISNUMBER(AAE7)), IF(ISNUMBER(AAC7), AAC7, 0) + IF(ISNUMBER(AAE7), AAE7, 0), "")</f>
        <v>11</v>
      </c>
      <c r="AAH7" s="3">
        <v>1</v>
      </c>
      <c r="AAI7" s="7">
        <f t="shared" si="69"/>
        <v>10</v>
      </c>
      <c r="AAJ7" s="5">
        <v>10</v>
      </c>
      <c r="AAK7" s="7">
        <f t="shared" si="261"/>
        <v>0</v>
      </c>
      <c r="AAM7" s="24">
        <v>15</v>
      </c>
      <c r="AAN7" s="6" t="s">
        <v>25</v>
      </c>
      <c r="AAO7" s="24">
        <v>15</v>
      </c>
      <c r="AAP7" s="6" t="s">
        <v>25</v>
      </c>
      <c r="AAQ7" s="5">
        <f>IF(OR(ISNUMBER(AAM7), ISNUMBER(AAO7)), IF(ISNUMBER(AAM7), AAM7, 0) + IF(ISNUMBER(AAO7), AAO7, 0), "")</f>
        <v>30</v>
      </c>
      <c r="AAR7" s="3"/>
      <c r="AAS7" s="7">
        <f t="shared" si="70"/>
        <v>5</v>
      </c>
      <c r="AAT7" s="5">
        <v>5</v>
      </c>
      <c r="AAU7" s="7">
        <f t="shared" si="263"/>
        <v>0</v>
      </c>
      <c r="AAW7" s="2">
        <v>11</v>
      </c>
      <c r="AAX7" s="6" t="s">
        <v>25</v>
      </c>
      <c r="AAY7" s="2">
        <v>17</v>
      </c>
      <c r="AAZ7" s="6" t="s">
        <v>25</v>
      </c>
      <c r="ABA7" s="5">
        <f>IF(OR(ISNUMBER(AAW7), ISNUMBER(AAY7)), IF(ISNUMBER(AAW7), AAW7, 0) + IF(ISNUMBER(AAY7), AAY7, 0), "")</f>
        <v>28</v>
      </c>
      <c r="ABB7" s="3"/>
      <c r="ABC7" s="7">
        <f t="shared" si="71"/>
        <v>2</v>
      </c>
      <c r="ABD7" s="5">
        <v>2</v>
      </c>
      <c r="ABE7" s="7">
        <f t="shared" si="265"/>
        <v>0</v>
      </c>
      <c r="ABG7" s="24">
        <v>6</v>
      </c>
      <c r="ABH7" s="6" t="s">
        <v>25</v>
      </c>
      <c r="ABI7" s="24">
        <v>21</v>
      </c>
      <c r="ABJ7" s="6" t="s">
        <v>25</v>
      </c>
      <c r="ABK7" s="5">
        <f>IF(OR(ISNUMBER(ABG7), ISNUMBER(ABI7)), IF(ISNUMBER(ABG7), ABG7, 0) + IF(ISNUMBER(ABI7), ABI7, 0), "")</f>
        <v>27</v>
      </c>
      <c r="ABL7" s="3"/>
      <c r="ABM7" s="7">
        <f t="shared" si="72"/>
        <v>1</v>
      </c>
      <c r="ABN7" s="5">
        <v>1</v>
      </c>
      <c r="ABO7" s="7">
        <f t="shared" si="267"/>
        <v>0</v>
      </c>
      <c r="ABQ7" s="24">
        <v>0</v>
      </c>
      <c r="ABR7" s="6" t="s">
        <v>25</v>
      </c>
      <c r="ABS7" s="24">
        <v>20</v>
      </c>
      <c r="ABT7" s="6" t="s">
        <v>25</v>
      </c>
      <c r="ABU7" s="5">
        <f>IF(OR(ISNUMBER(ABQ7), ISNUMBER(ABS7)), IF(ISNUMBER(ABQ7), ABQ7, 0) + IF(ISNUMBER(ABS7), ABS7, 0), "")</f>
        <v>20</v>
      </c>
      <c r="ABV7" s="3"/>
      <c r="ABW7" s="7">
        <f t="shared" si="73"/>
        <v>7</v>
      </c>
      <c r="ABX7" s="5">
        <v>7</v>
      </c>
      <c r="ABY7" s="7">
        <f t="shared" si="269"/>
        <v>0</v>
      </c>
      <c r="ACA7" s="24">
        <v>0</v>
      </c>
      <c r="ACB7" s="6" t="s">
        <v>25</v>
      </c>
      <c r="ACC7" s="24">
        <v>17</v>
      </c>
      <c r="ACD7" s="6" t="s">
        <v>25</v>
      </c>
      <c r="ACE7" s="5">
        <f>IF(OR(ISNUMBER(ACA7), ISNUMBER(ACC7)), IF(ISNUMBER(ACA7), ACA7, 0) + IF(ISNUMBER(ACC7), ACC7, 0), "")</f>
        <v>17</v>
      </c>
      <c r="ACF7" s="3"/>
      <c r="ACG7" s="7">
        <f t="shared" si="74"/>
        <v>3</v>
      </c>
      <c r="ACH7" s="5">
        <v>3</v>
      </c>
      <c r="ACI7" s="7">
        <f t="shared" si="271"/>
        <v>0</v>
      </c>
      <c r="ACK7" s="2">
        <v>0</v>
      </c>
      <c r="ACL7" s="6" t="s">
        <v>25</v>
      </c>
      <c r="ACM7" s="2">
        <v>15</v>
      </c>
      <c r="ACN7" s="6" t="s">
        <v>25</v>
      </c>
      <c r="ACO7" s="5">
        <f>IF(OR(ISNUMBER(ACK7), ISNUMBER(ACM7)), IF(ISNUMBER(ACK7), ACK7, 0) + IF(ISNUMBER(ACM7), ACM7, 0), "")</f>
        <v>15</v>
      </c>
      <c r="ACP7" s="3"/>
      <c r="ACQ7" s="7">
        <f t="shared" si="75"/>
        <v>2</v>
      </c>
      <c r="ACR7" s="5">
        <v>2</v>
      </c>
      <c r="ACS7" s="7">
        <f t="shared" si="273"/>
        <v>0</v>
      </c>
      <c r="ACU7" s="2">
        <v>0</v>
      </c>
      <c r="ACV7" s="6" t="s">
        <v>25</v>
      </c>
      <c r="ACW7" s="2">
        <v>12</v>
      </c>
      <c r="ACX7" s="6" t="s">
        <v>25</v>
      </c>
      <c r="ACY7" s="5">
        <f>IF(OR(ISNUMBER(ACU7), ISNUMBER(ACW7)), IF(ISNUMBER(ACU7), ACU7, 0) + IF(ISNUMBER(ACW7), ACW7, 0), "")</f>
        <v>12</v>
      </c>
      <c r="ACZ7" s="3"/>
      <c r="ADA7" s="7">
        <f t="shared" si="76"/>
        <v>3</v>
      </c>
      <c r="ADB7" s="5">
        <v>3</v>
      </c>
      <c r="ADC7" s="7">
        <f t="shared" si="275"/>
        <v>0</v>
      </c>
      <c r="ADE7" s="24">
        <v>0</v>
      </c>
      <c r="ADF7" s="6" t="s">
        <v>25</v>
      </c>
      <c r="ADG7" s="24">
        <v>10</v>
      </c>
      <c r="ADH7" s="6" t="s">
        <v>25</v>
      </c>
      <c r="ADI7" s="5">
        <f>IF(OR(ISNUMBER(ADE7), ISNUMBER(ADG7)), IF(ISNUMBER(ADE7), ADE7, 0) + IF(ISNUMBER(ADG7), ADG7, 0), "")</f>
        <v>10</v>
      </c>
      <c r="ADJ7" s="3">
        <v>1</v>
      </c>
      <c r="ADK7" s="7">
        <f t="shared" si="77"/>
        <v>2</v>
      </c>
      <c r="ADL7" s="5">
        <v>2</v>
      </c>
      <c r="ADM7" s="7">
        <f t="shared" si="277"/>
        <v>0</v>
      </c>
      <c r="ADO7" s="24">
        <v>12</v>
      </c>
      <c r="ADP7" s="6" t="s">
        <v>25</v>
      </c>
      <c r="ADQ7" s="24">
        <v>20</v>
      </c>
      <c r="ADR7" s="6" t="s">
        <v>25</v>
      </c>
      <c r="ADS7" s="5">
        <f>IF(OR(ISNUMBER(ADO7), ISNUMBER(ADQ7)), IF(ISNUMBER(ADO7), ADO7, 0) + IF(ISNUMBER(ADQ7), ADQ7, 0), "")</f>
        <v>32</v>
      </c>
      <c r="ADT7" s="3"/>
      <c r="ADU7" s="7">
        <f t="shared" si="78"/>
        <v>2</v>
      </c>
      <c r="ADV7" s="5">
        <v>2</v>
      </c>
      <c r="ADW7" s="7">
        <f t="shared" si="279"/>
        <v>0</v>
      </c>
      <c r="ADY7" s="24">
        <v>12</v>
      </c>
      <c r="ADZ7" s="6" t="s">
        <v>25</v>
      </c>
      <c r="AEA7" s="24">
        <v>17</v>
      </c>
      <c r="AEB7" s="6" t="s">
        <v>25</v>
      </c>
      <c r="AEC7" s="5">
        <f>IF(OR(ISNUMBER(ADY7), ISNUMBER(AEA7)), IF(ISNUMBER(ADY7), ADY7, 0) + IF(ISNUMBER(AEA7), AEA7, 0), "")</f>
        <v>29</v>
      </c>
      <c r="AED7" s="3"/>
      <c r="AEE7" s="7">
        <f t="shared" si="79"/>
        <v>3</v>
      </c>
      <c r="AEF7" s="5">
        <v>3</v>
      </c>
      <c r="AEG7" s="7">
        <f t="shared" si="281"/>
        <v>0</v>
      </c>
      <c r="AEI7" s="2">
        <v>12</v>
      </c>
      <c r="AEJ7" s="6" t="s">
        <v>25</v>
      </c>
      <c r="AEK7" s="2">
        <v>14</v>
      </c>
      <c r="AEL7" s="6" t="s">
        <v>25</v>
      </c>
      <c r="AEM7" s="5">
        <f>IF(OR(ISNUMBER(AEI7), ISNUMBER(AEK7)), IF(ISNUMBER(AEI7), AEI7, 0) + IF(ISNUMBER(AEK7), AEK7, 0), "")</f>
        <v>26</v>
      </c>
      <c r="AEN7" s="3"/>
      <c r="AEO7" s="7">
        <f t="shared" si="80"/>
        <v>3</v>
      </c>
      <c r="AEP7" s="5">
        <v>3</v>
      </c>
      <c r="AEQ7" s="7">
        <f t="shared" si="283"/>
        <v>0</v>
      </c>
      <c r="AES7" s="24">
        <v>12</v>
      </c>
      <c r="AET7" s="6" t="s">
        <v>25</v>
      </c>
      <c r="AEU7" s="24">
        <v>14</v>
      </c>
      <c r="AEV7" s="6" t="s">
        <v>25</v>
      </c>
      <c r="AEW7" s="5">
        <f>IF(OR(ISNUMBER(AES7), ISNUMBER(AEU7)), IF(ISNUMBER(AES7), AES7, 0) + IF(ISNUMBER(AEU7), AEU7, 0), "")</f>
        <v>26</v>
      </c>
      <c r="AEX7" s="3"/>
      <c r="AEY7" s="7">
        <f t="shared" si="81"/>
        <v>0</v>
      </c>
      <c r="AEZ7" s="5"/>
      <c r="AFA7" s="7" t="str">
        <f t="shared" si="285"/>
        <v/>
      </c>
      <c r="AFC7" s="24">
        <v>0</v>
      </c>
      <c r="AFD7" s="6" t="s">
        <v>25</v>
      </c>
      <c r="AFE7" s="24">
        <v>24</v>
      </c>
      <c r="AFF7" s="6" t="s">
        <v>25</v>
      </c>
      <c r="AFG7" s="5">
        <f>IF(OR(ISNUMBER(AFC7), ISNUMBER(AFE7)), IF(ISNUMBER(AFC7), AFC7, 0) + IF(ISNUMBER(AFE7), AFE7, 0), "")</f>
        <v>24</v>
      </c>
      <c r="AFH7" s="3"/>
      <c r="AFI7" s="7">
        <f t="shared" si="82"/>
        <v>2</v>
      </c>
      <c r="AFJ7" s="5">
        <v>2</v>
      </c>
      <c r="AFK7" s="7">
        <f t="shared" si="287"/>
        <v>0</v>
      </c>
      <c r="AFM7" s="2">
        <v>0</v>
      </c>
      <c r="AFN7" s="6" t="s">
        <v>25</v>
      </c>
      <c r="AFO7" s="2">
        <v>22</v>
      </c>
      <c r="AFP7" s="6" t="s">
        <v>25</v>
      </c>
      <c r="AFQ7" s="5">
        <f>IF(OR(ISNUMBER(AFM7), ISNUMBER(AFO7)), IF(ISNUMBER(AFM7), AFM7, 0) + IF(ISNUMBER(AFO7), AFO7, 0), "")</f>
        <v>22</v>
      </c>
      <c r="AFR7" s="3"/>
      <c r="AFS7" s="7">
        <f t="shared" si="83"/>
        <v>2</v>
      </c>
      <c r="AFT7" s="5">
        <v>2</v>
      </c>
      <c r="AFU7" s="7">
        <f t="shared" si="289"/>
        <v>0</v>
      </c>
      <c r="AFW7" s="2">
        <v>0</v>
      </c>
      <c r="AFX7" s="6" t="s">
        <v>25</v>
      </c>
      <c r="AFY7" s="2">
        <v>20</v>
      </c>
      <c r="AFZ7" s="6" t="s">
        <v>25</v>
      </c>
      <c r="AGA7" s="5">
        <f>IF(OR(ISNUMBER(AFW7), ISNUMBER(AFY7)), IF(ISNUMBER(AFW7), AFW7, 0) + IF(ISNUMBER(AFY7), AFY7, 0), "")</f>
        <v>20</v>
      </c>
      <c r="AGB7" s="3"/>
      <c r="AGC7" s="7">
        <f t="shared" si="84"/>
        <v>2</v>
      </c>
      <c r="AGD7" s="5">
        <v>2</v>
      </c>
      <c r="AGE7" s="7">
        <f t="shared" si="291"/>
        <v>0</v>
      </c>
      <c r="AGG7" s="2">
        <v>0</v>
      </c>
      <c r="AGH7" s="6" t="s">
        <v>25</v>
      </c>
      <c r="AGI7" s="2">
        <v>17</v>
      </c>
      <c r="AGJ7" s="6" t="s">
        <v>25</v>
      </c>
      <c r="AGK7" s="5">
        <f>IF(OR(ISNUMBER(AGG7), ISNUMBER(AGI7)), IF(ISNUMBER(AGG7), AGG7, 0) + IF(ISNUMBER(AGI7), AGI7, 0), "")</f>
        <v>17</v>
      </c>
      <c r="AGL7" s="3"/>
      <c r="AGM7" s="7">
        <f t="shared" si="85"/>
        <v>3</v>
      </c>
      <c r="AGN7" s="5">
        <v>3</v>
      </c>
      <c r="AGO7" s="7">
        <f t="shared" si="293"/>
        <v>0</v>
      </c>
      <c r="AGQ7" s="24">
        <v>0</v>
      </c>
      <c r="AGR7" s="6" t="s">
        <v>25</v>
      </c>
      <c r="AGS7" s="24">
        <v>15</v>
      </c>
      <c r="AGT7" s="6" t="s">
        <v>25</v>
      </c>
      <c r="AGU7" s="5">
        <f>IF(OR(ISNUMBER(AGQ7), ISNUMBER(AGS7)), IF(ISNUMBER(AGQ7), AGQ7, 0) + IF(ISNUMBER(AGS7), AGS7, 0), "")</f>
        <v>15</v>
      </c>
      <c r="AGV7" s="3"/>
      <c r="AGW7" s="7">
        <f t="shared" si="86"/>
        <v>2</v>
      </c>
      <c r="AGX7" s="5">
        <v>2</v>
      </c>
      <c r="AGY7" s="7">
        <f t="shared" si="295"/>
        <v>0</v>
      </c>
      <c r="AHA7" s="24">
        <v>0</v>
      </c>
      <c r="AHB7" s="6" t="s">
        <v>25</v>
      </c>
      <c r="AHC7" s="24">
        <v>10</v>
      </c>
      <c r="AHD7" s="6" t="s">
        <v>25</v>
      </c>
      <c r="AHE7" s="5">
        <f>IF(OR(ISNUMBER(AHA7), ISNUMBER(AHC7)), IF(ISNUMBER(AHA7), AHA7, 0) + IF(ISNUMBER(AHC7), AHC7, 0), "")</f>
        <v>10</v>
      </c>
      <c r="AHF7" s="3">
        <v>1</v>
      </c>
      <c r="AHG7" s="7">
        <f t="shared" si="87"/>
        <v>5</v>
      </c>
      <c r="AHH7" s="5">
        <v>4</v>
      </c>
      <c r="AHI7" s="10">
        <f t="shared" si="88"/>
        <v>-1</v>
      </c>
      <c r="AHK7" s="24">
        <v>24</v>
      </c>
      <c r="AHL7" s="6" t="s">
        <v>25</v>
      </c>
      <c r="AHM7" s="24">
        <v>2</v>
      </c>
      <c r="AHN7" s="6" t="s">
        <v>25</v>
      </c>
      <c r="AHO7" s="5">
        <f>IF(OR(ISNUMBER(AHK7), ISNUMBER(AHM7)), IF(ISNUMBER(AHK7), AHK7, 0) + IF(ISNUMBER(AHM7), AHM7, 0), "")</f>
        <v>26</v>
      </c>
      <c r="AHP7" s="3"/>
      <c r="AHQ7" s="7">
        <f t="shared" si="89"/>
        <v>8</v>
      </c>
      <c r="AHR7" s="5">
        <v>8</v>
      </c>
      <c r="AHS7" s="10">
        <f t="shared" si="90"/>
        <v>0</v>
      </c>
      <c r="AHU7" s="2">
        <v>0</v>
      </c>
      <c r="AHV7" s="6" t="s">
        <v>25</v>
      </c>
      <c r="AHW7" s="2">
        <v>23</v>
      </c>
      <c r="AHX7" s="6" t="s">
        <v>25</v>
      </c>
      <c r="AHY7" s="5">
        <f>IF(OR(ISNUMBER(AHU7), ISNUMBER(AHW7)), IF(ISNUMBER(AHU7), AHU7, 0) + IF(ISNUMBER(AHW7), AHW7, 0), "")</f>
        <v>23</v>
      </c>
      <c r="AHZ7" s="3"/>
      <c r="AIA7" s="7">
        <f t="shared" si="91"/>
        <v>3</v>
      </c>
      <c r="AIB7" s="5">
        <v>3</v>
      </c>
      <c r="AIC7" s="10">
        <f t="shared" si="92"/>
        <v>0</v>
      </c>
      <c r="AIE7" s="24">
        <v>0</v>
      </c>
      <c r="AIF7" s="6" t="s">
        <v>25</v>
      </c>
      <c r="AIG7" s="24">
        <v>20</v>
      </c>
      <c r="AIH7" s="6" t="s">
        <v>25</v>
      </c>
      <c r="AII7" s="5">
        <f>IF(OR(ISNUMBER(AIE7), ISNUMBER(AIG7)), IF(ISNUMBER(AIE7), AIE7, 0) + IF(ISNUMBER(AIG7), AIG7, 0), "")</f>
        <v>20</v>
      </c>
      <c r="AIJ7" s="3"/>
      <c r="AIK7" s="7">
        <f t="shared" si="93"/>
        <v>3</v>
      </c>
      <c r="AIL7" s="5">
        <v>3</v>
      </c>
      <c r="AIM7" s="10">
        <f t="shared" si="94"/>
        <v>0</v>
      </c>
      <c r="AIO7" s="24"/>
      <c r="AIP7" s="6" t="s">
        <v>25</v>
      </c>
      <c r="AIQ7" s="24">
        <v>16</v>
      </c>
      <c r="AIR7" s="6" t="s">
        <v>25</v>
      </c>
      <c r="AIS7" s="5">
        <f>IF(OR(ISNUMBER(AIO7), ISNUMBER(AIQ7)), IF(ISNUMBER(AIO7), AIO7, 0) + IF(ISNUMBER(AIQ7), AIQ7, 0), "")</f>
        <v>16</v>
      </c>
      <c r="AIT7" s="3"/>
      <c r="AIU7" s="7">
        <f t="shared" si="95"/>
        <v>4</v>
      </c>
      <c r="AIV7" s="5">
        <v>4</v>
      </c>
      <c r="AIW7" s="10">
        <f t="shared" si="96"/>
        <v>0</v>
      </c>
      <c r="AIY7" s="2">
        <v>0</v>
      </c>
      <c r="AIZ7" s="6" t="s">
        <v>25</v>
      </c>
      <c r="AJA7" s="2">
        <v>14</v>
      </c>
      <c r="AJB7" s="6" t="s">
        <v>25</v>
      </c>
      <c r="AJC7" s="5">
        <f>IF(OR(ISNUMBER(AIY7), ISNUMBER(AJA7)), IF(ISNUMBER(AIY7), AIY7, 0) + IF(ISNUMBER(AJA7), AJA7, 0), "")</f>
        <v>14</v>
      </c>
      <c r="AJD7" s="3"/>
      <c r="AJE7" s="7">
        <f t="shared" si="97"/>
        <v>2</v>
      </c>
      <c r="AJF7" s="5">
        <v>4</v>
      </c>
      <c r="AJG7" s="10">
        <f t="shared" si="98"/>
        <v>2</v>
      </c>
      <c r="AJI7" s="24">
        <v>0</v>
      </c>
      <c r="AJJ7" s="6" t="s">
        <v>25</v>
      </c>
      <c r="AJK7" s="24">
        <v>9</v>
      </c>
      <c r="AJL7" s="6" t="s">
        <v>25</v>
      </c>
      <c r="AJM7" s="5">
        <f>IF(OR(ISNUMBER(AJI7), ISNUMBER(AJK7)), IF(ISNUMBER(AJI7), AJI7, 0) + IF(ISNUMBER(AJK7), AJK7, 0), "")</f>
        <v>9</v>
      </c>
      <c r="AJN7" s="3">
        <v>1</v>
      </c>
      <c r="AJO7" s="7">
        <f t="shared" si="99"/>
        <v>5</v>
      </c>
      <c r="AJP7" s="5">
        <v>4</v>
      </c>
      <c r="AJQ7" s="10">
        <f t="shared" si="100"/>
        <v>-1</v>
      </c>
      <c r="AJS7" s="2">
        <v>18</v>
      </c>
      <c r="AJT7" s="6" t="s">
        <v>25</v>
      </c>
      <c r="AJU7" s="2">
        <v>4</v>
      </c>
      <c r="AJV7" s="6" t="s">
        <v>25</v>
      </c>
      <c r="AJW7" s="5">
        <f>IF(OR(ISNUMBER(AJS7), ISNUMBER(AJU7)), IF(ISNUMBER(AJS7), AJS7, 0) + IF(ISNUMBER(AJU7), AJU7, 0), "")</f>
        <v>22</v>
      </c>
      <c r="AJX7" s="3"/>
      <c r="AJY7" s="7">
        <f t="shared" si="101"/>
        <v>11</v>
      </c>
      <c r="AJZ7" s="5">
        <v>11</v>
      </c>
      <c r="AKA7" s="10">
        <f t="shared" si="102"/>
        <v>0</v>
      </c>
      <c r="AKC7" s="24">
        <v>0</v>
      </c>
      <c r="AKD7" s="6" t="s">
        <v>25</v>
      </c>
      <c r="AKE7" s="24">
        <v>14</v>
      </c>
      <c r="AKF7" s="6" t="s">
        <v>25</v>
      </c>
      <c r="AKG7" s="5">
        <f>IF(OR(ISNUMBER(AKC7), ISNUMBER(AKE7)), IF(ISNUMBER(AKC7), AKC7, 0) + IF(ISNUMBER(AKE7), AKE7, 0), "")</f>
        <v>14</v>
      </c>
      <c r="AKH7" s="3">
        <v>1</v>
      </c>
      <c r="AKI7" s="7">
        <f t="shared" si="103"/>
        <v>8</v>
      </c>
      <c r="AKJ7" s="5">
        <v>8</v>
      </c>
      <c r="AKK7" s="7">
        <f t="shared" si="305"/>
        <v>0</v>
      </c>
      <c r="AKM7" s="2">
        <v>0</v>
      </c>
      <c r="AKN7" s="6" t="s">
        <v>25</v>
      </c>
      <c r="AKO7" s="2">
        <v>35</v>
      </c>
      <c r="AKP7" s="6" t="s">
        <v>25</v>
      </c>
      <c r="AKQ7" s="5">
        <f>IF(OR(ISNUMBER(AKM7), ISNUMBER(AKO7)), IF(ISNUMBER(AKM7), AKM7, 0) + IF(ISNUMBER(AKO7), AKO7, 0), "")</f>
        <v>35</v>
      </c>
      <c r="AKR7" s="3"/>
      <c r="AKS7" s="7">
        <f t="shared" si="104"/>
        <v>3</v>
      </c>
      <c r="AKT7" s="5">
        <v>3</v>
      </c>
      <c r="AKU7" s="7">
        <f t="shared" si="307"/>
        <v>0</v>
      </c>
      <c r="AKW7" s="2">
        <v>0</v>
      </c>
      <c r="AKX7" s="6" t="s">
        <v>25</v>
      </c>
      <c r="AKY7" s="2">
        <v>31</v>
      </c>
      <c r="AKZ7" s="6" t="s">
        <v>25</v>
      </c>
      <c r="ALA7" s="5">
        <f>IF(OR(ISNUMBER(AKW7), ISNUMBER(AKY7)), IF(ISNUMBER(AKW7), AKW7, 0) + IF(ISNUMBER(AKY7), AKY7, 0), "")</f>
        <v>31</v>
      </c>
      <c r="ALB7" s="3">
        <v>1</v>
      </c>
      <c r="ALC7" s="7">
        <f t="shared" si="105"/>
        <v>4</v>
      </c>
      <c r="ALD7" s="5">
        <v>4</v>
      </c>
      <c r="ALE7" s="7">
        <f t="shared" si="309"/>
        <v>0</v>
      </c>
      <c r="ALG7" s="2">
        <v>24</v>
      </c>
      <c r="ALH7" s="6" t="s">
        <v>25</v>
      </c>
      <c r="ALI7" s="2">
        <v>25</v>
      </c>
      <c r="ALJ7" s="6" t="s">
        <v>25</v>
      </c>
      <c r="ALK7" s="5">
        <f>IF(OR(ISNUMBER(ALG7), ISNUMBER(ALI7)), IF(ISNUMBER(ALG7), ALG7, 0) + IF(ISNUMBER(ALI7), ALI7, 0), "")</f>
        <v>49</v>
      </c>
      <c r="ALL7" s="3"/>
      <c r="ALM7" s="7">
        <f t="shared" si="106"/>
        <v>6</v>
      </c>
      <c r="ALN7" s="5">
        <v>6</v>
      </c>
      <c r="ALO7" s="7">
        <f t="shared" si="311"/>
        <v>0</v>
      </c>
      <c r="ALQ7" s="2">
        <v>24</v>
      </c>
      <c r="ALR7" s="6" t="s">
        <v>25</v>
      </c>
      <c r="ALS7" s="2">
        <v>19</v>
      </c>
      <c r="ALT7" s="6" t="s">
        <v>25</v>
      </c>
      <c r="ALU7" s="5">
        <f>IF(OR(ISNUMBER(ALQ7), ISNUMBER(ALS7)), IF(ISNUMBER(ALQ7), ALQ7, 0) + IF(ISNUMBER(ALS7), ALS7, 0), "")</f>
        <v>43</v>
      </c>
      <c r="ALV7" s="3"/>
      <c r="ALW7" s="7">
        <f t="shared" si="107"/>
        <v>6</v>
      </c>
      <c r="ALX7" s="5">
        <v>6</v>
      </c>
      <c r="ALY7" s="7">
        <f t="shared" si="313"/>
        <v>0</v>
      </c>
      <c r="AMA7" s="24">
        <v>0</v>
      </c>
      <c r="AMB7" s="6" t="s">
        <v>25</v>
      </c>
      <c r="AMC7" s="24">
        <v>36</v>
      </c>
      <c r="AMD7" s="6" t="s">
        <v>25</v>
      </c>
      <c r="AME7" s="5">
        <f>IF(OR(ISNUMBER(AMA7), ISNUMBER(AMC7)), IF(ISNUMBER(AMA7), AMA7, 0) + IF(ISNUMBER(AMC7), AMC7, 0), "")</f>
        <v>36</v>
      </c>
      <c r="AMF7" s="3"/>
      <c r="AMG7" s="7">
        <f t="shared" si="108"/>
        <v>7</v>
      </c>
      <c r="AMH7" s="5">
        <v>7</v>
      </c>
      <c r="AMI7" s="7">
        <f t="shared" si="315"/>
        <v>0</v>
      </c>
      <c r="AMK7" s="24">
        <v>0</v>
      </c>
      <c r="AML7" s="6" t="s">
        <v>25</v>
      </c>
      <c r="AMM7" s="24">
        <v>36</v>
      </c>
      <c r="AMN7" s="6" t="s">
        <v>25</v>
      </c>
      <c r="AMO7" s="5">
        <f>IF(OR(ISNUMBER(AMK7), ISNUMBER(AMM7)), IF(ISNUMBER(AMK7), AMK7, 0) + IF(ISNUMBER(AMM7), AMM7, 0), "")</f>
        <v>36</v>
      </c>
      <c r="AMP7" s="3"/>
      <c r="AMQ7" s="7">
        <f t="shared" si="109"/>
        <v>0</v>
      </c>
      <c r="AMR7" s="5"/>
      <c r="AMS7" s="7" t="str">
        <f t="shared" si="317"/>
        <v/>
      </c>
      <c r="AMU7" s="24">
        <v>0</v>
      </c>
      <c r="AMV7" s="6" t="s">
        <v>25</v>
      </c>
      <c r="AMW7" s="24">
        <v>36</v>
      </c>
      <c r="AMX7" s="6" t="s">
        <v>25</v>
      </c>
      <c r="AMY7" s="5">
        <f>IF(OR(ISNUMBER(AMU7), ISNUMBER(AMW7)), IF(ISNUMBER(AMU7), AMU7, 0) + IF(ISNUMBER(AMW7), AMW7, 0), "")</f>
        <v>36</v>
      </c>
      <c r="AMZ7" s="3"/>
      <c r="ANA7" s="7">
        <f t="shared" si="110"/>
        <v>0</v>
      </c>
      <c r="ANB7" s="5"/>
      <c r="ANC7" s="7" t="str">
        <f t="shared" si="319"/>
        <v/>
      </c>
      <c r="ANE7" s="24">
        <v>0</v>
      </c>
      <c r="ANF7" s="6" t="s">
        <v>25</v>
      </c>
      <c r="ANG7" s="24">
        <v>30</v>
      </c>
      <c r="ANH7" s="6" t="s">
        <v>25</v>
      </c>
      <c r="ANI7" s="5">
        <f>IF(OR(ISNUMBER(ANE7), ISNUMBER(ANG7)), IF(ISNUMBER(ANE7), ANE7, 0) + IF(ISNUMBER(ANG7), ANG7, 0), "")</f>
        <v>30</v>
      </c>
      <c r="ANJ7" s="3"/>
      <c r="ANK7" s="7">
        <f t="shared" si="111"/>
        <v>6</v>
      </c>
      <c r="ANL7" s="5">
        <v>6</v>
      </c>
      <c r="ANM7" s="7">
        <f t="shared" si="321"/>
        <v>0</v>
      </c>
      <c r="ANO7" s="24">
        <v>0</v>
      </c>
      <c r="ANP7" s="6" t="s">
        <v>25</v>
      </c>
      <c r="ANQ7" s="24">
        <v>20</v>
      </c>
      <c r="ANR7" s="6" t="s">
        <v>25</v>
      </c>
      <c r="ANS7" s="5">
        <f>IF(OR(ISNUMBER(ANO7), ISNUMBER(ANQ7)), IF(ISNUMBER(ANO7), ANO7, 0) + IF(ISNUMBER(ANQ7), ANQ7, 0), "")</f>
        <v>20</v>
      </c>
      <c r="ANT7" s="3"/>
      <c r="ANU7" s="7">
        <f t="shared" si="112"/>
        <v>10</v>
      </c>
      <c r="ANV7" s="5">
        <v>10</v>
      </c>
      <c r="ANW7" s="7">
        <f t="shared" si="323"/>
        <v>0</v>
      </c>
      <c r="ANY7" s="24">
        <v>0</v>
      </c>
      <c r="ANZ7" s="6" t="s">
        <v>25</v>
      </c>
      <c r="AOA7" s="24">
        <v>16</v>
      </c>
      <c r="AOB7" s="6" t="s">
        <v>25</v>
      </c>
      <c r="AOC7" s="5">
        <f>IF(OR(ISNUMBER(ANY7), ISNUMBER(AOA7)), IF(ISNUMBER(ANY7), ANY7, 0) + IF(ISNUMBER(AOA7), AOA7, 0), "")</f>
        <v>16</v>
      </c>
      <c r="AOD7" s="3">
        <v>1</v>
      </c>
      <c r="AOE7" s="7">
        <f t="shared" si="113"/>
        <v>4</v>
      </c>
      <c r="AOF7" s="5">
        <v>4</v>
      </c>
      <c r="AOG7" s="7">
        <f t="shared" si="325"/>
        <v>0</v>
      </c>
      <c r="AOI7" s="24">
        <v>24</v>
      </c>
      <c r="AOJ7" s="6" t="s">
        <v>25</v>
      </c>
      <c r="AOK7" s="24">
        <v>14</v>
      </c>
      <c r="AOL7" s="6" t="s">
        <v>25</v>
      </c>
      <c r="AOM7" s="5">
        <f>IF(OR(ISNUMBER(AOI7), ISNUMBER(AOK7)), IF(ISNUMBER(AOI7), AOI7, 0) + IF(ISNUMBER(AOK7), AOK7, 0), "")</f>
        <v>38</v>
      </c>
      <c r="AON7" s="3"/>
      <c r="AOO7" s="7">
        <f t="shared" si="114"/>
        <v>2</v>
      </c>
      <c r="AOP7" s="5">
        <v>2</v>
      </c>
      <c r="AOQ7" s="7">
        <f t="shared" si="327"/>
        <v>0</v>
      </c>
      <c r="AOS7" s="24">
        <v>24</v>
      </c>
      <c r="AOT7" s="6" t="s">
        <v>25</v>
      </c>
      <c r="AOU7" s="24">
        <v>10</v>
      </c>
      <c r="AOV7" s="6" t="s">
        <v>25</v>
      </c>
      <c r="AOW7" s="5">
        <f>IF(OR(ISNUMBER(AOS7), ISNUMBER(AOU7)), IF(ISNUMBER(AOS7), AOS7, 0) + IF(ISNUMBER(AOU7), AOU7, 0), "")</f>
        <v>34</v>
      </c>
      <c r="AOX7" s="3"/>
      <c r="AOY7" s="7">
        <f t="shared" si="115"/>
        <v>4</v>
      </c>
      <c r="AOZ7" s="5">
        <v>4</v>
      </c>
      <c r="APA7" s="7">
        <f t="shared" si="329"/>
        <v>0</v>
      </c>
      <c r="APC7" s="24">
        <v>24</v>
      </c>
      <c r="APD7" s="6" t="s">
        <v>25</v>
      </c>
      <c r="APE7" s="24">
        <v>8</v>
      </c>
      <c r="APF7" s="6" t="s">
        <v>25</v>
      </c>
      <c r="APG7" s="5">
        <f>IF(OR(ISNUMBER(APC7), ISNUMBER(APE7)), IF(ISNUMBER(APC7), APC7, 0) + IF(ISNUMBER(APE7), APE7, 0), "")</f>
        <v>32</v>
      </c>
      <c r="APH7" s="3"/>
      <c r="API7" s="7">
        <f t="shared" si="116"/>
        <v>2</v>
      </c>
      <c r="APJ7" s="5">
        <v>2</v>
      </c>
      <c r="APK7" s="7">
        <f t="shared" si="331"/>
        <v>0</v>
      </c>
      <c r="APM7" s="24">
        <v>24</v>
      </c>
      <c r="APN7" s="6" t="s">
        <v>25</v>
      </c>
      <c r="APO7" s="24">
        <v>7</v>
      </c>
      <c r="APP7" s="6" t="s">
        <v>25</v>
      </c>
      <c r="APQ7" s="5">
        <f>IF(OR(ISNUMBER(APM7), ISNUMBER(APO7)), IF(ISNUMBER(APM7), APM7, 0) + IF(ISNUMBER(APO7), APO7, 0), "")</f>
        <v>31</v>
      </c>
      <c r="APR7" s="3"/>
      <c r="APS7" s="7">
        <f t="shared" si="117"/>
        <v>1</v>
      </c>
      <c r="APT7" s="5">
        <v>1</v>
      </c>
      <c r="APU7" s="7">
        <f t="shared" si="333"/>
        <v>0</v>
      </c>
      <c r="APW7" s="95">
        <v>24</v>
      </c>
      <c r="APX7" s="96" t="s">
        <v>25</v>
      </c>
      <c r="APY7" s="95">
        <v>4</v>
      </c>
      <c r="APZ7" s="96" t="s">
        <v>25</v>
      </c>
      <c r="AQA7" s="97">
        <f>IF(OR(ISNUMBER(APW7), ISNUMBER(APY7)), IF(ISNUMBER(APW7), APW7, 0) + IF(ISNUMBER(APY7), APY7, 0), "")</f>
        <v>28</v>
      </c>
      <c r="AQB7" s="98"/>
      <c r="AQC7" s="99">
        <f t="shared" si="118"/>
        <v>3</v>
      </c>
      <c r="AQD7" s="97">
        <v>3</v>
      </c>
      <c r="AQE7" s="99">
        <f t="shared" si="335"/>
        <v>0</v>
      </c>
      <c r="AQG7" s="2"/>
      <c r="AQH7" s="6" t="s">
        <v>25</v>
      </c>
      <c r="AQI7" s="2"/>
      <c r="AQJ7" s="6" t="s">
        <v>25</v>
      </c>
      <c r="AQK7" s="5" t="str">
        <f>IF(OR(ISNUMBER(AQG7), ISNUMBER(AQI7)), IF(ISNUMBER(AQG7), AQG7, 0) + IF(ISNUMBER(AQI7), AQI7, 0), "")</f>
        <v/>
      </c>
      <c r="AQL7" s="3"/>
      <c r="AQM7" s="7" t="str">
        <f t="shared" si="119"/>
        <v/>
      </c>
      <c r="AQN7" s="5"/>
      <c r="AQO7" s="7" t="str">
        <f t="shared" si="337"/>
        <v/>
      </c>
    </row>
    <row r="8" spans="1:1133" ht="12.75" customHeight="1" x14ac:dyDescent="0.2">
      <c r="B8" s="8"/>
      <c r="C8" s="8"/>
      <c r="PI8" s="37"/>
      <c r="PJ8" s="38"/>
      <c r="PK8" s="37"/>
      <c r="PL8" s="38"/>
      <c r="APW8" s="100"/>
      <c r="APX8" s="101"/>
      <c r="APY8" s="100"/>
      <c r="APZ8" s="101"/>
      <c r="AQA8" s="100"/>
      <c r="AQB8" s="100"/>
      <c r="AQC8" s="100"/>
      <c r="AQD8" s="100"/>
      <c r="AQE8" s="100"/>
    </row>
    <row r="9" spans="1:1133" s="21" customFormat="1" ht="11.25" x14ac:dyDescent="0.2">
      <c r="A9" s="20" t="s">
        <v>30</v>
      </c>
      <c r="B9" s="4" t="s">
        <v>14</v>
      </c>
      <c r="C9" s="4" t="s">
        <v>15</v>
      </c>
      <c r="E9" s="74" t="s">
        <v>16</v>
      </c>
      <c r="F9" s="75"/>
      <c r="G9" s="74" t="s">
        <v>17</v>
      </c>
      <c r="H9" s="75"/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O9" s="74" t="s">
        <v>16</v>
      </c>
      <c r="P9" s="75"/>
      <c r="Q9" s="74" t="s">
        <v>17</v>
      </c>
      <c r="R9" s="75"/>
      <c r="S9" s="4" t="s">
        <v>18</v>
      </c>
      <c r="T9" s="4" t="s">
        <v>19</v>
      </c>
      <c r="U9" s="4" t="s">
        <v>20</v>
      </c>
      <c r="V9" s="4" t="s">
        <v>21</v>
      </c>
      <c r="W9" s="4" t="s">
        <v>22</v>
      </c>
      <c r="Y9" s="74" t="s">
        <v>16</v>
      </c>
      <c r="Z9" s="75"/>
      <c r="AA9" s="74" t="s">
        <v>17</v>
      </c>
      <c r="AB9" s="75"/>
      <c r="AC9" s="4" t="s">
        <v>18</v>
      </c>
      <c r="AD9" s="4" t="s">
        <v>19</v>
      </c>
      <c r="AE9" s="4" t="s">
        <v>20</v>
      </c>
      <c r="AF9" s="4" t="s">
        <v>21</v>
      </c>
      <c r="AG9" s="4" t="s">
        <v>22</v>
      </c>
      <c r="AI9" s="74" t="s">
        <v>16</v>
      </c>
      <c r="AJ9" s="75"/>
      <c r="AK9" s="74" t="s">
        <v>17</v>
      </c>
      <c r="AL9" s="75"/>
      <c r="AM9" s="4" t="s">
        <v>18</v>
      </c>
      <c r="AN9" s="4" t="s">
        <v>19</v>
      </c>
      <c r="AO9" s="4" t="s">
        <v>20</v>
      </c>
      <c r="AP9" s="4" t="s">
        <v>21</v>
      </c>
      <c r="AQ9" s="4" t="s">
        <v>22</v>
      </c>
      <c r="AS9" s="74" t="s">
        <v>16</v>
      </c>
      <c r="AT9" s="75"/>
      <c r="AU9" s="74" t="s">
        <v>17</v>
      </c>
      <c r="AV9" s="75"/>
      <c r="AW9" s="4" t="s">
        <v>18</v>
      </c>
      <c r="AX9" s="4" t="s">
        <v>19</v>
      </c>
      <c r="AY9" s="4" t="s">
        <v>20</v>
      </c>
      <c r="AZ9" s="4" t="s">
        <v>21</v>
      </c>
      <c r="BA9" s="4" t="s">
        <v>22</v>
      </c>
      <c r="BC9" s="74" t="s">
        <v>16</v>
      </c>
      <c r="BD9" s="75"/>
      <c r="BE9" s="74" t="s">
        <v>17</v>
      </c>
      <c r="BF9" s="75"/>
      <c r="BG9" s="4" t="s">
        <v>18</v>
      </c>
      <c r="BH9" s="4" t="s">
        <v>19</v>
      </c>
      <c r="BI9" s="4" t="s">
        <v>20</v>
      </c>
      <c r="BJ9" s="4" t="s">
        <v>21</v>
      </c>
      <c r="BK9" s="4" t="s">
        <v>22</v>
      </c>
      <c r="BM9" s="74" t="s">
        <v>16</v>
      </c>
      <c r="BN9" s="75"/>
      <c r="BO9" s="74" t="s">
        <v>17</v>
      </c>
      <c r="BP9" s="75"/>
      <c r="BQ9" s="4" t="s">
        <v>18</v>
      </c>
      <c r="BR9" s="4" t="s">
        <v>19</v>
      </c>
      <c r="BS9" s="4" t="s">
        <v>20</v>
      </c>
      <c r="BT9" s="4" t="s">
        <v>21</v>
      </c>
      <c r="BU9" s="4" t="s">
        <v>22</v>
      </c>
      <c r="BW9" s="74" t="s">
        <v>16</v>
      </c>
      <c r="BX9" s="75"/>
      <c r="BY9" s="74" t="s">
        <v>17</v>
      </c>
      <c r="BZ9" s="75"/>
      <c r="CA9" s="4" t="s">
        <v>18</v>
      </c>
      <c r="CB9" s="4" t="s">
        <v>19</v>
      </c>
      <c r="CC9" s="4" t="s">
        <v>20</v>
      </c>
      <c r="CD9" s="4" t="s">
        <v>21</v>
      </c>
      <c r="CE9" s="4" t="s">
        <v>22</v>
      </c>
      <c r="CG9" s="74" t="s">
        <v>16</v>
      </c>
      <c r="CH9" s="75"/>
      <c r="CI9" s="74" t="s">
        <v>17</v>
      </c>
      <c r="CJ9" s="75"/>
      <c r="CK9" s="4" t="s">
        <v>18</v>
      </c>
      <c r="CL9" s="4" t="s">
        <v>19</v>
      </c>
      <c r="CM9" s="4" t="s">
        <v>20</v>
      </c>
      <c r="CN9" s="4" t="s">
        <v>21</v>
      </c>
      <c r="CO9" s="4" t="s">
        <v>22</v>
      </c>
      <c r="CQ9" s="74" t="s">
        <v>16</v>
      </c>
      <c r="CR9" s="75"/>
      <c r="CS9" s="74" t="s">
        <v>17</v>
      </c>
      <c r="CT9" s="75"/>
      <c r="CU9" s="4" t="s">
        <v>18</v>
      </c>
      <c r="CV9" s="4" t="s">
        <v>19</v>
      </c>
      <c r="CW9" s="4" t="s">
        <v>20</v>
      </c>
      <c r="CX9" s="4" t="s">
        <v>21</v>
      </c>
      <c r="CY9" s="4" t="s">
        <v>22</v>
      </c>
      <c r="DA9" s="74" t="s">
        <v>16</v>
      </c>
      <c r="DB9" s="75"/>
      <c r="DC9" s="74" t="s">
        <v>17</v>
      </c>
      <c r="DD9" s="75"/>
      <c r="DE9" s="4" t="s">
        <v>18</v>
      </c>
      <c r="DF9" s="4" t="s">
        <v>19</v>
      </c>
      <c r="DG9" s="4" t="s">
        <v>20</v>
      </c>
      <c r="DH9" s="4" t="s">
        <v>21</v>
      </c>
      <c r="DI9" s="4" t="s">
        <v>22</v>
      </c>
      <c r="DK9" s="74" t="s">
        <v>16</v>
      </c>
      <c r="DL9" s="75"/>
      <c r="DM9" s="74" t="s">
        <v>17</v>
      </c>
      <c r="DN9" s="75"/>
      <c r="DO9" s="4" t="s">
        <v>18</v>
      </c>
      <c r="DP9" s="4" t="s">
        <v>19</v>
      </c>
      <c r="DQ9" s="4" t="s">
        <v>20</v>
      </c>
      <c r="DR9" s="4" t="s">
        <v>21</v>
      </c>
      <c r="DS9" s="4" t="s">
        <v>22</v>
      </c>
      <c r="DU9" s="74" t="s">
        <v>16</v>
      </c>
      <c r="DV9" s="75"/>
      <c r="DW9" s="74" t="s">
        <v>17</v>
      </c>
      <c r="DX9" s="75"/>
      <c r="DY9" s="4" t="s">
        <v>18</v>
      </c>
      <c r="DZ9" s="4" t="s">
        <v>19</v>
      </c>
      <c r="EA9" s="4" t="s">
        <v>20</v>
      </c>
      <c r="EB9" s="4" t="s">
        <v>21</v>
      </c>
      <c r="EC9" s="4" t="s">
        <v>22</v>
      </c>
      <c r="EE9" s="74" t="s">
        <v>16</v>
      </c>
      <c r="EF9" s="75"/>
      <c r="EG9" s="74" t="s">
        <v>17</v>
      </c>
      <c r="EH9" s="75"/>
      <c r="EI9" s="4" t="s">
        <v>18</v>
      </c>
      <c r="EJ9" s="4" t="s">
        <v>19</v>
      </c>
      <c r="EK9" s="4" t="s">
        <v>20</v>
      </c>
      <c r="EL9" s="4" t="s">
        <v>21</v>
      </c>
      <c r="EM9" s="4" t="s">
        <v>22</v>
      </c>
      <c r="EO9" s="74" t="s">
        <v>16</v>
      </c>
      <c r="EP9" s="75"/>
      <c r="EQ9" s="74" t="s">
        <v>17</v>
      </c>
      <c r="ER9" s="75"/>
      <c r="ES9" s="4" t="s">
        <v>18</v>
      </c>
      <c r="ET9" s="4" t="s">
        <v>19</v>
      </c>
      <c r="EU9" s="4" t="s">
        <v>20</v>
      </c>
      <c r="EV9" s="4" t="s">
        <v>21</v>
      </c>
      <c r="EW9" s="4" t="s">
        <v>22</v>
      </c>
      <c r="EY9" s="74" t="s">
        <v>16</v>
      </c>
      <c r="EZ9" s="75"/>
      <c r="FA9" s="74" t="s">
        <v>17</v>
      </c>
      <c r="FB9" s="75"/>
      <c r="FC9" s="4" t="s">
        <v>18</v>
      </c>
      <c r="FD9" s="4" t="s">
        <v>19</v>
      </c>
      <c r="FE9" s="4" t="s">
        <v>20</v>
      </c>
      <c r="FF9" s="4" t="s">
        <v>21</v>
      </c>
      <c r="FG9" s="4" t="s">
        <v>22</v>
      </c>
      <c r="FI9" s="74" t="s">
        <v>16</v>
      </c>
      <c r="FJ9" s="75"/>
      <c r="FK9" s="74" t="s">
        <v>17</v>
      </c>
      <c r="FL9" s="75"/>
      <c r="FM9" s="4" t="s">
        <v>18</v>
      </c>
      <c r="FN9" s="4" t="s">
        <v>19</v>
      </c>
      <c r="FO9" s="4" t="s">
        <v>20</v>
      </c>
      <c r="FP9" s="4" t="s">
        <v>21</v>
      </c>
      <c r="FQ9" s="4" t="s">
        <v>22</v>
      </c>
      <c r="FS9" s="74" t="s">
        <v>16</v>
      </c>
      <c r="FT9" s="75"/>
      <c r="FU9" s="74" t="s">
        <v>17</v>
      </c>
      <c r="FV9" s="75"/>
      <c r="FW9" s="4" t="s">
        <v>18</v>
      </c>
      <c r="FX9" s="4" t="s">
        <v>19</v>
      </c>
      <c r="FY9" s="4" t="s">
        <v>20</v>
      </c>
      <c r="FZ9" s="4" t="s">
        <v>21</v>
      </c>
      <c r="GA9" s="4" t="s">
        <v>22</v>
      </c>
      <c r="GC9" s="74" t="s">
        <v>16</v>
      </c>
      <c r="GD9" s="75"/>
      <c r="GE9" s="74" t="s">
        <v>17</v>
      </c>
      <c r="GF9" s="75"/>
      <c r="GG9" s="4" t="s">
        <v>18</v>
      </c>
      <c r="GH9" s="4" t="s">
        <v>19</v>
      </c>
      <c r="GI9" s="4" t="s">
        <v>20</v>
      </c>
      <c r="GJ9" s="4" t="s">
        <v>21</v>
      </c>
      <c r="GK9" s="4" t="s">
        <v>22</v>
      </c>
      <c r="GM9" s="74" t="s">
        <v>16</v>
      </c>
      <c r="GN9" s="75"/>
      <c r="GO9" s="74" t="s">
        <v>17</v>
      </c>
      <c r="GP9" s="75"/>
      <c r="GQ9" s="4" t="s">
        <v>18</v>
      </c>
      <c r="GR9" s="4" t="s">
        <v>19</v>
      </c>
      <c r="GS9" s="4" t="s">
        <v>20</v>
      </c>
      <c r="GT9" s="4" t="s">
        <v>21</v>
      </c>
      <c r="GU9" s="4" t="s">
        <v>22</v>
      </c>
      <c r="GW9" s="74" t="s">
        <v>16</v>
      </c>
      <c r="GX9" s="75"/>
      <c r="GY9" s="74" t="s">
        <v>17</v>
      </c>
      <c r="GZ9" s="75"/>
      <c r="HA9" s="4" t="s">
        <v>18</v>
      </c>
      <c r="HB9" s="4" t="s">
        <v>19</v>
      </c>
      <c r="HC9" s="4" t="s">
        <v>20</v>
      </c>
      <c r="HD9" s="4" t="s">
        <v>21</v>
      </c>
      <c r="HE9" s="4" t="s">
        <v>22</v>
      </c>
      <c r="HG9" s="74" t="s">
        <v>16</v>
      </c>
      <c r="HH9" s="75"/>
      <c r="HI9" s="74" t="s">
        <v>17</v>
      </c>
      <c r="HJ9" s="75"/>
      <c r="HK9" s="4" t="s">
        <v>18</v>
      </c>
      <c r="HL9" s="4" t="s">
        <v>19</v>
      </c>
      <c r="HM9" s="4" t="s">
        <v>20</v>
      </c>
      <c r="HN9" s="4" t="s">
        <v>21</v>
      </c>
      <c r="HO9" s="4" t="s">
        <v>22</v>
      </c>
      <c r="HQ9" s="74" t="s">
        <v>16</v>
      </c>
      <c r="HR9" s="75"/>
      <c r="HS9" s="74" t="s">
        <v>17</v>
      </c>
      <c r="HT9" s="75"/>
      <c r="HU9" s="4" t="s">
        <v>18</v>
      </c>
      <c r="HV9" s="4" t="s">
        <v>19</v>
      </c>
      <c r="HW9" s="4" t="s">
        <v>20</v>
      </c>
      <c r="HX9" s="4" t="s">
        <v>21</v>
      </c>
      <c r="HY9" s="4" t="s">
        <v>22</v>
      </c>
      <c r="IA9" s="74" t="s">
        <v>16</v>
      </c>
      <c r="IB9" s="75"/>
      <c r="IC9" s="74" t="s">
        <v>17</v>
      </c>
      <c r="ID9" s="75"/>
      <c r="IE9" s="4" t="s">
        <v>18</v>
      </c>
      <c r="IF9" s="4" t="s">
        <v>19</v>
      </c>
      <c r="IG9" s="4" t="s">
        <v>20</v>
      </c>
      <c r="IH9" s="4" t="s">
        <v>21</v>
      </c>
      <c r="II9" s="4" t="s">
        <v>22</v>
      </c>
      <c r="IK9" s="74" t="s">
        <v>16</v>
      </c>
      <c r="IL9" s="75"/>
      <c r="IM9" s="74" t="s">
        <v>17</v>
      </c>
      <c r="IN9" s="75"/>
      <c r="IO9" s="4" t="s">
        <v>18</v>
      </c>
      <c r="IP9" s="4" t="s">
        <v>19</v>
      </c>
      <c r="IQ9" s="4" t="s">
        <v>20</v>
      </c>
      <c r="IR9" s="4" t="s">
        <v>21</v>
      </c>
      <c r="IS9" s="4" t="s">
        <v>22</v>
      </c>
      <c r="IU9" s="74" t="s">
        <v>16</v>
      </c>
      <c r="IV9" s="75"/>
      <c r="IW9" s="74" t="s">
        <v>17</v>
      </c>
      <c r="IX9" s="75"/>
      <c r="IY9" s="4" t="s">
        <v>18</v>
      </c>
      <c r="IZ9" s="4" t="s">
        <v>19</v>
      </c>
      <c r="JA9" s="4" t="s">
        <v>20</v>
      </c>
      <c r="JB9" s="4" t="s">
        <v>21</v>
      </c>
      <c r="JC9" s="4" t="s">
        <v>22</v>
      </c>
      <c r="JE9" s="74" t="s">
        <v>16</v>
      </c>
      <c r="JF9" s="75"/>
      <c r="JG9" s="74" t="s">
        <v>17</v>
      </c>
      <c r="JH9" s="75"/>
      <c r="JI9" s="4" t="s">
        <v>18</v>
      </c>
      <c r="JJ9" s="4" t="s">
        <v>19</v>
      </c>
      <c r="JK9" s="4" t="s">
        <v>20</v>
      </c>
      <c r="JL9" s="4" t="s">
        <v>21</v>
      </c>
      <c r="JM9" s="4" t="s">
        <v>22</v>
      </c>
      <c r="JO9" s="74" t="s">
        <v>16</v>
      </c>
      <c r="JP9" s="75"/>
      <c r="JQ9" s="74" t="s">
        <v>17</v>
      </c>
      <c r="JR9" s="75"/>
      <c r="JS9" s="4" t="s">
        <v>18</v>
      </c>
      <c r="JT9" s="4" t="s">
        <v>19</v>
      </c>
      <c r="JU9" s="4" t="s">
        <v>20</v>
      </c>
      <c r="JV9" s="4" t="s">
        <v>21</v>
      </c>
      <c r="JW9" s="4" t="s">
        <v>22</v>
      </c>
      <c r="JY9" s="74" t="s">
        <v>16</v>
      </c>
      <c r="JZ9" s="75"/>
      <c r="KA9" s="74" t="s">
        <v>17</v>
      </c>
      <c r="KB9" s="75"/>
      <c r="KC9" s="4" t="s">
        <v>18</v>
      </c>
      <c r="KD9" s="4" t="s">
        <v>19</v>
      </c>
      <c r="KE9" s="4" t="s">
        <v>20</v>
      </c>
      <c r="KF9" s="4" t="s">
        <v>21</v>
      </c>
      <c r="KG9" s="4" t="s">
        <v>22</v>
      </c>
      <c r="KI9" s="74" t="s">
        <v>16</v>
      </c>
      <c r="KJ9" s="75"/>
      <c r="KK9" s="74" t="s">
        <v>17</v>
      </c>
      <c r="KL9" s="75"/>
      <c r="KM9" s="4" t="s">
        <v>18</v>
      </c>
      <c r="KN9" s="4" t="s">
        <v>19</v>
      </c>
      <c r="KO9" s="4" t="s">
        <v>20</v>
      </c>
      <c r="KP9" s="4" t="s">
        <v>21</v>
      </c>
      <c r="KQ9" s="4" t="s">
        <v>22</v>
      </c>
      <c r="KS9" s="74" t="s">
        <v>16</v>
      </c>
      <c r="KT9" s="75"/>
      <c r="KU9" s="74" t="s">
        <v>17</v>
      </c>
      <c r="KV9" s="75"/>
      <c r="KW9" s="4" t="s">
        <v>18</v>
      </c>
      <c r="KX9" s="4" t="s">
        <v>19</v>
      </c>
      <c r="KY9" s="4" t="s">
        <v>20</v>
      </c>
      <c r="KZ9" s="4" t="s">
        <v>21</v>
      </c>
      <c r="LA9" s="4" t="s">
        <v>22</v>
      </c>
      <c r="LC9" s="74" t="s">
        <v>16</v>
      </c>
      <c r="LD9" s="75"/>
      <c r="LE9" s="74" t="s">
        <v>17</v>
      </c>
      <c r="LF9" s="75"/>
      <c r="LG9" s="4" t="s">
        <v>18</v>
      </c>
      <c r="LH9" s="4" t="s">
        <v>19</v>
      </c>
      <c r="LI9" s="4" t="s">
        <v>20</v>
      </c>
      <c r="LJ9" s="4" t="s">
        <v>21</v>
      </c>
      <c r="LK9" s="4" t="s">
        <v>22</v>
      </c>
      <c r="LM9" s="74" t="s">
        <v>16</v>
      </c>
      <c r="LN9" s="75"/>
      <c r="LO9" s="74" t="s">
        <v>17</v>
      </c>
      <c r="LP9" s="75"/>
      <c r="LQ9" s="4" t="s">
        <v>18</v>
      </c>
      <c r="LR9" s="4" t="s">
        <v>19</v>
      </c>
      <c r="LS9" s="4" t="s">
        <v>20</v>
      </c>
      <c r="LT9" s="4" t="s">
        <v>21</v>
      </c>
      <c r="LU9" s="4" t="s">
        <v>22</v>
      </c>
      <c r="LW9" s="74" t="s">
        <v>16</v>
      </c>
      <c r="LX9" s="75"/>
      <c r="LY9" s="74" t="s">
        <v>17</v>
      </c>
      <c r="LZ9" s="75"/>
      <c r="MA9" s="4" t="s">
        <v>18</v>
      </c>
      <c r="MB9" s="4" t="s">
        <v>19</v>
      </c>
      <c r="MC9" s="4" t="s">
        <v>20</v>
      </c>
      <c r="MD9" s="4" t="s">
        <v>21</v>
      </c>
      <c r="ME9" s="4" t="s">
        <v>22</v>
      </c>
      <c r="MG9" s="74" t="s">
        <v>16</v>
      </c>
      <c r="MH9" s="75"/>
      <c r="MI9" s="74" t="s">
        <v>17</v>
      </c>
      <c r="MJ9" s="75"/>
      <c r="MK9" s="4" t="s">
        <v>18</v>
      </c>
      <c r="ML9" s="4" t="s">
        <v>19</v>
      </c>
      <c r="MM9" s="4" t="s">
        <v>20</v>
      </c>
      <c r="MN9" s="4" t="s">
        <v>21</v>
      </c>
      <c r="MO9" s="4" t="s">
        <v>22</v>
      </c>
      <c r="MQ9" s="74" t="s">
        <v>16</v>
      </c>
      <c r="MR9" s="75"/>
      <c r="MS9" s="74" t="s">
        <v>17</v>
      </c>
      <c r="MT9" s="75"/>
      <c r="MU9" s="4" t="s">
        <v>18</v>
      </c>
      <c r="MV9" s="4" t="s">
        <v>19</v>
      </c>
      <c r="MW9" s="4" t="s">
        <v>20</v>
      </c>
      <c r="MX9" s="4" t="s">
        <v>21</v>
      </c>
      <c r="MY9" s="4" t="s">
        <v>22</v>
      </c>
      <c r="NA9" s="74" t="s">
        <v>16</v>
      </c>
      <c r="NB9" s="75"/>
      <c r="NC9" s="74" t="s">
        <v>17</v>
      </c>
      <c r="ND9" s="75"/>
      <c r="NE9" s="4" t="s">
        <v>18</v>
      </c>
      <c r="NF9" s="4" t="s">
        <v>19</v>
      </c>
      <c r="NG9" s="4" t="s">
        <v>20</v>
      </c>
      <c r="NH9" s="4" t="s">
        <v>21</v>
      </c>
      <c r="NI9" s="4" t="s">
        <v>22</v>
      </c>
      <c r="NK9" s="74" t="s">
        <v>16</v>
      </c>
      <c r="NL9" s="75"/>
      <c r="NM9" s="74" t="s">
        <v>17</v>
      </c>
      <c r="NN9" s="75"/>
      <c r="NO9" s="4" t="s">
        <v>18</v>
      </c>
      <c r="NP9" s="4" t="s">
        <v>19</v>
      </c>
      <c r="NQ9" s="4" t="s">
        <v>20</v>
      </c>
      <c r="NR9" s="4" t="s">
        <v>21</v>
      </c>
      <c r="NS9" s="4" t="s">
        <v>22</v>
      </c>
      <c r="NU9" s="74" t="s">
        <v>16</v>
      </c>
      <c r="NV9" s="75"/>
      <c r="NW9" s="74" t="s">
        <v>17</v>
      </c>
      <c r="NX9" s="75"/>
      <c r="NY9" s="4" t="s">
        <v>18</v>
      </c>
      <c r="NZ9" s="4" t="s">
        <v>19</v>
      </c>
      <c r="OA9" s="4" t="s">
        <v>20</v>
      </c>
      <c r="OB9" s="4" t="s">
        <v>21</v>
      </c>
      <c r="OC9" s="4" t="s">
        <v>22</v>
      </c>
      <c r="OE9" s="74" t="s">
        <v>16</v>
      </c>
      <c r="OF9" s="75"/>
      <c r="OG9" s="74" t="s">
        <v>17</v>
      </c>
      <c r="OH9" s="75"/>
      <c r="OI9" s="4" t="s">
        <v>18</v>
      </c>
      <c r="OJ9" s="4" t="s">
        <v>19</v>
      </c>
      <c r="OK9" s="4" t="s">
        <v>20</v>
      </c>
      <c r="OL9" s="4" t="s">
        <v>21</v>
      </c>
      <c r="OM9" s="4" t="s">
        <v>22</v>
      </c>
      <c r="OO9" s="74" t="s">
        <v>16</v>
      </c>
      <c r="OP9" s="75"/>
      <c r="OQ9" s="74" t="s">
        <v>17</v>
      </c>
      <c r="OR9" s="75"/>
      <c r="OS9" s="4" t="s">
        <v>18</v>
      </c>
      <c r="OT9" s="4" t="s">
        <v>19</v>
      </c>
      <c r="OU9" s="4" t="s">
        <v>20</v>
      </c>
      <c r="OV9" s="4" t="s">
        <v>21</v>
      </c>
      <c r="OW9" s="4" t="s">
        <v>22</v>
      </c>
      <c r="OY9" s="74" t="s">
        <v>16</v>
      </c>
      <c r="OZ9" s="75"/>
      <c r="PA9" s="74" t="s">
        <v>17</v>
      </c>
      <c r="PB9" s="75"/>
      <c r="PC9" s="4" t="s">
        <v>18</v>
      </c>
      <c r="PD9" s="4" t="s">
        <v>19</v>
      </c>
      <c r="PE9" s="4" t="s">
        <v>20</v>
      </c>
      <c r="PF9" s="4" t="s">
        <v>21</v>
      </c>
      <c r="PG9" s="4" t="s">
        <v>22</v>
      </c>
      <c r="PI9" s="58" t="s">
        <v>16</v>
      </c>
      <c r="PJ9" s="60"/>
      <c r="PK9" s="58" t="s">
        <v>17</v>
      </c>
      <c r="PL9" s="60"/>
      <c r="PM9" s="4" t="s">
        <v>18</v>
      </c>
      <c r="PN9" s="4" t="s">
        <v>19</v>
      </c>
      <c r="PO9" s="4" t="s">
        <v>20</v>
      </c>
      <c r="PP9" s="4" t="s">
        <v>21</v>
      </c>
      <c r="PQ9" s="4" t="s">
        <v>22</v>
      </c>
      <c r="PS9" s="74" t="s">
        <v>16</v>
      </c>
      <c r="PT9" s="75"/>
      <c r="PU9" s="74" t="s">
        <v>17</v>
      </c>
      <c r="PV9" s="75"/>
      <c r="PW9" s="4" t="s">
        <v>18</v>
      </c>
      <c r="PX9" s="4" t="s">
        <v>19</v>
      </c>
      <c r="PY9" s="4" t="s">
        <v>20</v>
      </c>
      <c r="PZ9" s="4" t="s">
        <v>21</v>
      </c>
      <c r="QA9" s="4" t="s">
        <v>22</v>
      </c>
      <c r="QC9" s="74" t="s">
        <v>16</v>
      </c>
      <c r="QD9" s="75"/>
      <c r="QE9" s="74" t="s">
        <v>17</v>
      </c>
      <c r="QF9" s="75"/>
      <c r="QG9" s="4" t="s">
        <v>18</v>
      </c>
      <c r="QH9" s="4" t="s">
        <v>19</v>
      </c>
      <c r="QI9" s="4" t="s">
        <v>20</v>
      </c>
      <c r="QJ9" s="4" t="s">
        <v>21</v>
      </c>
      <c r="QK9" s="4" t="s">
        <v>22</v>
      </c>
      <c r="QM9" s="74" t="s">
        <v>16</v>
      </c>
      <c r="QN9" s="75"/>
      <c r="QO9" s="74" t="s">
        <v>17</v>
      </c>
      <c r="QP9" s="75"/>
      <c r="QQ9" s="4" t="s">
        <v>18</v>
      </c>
      <c r="QR9" s="4" t="s">
        <v>19</v>
      </c>
      <c r="QS9" s="4" t="s">
        <v>20</v>
      </c>
      <c r="QT9" s="4" t="s">
        <v>21</v>
      </c>
      <c r="QU9" s="4" t="s">
        <v>22</v>
      </c>
      <c r="QW9" s="74" t="s">
        <v>16</v>
      </c>
      <c r="QX9" s="75"/>
      <c r="QY9" s="74" t="s">
        <v>17</v>
      </c>
      <c r="QZ9" s="75"/>
      <c r="RA9" s="4" t="s">
        <v>18</v>
      </c>
      <c r="RB9" s="4" t="s">
        <v>19</v>
      </c>
      <c r="RC9" s="4" t="s">
        <v>20</v>
      </c>
      <c r="RD9" s="4" t="s">
        <v>21</v>
      </c>
      <c r="RE9" s="4" t="s">
        <v>22</v>
      </c>
      <c r="RG9" s="74" t="s">
        <v>16</v>
      </c>
      <c r="RH9" s="75"/>
      <c r="RI9" s="74" t="s">
        <v>17</v>
      </c>
      <c r="RJ9" s="75"/>
      <c r="RK9" s="4" t="s">
        <v>18</v>
      </c>
      <c r="RL9" s="4" t="s">
        <v>19</v>
      </c>
      <c r="RM9" s="4" t="s">
        <v>20</v>
      </c>
      <c r="RN9" s="4" t="s">
        <v>21</v>
      </c>
      <c r="RO9" s="4" t="s">
        <v>22</v>
      </c>
      <c r="RQ9" s="74" t="s">
        <v>16</v>
      </c>
      <c r="RR9" s="75"/>
      <c r="RS9" s="74" t="s">
        <v>17</v>
      </c>
      <c r="RT9" s="75"/>
      <c r="RU9" s="4" t="s">
        <v>18</v>
      </c>
      <c r="RV9" s="4" t="s">
        <v>19</v>
      </c>
      <c r="RW9" s="4" t="s">
        <v>20</v>
      </c>
      <c r="RX9" s="4" t="s">
        <v>21</v>
      </c>
      <c r="RY9" s="4" t="s">
        <v>22</v>
      </c>
      <c r="SA9" s="74" t="s">
        <v>16</v>
      </c>
      <c r="SB9" s="75"/>
      <c r="SC9" s="74" t="s">
        <v>17</v>
      </c>
      <c r="SD9" s="75"/>
      <c r="SE9" s="4" t="s">
        <v>18</v>
      </c>
      <c r="SF9" s="4" t="s">
        <v>19</v>
      </c>
      <c r="SG9" s="4" t="s">
        <v>20</v>
      </c>
      <c r="SH9" s="4" t="s">
        <v>21</v>
      </c>
      <c r="SI9" s="4" t="s">
        <v>22</v>
      </c>
      <c r="SK9" s="74" t="s">
        <v>16</v>
      </c>
      <c r="SL9" s="75"/>
      <c r="SM9" s="74" t="s">
        <v>17</v>
      </c>
      <c r="SN9" s="75"/>
      <c r="SO9" s="4" t="s">
        <v>18</v>
      </c>
      <c r="SP9" s="4" t="s">
        <v>19</v>
      </c>
      <c r="SQ9" s="4" t="s">
        <v>20</v>
      </c>
      <c r="SR9" s="4" t="s">
        <v>21</v>
      </c>
      <c r="SS9" s="4" t="s">
        <v>22</v>
      </c>
      <c r="SU9" s="74" t="s">
        <v>16</v>
      </c>
      <c r="SV9" s="75"/>
      <c r="SW9" s="74" t="s">
        <v>17</v>
      </c>
      <c r="SX9" s="75"/>
      <c r="SY9" s="4" t="s">
        <v>18</v>
      </c>
      <c r="SZ9" s="4" t="s">
        <v>19</v>
      </c>
      <c r="TA9" s="4" t="s">
        <v>20</v>
      </c>
      <c r="TB9" s="4" t="s">
        <v>21</v>
      </c>
      <c r="TC9" s="4" t="s">
        <v>22</v>
      </c>
      <c r="TE9" s="74" t="s">
        <v>16</v>
      </c>
      <c r="TF9" s="75"/>
      <c r="TG9" s="74" t="s">
        <v>17</v>
      </c>
      <c r="TH9" s="75"/>
      <c r="TI9" s="4" t="s">
        <v>18</v>
      </c>
      <c r="TJ9" s="4" t="s">
        <v>19</v>
      </c>
      <c r="TK9" s="4" t="s">
        <v>20</v>
      </c>
      <c r="TL9" s="4" t="s">
        <v>21</v>
      </c>
      <c r="TM9" s="4" t="s">
        <v>22</v>
      </c>
      <c r="TO9" s="74" t="s">
        <v>16</v>
      </c>
      <c r="TP9" s="75"/>
      <c r="TQ9" s="74" t="s">
        <v>17</v>
      </c>
      <c r="TR9" s="75"/>
      <c r="TS9" s="4" t="s">
        <v>18</v>
      </c>
      <c r="TT9" s="4" t="s">
        <v>19</v>
      </c>
      <c r="TU9" s="4" t="s">
        <v>20</v>
      </c>
      <c r="TV9" s="4" t="s">
        <v>21</v>
      </c>
      <c r="TW9" s="4" t="s">
        <v>22</v>
      </c>
      <c r="TY9" s="74" t="s">
        <v>16</v>
      </c>
      <c r="TZ9" s="75"/>
      <c r="UA9" s="74" t="s">
        <v>17</v>
      </c>
      <c r="UB9" s="75"/>
      <c r="UC9" s="4" t="s">
        <v>18</v>
      </c>
      <c r="UD9" s="4" t="s">
        <v>19</v>
      </c>
      <c r="UE9" s="4" t="s">
        <v>20</v>
      </c>
      <c r="UF9" s="4" t="s">
        <v>21</v>
      </c>
      <c r="UG9" s="4" t="s">
        <v>22</v>
      </c>
      <c r="UI9" s="74" t="s">
        <v>16</v>
      </c>
      <c r="UJ9" s="75"/>
      <c r="UK9" s="74" t="s">
        <v>17</v>
      </c>
      <c r="UL9" s="75"/>
      <c r="UM9" s="4" t="s">
        <v>18</v>
      </c>
      <c r="UN9" s="4" t="s">
        <v>19</v>
      </c>
      <c r="UO9" s="4" t="s">
        <v>20</v>
      </c>
      <c r="UP9" s="4" t="s">
        <v>21</v>
      </c>
      <c r="UQ9" s="4" t="s">
        <v>22</v>
      </c>
      <c r="US9" s="74" t="s">
        <v>16</v>
      </c>
      <c r="UT9" s="75"/>
      <c r="UU9" s="74" t="s">
        <v>17</v>
      </c>
      <c r="UV9" s="75"/>
      <c r="UW9" s="4" t="s">
        <v>18</v>
      </c>
      <c r="UX9" s="4" t="s">
        <v>19</v>
      </c>
      <c r="UY9" s="4" t="s">
        <v>20</v>
      </c>
      <c r="UZ9" s="4" t="s">
        <v>21</v>
      </c>
      <c r="VA9" s="4" t="s">
        <v>22</v>
      </c>
      <c r="VC9" s="74" t="s">
        <v>16</v>
      </c>
      <c r="VD9" s="75"/>
      <c r="VE9" s="74" t="s">
        <v>17</v>
      </c>
      <c r="VF9" s="75"/>
      <c r="VG9" s="4" t="s">
        <v>18</v>
      </c>
      <c r="VH9" s="4" t="s">
        <v>19</v>
      </c>
      <c r="VI9" s="4" t="s">
        <v>20</v>
      </c>
      <c r="VJ9" s="4" t="s">
        <v>21</v>
      </c>
      <c r="VK9" s="4" t="s">
        <v>22</v>
      </c>
      <c r="VM9" s="74" t="s">
        <v>16</v>
      </c>
      <c r="VN9" s="75"/>
      <c r="VO9" s="74" t="s">
        <v>17</v>
      </c>
      <c r="VP9" s="75"/>
      <c r="VQ9" s="4" t="s">
        <v>18</v>
      </c>
      <c r="VR9" s="4" t="s">
        <v>19</v>
      </c>
      <c r="VS9" s="4" t="s">
        <v>20</v>
      </c>
      <c r="VT9" s="4" t="s">
        <v>21</v>
      </c>
      <c r="VU9" s="4" t="s">
        <v>22</v>
      </c>
      <c r="VW9" s="74" t="s">
        <v>16</v>
      </c>
      <c r="VX9" s="75"/>
      <c r="VY9" s="74" t="s">
        <v>17</v>
      </c>
      <c r="VZ9" s="75"/>
      <c r="WA9" s="4" t="s">
        <v>18</v>
      </c>
      <c r="WB9" s="4" t="s">
        <v>19</v>
      </c>
      <c r="WC9" s="4" t="s">
        <v>20</v>
      </c>
      <c r="WD9" s="4" t="s">
        <v>21</v>
      </c>
      <c r="WE9" s="4" t="s">
        <v>22</v>
      </c>
      <c r="WG9" s="74" t="s">
        <v>16</v>
      </c>
      <c r="WH9" s="75"/>
      <c r="WI9" s="74" t="s">
        <v>17</v>
      </c>
      <c r="WJ9" s="75"/>
      <c r="WK9" s="4" t="s">
        <v>18</v>
      </c>
      <c r="WL9" s="4" t="s">
        <v>19</v>
      </c>
      <c r="WM9" s="4" t="s">
        <v>20</v>
      </c>
      <c r="WN9" s="4" t="s">
        <v>21</v>
      </c>
      <c r="WO9" s="4" t="s">
        <v>22</v>
      </c>
      <c r="WQ9" s="74" t="s">
        <v>16</v>
      </c>
      <c r="WR9" s="75"/>
      <c r="WS9" s="74" t="s">
        <v>17</v>
      </c>
      <c r="WT9" s="75"/>
      <c r="WU9" s="4" t="s">
        <v>18</v>
      </c>
      <c r="WV9" s="4" t="s">
        <v>19</v>
      </c>
      <c r="WW9" s="4" t="s">
        <v>20</v>
      </c>
      <c r="WX9" s="4" t="s">
        <v>21</v>
      </c>
      <c r="WY9" s="4" t="s">
        <v>22</v>
      </c>
      <c r="XA9" s="74" t="s">
        <v>16</v>
      </c>
      <c r="XB9" s="75"/>
      <c r="XC9" s="74" t="s">
        <v>17</v>
      </c>
      <c r="XD9" s="75"/>
      <c r="XE9" s="4" t="s">
        <v>18</v>
      </c>
      <c r="XF9" s="4" t="s">
        <v>19</v>
      </c>
      <c r="XG9" s="4" t="s">
        <v>20</v>
      </c>
      <c r="XH9" s="4" t="s">
        <v>21</v>
      </c>
      <c r="XI9" s="4" t="s">
        <v>22</v>
      </c>
      <c r="XK9" s="74" t="s">
        <v>16</v>
      </c>
      <c r="XL9" s="75"/>
      <c r="XM9" s="74" t="s">
        <v>17</v>
      </c>
      <c r="XN9" s="75"/>
      <c r="XO9" s="4" t="s">
        <v>18</v>
      </c>
      <c r="XP9" s="4" t="s">
        <v>19</v>
      </c>
      <c r="XQ9" s="4" t="s">
        <v>20</v>
      </c>
      <c r="XR9" s="4" t="s">
        <v>21</v>
      </c>
      <c r="XS9" s="4" t="s">
        <v>22</v>
      </c>
      <c r="XU9" s="74" t="s">
        <v>16</v>
      </c>
      <c r="XV9" s="75"/>
      <c r="XW9" s="74" t="s">
        <v>17</v>
      </c>
      <c r="XX9" s="75"/>
      <c r="XY9" s="4" t="s">
        <v>18</v>
      </c>
      <c r="XZ9" s="4" t="s">
        <v>19</v>
      </c>
      <c r="YA9" s="4" t="s">
        <v>20</v>
      </c>
      <c r="YB9" s="4" t="s">
        <v>21</v>
      </c>
      <c r="YC9" s="4" t="s">
        <v>22</v>
      </c>
      <c r="YE9" s="74" t="s">
        <v>16</v>
      </c>
      <c r="YF9" s="75"/>
      <c r="YG9" s="74" t="s">
        <v>17</v>
      </c>
      <c r="YH9" s="75"/>
      <c r="YI9" s="4" t="s">
        <v>18</v>
      </c>
      <c r="YJ9" s="4" t="s">
        <v>19</v>
      </c>
      <c r="YK9" s="4" t="s">
        <v>20</v>
      </c>
      <c r="YL9" s="4" t="s">
        <v>21</v>
      </c>
      <c r="YM9" s="4" t="s">
        <v>22</v>
      </c>
      <c r="YO9" s="74" t="s">
        <v>16</v>
      </c>
      <c r="YP9" s="75"/>
      <c r="YQ9" s="74" t="s">
        <v>17</v>
      </c>
      <c r="YR9" s="75"/>
      <c r="YS9" s="4" t="s">
        <v>18</v>
      </c>
      <c r="YT9" s="4" t="s">
        <v>19</v>
      </c>
      <c r="YU9" s="4" t="s">
        <v>20</v>
      </c>
      <c r="YV9" s="4" t="s">
        <v>21</v>
      </c>
      <c r="YW9" s="4" t="s">
        <v>22</v>
      </c>
      <c r="YY9" s="74" t="s">
        <v>16</v>
      </c>
      <c r="YZ9" s="75"/>
      <c r="ZA9" s="74" t="s">
        <v>17</v>
      </c>
      <c r="ZB9" s="75"/>
      <c r="ZC9" s="4" t="s">
        <v>18</v>
      </c>
      <c r="ZD9" s="4" t="s">
        <v>19</v>
      </c>
      <c r="ZE9" s="4" t="s">
        <v>20</v>
      </c>
      <c r="ZF9" s="4" t="s">
        <v>21</v>
      </c>
      <c r="ZG9" s="4" t="s">
        <v>22</v>
      </c>
      <c r="ZI9" s="74" t="s">
        <v>16</v>
      </c>
      <c r="ZJ9" s="75"/>
      <c r="ZK9" s="74" t="s">
        <v>17</v>
      </c>
      <c r="ZL9" s="75"/>
      <c r="ZM9" s="4" t="s">
        <v>18</v>
      </c>
      <c r="ZN9" s="4" t="s">
        <v>19</v>
      </c>
      <c r="ZO9" s="4" t="s">
        <v>20</v>
      </c>
      <c r="ZP9" s="4" t="s">
        <v>21</v>
      </c>
      <c r="ZQ9" s="4" t="s">
        <v>22</v>
      </c>
      <c r="ZR9" s="1"/>
      <c r="ZS9" s="74" t="s">
        <v>16</v>
      </c>
      <c r="ZT9" s="75"/>
      <c r="ZU9" s="74" t="s">
        <v>17</v>
      </c>
      <c r="ZV9" s="75"/>
      <c r="ZW9" s="4" t="s">
        <v>18</v>
      </c>
      <c r="ZX9" s="4" t="s">
        <v>19</v>
      </c>
      <c r="ZY9" s="4" t="s">
        <v>20</v>
      </c>
      <c r="ZZ9" s="4" t="s">
        <v>21</v>
      </c>
      <c r="AAA9" s="4" t="s">
        <v>22</v>
      </c>
      <c r="AAB9" s="1"/>
      <c r="AAC9" s="74" t="s">
        <v>16</v>
      </c>
      <c r="AAD9" s="75"/>
      <c r="AAE9" s="74" t="s">
        <v>17</v>
      </c>
      <c r="AAF9" s="75"/>
      <c r="AAG9" s="4" t="s">
        <v>18</v>
      </c>
      <c r="AAH9" s="4" t="s">
        <v>19</v>
      </c>
      <c r="AAI9" s="4" t="s">
        <v>20</v>
      </c>
      <c r="AAJ9" s="4" t="s">
        <v>21</v>
      </c>
      <c r="AAK9" s="4" t="s">
        <v>22</v>
      </c>
      <c r="AAL9" s="1"/>
      <c r="AAM9" s="74" t="s">
        <v>16</v>
      </c>
      <c r="AAN9" s="75"/>
      <c r="AAO9" s="74" t="s">
        <v>17</v>
      </c>
      <c r="AAP9" s="75"/>
      <c r="AAQ9" s="4" t="s">
        <v>18</v>
      </c>
      <c r="AAR9" s="4" t="s">
        <v>19</v>
      </c>
      <c r="AAS9" s="4" t="s">
        <v>20</v>
      </c>
      <c r="AAT9" s="4" t="s">
        <v>21</v>
      </c>
      <c r="AAU9" s="4" t="s">
        <v>22</v>
      </c>
      <c r="AAV9" s="1"/>
      <c r="AAW9" s="74" t="s">
        <v>16</v>
      </c>
      <c r="AAX9" s="75"/>
      <c r="AAY9" s="74" t="s">
        <v>17</v>
      </c>
      <c r="AAZ9" s="75"/>
      <c r="ABA9" s="4" t="s">
        <v>18</v>
      </c>
      <c r="ABB9" s="4" t="s">
        <v>19</v>
      </c>
      <c r="ABC9" s="4" t="s">
        <v>20</v>
      </c>
      <c r="ABD9" s="4" t="s">
        <v>21</v>
      </c>
      <c r="ABE9" s="4" t="s">
        <v>22</v>
      </c>
      <c r="ABF9" s="1"/>
      <c r="ABG9" s="74" t="s">
        <v>16</v>
      </c>
      <c r="ABH9" s="75"/>
      <c r="ABI9" s="74" t="s">
        <v>17</v>
      </c>
      <c r="ABJ9" s="75"/>
      <c r="ABK9" s="4" t="s">
        <v>18</v>
      </c>
      <c r="ABL9" s="4" t="s">
        <v>19</v>
      </c>
      <c r="ABM9" s="4" t="s">
        <v>20</v>
      </c>
      <c r="ABN9" s="4" t="s">
        <v>21</v>
      </c>
      <c r="ABO9" s="4" t="s">
        <v>22</v>
      </c>
      <c r="ABP9" s="1"/>
      <c r="ABQ9" s="74" t="s">
        <v>16</v>
      </c>
      <c r="ABR9" s="75"/>
      <c r="ABS9" s="74" t="s">
        <v>17</v>
      </c>
      <c r="ABT9" s="75"/>
      <c r="ABU9" s="4" t="s">
        <v>18</v>
      </c>
      <c r="ABV9" s="4" t="s">
        <v>19</v>
      </c>
      <c r="ABW9" s="4" t="s">
        <v>20</v>
      </c>
      <c r="ABX9" s="4" t="s">
        <v>21</v>
      </c>
      <c r="ABY9" s="4" t="s">
        <v>22</v>
      </c>
      <c r="ABZ9" s="1"/>
      <c r="ACA9" s="74" t="s">
        <v>16</v>
      </c>
      <c r="ACB9" s="75"/>
      <c r="ACC9" s="74" t="s">
        <v>17</v>
      </c>
      <c r="ACD9" s="75"/>
      <c r="ACE9" s="4" t="s">
        <v>18</v>
      </c>
      <c r="ACF9" s="4" t="s">
        <v>19</v>
      </c>
      <c r="ACG9" s="4" t="s">
        <v>20</v>
      </c>
      <c r="ACH9" s="4" t="s">
        <v>21</v>
      </c>
      <c r="ACI9" s="4" t="s">
        <v>22</v>
      </c>
      <c r="ACJ9" s="1"/>
      <c r="ACK9" s="74" t="s">
        <v>16</v>
      </c>
      <c r="ACL9" s="75"/>
      <c r="ACM9" s="74" t="s">
        <v>17</v>
      </c>
      <c r="ACN9" s="75"/>
      <c r="ACO9" s="4" t="s">
        <v>18</v>
      </c>
      <c r="ACP9" s="4" t="s">
        <v>19</v>
      </c>
      <c r="ACQ9" s="4" t="s">
        <v>20</v>
      </c>
      <c r="ACR9" s="4" t="s">
        <v>21</v>
      </c>
      <c r="ACS9" s="4" t="s">
        <v>22</v>
      </c>
      <c r="ACT9" s="1"/>
      <c r="ACU9" s="74" t="s">
        <v>16</v>
      </c>
      <c r="ACV9" s="75"/>
      <c r="ACW9" s="74" t="s">
        <v>17</v>
      </c>
      <c r="ACX9" s="75"/>
      <c r="ACY9" s="4" t="s">
        <v>18</v>
      </c>
      <c r="ACZ9" s="4" t="s">
        <v>19</v>
      </c>
      <c r="ADA9" s="4" t="s">
        <v>20</v>
      </c>
      <c r="ADB9" s="4" t="s">
        <v>21</v>
      </c>
      <c r="ADC9" s="4" t="s">
        <v>22</v>
      </c>
      <c r="ADD9" s="1"/>
      <c r="ADE9" s="74" t="s">
        <v>16</v>
      </c>
      <c r="ADF9" s="75"/>
      <c r="ADG9" s="74" t="s">
        <v>17</v>
      </c>
      <c r="ADH9" s="75"/>
      <c r="ADI9" s="4" t="s">
        <v>18</v>
      </c>
      <c r="ADJ9" s="4" t="s">
        <v>19</v>
      </c>
      <c r="ADK9" s="4" t="s">
        <v>20</v>
      </c>
      <c r="ADL9" s="4" t="s">
        <v>21</v>
      </c>
      <c r="ADM9" s="4" t="s">
        <v>22</v>
      </c>
      <c r="ADN9" s="1"/>
      <c r="ADO9" s="74" t="s">
        <v>16</v>
      </c>
      <c r="ADP9" s="75"/>
      <c r="ADQ9" s="74" t="s">
        <v>17</v>
      </c>
      <c r="ADR9" s="75"/>
      <c r="ADS9" s="4" t="s">
        <v>18</v>
      </c>
      <c r="ADT9" s="4" t="s">
        <v>19</v>
      </c>
      <c r="ADU9" s="4" t="s">
        <v>20</v>
      </c>
      <c r="ADV9" s="4" t="s">
        <v>21</v>
      </c>
      <c r="ADW9" s="4" t="s">
        <v>22</v>
      </c>
      <c r="ADX9" s="1"/>
      <c r="ADY9" s="74" t="s">
        <v>16</v>
      </c>
      <c r="ADZ9" s="75"/>
      <c r="AEA9" s="74" t="s">
        <v>17</v>
      </c>
      <c r="AEB9" s="75"/>
      <c r="AEC9" s="4" t="s">
        <v>18</v>
      </c>
      <c r="AED9" s="4" t="s">
        <v>19</v>
      </c>
      <c r="AEE9" s="4" t="s">
        <v>20</v>
      </c>
      <c r="AEF9" s="4" t="s">
        <v>21</v>
      </c>
      <c r="AEG9" s="4" t="s">
        <v>22</v>
      </c>
      <c r="AEH9" s="1"/>
      <c r="AEI9" s="74" t="s">
        <v>16</v>
      </c>
      <c r="AEJ9" s="75"/>
      <c r="AEK9" s="74" t="s">
        <v>17</v>
      </c>
      <c r="AEL9" s="75"/>
      <c r="AEM9" s="4" t="s">
        <v>18</v>
      </c>
      <c r="AEN9" s="4" t="s">
        <v>19</v>
      </c>
      <c r="AEO9" s="4" t="s">
        <v>20</v>
      </c>
      <c r="AEP9" s="4" t="s">
        <v>21</v>
      </c>
      <c r="AEQ9" s="4" t="s">
        <v>22</v>
      </c>
      <c r="AER9" s="1"/>
      <c r="AES9" s="74" t="s">
        <v>16</v>
      </c>
      <c r="AET9" s="75"/>
      <c r="AEU9" s="74" t="s">
        <v>17</v>
      </c>
      <c r="AEV9" s="75"/>
      <c r="AEW9" s="4" t="s">
        <v>18</v>
      </c>
      <c r="AEX9" s="4" t="s">
        <v>19</v>
      </c>
      <c r="AEY9" s="4" t="s">
        <v>20</v>
      </c>
      <c r="AEZ9" s="4" t="s">
        <v>21</v>
      </c>
      <c r="AFA9" s="4" t="s">
        <v>22</v>
      </c>
      <c r="AFB9" s="1"/>
      <c r="AFC9" s="74" t="s">
        <v>16</v>
      </c>
      <c r="AFD9" s="75"/>
      <c r="AFE9" s="74" t="s">
        <v>17</v>
      </c>
      <c r="AFF9" s="75"/>
      <c r="AFG9" s="4" t="s">
        <v>18</v>
      </c>
      <c r="AFH9" s="4" t="s">
        <v>19</v>
      </c>
      <c r="AFI9" s="4" t="s">
        <v>20</v>
      </c>
      <c r="AFJ9" s="4" t="s">
        <v>21</v>
      </c>
      <c r="AFK9" s="4" t="s">
        <v>22</v>
      </c>
      <c r="AFL9" s="1"/>
      <c r="AFM9" s="74" t="s">
        <v>16</v>
      </c>
      <c r="AFN9" s="75"/>
      <c r="AFO9" s="74" t="s">
        <v>17</v>
      </c>
      <c r="AFP9" s="75"/>
      <c r="AFQ9" s="4" t="s">
        <v>18</v>
      </c>
      <c r="AFR9" s="4" t="s">
        <v>19</v>
      </c>
      <c r="AFS9" s="4" t="s">
        <v>20</v>
      </c>
      <c r="AFT9" s="4" t="s">
        <v>21</v>
      </c>
      <c r="AFU9" s="4" t="s">
        <v>22</v>
      </c>
      <c r="AFV9" s="1"/>
      <c r="AFW9" s="74" t="s">
        <v>16</v>
      </c>
      <c r="AFX9" s="75"/>
      <c r="AFY9" s="74" t="s">
        <v>17</v>
      </c>
      <c r="AFZ9" s="75"/>
      <c r="AGA9" s="4" t="s">
        <v>18</v>
      </c>
      <c r="AGB9" s="4" t="s">
        <v>19</v>
      </c>
      <c r="AGC9" s="4" t="s">
        <v>20</v>
      </c>
      <c r="AGD9" s="4" t="s">
        <v>21</v>
      </c>
      <c r="AGE9" s="4" t="s">
        <v>22</v>
      </c>
      <c r="AGF9" s="1"/>
      <c r="AGG9" s="74" t="s">
        <v>16</v>
      </c>
      <c r="AGH9" s="75"/>
      <c r="AGI9" s="74" t="s">
        <v>17</v>
      </c>
      <c r="AGJ9" s="75"/>
      <c r="AGK9" s="4" t="s">
        <v>18</v>
      </c>
      <c r="AGL9" s="4" t="s">
        <v>19</v>
      </c>
      <c r="AGM9" s="4" t="s">
        <v>20</v>
      </c>
      <c r="AGN9" s="4" t="s">
        <v>21</v>
      </c>
      <c r="AGO9" s="4" t="s">
        <v>22</v>
      </c>
      <c r="AGP9" s="1"/>
      <c r="AGQ9" s="74" t="s">
        <v>16</v>
      </c>
      <c r="AGR9" s="75"/>
      <c r="AGS9" s="74" t="s">
        <v>17</v>
      </c>
      <c r="AGT9" s="75"/>
      <c r="AGU9" s="4" t="s">
        <v>18</v>
      </c>
      <c r="AGV9" s="4" t="s">
        <v>19</v>
      </c>
      <c r="AGW9" s="4" t="s">
        <v>20</v>
      </c>
      <c r="AGX9" s="4" t="s">
        <v>21</v>
      </c>
      <c r="AGY9" s="4" t="s">
        <v>22</v>
      </c>
      <c r="AGZ9" s="1"/>
      <c r="AHA9" s="74" t="s">
        <v>16</v>
      </c>
      <c r="AHB9" s="75"/>
      <c r="AHC9" s="74" t="s">
        <v>17</v>
      </c>
      <c r="AHD9" s="75"/>
      <c r="AHE9" s="4" t="s">
        <v>18</v>
      </c>
      <c r="AHF9" s="4" t="s">
        <v>19</v>
      </c>
      <c r="AHG9" s="4" t="s">
        <v>20</v>
      </c>
      <c r="AHH9" s="4" t="s">
        <v>21</v>
      </c>
      <c r="AHI9" s="4" t="s">
        <v>22</v>
      </c>
      <c r="AHJ9" s="1"/>
      <c r="AHK9" s="74" t="s">
        <v>16</v>
      </c>
      <c r="AHL9" s="75"/>
      <c r="AHM9" s="74" t="s">
        <v>17</v>
      </c>
      <c r="AHN9" s="75"/>
      <c r="AHO9" s="4" t="s">
        <v>18</v>
      </c>
      <c r="AHP9" s="4" t="s">
        <v>19</v>
      </c>
      <c r="AHQ9" s="4" t="s">
        <v>20</v>
      </c>
      <c r="AHR9" s="4" t="s">
        <v>21</v>
      </c>
      <c r="AHS9" s="4" t="s">
        <v>22</v>
      </c>
      <c r="AHT9" s="1"/>
      <c r="AHU9" s="74" t="s">
        <v>16</v>
      </c>
      <c r="AHV9" s="75"/>
      <c r="AHW9" s="74" t="s">
        <v>17</v>
      </c>
      <c r="AHX9" s="75"/>
      <c r="AHY9" s="4" t="s">
        <v>18</v>
      </c>
      <c r="AHZ9" s="4" t="s">
        <v>19</v>
      </c>
      <c r="AIA9" s="4" t="s">
        <v>20</v>
      </c>
      <c r="AIB9" s="4" t="s">
        <v>21</v>
      </c>
      <c r="AIC9" s="4" t="s">
        <v>22</v>
      </c>
      <c r="AID9" s="1"/>
      <c r="AIE9" s="74" t="s">
        <v>16</v>
      </c>
      <c r="AIF9" s="75"/>
      <c r="AIG9" s="74" t="s">
        <v>17</v>
      </c>
      <c r="AIH9" s="75"/>
      <c r="AII9" s="4" t="s">
        <v>18</v>
      </c>
      <c r="AIJ9" s="4" t="s">
        <v>19</v>
      </c>
      <c r="AIK9" s="4" t="s">
        <v>20</v>
      </c>
      <c r="AIL9" s="4" t="s">
        <v>21</v>
      </c>
      <c r="AIM9" s="4" t="s">
        <v>22</v>
      </c>
      <c r="AIN9" s="1"/>
      <c r="AIO9" s="74" t="s">
        <v>16</v>
      </c>
      <c r="AIP9" s="75"/>
      <c r="AIQ9" s="74" t="s">
        <v>17</v>
      </c>
      <c r="AIR9" s="75"/>
      <c r="AIS9" s="4" t="s">
        <v>18</v>
      </c>
      <c r="AIT9" s="4" t="s">
        <v>19</v>
      </c>
      <c r="AIU9" s="4" t="s">
        <v>20</v>
      </c>
      <c r="AIV9" s="4" t="s">
        <v>21</v>
      </c>
      <c r="AIW9" s="4" t="s">
        <v>22</v>
      </c>
      <c r="AIX9" s="1"/>
      <c r="AIY9" s="74" t="s">
        <v>16</v>
      </c>
      <c r="AIZ9" s="75"/>
      <c r="AJA9" s="74" t="s">
        <v>17</v>
      </c>
      <c r="AJB9" s="75"/>
      <c r="AJC9" s="4" t="s">
        <v>18</v>
      </c>
      <c r="AJD9" s="4" t="s">
        <v>19</v>
      </c>
      <c r="AJE9" s="4" t="s">
        <v>20</v>
      </c>
      <c r="AJF9" s="4" t="s">
        <v>21</v>
      </c>
      <c r="AJG9" s="4" t="s">
        <v>22</v>
      </c>
      <c r="AJH9" s="1"/>
      <c r="AJI9" s="74" t="s">
        <v>16</v>
      </c>
      <c r="AJJ9" s="75"/>
      <c r="AJK9" s="74" t="s">
        <v>17</v>
      </c>
      <c r="AJL9" s="75"/>
      <c r="AJM9" s="4" t="s">
        <v>18</v>
      </c>
      <c r="AJN9" s="4" t="s">
        <v>19</v>
      </c>
      <c r="AJO9" s="4" t="s">
        <v>20</v>
      </c>
      <c r="AJP9" s="4" t="s">
        <v>21</v>
      </c>
      <c r="AJQ9" s="4" t="s">
        <v>22</v>
      </c>
      <c r="AJR9" s="1"/>
      <c r="AJS9" s="74" t="s">
        <v>16</v>
      </c>
      <c r="AJT9" s="75"/>
      <c r="AJU9" s="74" t="s">
        <v>17</v>
      </c>
      <c r="AJV9" s="75"/>
      <c r="AJW9" s="4" t="s">
        <v>18</v>
      </c>
      <c r="AJX9" s="4" t="s">
        <v>19</v>
      </c>
      <c r="AJY9" s="4" t="s">
        <v>20</v>
      </c>
      <c r="AJZ9" s="4" t="s">
        <v>21</v>
      </c>
      <c r="AKA9" s="4" t="s">
        <v>22</v>
      </c>
      <c r="AKB9" s="1"/>
      <c r="AKC9" s="74" t="s">
        <v>16</v>
      </c>
      <c r="AKD9" s="75"/>
      <c r="AKE9" s="74" t="s">
        <v>17</v>
      </c>
      <c r="AKF9" s="75"/>
      <c r="AKG9" s="4" t="s">
        <v>18</v>
      </c>
      <c r="AKH9" s="4" t="s">
        <v>19</v>
      </c>
      <c r="AKI9" s="4" t="s">
        <v>20</v>
      </c>
      <c r="AKJ9" s="4" t="s">
        <v>21</v>
      </c>
      <c r="AKK9" s="4" t="s">
        <v>22</v>
      </c>
      <c r="AKL9" s="1"/>
      <c r="AKM9" s="74" t="s">
        <v>16</v>
      </c>
      <c r="AKN9" s="75"/>
      <c r="AKO9" s="74" t="s">
        <v>17</v>
      </c>
      <c r="AKP9" s="75"/>
      <c r="AKQ9" s="4" t="s">
        <v>18</v>
      </c>
      <c r="AKR9" s="4" t="s">
        <v>19</v>
      </c>
      <c r="AKS9" s="4" t="s">
        <v>20</v>
      </c>
      <c r="AKT9" s="4" t="s">
        <v>21</v>
      </c>
      <c r="AKU9" s="4" t="s">
        <v>22</v>
      </c>
      <c r="AKV9" s="1"/>
      <c r="AKW9" s="74" t="s">
        <v>16</v>
      </c>
      <c r="AKX9" s="75"/>
      <c r="AKY9" s="74" t="s">
        <v>17</v>
      </c>
      <c r="AKZ9" s="75"/>
      <c r="ALA9" s="4" t="s">
        <v>18</v>
      </c>
      <c r="ALB9" s="4" t="s">
        <v>19</v>
      </c>
      <c r="ALC9" s="4" t="s">
        <v>20</v>
      </c>
      <c r="ALD9" s="4" t="s">
        <v>21</v>
      </c>
      <c r="ALE9" s="4" t="s">
        <v>22</v>
      </c>
      <c r="ALF9" s="1"/>
      <c r="ALG9" s="74" t="s">
        <v>16</v>
      </c>
      <c r="ALH9" s="75"/>
      <c r="ALI9" s="74" t="s">
        <v>17</v>
      </c>
      <c r="ALJ9" s="75"/>
      <c r="ALK9" s="4" t="s">
        <v>18</v>
      </c>
      <c r="ALL9" s="4" t="s">
        <v>19</v>
      </c>
      <c r="ALM9" s="4" t="s">
        <v>20</v>
      </c>
      <c r="ALN9" s="4" t="s">
        <v>21</v>
      </c>
      <c r="ALO9" s="4" t="s">
        <v>22</v>
      </c>
      <c r="ALP9" s="1"/>
      <c r="ALQ9" s="74" t="s">
        <v>16</v>
      </c>
      <c r="ALR9" s="75"/>
      <c r="ALS9" s="74" t="s">
        <v>17</v>
      </c>
      <c r="ALT9" s="75"/>
      <c r="ALU9" s="4" t="s">
        <v>18</v>
      </c>
      <c r="ALV9" s="4" t="s">
        <v>19</v>
      </c>
      <c r="ALW9" s="4" t="s">
        <v>20</v>
      </c>
      <c r="ALX9" s="4" t="s">
        <v>21</v>
      </c>
      <c r="ALY9" s="4" t="s">
        <v>22</v>
      </c>
      <c r="ALZ9" s="1"/>
      <c r="AMA9" s="74" t="s">
        <v>16</v>
      </c>
      <c r="AMB9" s="75"/>
      <c r="AMC9" s="74" t="s">
        <v>17</v>
      </c>
      <c r="AMD9" s="75"/>
      <c r="AME9" s="4" t="s">
        <v>18</v>
      </c>
      <c r="AMF9" s="4" t="s">
        <v>19</v>
      </c>
      <c r="AMG9" s="4" t="s">
        <v>20</v>
      </c>
      <c r="AMH9" s="4" t="s">
        <v>21</v>
      </c>
      <c r="AMI9" s="4" t="s">
        <v>22</v>
      </c>
      <c r="AMJ9" s="1"/>
      <c r="AMK9" s="74" t="s">
        <v>16</v>
      </c>
      <c r="AML9" s="75"/>
      <c r="AMM9" s="74" t="s">
        <v>17</v>
      </c>
      <c r="AMN9" s="75"/>
      <c r="AMO9" s="4" t="s">
        <v>18</v>
      </c>
      <c r="AMP9" s="4" t="s">
        <v>19</v>
      </c>
      <c r="AMQ9" s="4" t="s">
        <v>20</v>
      </c>
      <c r="AMR9" s="4" t="s">
        <v>21</v>
      </c>
      <c r="AMS9" s="4" t="s">
        <v>22</v>
      </c>
      <c r="AMT9" s="1"/>
      <c r="AMU9" s="74" t="s">
        <v>16</v>
      </c>
      <c r="AMV9" s="75"/>
      <c r="AMW9" s="74" t="s">
        <v>17</v>
      </c>
      <c r="AMX9" s="75"/>
      <c r="AMY9" s="4" t="s">
        <v>18</v>
      </c>
      <c r="AMZ9" s="4" t="s">
        <v>19</v>
      </c>
      <c r="ANA9" s="4" t="s">
        <v>20</v>
      </c>
      <c r="ANB9" s="4" t="s">
        <v>21</v>
      </c>
      <c r="ANC9" s="4" t="s">
        <v>22</v>
      </c>
      <c r="AND9" s="1"/>
      <c r="ANE9" s="74" t="s">
        <v>16</v>
      </c>
      <c r="ANF9" s="75"/>
      <c r="ANG9" s="74" t="s">
        <v>17</v>
      </c>
      <c r="ANH9" s="75"/>
      <c r="ANI9" s="4" t="s">
        <v>18</v>
      </c>
      <c r="ANJ9" s="4" t="s">
        <v>19</v>
      </c>
      <c r="ANK9" s="4" t="s">
        <v>20</v>
      </c>
      <c r="ANL9" s="4" t="s">
        <v>21</v>
      </c>
      <c r="ANM9" s="4" t="s">
        <v>22</v>
      </c>
      <c r="ANN9" s="1"/>
      <c r="ANO9" s="74" t="s">
        <v>16</v>
      </c>
      <c r="ANP9" s="75"/>
      <c r="ANQ9" s="74" t="s">
        <v>17</v>
      </c>
      <c r="ANR9" s="75"/>
      <c r="ANS9" s="4" t="s">
        <v>18</v>
      </c>
      <c r="ANT9" s="4" t="s">
        <v>19</v>
      </c>
      <c r="ANU9" s="4" t="s">
        <v>20</v>
      </c>
      <c r="ANV9" s="4" t="s">
        <v>21</v>
      </c>
      <c r="ANW9" s="4" t="s">
        <v>22</v>
      </c>
      <c r="ANX9" s="1"/>
      <c r="ANY9" s="74" t="s">
        <v>16</v>
      </c>
      <c r="ANZ9" s="75"/>
      <c r="AOA9" s="74" t="s">
        <v>17</v>
      </c>
      <c r="AOB9" s="75"/>
      <c r="AOC9" s="4" t="s">
        <v>18</v>
      </c>
      <c r="AOD9" s="4" t="s">
        <v>19</v>
      </c>
      <c r="AOE9" s="4" t="s">
        <v>20</v>
      </c>
      <c r="AOF9" s="4" t="s">
        <v>21</v>
      </c>
      <c r="AOG9" s="4" t="s">
        <v>22</v>
      </c>
      <c r="AOH9" s="1"/>
      <c r="AOI9" s="74" t="s">
        <v>16</v>
      </c>
      <c r="AOJ9" s="75"/>
      <c r="AOK9" s="74" t="s">
        <v>17</v>
      </c>
      <c r="AOL9" s="75"/>
      <c r="AOM9" s="4" t="s">
        <v>18</v>
      </c>
      <c r="AON9" s="4" t="s">
        <v>19</v>
      </c>
      <c r="AOO9" s="4" t="s">
        <v>20</v>
      </c>
      <c r="AOP9" s="4" t="s">
        <v>21</v>
      </c>
      <c r="AOQ9" s="4" t="s">
        <v>22</v>
      </c>
      <c r="AOR9" s="1"/>
      <c r="AOS9" s="74" t="s">
        <v>16</v>
      </c>
      <c r="AOT9" s="75"/>
      <c r="AOU9" s="74" t="s">
        <v>17</v>
      </c>
      <c r="AOV9" s="75"/>
      <c r="AOW9" s="4" t="s">
        <v>18</v>
      </c>
      <c r="AOX9" s="4" t="s">
        <v>19</v>
      </c>
      <c r="AOY9" s="4" t="s">
        <v>20</v>
      </c>
      <c r="AOZ9" s="4" t="s">
        <v>21</v>
      </c>
      <c r="APA9" s="4" t="s">
        <v>22</v>
      </c>
      <c r="APB9" s="1"/>
      <c r="APC9" s="74" t="s">
        <v>16</v>
      </c>
      <c r="APD9" s="75"/>
      <c r="APE9" s="74" t="s">
        <v>17</v>
      </c>
      <c r="APF9" s="75"/>
      <c r="APG9" s="4" t="s">
        <v>18</v>
      </c>
      <c r="APH9" s="4" t="s">
        <v>19</v>
      </c>
      <c r="API9" s="4" t="s">
        <v>20</v>
      </c>
      <c r="APJ9" s="4" t="s">
        <v>21</v>
      </c>
      <c r="APK9" s="4" t="s">
        <v>22</v>
      </c>
      <c r="APL9" s="1"/>
      <c r="APM9" s="74" t="s">
        <v>16</v>
      </c>
      <c r="APN9" s="75"/>
      <c r="APO9" s="74" t="s">
        <v>17</v>
      </c>
      <c r="APP9" s="75"/>
      <c r="APQ9" s="4" t="s">
        <v>18</v>
      </c>
      <c r="APR9" s="4" t="s">
        <v>19</v>
      </c>
      <c r="APS9" s="4" t="s">
        <v>20</v>
      </c>
      <c r="APT9" s="4" t="s">
        <v>21</v>
      </c>
      <c r="APU9" s="4" t="s">
        <v>22</v>
      </c>
      <c r="APV9" s="1"/>
      <c r="APW9" s="92" t="s">
        <v>16</v>
      </c>
      <c r="APX9" s="93"/>
      <c r="APY9" s="92" t="s">
        <v>17</v>
      </c>
      <c r="APZ9" s="93"/>
      <c r="AQA9" s="94" t="s">
        <v>18</v>
      </c>
      <c r="AQB9" s="94" t="s">
        <v>19</v>
      </c>
      <c r="AQC9" s="94" t="s">
        <v>20</v>
      </c>
      <c r="AQD9" s="94" t="s">
        <v>21</v>
      </c>
      <c r="AQE9" s="94" t="s">
        <v>22</v>
      </c>
      <c r="AQF9" s="1"/>
      <c r="AQG9" s="49" t="s">
        <v>16</v>
      </c>
      <c r="AQH9" s="50"/>
      <c r="AQI9" s="49" t="s">
        <v>17</v>
      </c>
      <c r="AQJ9" s="50"/>
      <c r="AQK9" s="4" t="s">
        <v>18</v>
      </c>
      <c r="AQL9" s="4" t="s">
        <v>19</v>
      </c>
      <c r="AQM9" s="4" t="s">
        <v>20</v>
      </c>
      <c r="AQN9" s="4" t="s">
        <v>21</v>
      </c>
      <c r="AQO9" s="4" t="s">
        <v>22</v>
      </c>
    </row>
    <row r="10" spans="1:1133" ht="11.25" x14ac:dyDescent="0.2">
      <c r="A10" s="22" t="s">
        <v>31</v>
      </c>
      <c r="B10" s="14">
        <v>0.25</v>
      </c>
      <c r="C10" s="13">
        <v>2.5</v>
      </c>
      <c r="E10" s="24"/>
      <c r="F10" s="6" t="s">
        <v>25</v>
      </c>
      <c r="G10" s="24">
        <v>1.9</v>
      </c>
      <c r="H10" s="6" t="s">
        <v>25</v>
      </c>
      <c r="I10" s="5">
        <f t="shared" ref="I10:I11" si="344">IF(OR(ISNUMBER(E10), ISNUMBER(G10)), IF(ISNUMBER(E10), E10, 0) + IF(ISNUMBER(G10), G10, 0), "")</f>
        <v>1.9</v>
      </c>
      <c r="J10" s="3"/>
      <c r="K10" s="10"/>
      <c r="L10" s="5"/>
      <c r="M10" s="10" t="str">
        <f t="shared" ref="M10:M11" si="345">IF(ISNUMBER(L10), L10-K10, "")</f>
        <v/>
      </c>
      <c r="O10" s="24"/>
      <c r="P10" s="6" t="s">
        <v>25</v>
      </c>
      <c r="Q10" s="24">
        <v>1.7</v>
      </c>
      <c r="R10" s="6" t="s">
        <v>25</v>
      </c>
      <c r="S10" s="5">
        <f t="shared" ref="S10:S11" si="346">IF(OR(ISNUMBER(O10), ISNUMBER(Q10)), IF(ISNUMBER(O10), O10, 0) + IF(ISNUMBER(Q10), Q10, 0), "")</f>
        <v>1.7</v>
      </c>
      <c r="T10" s="3"/>
      <c r="U10" s="10">
        <f t="shared" ref="U10:U11" si="347">IF(ISNUMBER(S10), (I10+J10)-S10, "")</f>
        <v>0.19999999999999996</v>
      </c>
      <c r="V10" s="5">
        <v>0.34</v>
      </c>
      <c r="W10" s="10">
        <f t="shared" ref="W10:W11" si="348">IF(ISNUMBER(V10), V10-U10, "")</f>
        <v>0.14000000000000007</v>
      </c>
      <c r="Y10" s="24">
        <v>1</v>
      </c>
      <c r="Z10" s="6" t="s">
        <v>25</v>
      </c>
      <c r="AA10" s="24">
        <v>0.3</v>
      </c>
      <c r="AB10" s="6" t="s">
        <v>25</v>
      </c>
      <c r="AC10" s="5">
        <f t="shared" ref="AC10:AC11" si="349">IF(OR(ISNUMBER(Y10), ISNUMBER(AA10)), IF(ISNUMBER(Y10), Y10, 0) + IF(ISNUMBER(AA10), AA10, 0), "")</f>
        <v>1.3</v>
      </c>
      <c r="AD10" s="3"/>
      <c r="AE10" s="10">
        <f t="shared" ref="AE10:AE11" si="350">IF(ISNUMBER(AC10), (S10+T10)-AC10, "")</f>
        <v>0.39999999999999991</v>
      </c>
      <c r="AF10" s="5">
        <v>0.22</v>
      </c>
      <c r="AG10" s="10">
        <f t="shared" ref="AG10:AG11" si="351">IF(ISNUMBER(AF10), AF10-AE10, "")</f>
        <v>-0.17999999999999991</v>
      </c>
      <c r="AI10" s="24">
        <v>0</v>
      </c>
      <c r="AJ10" s="6" t="s">
        <v>25</v>
      </c>
      <c r="AK10" s="24">
        <v>1</v>
      </c>
      <c r="AL10" s="6" t="s">
        <v>25</v>
      </c>
      <c r="AM10" s="5">
        <f t="shared" ref="AM10:AM11" si="352">IF(OR(ISNUMBER(AI10), ISNUMBER(AK10)), IF(ISNUMBER(AI10), AI10, 0) + IF(ISNUMBER(AK10), AK10, 0), "")</f>
        <v>1</v>
      </c>
      <c r="AN10" s="3">
        <v>1</v>
      </c>
      <c r="AO10" s="10">
        <f t="shared" ref="AO10:AO11" si="353">IF(ISNUMBER(AM10), (AC10+AD10)-AM10, "")</f>
        <v>0.30000000000000004</v>
      </c>
      <c r="AP10" s="5">
        <v>0.19</v>
      </c>
      <c r="AQ10" s="10">
        <f t="shared" ref="AQ10:AQ11" si="354">IF(ISNUMBER(AP10), AP10-AO10, "")</f>
        <v>-0.11000000000000004</v>
      </c>
      <c r="AS10" s="24">
        <v>1</v>
      </c>
      <c r="AT10" s="6" t="s">
        <v>25</v>
      </c>
      <c r="AU10" s="24">
        <v>0.7</v>
      </c>
      <c r="AV10" s="6" t="s">
        <v>25</v>
      </c>
      <c r="AW10" s="5">
        <f t="shared" ref="AW10:AW11" si="355">IF(OR(ISNUMBER(AS10), ISNUMBER(AU10)), IF(ISNUMBER(AS10), AS10, 0) + IF(ISNUMBER(AU10), AU10, 0), "")</f>
        <v>1.7</v>
      </c>
      <c r="AX10" s="3"/>
      <c r="AY10" s="10">
        <f t="shared" ref="AY10:AY11" si="356">IF(ISNUMBER(AW10), (AM10+AN10)-AW10, "")</f>
        <v>0.30000000000000004</v>
      </c>
      <c r="AZ10" s="5">
        <v>0.38</v>
      </c>
      <c r="BA10" s="10">
        <f t="shared" ref="BA10:BA11" si="357">IF(ISNUMBER(AZ10), AZ10-AY10, "")</f>
        <v>7.999999999999996E-2</v>
      </c>
      <c r="BC10" s="24">
        <v>1</v>
      </c>
      <c r="BD10" s="6" t="s">
        <v>25</v>
      </c>
      <c r="BE10" s="24">
        <v>0.3</v>
      </c>
      <c r="BF10" s="6" t="s">
        <v>25</v>
      </c>
      <c r="BG10" s="5">
        <f t="shared" ref="BG10:BG11" si="358">IF(OR(ISNUMBER(BC10), ISNUMBER(BE10)), IF(ISNUMBER(BC10), BC10, 0) + IF(ISNUMBER(BE10), BE10, 0), "")</f>
        <v>1.3</v>
      </c>
      <c r="BH10" s="3"/>
      <c r="BI10" s="10">
        <f t="shared" ref="BI10:BI11" si="359">IF(ISNUMBER(BG10), (AW10+AX10)-BG10, "")</f>
        <v>0.39999999999999991</v>
      </c>
      <c r="BJ10" s="5">
        <v>0.15</v>
      </c>
      <c r="BK10" s="10">
        <f t="shared" ref="BK10:BK11" si="360">IF(ISNUMBER(BJ10), BJ10-BI10, "")</f>
        <v>-0.24999999999999992</v>
      </c>
      <c r="BM10" s="24">
        <v>1</v>
      </c>
      <c r="BN10" s="6" t="s">
        <v>25</v>
      </c>
      <c r="BO10" s="24">
        <v>0.1</v>
      </c>
      <c r="BP10" s="6" t="s">
        <v>25</v>
      </c>
      <c r="BQ10" s="5">
        <f t="shared" ref="BQ10:BQ11" si="361">IF(OR(ISNUMBER(BM10), ISNUMBER(BO10)), IF(ISNUMBER(BM10), BM10, 0) + IF(ISNUMBER(BO10), BO10, 0), "")</f>
        <v>1.1000000000000001</v>
      </c>
      <c r="BR10" s="3"/>
      <c r="BS10" s="10">
        <f t="shared" ref="BS10:BS11" si="362">IF(ISNUMBER(BQ10), (BG10+BH10)-BQ10, "")</f>
        <v>0.19999999999999996</v>
      </c>
      <c r="BT10" s="5">
        <v>0.12</v>
      </c>
      <c r="BU10" s="10">
        <f t="shared" ref="BU10:BU11" si="363">IF(ISNUMBER(BT10), BT10-BS10, "")</f>
        <v>-7.999999999999996E-2</v>
      </c>
      <c r="BW10" s="24">
        <v>1</v>
      </c>
      <c r="BX10" s="6" t="s">
        <v>25</v>
      </c>
      <c r="BY10" s="24">
        <v>0.1</v>
      </c>
      <c r="BZ10" s="6" t="s">
        <v>25</v>
      </c>
      <c r="CA10" s="5">
        <f t="shared" ref="CA10:CA11" si="364">IF(OR(ISNUMBER(BW10), ISNUMBER(BY10)), IF(ISNUMBER(BW10), BW10, 0) + IF(ISNUMBER(BY10), BY10, 0), "")</f>
        <v>1.1000000000000001</v>
      </c>
      <c r="CB10" s="3">
        <v>1</v>
      </c>
      <c r="CC10" s="10">
        <f t="shared" ref="CC10:CC11" si="365">IF(ISNUMBER(CA10), (BQ10+BR10)-CA10, "")</f>
        <v>0</v>
      </c>
      <c r="CD10" s="5">
        <v>0.14000000000000001</v>
      </c>
      <c r="CE10" s="10">
        <f t="shared" ref="CE10:CE11" si="366">IF(ISNUMBER(CD10), CD10-CC10, "")</f>
        <v>0.14000000000000001</v>
      </c>
      <c r="CG10" s="24">
        <v>1</v>
      </c>
      <c r="CH10" s="6" t="s">
        <v>25</v>
      </c>
      <c r="CI10" s="24">
        <v>0.9</v>
      </c>
      <c r="CJ10" s="6" t="s">
        <v>25</v>
      </c>
      <c r="CK10" s="5">
        <f t="shared" ref="CK10:CK11" si="367">IF(OR(ISNUMBER(CG10), ISNUMBER(CI10)), IF(ISNUMBER(CG10), CG10, 0) + IF(ISNUMBER(CI10), CI10, 0), "")</f>
        <v>1.9</v>
      </c>
      <c r="CL10" s="3"/>
      <c r="CM10" s="10">
        <f t="shared" ref="CM10:CM11" si="368">IF(ISNUMBER(CK10), (CA10+CB10)-CK10, "")</f>
        <v>0.20000000000000018</v>
      </c>
      <c r="CN10" s="5">
        <v>0.14000000000000001</v>
      </c>
      <c r="CO10" s="10">
        <f t="shared" ref="CO10:CO11" si="369">IF(ISNUMBER(CN10), CN10-CM10, "")</f>
        <v>-6.0000000000000164E-2</v>
      </c>
      <c r="CQ10" s="24">
        <v>1</v>
      </c>
      <c r="CR10" s="6" t="s">
        <v>25</v>
      </c>
      <c r="CS10" s="24">
        <v>0.7</v>
      </c>
      <c r="CT10" s="6" t="s">
        <v>25</v>
      </c>
      <c r="CU10" s="5">
        <f t="shared" ref="CU10:CU11" si="370">IF(OR(ISNUMBER(CQ10), ISNUMBER(CS10)), IF(ISNUMBER(CQ10), CQ10, 0) + IF(ISNUMBER(CS10), CS10, 0), "")</f>
        <v>1.7</v>
      </c>
      <c r="CV10" s="3"/>
      <c r="CW10" s="10">
        <f t="shared" ref="CW10:CW11" si="371">IF(ISNUMBER(CU10), (CK10+CL10)-CU10, "")</f>
        <v>0.19999999999999996</v>
      </c>
      <c r="CX10" s="5">
        <v>0.41</v>
      </c>
      <c r="CY10" s="10">
        <f t="shared" ref="CY10:CY11" si="372">IF(ISNUMBER(CX10), CX10-CW10, "")</f>
        <v>0.21000000000000002</v>
      </c>
      <c r="DA10" s="24">
        <v>1</v>
      </c>
      <c r="DB10" s="6" t="s">
        <v>25</v>
      </c>
      <c r="DC10" s="24">
        <v>0.1</v>
      </c>
      <c r="DD10" s="6" t="s">
        <v>25</v>
      </c>
      <c r="DE10" s="5">
        <f t="shared" ref="DE10:DE11" si="373">IF(OR(ISNUMBER(DA10), ISNUMBER(DC10)), IF(ISNUMBER(DA10), DA10, 0) + IF(ISNUMBER(DC10), DC10, 0), "")</f>
        <v>1.1000000000000001</v>
      </c>
      <c r="DF10" s="3"/>
      <c r="DG10" s="10">
        <f t="shared" ref="DG10:DG11" si="374">IF(ISNUMBER(DE10), (CU10+CV10)-DE10, "")</f>
        <v>0.59999999999999987</v>
      </c>
      <c r="DH10" s="5">
        <v>0.14000000000000001</v>
      </c>
      <c r="DI10" s="10">
        <f t="shared" ref="DI10:DI11" si="375">IF(ISNUMBER(DH10), DH10-DG10, "")</f>
        <v>-0.45999999999999985</v>
      </c>
      <c r="DK10" s="24">
        <v>1</v>
      </c>
      <c r="DL10" s="6" t="s">
        <v>25</v>
      </c>
      <c r="DM10" s="24">
        <v>0.3</v>
      </c>
      <c r="DN10" s="6" t="s">
        <v>25</v>
      </c>
      <c r="DO10" s="5">
        <f t="shared" ref="DO10:DO11" si="376">IF(OR(ISNUMBER(DK10), ISNUMBER(DM10)), IF(ISNUMBER(DK10), DK10, 0) + IF(ISNUMBER(DM10), DM10, 0), "")</f>
        <v>1.3</v>
      </c>
      <c r="DP10" s="3"/>
      <c r="DQ10" s="10">
        <f t="shared" ref="DQ10:DQ11" si="377">IF(ISNUMBER(DO10), (DE10+DF10)-DO10, "")</f>
        <v>-0.19999999999999996</v>
      </c>
      <c r="DR10" s="5">
        <v>0.21</v>
      </c>
      <c r="DS10" s="10">
        <f t="shared" ref="DS10:DS11" si="378">IF(ISNUMBER(DR10), DR10-DQ10, "")</f>
        <v>0.40999999999999992</v>
      </c>
      <c r="DU10" s="24">
        <v>0</v>
      </c>
      <c r="DV10" s="6" t="s">
        <v>25</v>
      </c>
      <c r="DW10" s="24">
        <v>0.5</v>
      </c>
      <c r="DX10" s="6" t="s">
        <v>25</v>
      </c>
      <c r="DY10" s="5">
        <f t="shared" ref="DY10:DY11" si="379">IF(OR(ISNUMBER(DU10), ISNUMBER(DW10)), IF(ISNUMBER(DU10), DU10, 0) + IF(ISNUMBER(DW10), DW10, 0), "")</f>
        <v>0.5</v>
      </c>
      <c r="DZ10" s="3"/>
      <c r="EA10" s="10">
        <f t="shared" ref="EA10:EA11" si="380">IF(ISNUMBER(DY10), (DO10+DP10)-DY10, "")</f>
        <v>0.8</v>
      </c>
      <c r="EB10" s="5">
        <v>0.27</v>
      </c>
      <c r="EC10" s="10">
        <f t="shared" ref="EC10:EC11" si="381">IF(ISNUMBER(EB10), EB10-EA10, "")</f>
        <v>-0.53</v>
      </c>
      <c r="EE10" s="24">
        <v>0</v>
      </c>
      <c r="EF10" s="6" t="s">
        <v>25</v>
      </c>
      <c r="EG10" s="24">
        <v>0.5</v>
      </c>
      <c r="EH10" s="6" t="s">
        <v>25</v>
      </c>
      <c r="EI10" s="5">
        <f t="shared" ref="EI10:EI11" si="382">IF(OR(ISNUMBER(EE10), ISNUMBER(EG10)), IF(ISNUMBER(EE10), EE10, 0) + IF(ISNUMBER(EG10), EG10, 0), "")</f>
        <v>0.5</v>
      </c>
      <c r="EJ10" s="3">
        <v>1</v>
      </c>
      <c r="EK10" s="10">
        <f t="shared" ref="EK10:EK11" si="383">IF(ISNUMBER(EI10), (DY10+DZ10)-EI10, "")</f>
        <v>0</v>
      </c>
      <c r="EL10" s="5">
        <v>0.31</v>
      </c>
      <c r="EM10" s="10">
        <f t="shared" ref="EM10:EM11" si="384">IF(ISNUMBER(EL10), EL10-EK10, "")</f>
        <v>0.31</v>
      </c>
      <c r="EO10" s="24">
        <v>1</v>
      </c>
      <c r="EP10" s="6" t="s">
        <v>25</v>
      </c>
      <c r="EQ10" s="24">
        <v>0.1</v>
      </c>
      <c r="ER10" s="6" t="s">
        <v>25</v>
      </c>
      <c r="ES10" s="5">
        <f t="shared" ref="ES10:ES11" si="385">IF(OR(ISNUMBER(EO10), ISNUMBER(EQ10)), IF(ISNUMBER(EO10), EO10, 0) + IF(ISNUMBER(EQ10), EQ10, 0), "")</f>
        <v>1.1000000000000001</v>
      </c>
      <c r="ET10" s="3"/>
      <c r="EU10" s="10">
        <f t="shared" ref="EU10:EU11" si="386">IF(ISNUMBER(ES10), (EI10+EJ10)-ES10, "")</f>
        <v>0.39999999999999991</v>
      </c>
      <c r="EV10" s="5">
        <v>0.19</v>
      </c>
      <c r="EW10" s="10">
        <f t="shared" ref="EW10:EW11" si="387">IF(ISNUMBER(EV10), EV10-EU10, "")</f>
        <v>-0.20999999999999991</v>
      </c>
      <c r="EY10" s="2">
        <v>1</v>
      </c>
      <c r="EZ10" s="6" t="s">
        <v>25</v>
      </c>
      <c r="FA10" s="2">
        <v>0.3</v>
      </c>
      <c r="FB10" s="6" t="s">
        <v>25</v>
      </c>
      <c r="FC10" s="5">
        <f t="shared" ref="FC10:FC11" si="388">IF(OR(ISNUMBER(EY10), ISNUMBER(FA10)), IF(ISNUMBER(EY10), EY10, 0) + IF(ISNUMBER(FA10), FA10, 0), "")</f>
        <v>1.3</v>
      </c>
      <c r="FD10" s="3"/>
      <c r="FE10" s="10">
        <f t="shared" ref="FE10:FE11" si="389">IF(ISNUMBER(FC10), (ES10+ET10)-FC10, "")</f>
        <v>-0.19999999999999996</v>
      </c>
      <c r="FF10" s="5">
        <v>7.0000000000000007E-2</v>
      </c>
      <c r="FG10" s="10">
        <f t="shared" ref="FG10:FG11" si="390">IF(ISNUMBER(FF10), FF10-FE10, "")</f>
        <v>0.26999999999999996</v>
      </c>
      <c r="FI10" s="24"/>
      <c r="FJ10" s="6" t="s">
        <v>25</v>
      </c>
      <c r="FK10" s="24">
        <v>0.9</v>
      </c>
      <c r="FL10" s="6" t="s">
        <v>25</v>
      </c>
      <c r="FM10" s="5">
        <f t="shared" ref="FM10:FM11" si="391">IF(OR(ISNUMBER(FI10), ISNUMBER(FK10)), IF(ISNUMBER(FI10), FI10, 0) + IF(ISNUMBER(FK10), FK10, 0), "")</f>
        <v>0.9</v>
      </c>
      <c r="FN10" s="3">
        <v>1</v>
      </c>
      <c r="FO10" s="10">
        <f t="shared" ref="FO10:FO11" si="392">IF(ISNUMBER(FM10), (FC10+FD10)-FM10, "")</f>
        <v>0.4</v>
      </c>
      <c r="FP10" s="5">
        <v>0.34</v>
      </c>
      <c r="FQ10" s="10">
        <f t="shared" ref="FQ10:FQ11" si="393">IF(ISNUMBER(FP10), FP10-FO10, "")</f>
        <v>-0.06</v>
      </c>
      <c r="FS10" s="24">
        <v>1</v>
      </c>
      <c r="FT10" s="6" t="s">
        <v>25</v>
      </c>
      <c r="FU10" s="24">
        <v>0.3</v>
      </c>
      <c r="FV10" s="6" t="s">
        <v>25</v>
      </c>
      <c r="FW10" s="5">
        <f t="shared" ref="FW10:FW11" si="394">IF(OR(ISNUMBER(FS10), ISNUMBER(FU10)), IF(ISNUMBER(FS10), FS10, 0) + IF(ISNUMBER(FU10), FU10, 0), "")</f>
        <v>1.3</v>
      </c>
      <c r="FX10" s="3">
        <v>1</v>
      </c>
      <c r="FY10" s="10">
        <f t="shared" ref="FY10:FY11" si="395">IF(ISNUMBER(FW10), (FM10+FN10)-FW10, "")</f>
        <v>0.59999999999999987</v>
      </c>
      <c r="FZ10" s="5">
        <v>0.36</v>
      </c>
      <c r="GA10" s="10">
        <f t="shared" ref="GA10:GA11" si="396">IF(ISNUMBER(FZ10), FZ10-FY10, "")</f>
        <v>-0.23999999999999988</v>
      </c>
      <c r="GC10" s="24">
        <v>1</v>
      </c>
      <c r="GD10" s="6" t="s">
        <v>25</v>
      </c>
      <c r="GE10" s="24">
        <v>0.5</v>
      </c>
      <c r="GF10" s="6" t="s">
        <v>25</v>
      </c>
      <c r="GG10" s="5">
        <f t="shared" ref="GG10:GG11" si="397">IF(OR(ISNUMBER(GC10), ISNUMBER(GE10)), IF(ISNUMBER(GC10), GC10, 0) + IF(ISNUMBER(GE10), GE10, 0), "")</f>
        <v>1.5</v>
      </c>
      <c r="GH10" s="3"/>
      <c r="GI10" s="10">
        <f t="shared" ref="GI10:GI11" si="398">IF(ISNUMBER(GG10), (FW10+FX10)-GG10, "")</f>
        <v>0.79999999999999982</v>
      </c>
      <c r="GJ10" s="5">
        <v>0.31</v>
      </c>
      <c r="GK10" s="10">
        <f t="shared" ref="GK10:GK11" si="399">IF(ISNUMBER(GJ10), GJ10-GI10, "")</f>
        <v>-0.48999999999999982</v>
      </c>
      <c r="GM10" s="24">
        <v>1</v>
      </c>
      <c r="GN10" s="6" t="s">
        <v>25</v>
      </c>
      <c r="GO10" s="24">
        <v>0.9</v>
      </c>
      <c r="GP10" s="6" t="s">
        <v>25</v>
      </c>
      <c r="GQ10" s="5">
        <f t="shared" ref="GQ10:GQ11" si="400">IF(OR(ISNUMBER(GM10), ISNUMBER(GO10)), IF(ISNUMBER(GM10), GM10, 0) + IF(ISNUMBER(GO10), GO10, 0), "")</f>
        <v>1.9</v>
      </c>
      <c r="GR10" s="3"/>
      <c r="GS10" s="10">
        <f t="shared" ref="GS10:GS11" si="401">IF(ISNUMBER(GQ10), (GG10+GH10)-GQ10, "")</f>
        <v>-0.39999999999999991</v>
      </c>
      <c r="GT10" s="5">
        <v>0.12</v>
      </c>
      <c r="GU10" s="10">
        <f t="shared" ref="GU10:GU11" si="402">IF(ISNUMBER(GT10), GT10-GS10, "")</f>
        <v>0.51999999999999991</v>
      </c>
      <c r="GW10" s="24">
        <v>1</v>
      </c>
      <c r="GX10" s="6" t="s">
        <v>25</v>
      </c>
      <c r="GY10" s="24">
        <v>0.5</v>
      </c>
      <c r="GZ10" s="6" t="s">
        <v>25</v>
      </c>
      <c r="HA10" s="5">
        <f t="shared" ref="HA10:HA11" si="403">IF(OR(ISNUMBER(GW10), ISNUMBER(GY10)), IF(ISNUMBER(GW10), GW10, 0) + IF(ISNUMBER(GY10), GY10, 0), "")</f>
        <v>1.5</v>
      </c>
      <c r="HB10" s="3"/>
      <c r="HC10" s="10">
        <f t="shared" ref="HC10:HC11" si="404">IF(ISNUMBER(HA10), (GQ10+GR10)-HA10, "")</f>
        <v>0.39999999999999991</v>
      </c>
      <c r="HD10" s="5">
        <v>0.21</v>
      </c>
      <c r="HE10" s="10">
        <f t="shared" ref="HE10:HE11" si="405">IF(ISNUMBER(HD10), HD10-HC10, "")</f>
        <v>-0.18999999999999992</v>
      </c>
      <c r="HG10" s="2">
        <v>1</v>
      </c>
      <c r="HH10" s="6" t="s">
        <v>25</v>
      </c>
      <c r="HI10" s="2">
        <v>0.1</v>
      </c>
      <c r="HJ10" s="6" t="s">
        <v>25</v>
      </c>
      <c r="HK10" s="5">
        <f t="shared" ref="HK10:HK11" si="406">IF(OR(ISNUMBER(HG10), ISNUMBER(HI10)), IF(ISNUMBER(HG10), HG10, 0) + IF(ISNUMBER(HI10), HI10, 0), "")</f>
        <v>1.1000000000000001</v>
      </c>
      <c r="HL10" s="3"/>
      <c r="HM10" s="10">
        <f>IF(ISNUMBER(HK10), (HA10+HB10)-HK10, "")</f>
        <v>0.39999999999999991</v>
      </c>
      <c r="HN10" s="5">
        <v>0.1</v>
      </c>
      <c r="HO10" s="10">
        <f t="shared" ref="HO10:HO11" si="407">IF(ISNUMBER(HN10), HN10-HM10, "")</f>
        <v>-0.29999999999999993</v>
      </c>
      <c r="HQ10" s="24">
        <v>1</v>
      </c>
      <c r="HR10" s="6" t="s">
        <v>25</v>
      </c>
      <c r="HS10" s="24">
        <v>0.1</v>
      </c>
      <c r="HT10" s="6" t="s">
        <v>25</v>
      </c>
      <c r="HU10" s="5">
        <f t="shared" ref="HU10:HU11" si="408">IF(OR(ISNUMBER(HQ10), ISNUMBER(HS10)), IF(ISNUMBER(HQ10), HQ10, 0) + IF(ISNUMBER(HS10), HS10, 0), "")</f>
        <v>1.1000000000000001</v>
      </c>
      <c r="HV10" s="3"/>
      <c r="HW10" s="10">
        <f t="shared" ref="HW10:HW11" si="409">IF(ISNUMBER(HU10), (HK10+HL10)-HU10, "")</f>
        <v>0</v>
      </c>
      <c r="HX10" s="5">
        <v>0.21</v>
      </c>
      <c r="HY10" s="10">
        <f t="shared" ref="HY10:HY11" si="410">IF(ISNUMBER(HX10), HX10-HW10, "")</f>
        <v>0.21</v>
      </c>
      <c r="IA10" s="24">
        <v>0</v>
      </c>
      <c r="IB10" s="6" t="s">
        <v>25</v>
      </c>
      <c r="IC10" s="24">
        <v>0.9</v>
      </c>
      <c r="ID10" s="6" t="s">
        <v>25</v>
      </c>
      <c r="IE10" s="5">
        <f t="shared" ref="IE10:IE11" si="411">IF(OR(ISNUMBER(IA10), ISNUMBER(IC10)), IF(ISNUMBER(IA10), IA10, 0) + IF(ISNUMBER(IC10), IC10, 0), "")</f>
        <v>0.9</v>
      </c>
      <c r="IF10" s="3"/>
      <c r="IG10" s="10">
        <f t="shared" ref="IG10:IG11" si="412">IF(ISNUMBER(IE10), (HU10+HV10)-IE10, "")</f>
        <v>0.20000000000000007</v>
      </c>
      <c r="IH10" s="5">
        <v>0.14000000000000001</v>
      </c>
      <c r="II10" s="10">
        <f t="shared" ref="II10:II11" si="413">IF(ISNUMBER(IH10), IH10-IG10, "")</f>
        <v>-6.0000000000000053E-2</v>
      </c>
      <c r="IK10" s="24">
        <v>0</v>
      </c>
      <c r="IL10" s="6" t="s">
        <v>25</v>
      </c>
      <c r="IM10" s="24">
        <v>0.9</v>
      </c>
      <c r="IN10" s="6" t="s">
        <v>25</v>
      </c>
      <c r="IO10" s="5">
        <f t="shared" ref="IO10:IO11" si="414">IF(OR(ISNUMBER(IK10), ISNUMBER(IM10)), IF(ISNUMBER(IK10), IK10, 0) + IF(ISNUMBER(IM10), IM10, 0), "")</f>
        <v>0.9</v>
      </c>
      <c r="IP10" s="3">
        <v>1</v>
      </c>
      <c r="IQ10" s="10">
        <f t="shared" ref="IQ10:IQ11" si="415">IF(ISNUMBER(IO10), (IE10+IF10)-IO10, "")</f>
        <v>0</v>
      </c>
      <c r="IR10" s="5">
        <v>0.22</v>
      </c>
      <c r="IS10" s="10">
        <f t="shared" ref="IS10:IS11" si="416">IF(ISNUMBER(IR10), IR10-IQ10, "")</f>
        <v>0.22</v>
      </c>
      <c r="IU10" s="24">
        <v>1</v>
      </c>
      <c r="IV10" s="6" t="s">
        <v>25</v>
      </c>
      <c r="IW10" s="24">
        <v>0.3</v>
      </c>
      <c r="IX10" s="6" t="s">
        <v>25</v>
      </c>
      <c r="IY10" s="5">
        <f t="shared" ref="IY10:IY11" si="417">IF(OR(ISNUMBER(IU10), ISNUMBER(IW10)), IF(ISNUMBER(IU10), IU10, 0) + IF(ISNUMBER(IW10), IW10, 0), "")</f>
        <v>1.3</v>
      </c>
      <c r="IZ10" s="3"/>
      <c r="JA10" s="10">
        <f t="shared" ref="JA10:JA11" si="418">IF(ISNUMBER(IY10), (IO10+IP10)-IY10, "")</f>
        <v>0.59999999999999987</v>
      </c>
      <c r="JB10" s="5">
        <v>0.14000000000000001</v>
      </c>
      <c r="JC10" s="10">
        <f t="shared" ref="JC10:JC11" si="419">IF(ISNUMBER(JB10), JB10-JA10, "")</f>
        <v>-0.45999999999999985</v>
      </c>
      <c r="JE10" s="24">
        <v>1</v>
      </c>
      <c r="JF10" s="6" t="s">
        <v>25</v>
      </c>
      <c r="JG10" s="24">
        <v>0.1</v>
      </c>
      <c r="JH10" s="6" t="s">
        <v>25</v>
      </c>
      <c r="JI10" s="5">
        <f t="shared" ref="JI10:JI11" si="420">IF(OR(ISNUMBER(JE10), ISNUMBER(JG10)), IF(ISNUMBER(JE10), JE10, 0) + IF(ISNUMBER(JG10), JG10, 0), "")</f>
        <v>1.1000000000000001</v>
      </c>
      <c r="JJ10" s="3">
        <v>1</v>
      </c>
      <c r="JK10" s="10">
        <f t="shared" ref="JK10:JK11" si="421">IF(ISNUMBER(JI10), (IY10+IZ10)-JI10, "")</f>
        <v>0.19999999999999996</v>
      </c>
      <c r="JL10" s="5">
        <v>0.43</v>
      </c>
      <c r="JM10" s="10">
        <f t="shared" ref="JM10:JM11" si="422">IF(ISNUMBER(JL10), JL10-JK10, "")</f>
        <v>0.23000000000000004</v>
      </c>
      <c r="JO10" s="24">
        <v>1</v>
      </c>
      <c r="JP10" s="6" t="s">
        <v>25</v>
      </c>
      <c r="JQ10" s="24">
        <v>0.9</v>
      </c>
      <c r="JR10" s="6" t="s">
        <v>25</v>
      </c>
      <c r="JS10" s="5">
        <f t="shared" ref="JS10:JS11" si="423">IF(OR(ISNUMBER(JO10), ISNUMBER(JQ10)), IF(ISNUMBER(JO10), JO10, 0) + IF(ISNUMBER(JQ10), JQ10, 0), "")</f>
        <v>1.9</v>
      </c>
      <c r="JT10" s="3"/>
      <c r="JU10" s="10">
        <f t="shared" ref="JU10:JU11" si="424">IF(ISNUMBER(JS10), (JI10+JJ10)-JS10, "")</f>
        <v>0.20000000000000018</v>
      </c>
      <c r="JV10" s="5">
        <v>0.24</v>
      </c>
      <c r="JW10" s="10">
        <f t="shared" ref="JW10:JW11" si="425">IF(ISNUMBER(JV10), JV10-JU10, "")</f>
        <v>3.9999999999999813E-2</v>
      </c>
      <c r="JY10" s="24">
        <v>1</v>
      </c>
      <c r="JZ10" s="6" t="s">
        <v>25</v>
      </c>
      <c r="KA10" s="24">
        <v>0.3</v>
      </c>
      <c r="KB10" s="6" t="s">
        <v>25</v>
      </c>
      <c r="KC10" s="5">
        <f t="shared" ref="KC10:KC11" si="426">IF(OR(ISNUMBER(JY10), ISNUMBER(KA10)), IF(ISNUMBER(JY10), JY10, 0) + IF(ISNUMBER(KA10), KA10, 0), "")</f>
        <v>1.3</v>
      </c>
      <c r="KD10" s="3"/>
      <c r="KE10" s="10">
        <f t="shared" ref="KE10:KE11" si="427">IF(ISNUMBER(KC10), (JS10+JT10)-KC10, "")</f>
        <v>0.59999999999999987</v>
      </c>
      <c r="KF10" s="5">
        <v>0.33</v>
      </c>
      <c r="KG10" s="10">
        <f t="shared" ref="KG10:KG11" si="428">IF(ISNUMBER(KF10), KF10-KE10, "")</f>
        <v>-0.26999999999999985</v>
      </c>
      <c r="KI10" s="24">
        <v>0.8</v>
      </c>
      <c r="KJ10" s="6" t="s">
        <v>25</v>
      </c>
      <c r="KK10" s="24">
        <v>0</v>
      </c>
      <c r="KL10" s="6" t="s">
        <v>25</v>
      </c>
      <c r="KM10" s="5">
        <f t="shared" ref="KM10:KM11" si="429">IF(OR(ISNUMBER(KI10), ISNUMBER(KK10)), IF(ISNUMBER(KI10), KI10, 0) + IF(ISNUMBER(KK10), KK10, 0), "")</f>
        <v>0.8</v>
      </c>
      <c r="KN10" s="3"/>
      <c r="KO10" s="10">
        <f t="shared" ref="KO10:KO11" si="430">IF(ISNUMBER(KM10), (KC10+KD10)-KM10, "")</f>
        <v>0.5</v>
      </c>
      <c r="KP10" s="5">
        <v>0.46</v>
      </c>
      <c r="KQ10" s="10">
        <f t="shared" ref="KQ10:KQ11" si="431">IF(ISNUMBER(KP10), KP10-KO10, "")</f>
        <v>-3.999999999999998E-2</v>
      </c>
      <c r="KS10" s="24">
        <v>0</v>
      </c>
      <c r="KT10" s="6" t="s">
        <v>25</v>
      </c>
      <c r="KU10" s="24">
        <v>0.3</v>
      </c>
      <c r="KV10" s="6" t="s">
        <v>25</v>
      </c>
      <c r="KW10" s="5">
        <f t="shared" ref="KW10:KW11" si="432">IF(OR(ISNUMBER(KS10), ISNUMBER(KU10)), IF(ISNUMBER(KS10), KS10, 0) + IF(ISNUMBER(KU10), KU10, 0), "")</f>
        <v>0.3</v>
      </c>
      <c r="KX10" s="3">
        <v>1</v>
      </c>
      <c r="KY10" s="10">
        <f t="shared" ref="KY10:KY11" si="433">IF(ISNUMBER(KW10), (KM10+KN10)-KW10, "")</f>
        <v>0.5</v>
      </c>
      <c r="KZ10" s="5">
        <v>0.33</v>
      </c>
      <c r="LA10" s="10">
        <f t="shared" ref="LA10:LA11" si="434">IF(ISNUMBER(KZ10), KZ10-KY10, "")</f>
        <v>-0.16999999999999998</v>
      </c>
      <c r="LC10" s="24">
        <v>1</v>
      </c>
      <c r="LD10" s="6" t="s">
        <v>25</v>
      </c>
      <c r="LE10" s="24">
        <v>0</v>
      </c>
      <c r="LF10" s="6" t="s">
        <v>25</v>
      </c>
      <c r="LG10" s="5">
        <f t="shared" ref="LG10:LG11" si="435">IF(OR(ISNUMBER(LC10), ISNUMBER(LE10)), IF(ISNUMBER(LC10), LC10, 0) + IF(ISNUMBER(LE10), LE10, 0), "")</f>
        <v>1</v>
      </c>
      <c r="LH10" s="3"/>
      <c r="LI10" s="10">
        <f t="shared" ref="LI10:LI11" si="436">IF(ISNUMBER(LG10), (KW10+KX10)-LG10, "")</f>
        <v>0.30000000000000004</v>
      </c>
      <c r="LJ10" s="5">
        <v>0.15</v>
      </c>
      <c r="LK10" s="10">
        <f t="shared" ref="LK10:LK11" si="437">IF(ISNUMBER(LJ10), LJ10-LI10, "")</f>
        <v>-0.15000000000000005</v>
      </c>
      <c r="LM10" s="24">
        <v>0</v>
      </c>
      <c r="LN10" s="6" t="s">
        <v>25</v>
      </c>
      <c r="LO10" s="24">
        <v>1</v>
      </c>
      <c r="LP10" s="6" t="s">
        <v>25</v>
      </c>
      <c r="LQ10" s="5">
        <f t="shared" ref="LQ10:LQ11" si="438">IF(OR(ISNUMBER(LM10), ISNUMBER(LO10)), IF(ISNUMBER(LM10), LM10, 0) + IF(ISNUMBER(LO10), LO10, 0), "")</f>
        <v>1</v>
      </c>
      <c r="LR10" s="3">
        <v>1</v>
      </c>
      <c r="LS10" s="10">
        <f t="shared" ref="LS10:LS11" si="439">IF(ISNUMBER(LQ10), (LG10+LH10)-LQ10, "")</f>
        <v>0</v>
      </c>
      <c r="LT10" s="5">
        <v>0.14000000000000001</v>
      </c>
      <c r="LU10" s="10">
        <f t="shared" ref="LU10:LU11" si="440">IF(ISNUMBER(LT10), LT10-LS10, "")</f>
        <v>0.14000000000000001</v>
      </c>
      <c r="LW10" s="24">
        <v>1</v>
      </c>
      <c r="LX10" s="6" t="s">
        <v>25</v>
      </c>
      <c r="LY10" s="24">
        <v>0.5</v>
      </c>
      <c r="LZ10" s="6" t="s">
        <v>25</v>
      </c>
      <c r="MA10" s="5">
        <f t="shared" ref="MA10:MA11" si="441">IF(OR(ISNUMBER(LW10), ISNUMBER(LY10)), IF(ISNUMBER(LW10), LW10, 0) + IF(ISNUMBER(LY10), LY10, 0), "")</f>
        <v>1.5</v>
      </c>
      <c r="MB10" s="3"/>
      <c r="MC10" s="10">
        <f t="shared" ref="MC10:MC11" si="442">IF(ISNUMBER(MA10), (LQ10+LR10)-MA10, "")</f>
        <v>0.5</v>
      </c>
      <c r="MD10" s="5">
        <v>0.34</v>
      </c>
      <c r="ME10" s="10">
        <f t="shared" ref="ME10:ME11" si="443">IF(ISNUMBER(MD10), MD10-MC10, "")</f>
        <v>-0.15999999999999998</v>
      </c>
      <c r="MG10" s="24">
        <v>1</v>
      </c>
      <c r="MH10" s="6" t="s">
        <v>25</v>
      </c>
      <c r="MI10" s="24">
        <v>0.1</v>
      </c>
      <c r="MJ10" s="6" t="s">
        <v>25</v>
      </c>
      <c r="MK10" s="5">
        <f t="shared" ref="MK10:MK11" si="444">IF(OR(ISNUMBER(MG10), ISNUMBER(MI10)), IF(ISNUMBER(MG10), MG10, 0) + IF(ISNUMBER(MI10), MI10, 0), "")</f>
        <v>1.1000000000000001</v>
      </c>
      <c r="ML10" s="3"/>
      <c r="MM10" s="10">
        <f t="shared" ref="MM10:MM11" si="445">IF(ISNUMBER(MK10), (MA10+MB10)-MK10, "")</f>
        <v>0.39999999999999991</v>
      </c>
      <c r="MN10" s="5">
        <v>0.26</v>
      </c>
      <c r="MO10" s="10">
        <f t="shared" ref="MO10:MO11" si="446">IF(ISNUMBER(MN10), MN10-MM10, "")</f>
        <v>-0.1399999999999999</v>
      </c>
      <c r="MQ10" s="24">
        <v>0</v>
      </c>
      <c r="MR10" s="6" t="s">
        <v>25</v>
      </c>
      <c r="MS10" s="24">
        <v>1</v>
      </c>
      <c r="MT10" s="6" t="s">
        <v>25</v>
      </c>
      <c r="MU10" s="5">
        <f t="shared" ref="MU10:MU11" si="447">IF(OR(ISNUMBER(MQ10), ISNUMBER(MS10)), IF(ISNUMBER(MQ10), MQ10, 0) + IF(ISNUMBER(MS10), MS10, 0), "")</f>
        <v>1</v>
      </c>
      <c r="MV10" s="3"/>
      <c r="MW10" s="10">
        <f t="shared" ref="MW10:MW11" si="448">IF(ISNUMBER(MU10), (MK10+ML10)-MU10, "")</f>
        <v>0.10000000000000009</v>
      </c>
      <c r="MX10" s="5">
        <v>0.28999999999999998</v>
      </c>
      <c r="MY10" s="10">
        <f t="shared" ref="MY10:MY11" si="449">IF(ISNUMBER(MX10), MX10-MW10, "")</f>
        <v>0.18999999999999989</v>
      </c>
      <c r="NA10" s="24">
        <v>0</v>
      </c>
      <c r="NB10" s="6" t="s">
        <v>25</v>
      </c>
      <c r="NC10" s="24">
        <v>0.7</v>
      </c>
      <c r="ND10" s="6" t="s">
        <v>25</v>
      </c>
      <c r="NE10" s="5">
        <f t="shared" ref="NE10:NE11" si="450">IF(OR(ISNUMBER(NA10), ISNUMBER(NC10)), IF(ISNUMBER(NA10), NA10, 0) + IF(ISNUMBER(NC10), NC10, 0), "")</f>
        <v>0.7</v>
      </c>
      <c r="NF10" s="3">
        <v>2</v>
      </c>
      <c r="NG10" s="10">
        <f t="shared" ref="NG10:NG11" si="451">IF(ISNUMBER(NE10), (MU10+MV10)-NE10, "")</f>
        <v>0.30000000000000004</v>
      </c>
      <c r="NH10" s="5">
        <v>0.26</v>
      </c>
      <c r="NI10" s="10">
        <f t="shared" ref="NI10:NI11" si="452">IF(ISNUMBER(NH10), NH10-NG10, "")</f>
        <v>-4.0000000000000036E-2</v>
      </c>
      <c r="NK10" s="24">
        <v>2</v>
      </c>
      <c r="NL10" s="6" t="s">
        <v>25</v>
      </c>
      <c r="NM10" s="24">
        <v>0.3</v>
      </c>
      <c r="NN10" s="6" t="s">
        <v>25</v>
      </c>
      <c r="NO10" s="5">
        <f t="shared" ref="NO10:NO11" si="453">IF(OR(ISNUMBER(NK10), ISNUMBER(NM10)), IF(ISNUMBER(NK10), NK10, 0) + IF(ISNUMBER(NM10), NM10, 0), "")</f>
        <v>2.2999999999999998</v>
      </c>
      <c r="NP10" s="3"/>
      <c r="NQ10" s="10">
        <f t="shared" ref="NQ10:NQ11" si="454">IF(ISNUMBER(NO10), (NE10+NF10)-NO10, "")</f>
        <v>0.40000000000000036</v>
      </c>
      <c r="NR10" s="5">
        <v>0.31</v>
      </c>
      <c r="NS10" s="10">
        <f t="shared" ref="NS10:NS11" si="455">IF(ISNUMBER(NR10), NR10-NQ10, "")</f>
        <v>-9.0000000000000357E-2</v>
      </c>
      <c r="NU10" s="24">
        <v>1</v>
      </c>
      <c r="NV10" s="6" t="s">
        <v>25</v>
      </c>
      <c r="NW10" s="24">
        <v>0.9</v>
      </c>
      <c r="NX10" s="6" t="s">
        <v>25</v>
      </c>
      <c r="NY10" s="5">
        <f t="shared" ref="NY10:NY11" si="456">IF(OR(ISNUMBER(NU10), ISNUMBER(NW10)), IF(ISNUMBER(NU10), NU10, 0) + IF(ISNUMBER(NW10), NW10, 0), "")</f>
        <v>1.9</v>
      </c>
      <c r="NZ10" s="3"/>
      <c r="OA10" s="10">
        <f t="shared" ref="OA10:OA11" si="457">IF(ISNUMBER(NY10), (NO10+NP10)-NY10, "")</f>
        <v>0.39999999999999991</v>
      </c>
      <c r="OB10" s="5">
        <v>0.27</v>
      </c>
      <c r="OC10" s="10">
        <f t="shared" ref="OC10:OC11" si="458">IF(ISNUMBER(OB10), OB10-OA10, "")</f>
        <v>-0.12999999999999989</v>
      </c>
      <c r="OE10" s="2">
        <v>1</v>
      </c>
      <c r="OF10" s="6" t="s">
        <v>25</v>
      </c>
      <c r="OG10" s="2">
        <v>0.3</v>
      </c>
      <c r="OH10" s="6" t="s">
        <v>25</v>
      </c>
      <c r="OI10" s="5">
        <f t="shared" ref="OI10:OI11" si="459">IF(OR(ISNUMBER(OE10), ISNUMBER(OG10)), IF(ISNUMBER(OE10), OE10, 0) + IF(ISNUMBER(OG10), OG10, 0), "")</f>
        <v>1.3</v>
      </c>
      <c r="OJ10" s="3"/>
      <c r="OK10" s="10">
        <f t="shared" ref="OK10:OK11" si="460">IF(ISNUMBER(OI10), (NY10+NZ10)-OI10, "")</f>
        <v>0.59999999999999987</v>
      </c>
      <c r="OL10" s="5">
        <v>0.5</v>
      </c>
      <c r="OM10" s="10">
        <f t="shared" ref="OM10:OM11" si="461">IF(ISNUMBER(OL10), OL10-OK10, "")</f>
        <v>-9.9999999999999867E-2</v>
      </c>
      <c r="OO10" s="24">
        <v>0</v>
      </c>
      <c r="OP10" s="6" t="s">
        <v>25</v>
      </c>
      <c r="OQ10" s="24">
        <v>0.9</v>
      </c>
      <c r="OR10" s="6" t="s">
        <v>25</v>
      </c>
      <c r="OS10" s="5">
        <f t="shared" ref="OS10:OS11" si="462">IF(OR(ISNUMBER(OO10), ISNUMBER(OQ10)), IF(ISNUMBER(OO10), OO10, 0) + IF(ISNUMBER(OQ10), OQ10, 0), "")</f>
        <v>0.9</v>
      </c>
      <c r="OT10" s="3">
        <v>1</v>
      </c>
      <c r="OU10" s="10">
        <f t="shared" ref="OU10:OU11" si="463">IF(ISNUMBER(OS10), (OI10+OJ10)-OS10, "")</f>
        <v>0.4</v>
      </c>
      <c r="OV10" s="5">
        <v>0.38</v>
      </c>
      <c r="OW10" s="10">
        <f t="shared" ref="OW10:OW11" si="464">IF(ISNUMBER(OV10), OV10-OU10, "")</f>
        <v>-2.0000000000000018E-2</v>
      </c>
      <c r="OY10" s="24">
        <v>1</v>
      </c>
      <c r="OZ10" s="6" t="s">
        <v>25</v>
      </c>
      <c r="PA10" s="24">
        <v>0.8</v>
      </c>
      <c r="PB10" s="6" t="s">
        <v>25</v>
      </c>
      <c r="PC10" s="5">
        <f t="shared" ref="PC10:PC11" si="465">IF(OR(ISNUMBER(OY10), ISNUMBER(PA10)), IF(ISNUMBER(OY10), OY10, 0) + IF(ISNUMBER(PA10), PA10, 0), "")</f>
        <v>1.8</v>
      </c>
      <c r="PD10" s="3"/>
      <c r="PE10" s="10">
        <f t="shared" ref="PE10:PE11" si="466">IF(ISNUMBER(PC10), (OS10+OT10)-PC10, "")</f>
        <v>9.9999999999999867E-2</v>
      </c>
      <c r="PF10" s="5">
        <v>0.38</v>
      </c>
      <c r="PG10" s="10">
        <f t="shared" ref="PG10:PG11" si="467">IF(ISNUMBER(PF10), PF10-PE10, "")</f>
        <v>0.28000000000000014</v>
      </c>
      <c r="PI10" s="2">
        <v>1</v>
      </c>
      <c r="PJ10" s="36" t="s">
        <v>25</v>
      </c>
      <c r="PK10" s="2">
        <v>0.3</v>
      </c>
      <c r="PL10" s="36" t="s">
        <v>25</v>
      </c>
      <c r="PM10" s="5">
        <f t="shared" ref="PM10:PM11" si="468">IF(OR(ISNUMBER(PI10), ISNUMBER(PK10)), IF(ISNUMBER(PI10), PI10, 0) + IF(ISNUMBER(PK10), PK10, 0), "")</f>
        <v>1.3</v>
      </c>
      <c r="PN10" s="3"/>
      <c r="PO10" s="10">
        <f t="shared" ref="PO10:PO11" si="469">IF(ISNUMBER(PM10), (PC10+PD10)-PM10, "")</f>
        <v>0.5</v>
      </c>
      <c r="PP10" s="5">
        <v>0.17</v>
      </c>
      <c r="PQ10" s="10">
        <f t="shared" ref="PQ10:PQ11" si="470">IF(ISNUMBER(PP10), PP10-PO10, "")</f>
        <v>-0.32999999999999996</v>
      </c>
      <c r="PS10" s="2"/>
      <c r="PT10" s="6" t="s">
        <v>25</v>
      </c>
      <c r="PU10" s="2">
        <v>0.8</v>
      </c>
      <c r="PV10" s="6" t="s">
        <v>25</v>
      </c>
      <c r="PW10" s="5">
        <f t="shared" ref="PW10:PW11" si="471">IF(OR(ISNUMBER(PS10), ISNUMBER(PU10)), IF(ISNUMBER(PS10), PS10, 0) + IF(ISNUMBER(PU10), PU10, 0), "")</f>
        <v>0.8</v>
      </c>
      <c r="PX10" s="3"/>
      <c r="PY10" s="10">
        <f t="shared" ref="PY10:PY11" si="472">IF(ISNUMBER(PW10), (PM10+PN10)-PW10, "")</f>
        <v>0.5</v>
      </c>
      <c r="PZ10" s="5">
        <v>0.5</v>
      </c>
      <c r="QA10" s="10">
        <f t="shared" ref="QA10:QA11" si="473">IF(ISNUMBER(PZ10), PZ10-PY10, "")</f>
        <v>0</v>
      </c>
      <c r="QC10" s="2">
        <v>0</v>
      </c>
      <c r="QD10" s="6" t="s">
        <v>25</v>
      </c>
      <c r="QE10" s="2">
        <v>0.1</v>
      </c>
      <c r="QF10" s="6" t="s">
        <v>25</v>
      </c>
      <c r="QG10" s="5">
        <f t="shared" ref="QG10:QG11" si="474">IF(OR(ISNUMBER(QC10), ISNUMBER(QE10)), IF(ISNUMBER(QC10), QC10, 0) + IF(ISNUMBER(QE10), QE10, 0), "")</f>
        <v>0.1</v>
      </c>
      <c r="QH10" s="3">
        <v>1</v>
      </c>
      <c r="QI10" s="10">
        <f t="shared" ref="QI10:QI11" si="475">IF(ISNUMBER(QG10), (PW10+PX10)-QG10, "")</f>
        <v>0.70000000000000007</v>
      </c>
      <c r="QJ10" s="5">
        <v>0.51</v>
      </c>
      <c r="QK10" s="10">
        <f t="shared" ref="QK10:QK11" si="476">IF(ISNUMBER(QJ10), QJ10-QI10, "")</f>
        <v>-0.19000000000000006</v>
      </c>
      <c r="QM10" s="24">
        <v>0</v>
      </c>
      <c r="QN10" s="6" t="s">
        <v>25</v>
      </c>
      <c r="QO10" s="24">
        <v>0.8</v>
      </c>
      <c r="QP10" s="6" t="s">
        <v>25</v>
      </c>
      <c r="QQ10" s="5">
        <f t="shared" ref="QQ10:QQ11" si="477">IF(OR(ISNUMBER(QM10), ISNUMBER(QO10)), IF(ISNUMBER(QM10), QM10, 0) + IF(ISNUMBER(QO10), QO10, 0), "")</f>
        <v>0.8</v>
      </c>
      <c r="QR10" s="3"/>
      <c r="QS10" s="10">
        <f t="shared" ref="QS10:QS11" si="478">IF(ISNUMBER(QQ10), (QG10+QH10)-QQ10, "")</f>
        <v>0.30000000000000004</v>
      </c>
      <c r="QT10" s="5">
        <v>0.22</v>
      </c>
      <c r="QU10" s="10">
        <f t="shared" ref="QU10:QU11" si="479">IF(ISNUMBER(QT10), QT10-QS10, "")</f>
        <v>-8.0000000000000043E-2</v>
      </c>
      <c r="QW10" s="24">
        <v>0</v>
      </c>
      <c r="QX10" s="6" t="s">
        <v>25</v>
      </c>
      <c r="QY10" s="24">
        <v>0.7</v>
      </c>
      <c r="QZ10" s="6" t="s">
        <v>25</v>
      </c>
      <c r="RA10" s="5">
        <f t="shared" ref="RA10:RA11" si="480">IF(OR(ISNUMBER(QW10), ISNUMBER(QY10)), IF(ISNUMBER(QW10), QW10, 0) + IF(ISNUMBER(QY10), QY10, 0), "")</f>
        <v>0.7</v>
      </c>
      <c r="RB10" s="3">
        <v>1</v>
      </c>
      <c r="RC10" s="10">
        <f t="shared" ref="RC10:RC11" si="481">IF(ISNUMBER(RA10), (QQ10+QR10)-RA10, "")</f>
        <v>0.10000000000000009</v>
      </c>
      <c r="RD10" s="5">
        <v>0.34</v>
      </c>
      <c r="RE10" s="10">
        <f t="shared" ref="RE10:RE11" si="482">IF(ISNUMBER(RD10), RD10-RC10, "")</f>
        <v>0.23999999999999994</v>
      </c>
      <c r="RG10" s="24">
        <v>1</v>
      </c>
      <c r="RH10" s="6" t="s">
        <v>25</v>
      </c>
      <c r="RI10" s="24">
        <v>0.2</v>
      </c>
      <c r="RJ10" s="6" t="s">
        <v>25</v>
      </c>
      <c r="RK10" s="5">
        <f t="shared" ref="RK10:RK11" si="483">IF(OR(ISNUMBER(RG10), ISNUMBER(RI10)), IF(ISNUMBER(RG10), RG10, 0) + IF(ISNUMBER(RI10), RI10, 0), "")</f>
        <v>1.2</v>
      </c>
      <c r="RL10" s="3"/>
      <c r="RM10" s="10">
        <f t="shared" ref="RM10:RM11" si="484">IF(ISNUMBER(RK10), (RA10+RB10)-RK10, "")</f>
        <v>0.5</v>
      </c>
      <c r="RN10" s="5">
        <v>0.53</v>
      </c>
      <c r="RO10" s="10">
        <f t="shared" ref="RO10:RO11" si="485">IF(ISNUMBER(RN10), RN10-RM10, "")</f>
        <v>3.0000000000000027E-2</v>
      </c>
      <c r="RQ10" s="24">
        <v>0</v>
      </c>
      <c r="RR10" s="6" t="s">
        <v>25</v>
      </c>
      <c r="RS10" s="24">
        <v>0.8</v>
      </c>
      <c r="RT10" s="6" t="s">
        <v>25</v>
      </c>
      <c r="RU10" s="5">
        <f t="shared" ref="RU10:RU11" si="486">IF(OR(ISNUMBER(RQ10), ISNUMBER(RS10)), IF(ISNUMBER(RQ10), RQ10, 0) + IF(ISNUMBER(RS10), RS10, 0), "")</f>
        <v>0.8</v>
      </c>
      <c r="RV10" s="3">
        <v>1</v>
      </c>
      <c r="RW10" s="10">
        <f t="shared" ref="RW10:RW11" si="487">IF(ISNUMBER(RU10), (RK10+RL10)-RU10, "")</f>
        <v>0.39999999999999991</v>
      </c>
      <c r="RX10" s="5">
        <v>0.36</v>
      </c>
      <c r="RY10" s="10">
        <f t="shared" ref="RY10:RY11" si="488">IF(ISNUMBER(RX10), RX10-RW10, "")</f>
        <v>-3.9999999999999925E-2</v>
      </c>
      <c r="SA10" s="2">
        <v>0</v>
      </c>
      <c r="SB10" s="6" t="s">
        <v>25</v>
      </c>
      <c r="SC10" s="2">
        <v>1</v>
      </c>
      <c r="SD10" s="6" t="s">
        <v>25</v>
      </c>
      <c r="SE10" s="5">
        <f t="shared" ref="SE10:SE11" si="489">IF(OR(ISNUMBER(SA10), ISNUMBER(SC10)), IF(ISNUMBER(SA10), SA10, 0) + IF(ISNUMBER(SC10), SC10, 0), "")</f>
        <v>1</v>
      </c>
      <c r="SF10" s="3"/>
      <c r="SG10" s="10">
        <f t="shared" ref="SG10:SG11" si="490">IF(ISNUMBER(SE10), (RU10+RV10)-SE10, "")</f>
        <v>0.8</v>
      </c>
      <c r="SH10" s="5">
        <v>0.56999999999999995</v>
      </c>
      <c r="SI10" s="10">
        <f t="shared" ref="SI10:SI11" si="491">IF(ISNUMBER(SH10), SH10-SG10, "")</f>
        <v>-0.23000000000000009</v>
      </c>
      <c r="SK10" s="24">
        <v>0</v>
      </c>
      <c r="SL10" s="6" t="s">
        <v>25</v>
      </c>
      <c r="SM10" s="24">
        <v>0.5</v>
      </c>
      <c r="SN10" s="6" t="s">
        <v>25</v>
      </c>
      <c r="SO10" s="5">
        <f t="shared" ref="SO10:SO11" si="492">IF(OR(ISNUMBER(SK10), ISNUMBER(SM10)), IF(ISNUMBER(SK10), SK10, 0) + IF(ISNUMBER(SM10), SM10, 0), "")</f>
        <v>0.5</v>
      </c>
      <c r="SP10" s="3">
        <v>1</v>
      </c>
      <c r="SQ10" s="10">
        <f t="shared" ref="SQ10:SQ11" si="493">IF(ISNUMBER(SO10), (SE10+SF10)-SO10, "")</f>
        <v>0.5</v>
      </c>
      <c r="SR10" s="5">
        <v>0.51</v>
      </c>
      <c r="SS10" s="10">
        <f t="shared" ref="SS10:SS11" si="494">IF(ISNUMBER(SR10), SR10-SQ10, "")</f>
        <v>1.0000000000000009E-2</v>
      </c>
      <c r="SU10" s="24">
        <v>0</v>
      </c>
      <c r="SV10" s="6" t="s">
        <v>25</v>
      </c>
      <c r="SW10" s="24">
        <v>1</v>
      </c>
      <c r="SX10" s="6" t="s">
        <v>25</v>
      </c>
      <c r="SY10" s="5">
        <f t="shared" ref="SY10:SY11" si="495">IF(OR(ISNUMBER(SU10), ISNUMBER(SW10)), IF(ISNUMBER(SU10), SU10, 0) + IF(ISNUMBER(SW10), SW10, 0), "")</f>
        <v>1</v>
      </c>
      <c r="SZ10" s="3"/>
      <c r="TA10" s="10">
        <f t="shared" ref="TA10:TA11" si="496">IF(ISNUMBER(SY10), (SO10+SP10)-SY10, "")</f>
        <v>0.5</v>
      </c>
      <c r="TB10" s="5">
        <v>0.51</v>
      </c>
      <c r="TC10" s="10">
        <f t="shared" ref="TC10:TC11" si="497">IF(ISNUMBER(TB10), TB10-TA10, "")</f>
        <v>1.0000000000000009E-2</v>
      </c>
      <c r="TE10" s="24">
        <v>0</v>
      </c>
      <c r="TF10" s="6" t="s">
        <v>25</v>
      </c>
      <c r="TG10" s="24">
        <v>0.8</v>
      </c>
      <c r="TH10" s="6" t="s">
        <v>25</v>
      </c>
      <c r="TI10" s="5">
        <f t="shared" ref="TI10:TI11" si="498">IF(OR(ISNUMBER(TE10), ISNUMBER(TG10)), IF(ISNUMBER(TE10), TE10, 0) + IF(ISNUMBER(TG10), TG10, 0), "")</f>
        <v>0.8</v>
      </c>
      <c r="TJ10" s="3">
        <v>0</v>
      </c>
      <c r="TK10" s="10">
        <f t="shared" ref="TK10:TK11" si="499">IF(ISNUMBER(TI10), (SY10+SZ10)-TI10, "")</f>
        <v>0.19999999999999996</v>
      </c>
      <c r="TL10" s="5">
        <v>0.22</v>
      </c>
      <c r="TM10" s="10">
        <f t="shared" ref="TM10:TM11" si="500">IF(ISNUMBER(TL10), TL10-TK10, "")</f>
        <v>2.0000000000000046E-2</v>
      </c>
      <c r="TO10" s="2">
        <v>0</v>
      </c>
      <c r="TP10" s="6" t="s">
        <v>25</v>
      </c>
      <c r="TQ10" s="2">
        <v>0</v>
      </c>
      <c r="TR10" s="6" t="s">
        <v>25</v>
      </c>
      <c r="TS10" s="5">
        <f t="shared" ref="TS10:TS11" si="501">IF(OR(ISNUMBER(TO10), ISNUMBER(TQ10)), IF(ISNUMBER(TO10), TO10, 0) + IF(ISNUMBER(TQ10), TQ10, 0), "")</f>
        <v>0</v>
      </c>
      <c r="TT10" s="3">
        <v>2</v>
      </c>
      <c r="TU10" s="10">
        <f t="shared" ref="TU10:TU11" si="502">IF(ISNUMBER(TS10), (TI10+TJ10)-TS10, "")</f>
        <v>0.8</v>
      </c>
      <c r="TV10" s="5">
        <v>0.41</v>
      </c>
      <c r="TW10" s="10">
        <f t="shared" ref="TW10:TW11" si="503">IF(ISNUMBER(TV10), TV10-TU10, "")</f>
        <v>-0.39000000000000007</v>
      </c>
      <c r="TY10" s="24">
        <v>1</v>
      </c>
      <c r="TZ10" s="6" t="s">
        <v>25</v>
      </c>
      <c r="UA10" s="24">
        <v>0.8</v>
      </c>
      <c r="UB10" s="6" t="s">
        <v>25</v>
      </c>
      <c r="UC10" s="5">
        <f t="shared" ref="UC10:UC11" si="504">IF(OR(ISNUMBER(TY10), ISNUMBER(UA10)), IF(ISNUMBER(TY10), TY10, 0) + IF(ISNUMBER(UA10), UA10, 0), "")</f>
        <v>1.8</v>
      </c>
      <c r="UD10" s="3"/>
      <c r="UE10" s="10">
        <f t="shared" ref="UE10:UE11" si="505">IF(ISNUMBER(UC10), (TS10+TT10)-UC10, "")</f>
        <v>0.19999999999999996</v>
      </c>
      <c r="UF10" s="5">
        <v>0.21</v>
      </c>
      <c r="UG10" s="10">
        <f t="shared" ref="UG10:UG11" si="506">IF(ISNUMBER(UF10), UF10-UE10, "")</f>
        <v>1.0000000000000037E-2</v>
      </c>
      <c r="UI10" s="2">
        <v>1</v>
      </c>
      <c r="UJ10" s="6" t="s">
        <v>25</v>
      </c>
      <c r="UK10" s="2">
        <v>0.1</v>
      </c>
      <c r="UL10" s="6" t="s">
        <v>25</v>
      </c>
      <c r="UM10" s="5">
        <f t="shared" ref="UM10:UM11" si="507">IF(OR(ISNUMBER(UI10), ISNUMBER(UK10)), IF(ISNUMBER(UI10), UI10, 0) + IF(ISNUMBER(UK10), UK10, 0), "")</f>
        <v>1.1000000000000001</v>
      </c>
      <c r="UN10" s="3"/>
      <c r="UO10" s="10">
        <f t="shared" ref="UO10:UO11" si="508">IF(ISNUMBER(UM10), (UC10+UD10)-UM10, "")</f>
        <v>0.7</v>
      </c>
      <c r="UP10" s="5">
        <v>0.51</v>
      </c>
      <c r="UQ10" s="10">
        <f t="shared" ref="UQ10:UQ11" si="509">IF(ISNUMBER(UP10), UP10-UO10, "")</f>
        <v>-0.18999999999999995</v>
      </c>
      <c r="US10" s="2">
        <v>0</v>
      </c>
      <c r="UT10" s="6" t="s">
        <v>25</v>
      </c>
      <c r="UU10" s="2">
        <v>0.9</v>
      </c>
      <c r="UV10" s="6" t="s">
        <v>25</v>
      </c>
      <c r="UW10" s="5">
        <f t="shared" ref="UW10:UW11" si="510">IF(OR(ISNUMBER(US10), ISNUMBER(UU10)), IF(ISNUMBER(US10), US10, 0) + IF(ISNUMBER(UU10), UU10, 0), "")</f>
        <v>0.9</v>
      </c>
      <c r="UX10" s="3">
        <v>1</v>
      </c>
      <c r="UY10" s="10">
        <f t="shared" ref="UY10:UY11" si="511">IF(ISNUMBER(UW10), (UM10+UN10)-UW10, "")</f>
        <v>0.20000000000000007</v>
      </c>
      <c r="UZ10" s="5">
        <v>0.21</v>
      </c>
      <c r="VA10" s="10">
        <f t="shared" ref="VA10:VA11" si="512">IF(ISNUMBER(UZ10), UZ10-UY10, "")</f>
        <v>9.9999999999999256E-3</v>
      </c>
      <c r="VC10" s="24">
        <v>1</v>
      </c>
      <c r="VD10" s="6" t="s">
        <v>25</v>
      </c>
      <c r="VE10" s="24">
        <v>0.3</v>
      </c>
      <c r="VF10" s="6" t="s">
        <v>25</v>
      </c>
      <c r="VG10" s="5">
        <f t="shared" ref="VG10:VG11" si="513">IF(OR(ISNUMBER(VC10), ISNUMBER(VE10)), IF(ISNUMBER(VC10), VC10, 0) + IF(ISNUMBER(VE10), VE10, 0), "")</f>
        <v>1.3</v>
      </c>
      <c r="VH10" s="3"/>
      <c r="VI10" s="10">
        <f t="shared" ref="VI10:VI11" si="514">IF(ISNUMBER(VG10), (UW10+UX10)-VG10, "")</f>
        <v>0.59999999999999987</v>
      </c>
      <c r="VJ10" s="5">
        <v>0.5</v>
      </c>
      <c r="VK10" s="10">
        <f t="shared" ref="VK10:VK11" si="515">IF(ISNUMBER(VJ10), VJ10-VI10, "")</f>
        <v>-9.9999999999999867E-2</v>
      </c>
      <c r="VM10" s="24">
        <v>0</v>
      </c>
      <c r="VN10" s="6" t="s">
        <v>25</v>
      </c>
      <c r="VO10" s="24">
        <v>0.9</v>
      </c>
      <c r="VP10" s="6" t="s">
        <v>25</v>
      </c>
      <c r="VQ10" s="5">
        <f t="shared" ref="VQ10:VQ11" si="516">IF(OR(ISNUMBER(VM10), ISNUMBER(VO10)), IF(ISNUMBER(VM10), VM10, 0) + IF(ISNUMBER(VO10), VO10, 0), "")</f>
        <v>0.9</v>
      </c>
      <c r="VR10" s="3">
        <v>1</v>
      </c>
      <c r="VS10" s="10">
        <f t="shared" ref="VS10:VS11" si="517">IF(ISNUMBER(VQ10), (VG10+VH10)-VQ10, "")</f>
        <v>0.4</v>
      </c>
      <c r="VT10" s="5">
        <v>0.38</v>
      </c>
      <c r="VU10" s="10">
        <f t="shared" ref="VU10:VU11" si="518">IF(ISNUMBER(VT10), VT10-VS10, "")</f>
        <v>-2.0000000000000018E-2</v>
      </c>
      <c r="VW10" s="2">
        <v>1</v>
      </c>
      <c r="VX10" s="6" t="s">
        <v>25</v>
      </c>
      <c r="VY10" s="2">
        <v>0.5</v>
      </c>
      <c r="VZ10" s="6" t="s">
        <v>25</v>
      </c>
      <c r="WA10" s="5">
        <f t="shared" ref="WA10:WA11" si="519">IF(OR(ISNUMBER(VW10), ISNUMBER(VY10)), IF(ISNUMBER(VW10), VW10, 0) + IF(ISNUMBER(VY10), VY10, 0), "")</f>
        <v>1.5</v>
      </c>
      <c r="WB10" s="3"/>
      <c r="WC10" s="10">
        <f t="shared" ref="WC10:WC11" si="520">IF(ISNUMBER(WA10), (VQ10+VR10)-WA10, "")</f>
        <v>0.39999999999999991</v>
      </c>
      <c r="WD10" s="5">
        <v>0.46</v>
      </c>
      <c r="WE10" s="10">
        <f t="shared" ref="WE10:WE11" si="521">IF(ISNUMBER(WD10), WD10-WC10, "")</f>
        <v>6.0000000000000109E-2</v>
      </c>
      <c r="WG10" s="24">
        <v>0</v>
      </c>
      <c r="WH10" s="6" t="s">
        <v>25</v>
      </c>
      <c r="WI10" s="24">
        <v>0.9</v>
      </c>
      <c r="WJ10" s="6" t="s">
        <v>25</v>
      </c>
      <c r="WK10" s="5">
        <f t="shared" ref="WK10:WK11" si="522">IF(OR(ISNUMBER(WG10), ISNUMBER(WI10)), IF(ISNUMBER(WG10), WG10, 0) + IF(ISNUMBER(WI10), WI10, 0), "")</f>
        <v>0.9</v>
      </c>
      <c r="WL10" s="3">
        <v>1</v>
      </c>
      <c r="WM10" s="10">
        <f t="shared" ref="WM10:WM11" si="523">IF(ISNUMBER(WK10), (WA10+WB10)-WK10, "")</f>
        <v>0.6</v>
      </c>
      <c r="WN10" s="5">
        <v>0.46</v>
      </c>
      <c r="WO10" s="10">
        <f t="shared" ref="WO10:WO11" si="524">IF(ISNUMBER(WN10), WN10-WM10, "")</f>
        <v>-0.13999999999999996</v>
      </c>
      <c r="WQ10" s="24">
        <v>1</v>
      </c>
      <c r="WR10" s="6" t="s">
        <v>25</v>
      </c>
      <c r="WS10" s="24">
        <v>0.6</v>
      </c>
      <c r="WT10" s="6" t="s">
        <v>25</v>
      </c>
      <c r="WU10" s="5">
        <f t="shared" ref="WU10:WU11" si="525">IF(OR(ISNUMBER(WQ10), ISNUMBER(WS10)), IF(ISNUMBER(WQ10), WQ10, 0) + IF(ISNUMBER(WS10), WS10, 0), "")</f>
        <v>1.6</v>
      </c>
      <c r="WV10" s="3"/>
      <c r="WW10" s="10">
        <f t="shared" ref="WW10:WW11" si="526">IF(ISNUMBER(WU10), (WK10+WL10)-WU10, "")</f>
        <v>0.29999999999999982</v>
      </c>
      <c r="WX10" s="5">
        <v>0.26</v>
      </c>
      <c r="WY10" s="10">
        <f t="shared" ref="WY10:WY11" si="527">IF(ISNUMBER(WX10), WX10-WW10, "")</f>
        <v>-3.9999999999999813E-2</v>
      </c>
      <c r="XA10" s="24">
        <v>1</v>
      </c>
      <c r="XB10" s="6" t="s">
        <v>25</v>
      </c>
      <c r="XC10" s="24">
        <v>0.1</v>
      </c>
      <c r="XD10" s="6" t="s">
        <v>25</v>
      </c>
      <c r="XE10" s="5">
        <f t="shared" ref="XE10:XE11" si="528">IF(OR(ISNUMBER(XA10), ISNUMBER(XC10)), IF(ISNUMBER(XA10), XA10, 0) + IF(ISNUMBER(XC10), XC10, 0), "")</f>
        <v>1.1000000000000001</v>
      </c>
      <c r="XF10" s="3">
        <v>1</v>
      </c>
      <c r="XG10" s="10">
        <f t="shared" ref="XG10:XG11" si="529">IF(ISNUMBER(XE10), (WU10+WV10)-XE10, "")</f>
        <v>0.5</v>
      </c>
      <c r="XH10" s="5">
        <v>0.5</v>
      </c>
      <c r="XI10" s="10">
        <f t="shared" ref="XI10:XI11" si="530">IF(ISNUMBER(XH10), XH10-XG10, "")</f>
        <v>0</v>
      </c>
      <c r="XK10" s="24">
        <v>1</v>
      </c>
      <c r="XL10" s="6" t="s">
        <v>25</v>
      </c>
      <c r="XM10" s="24">
        <v>0.8</v>
      </c>
      <c r="XN10" s="6" t="s">
        <v>25</v>
      </c>
      <c r="XO10" s="5">
        <f t="shared" ref="XO10:XO11" si="531">IF(OR(ISNUMBER(XK10), ISNUMBER(XM10)), IF(ISNUMBER(XK10), XK10, 0) + IF(ISNUMBER(XM10), XM10, 0), "")</f>
        <v>1.8</v>
      </c>
      <c r="XP10" s="3"/>
      <c r="XQ10" s="10">
        <f t="shared" ref="XQ10:XQ11" si="532">IF(ISNUMBER(XO10), (XE10+XF10)-XO10, "")</f>
        <v>0.30000000000000004</v>
      </c>
      <c r="XR10" s="5">
        <v>0.27</v>
      </c>
      <c r="XS10" s="10">
        <f t="shared" ref="XS10:XS11" si="533">IF(ISNUMBER(XR10), XR10-XQ10, "")</f>
        <v>-3.0000000000000027E-2</v>
      </c>
      <c r="XU10" s="24">
        <v>1</v>
      </c>
      <c r="XV10" s="6" t="s">
        <v>25</v>
      </c>
      <c r="XW10" s="24">
        <v>0.5</v>
      </c>
      <c r="XX10" s="6" t="s">
        <v>25</v>
      </c>
      <c r="XY10" s="5">
        <f t="shared" ref="XY10:XY11" si="534">IF(OR(ISNUMBER(XU10), ISNUMBER(XW10)), IF(ISNUMBER(XU10), XU10, 0) + IF(ISNUMBER(XW10), XW10, 0), "")</f>
        <v>1.5</v>
      </c>
      <c r="XZ10" s="3"/>
      <c r="YA10" s="10">
        <f t="shared" ref="YA10:YA11" si="535">IF(ISNUMBER(XY10), (XO10+XP10)-XY10, "")</f>
        <v>0.30000000000000004</v>
      </c>
      <c r="YB10" s="5">
        <v>0.34</v>
      </c>
      <c r="YC10" s="10">
        <f t="shared" ref="YC10:YC11" si="536">IF(ISNUMBER(YB10), YB10-YA10, "")</f>
        <v>3.999999999999998E-2</v>
      </c>
      <c r="YE10" s="24">
        <v>0</v>
      </c>
      <c r="YF10" s="6" t="s">
        <v>25</v>
      </c>
      <c r="YG10" s="24">
        <v>1</v>
      </c>
      <c r="YH10" s="6" t="s">
        <v>25</v>
      </c>
      <c r="YI10" s="5">
        <f t="shared" ref="YI10:YI11" si="537">IF(OR(ISNUMBER(YE10), ISNUMBER(YG10)), IF(ISNUMBER(YE10), YE10, 0) + IF(ISNUMBER(YG10), YG10, 0), "")</f>
        <v>1</v>
      </c>
      <c r="YJ10" s="3"/>
      <c r="YK10" s="10">
        <f t="shared" ref="YK10:YK11" si="538">IF(ISNUMBER(YI10), (XY10+XZ10)-YI10, "")</f>
        <v>0.5</v>
      </c>
      <c r="YL10" s="5">
        <v>0.43</v>
      </c>
      <c r="YM10" s="10">
        <f t="shared" ref="YM10:YM11" si="539">IF(ISNUMBER(YL10), YL10-YK10, "")</f>
        <v>-7.0000000000000007E-2</v>
      </c>
      <c r="YO10" s="24">
        <v>0</v>
      </c>
      <c r="YP10" s="6" t="s">
        <v>25</v>
      </c>
      <c r="YQ10" s="24">
        <v>0.9</v>
      </c>
      <c r="YR10" s="6" t="s">
        <v>25</v>
      </c>
      <c r="YS10" s="5">
        <f t="shared" ref="YS10:YS11" si="540">IF(OR(ISNUMBER(YO10), ISNUMBER(YQ10)), IF(ISNUMBER(YO10), YO10, 0) + IF(ISNUMBER(YQ10), YQ10, 0), "")</f>
        <v>0.9</v>
      </c>
      <c r="YT10" s="3">
        <v>1</v>
      </c>
      <c r="YU10" s="10">
        <f t="shared" ref="YU10:YU11" si="541">IF(ISNUMBER(YS10), (YI10+YJ10)-YS10, "")</f>
        <v>9.9999999999999978E-2</v>
      </c>
      <c r="YV10" s="5">
        <v>0.1</v>
      </c>
      <c r="YW10" s="10">
        <f t="shared" ref="YW10:YW11" si="542">IF(ISNUMBER(YV10), YV10-YU10, "")</f>
        <v>2.7755575615628914E-17</v>
      </c>
      <c r="YY10" s="2">
        <v>1</v>
      </c>
      <c r="YZ10" s="6" t="s">
        <v>25</v>
      </c>
      <c r="ZA10" s="2">
        <v>0.3</v>
      </c>
      <c r="ZB10" s="6" t="s">
        <v>25</v>
      </c>
      <c r="ZC10" s="5">
        <f t="shared" ref="ZC10:ZC11" si="543">IF(OR(ISNUMBER(YY10), ISNUMBER(ZA10)), IF(ISNUMBER(YY10), YY10, 0) + IF(ISNUMBER(ZA10), ZA10, 0), "")</f>
        <v>1.3</v>
      </c>
      <c r="ZD10" s="3"/>
      <c r="ZE10" s="10">
        <f t="shared" ref="ZE10:ZE11" si="544">IF(ISNUMBER(ZC10), (YS10+YT10)-ZC10, "")</f>
        <v>0.59999999999999987</v>
      </c>
      <c r="ZF10" s="5">
        <v>0.39</v>
      </c>
      <c r="ZG10" s="10">
        <f t="shared" ref="ZG10:ZG11" si="545">IF(ISNUMBER(ZF10), ZF10-ZE10, "")</f>
        <v>-0.20999999999999985</v>
      </c>
      <c r="ZI10" s="24">
        <v>0</v>
      </c>
      <c r="ZJ10" s="6" t="s">
        <v>25</v>
      </c>
      <c r="ZK10" s="24">
        <v>1</v>
      </c>
      <c r="ZL10" s="6" t="s">
        <v>25</v>
      </c>
      <c r="ZM10" s="5">
        <f t="shared" ref="ZM10:ZM11" si="546">IF(OR(ISNUMBER(ZI10), ISNUMBER(ZK10)), IF(ISNUMBER(ZI10), ZI10, 0) + IF(ISNUMBER(ZK10), ZK10, 0), "")</f>
        <v>1</v>
      </c>
      <c r="ZN10" s="3"/>
      <c r="ZO10" s="10">
        <f t="shared" ref="ZO10:ZO11" si="547">IF(ISNUMBER(ZM10), (ZC10+ZD10)-ZM10, "")</f>
        <v>0.30000000000000004</v>
      </c>
      <c r="ZP10" s="5">
        <v>0.27</v>
      </c>
      <c r="ZQ10" s="10">
        <f t="shared" ref="ZQ10:ZQ11" si="548">IF(ISNUMBER(ZP10), ZP10-ZO10, "")</f>
        <v>-3.0000000000000027E-2</v>
      </c>
      <c r="ZR10" s="21"/>
      <c r="ZS10" s="24">
        <v>0</v>
      </c>
      <c r="ZT10" s="6" t="s">
        <v>25</v>
      </c>
      <c r="ZU10" s="24">
        <v>0.8</v>
      </c>
      <c r="ZV10" s="6" t="s">
        <v>25</v>
      </c>
      <c r="ZW10" s="5">
        <f t="shared" ref="ZW10:ZW11" si="549">IF(OR(ISNUMBER(ZS10), ISNUMBER(ZU10)), IF(ISNUMBER(ZS10), ZS10, 0) + IF(ISNUMBER(ZU10), ZU10, 0), "")</f>
        <v>0.8</v>
      </c>
      <c r="ZX10" s="3"/>
      <c r="ZY10" s="10">
        <f t="shared" ref="ZY10:ZY11" si="550">IF(ISNUMBER(ZW10), (ZM10+ZN10)-ZW10, "")</f>
        <v>0.19999999999999996</v>
      </c>
      <c r="ZZ10" s="5">
        <v>0.26</v>
      </c>
      <c r="AAA10" s="10">
        <f t="shared" ref="AAA10:AAA11" si="551">IF(ISNUMBER(ZZ10), ZZ10-ZY10, "")</f>
        <v>6.0000000000000053E-2</v>
      </c>
      <c r="AAB10" s="21"/>
      <c r="AAC10" s="24">
        <v>0</v>
      </c>
      <c r="AAD10" s="6" t="s">
        <v>25</v>
      </c>
      <c r="AAE10" s="24">
        <v>0.5</v>
      </c>
      <c r="AAF10" s="6" t="s">
        <v>25</v>
      </c>
      <c r="AAG10" s="5">
        <f t="shared" ref="AAG10:AAG11" si="552">IF(OR(ISNUMBER(AAC10), ISNUMBER(AAE10)), IF(ISNUMBER(AAC10), AAC10, 0) + IF(ISNUMBER(AAE10), AAE10, 0), "")</f>
        <v>0.5</v>
      </c>
      <c r="AAH10" s="3">
        <v>1</v>
      </c>
      <c r="AAI10" s="10">
        <f>IF(ISNUMBER(AAG10), (ZW10+ZX10)-AAG10, "")</f>
        <v>0.30000000000000004</v>
      </c>
      <c r="AAJ10" s="5">
        <v>0.12</v>
      </c>
      <c r="AAK10" s="10">
        <f t="shared" ref="AAK10:AAK11" si="553">IF(ISNUMBER(AAJ10), AAJ10-AAI10, "")</f>
        <v>-0.18000000000000005</v>
      </c>
      <c r="AAL10" s="21"/>
      <c r="AAM10" s="24">
        <v>1</v>
      </c>
      <c r="AAN10" s="6" t="s">
        <v>25</v>
      </c>
      <c r="AAO10" s="24">
        <v>0.2</v>
      </c>
      <c r="AAP10" s="6" t="s">
        <v>25</v>
      </c>
      <c r="AAQ10" s="5">
        <f t="shared" ref="AAQ10:AAQ11" si="554">IF(OR(ISNUMBER(AAM10), ISNUMBER(AAO10)), IF(ISNUMBER(AAM10), AAM10, 0) + IF(ISNUMBER(AAO10), AAO10, 0), "")</f>
        <v>1.2</v>
      </c>
      <c r="AAR10" s="3"/>
      <c r="AAS10" s="10">
        <f>IF(ISNUMBER(AAQ10), (AAG10+AAH10)-AAQ10, "")</f>
        <v>0.30000000000000004</v>
      </c>
      <c r="AAT10" s="5">
        <v>0.26</v>
      </c>
      <c r="AAU10" s="10">
        <f t="shared" ref="AAU10:AAU11" si="555">IF(ISNUMBER(AAT10), AAT10-AAS10, "")</f>
        <v>-4.0000000000000036E-2</v>
      </c>
      <c r="AAV10" s="21"/>
      <c r="AAW10" s="2">
        <v>1</v>
      </c>
      <c r="AAX10" s="6" t="s">
        <v>25</v>
      </c>
      <c r="AAY10" s="2">
        <v>0.1</v>
      </c>
      <c r="AAZ10" s="6" t="s">
        <v>25</v>
      </c>
      <c r="ABA10" s="5">
        <f t="shared" ref="ABA10:ABA11" si="556">IF(OR(ISNUMBER(AAW10), ISNUMBER(AAY10)), IF(ISNUMBER(AAW10), AAW10, 0) + IF(ISNUMBER(AAY10), AAY10, 0), "")</f>
        <v>1.1000000000000001</v>
      </c>
      <c r="ABB10" s="3"/>
      <c r="ABC10" s="10">
        <f>IF(ISNUMBER(ABA10), (AAQ10+AAR10)-ABA10, "")</f>
        <v>9.9999999999999867E-2</v>
      </c>
      <c r="ABD10" s="5">
        <v>0.22</v>
      </c>
      <c r="ABE10" s="10">
        <f t="shared" ref="ABE10:ABE11" si="557">IF(ISNUMBER(ABD10), ABD10-ABC10, "")</f>
        <v>0.12000000000000013</v>
      </c>
      <c r="ABF10" s="21"/>
      <c r="ABG10" s="24">
        <v>0</v>
      </c>
      <c r="ABH10" s="6" t="s">
        <v>25</v>
      </c>
      <c r="ABI10" s="24">
        <v>0.9</v>
      </c>
      <c r="ABJ10" s="6" t="s">
        <v>25</v>
      </c>
      <c r="ABK10" s="5">
        <f t="shared" ref="ABK10:ABK11" si="558">IF(OR(ISNUMBER(ABG10), ISNUMBER(ABI10)), IF(ISNUMBER(ABG10), ABG10, 0) + IF(ISNUMBER(ABI10), ABI10, 0), "")</f>
        <v>0.9</v>
      </c>
      <c r="ABL10" s="3"/>
      <c r="ABM10" s="10">
        <f>IF(ISNUMBER(ABK10), (ABA10+ABB10)-ABK10, "")</f>
        <v>0.20000000000000007</v>
      </c>
      <c r="ABN10" s="5">
        <v>0.22</v>
      </c>
      <c r="ABO10" s="10">
        <f t="shared" ref="ABO10:ABO11" si="559">IF(ISNUMBER(ABN10), ABN10-ABM10, "")</f>
        <v>1.9999999999999934E-2</v>
      </c>
      <c r="ABP10" s="21"/>
      <c r="ABQ10" s="24">
        <v>0</v>
      </c>
      <c r="ABR10" s="6" t="s">
        <v>25</v>
      </c>
      <c r="ABS10" s="24">
        <v>0.7</v>
      </c>
      <c r="ABT10" s="6" t="s">
        <v>25</v>
      </c>
      <c r="ABU10" s="5">
        <f t="shared" ref="ABU10:ABU11" si="560">IF(OR(ISNUMBER(ABQ10), ISNUMBER(ABS10)), IF(ISNUMBER(ABQ10), ABQ10, 0) + IF(ISNUMBER(ABS10), ABS10, 0), "")</f>
        <v>0.7</v>
      </c>
      <c r="ABV10" s="3">
        <v>1</v>
      </c>
      <c r="ABW10" s="10">
        <f>IF(ISNUMBER(ABU10), (ABK10+ABL10)-ABU10, "")</f>
        <v>0.20000000000000007</v>
      </c>
      <c r="ABX10" s="5">
        <v>0.17</v>
      </c>
      <c r="ABY10" s="10">
        <f t="shared" ref="ABY10:ABY11" si="561">IF(ISNUMBER(ABX10), ABX10-ABW10, "")</f>
        <v>-3.0000000000000054E-2</v>
      </c>
      <c r="ABZ10" s="21"/>
      <c r="ACA10" s="24">
        <v>1</v>
      </c>
      <c r="ACB10" s="6" t="s">
        <v>25</v>
      </c>
      <c r="ACC10" s="24">
        <v>0.1</v>
      </c>
      <c r="ACD10" s="6" t="s">
        <v>25</v>
      </c>
      <c r="ACE10" s="5">
        <f t="shared" ref="ACE10:ACE11" si="562">IF(OR(ISNUMBER(ACA10), ISNUMBER(ACC10)), IF(ISNUMBER(ACA10), ACA10, 0) + IF(ISNUMBER(ACC10), ACC10, 0), "")</f>
        <v>1.1000000000000001</v>
      </c>
      <c r="ACF10" s="3"/>
      <c r="ACG10" s="10">
        <f>IF(ISNUMBER(ACE10), (ABU10+ABV10)-ACE10, "")</f>
        <v>0.59999999999999987</v>
      </c>
      <c r="ACH10" s="5">
        <v>0.24</v>
      </c>
      <c r="ACI10" s="10">
        <f t="shared" ref="ACI10:ACI11" si="563">IF(ISNUMBER(ACH10), ACH10-ACG10, "")</f>
        <v>-0.35999999999999988</v>
      </c>
      <c r="ACJ10" s="21"/>
      <c r="ACK10" s="2">
        <v>0</v>
      </c>
      <c r="ACL10" s="6" t="s">
        <v>25</v>
      </c>
      <c r="ACM10" s="2">
        <v>0.9</v>
      </c>
      <c r="ACN10" s="6" t="s">
        <v>25</v>
      </c>
      <c r="ACO10" s="5">
        <f t="shared" ref="ACO10:ACO11" si="564">IF(OR(ISNUMBER(ACK10), ISNUMBER(ACM10)), IF(ISNUMBER(ACK10), ACK10, 0) + IF(ISNUMBER(ACM10), ACM10, 0), "")</f>
        <v>0.9</v>
      </c>
      <c r="ACP10" s="3"/>
      <c r="ACQ10" s="10">
        <f>IF(ISNUMBER(ACO10), (ACE10+ACF10)-ACO10, "")</f>
        <v>0.20000000000000007</v>
      </c>
      <c r="ACR10" s="5">
        <v>0.24</v>
      </c>
      <c r="ACS10" s="10">
        <f t="shared" ref="ACS10:ACS11" si="565">IF(ISNUMBER(ACR10), ACR10-ACQ10, "")</f>
        <v>3.9999999999999925E-2</v>
      </c>
      <c r="ACT10" s="21"/>
      <c r="ACU10" s="2">
        <v>0</v>
      </c>
      <c r="ACV10" s="6" t="s">
        <v>25</v>
      </c>
      <c r="ACW10" s="2">
        <v>0.9</v>
      </c>
      <c r="ACX10" s="6" t="s">
        <v>25</v>
      </c>
      <c r="ACY10" s="5">
        <f t="shared" ref="ACY10:ACY11" si="566">IF(OR(ISNUMBER(ACU10), ISNUMBER(ACW10)), IF(ISNUMBER(ACU10), ACU10, 0) + IF(ISNUMBER(ACW10), ACW10, 0), "")</f>
        <v>0.9</v>
      </c>
      <c r="ACZ10" s="3"/>
      <c r="ADA10" s="10">
        <f>IF(ISNUMBER(ACY10), (ACO10+ACP10)-ACY10, "")</f>
        <v>0</v>
      </c>
      <c r="ADB10" s="5">
        <v>0.15</v>
      </c>
      <c r="ADC10" s="10">
        <f t="shared" ref="ADC10:ADC11" si="567">IF(ISNUMBER(ADB10), ADB10-ADA10, "")</f>
        <v>0.15</v>
      </c>
      <c r="ADD10" s="21"/>
      <c r="ADE10" s="24">
        <v>0</v>
      </c>
      <c r="ADF10" s="6" t="s">
        <v>25</v>
      </c>
      <c r="ADG10" s="24">
        <v>0.7</v>
      </c>
      <c r="ADH10" s="6" t="s">
        <v>25</v>
      </c>
      <c r="ADI10" s="5">
        <f t="shared" ref="ADI10:ADI11" si="568">IF(OR(ISNUMBER(ADE10), ISNUMBER(ADG10)), IF(ISNUMBER(ADE10), ADE10, 0) + IF(ISNUMBER(ADG10), ADG10, 0), "")</f>
        <v>0.7</v>
      </c>
      <c r="ADJ10" s="3">
        <v>1</v>
      </c>
      <c r="ADK10" s="10">
        <f>IF(ISNUMBER(ADI10), (ACY10+ACZ10)-ADI10, "")</f>
        <v>0.20000000000000007</v>
      </c>
      <c r="ADL10" s="5">
        <v>0.17</v>
      </c>
      <c r="ADM10" s="10">
        <f t="shared" ref="ADM10:ADM11" si="569">IF(ISNUMBER(ADL10), ADL10-ADK10, "")</f>
        <v>-3.0000000000000054E-2</v>
      </c>
      <c r="ADN10" s="21"/>
      <c r="ADO10" s="24">
        <v>1</v>
      </c>
      <c r="ADP10" s="6" t="s">
        <v>25</v>
      </c>
      <c r="ADQ10" s="24">
        <v>0.2</v>
      </c>
      <c r="ADR10" s="6" t="s">
        <v>25</v>
      </c>
      <c r="ADS10" s="5">
        <f t="shared" ref="ADS10:ADS11" si="570">IF(OR(ISNUMBER(ADO10), ISNUMBER(ADQ10)), IF(ISNUMBER(ADO10), ADO10, 0) + IF(ISNUMBER(ADQ10), ADQ10, 0), "")</f>
        <v>1.2</v>
      </c>
      <c r="ADT10" s="3"/>
      <c r="ADU10" s="10">
        <f>IF(ISNUMBER(ADS10), (ADI10+ADJ10)-ADS10, "")</f>
        <v>0.5</v>
      </c>
      <c r="ADV10" s="5">
        <v>0.45</v>
      </c>
      <c r="ADW10" s="10">
        <f t="shared" ref="ADW10:ADW11" si="571">IF(ISNUMBER(ADV10), ADV10-ADU10, "")</f>
        <v>-4.9999999999999989E-2</v>
      </c>
      <c r="ADX10" s="21"/>
      <c r="ADY10" s="24">
        <v>0</v>
      </c>
      <c r="ADZ10" s="6" t="s">
        <v>25</v>
      </c>
      <c r="AEA10" s="24">
        <v>0.9</v>
      </c>
      <c r="AEB10" s="6" t="s">
        <v>25</v>
      </c>
      <c r="AEC10" s="5">
        <f t="shared" ref="AEC10:AEC11" si="572">IF(OR(ISNUMBER(ADY10), ISNUMBER(AEA10)), IF(ISNUMBER(ADY10), ADY10, 0) + IF(ISNUMBER(AEA10), AEA10, 0), "")</f>
        <v>0.9</v>
      </c>
      <c r="AED10" s="3">
        <v>1</v>
      </c>
      <c r="AEE10" s="10">
        <f>IF(ISNUMBER(AEC10), (ADS10+ADT10)-AEC10, "")</f>
        <v>0.29999999999999993</v>
      </c>
      <c r="AEF10" s="5">
        <v>0.26</v>
      </c>
      <c r="AEG10" s="10">
        <f t="shared" ref="AEG10:AEG11" si="573">IF(ISNUMBER(AEF10), AEF10-AEE10, "")</f>
        <v>-3.9999999999999925E-2</v>
      </c>
      <c r="AEH10" s="21"/>
      <c r="AEI10" s="2">
        <v>1</v>
      </c>
      <c r="AEJ10" s="6" t="s">
        <v>25</v>
      </c>
      <c r="AEK10" s="2">
        <v>0.7</v>
      </c>
      <c r="AEL10" s="6" t="s">
        <v>25</v>
      </c>
      <c r="AEM10" s="5">
        <f t="shared" ref="AEM10:AEM11" si="574">IF(OR(ISNUMBER(AEI10), ISNUMBER(AEK10)), IF(ISNUMBER(AEI10), AEI10, 0) + IF(ISNUMBER(AEK10), AEK10, 0), "")</f>
        <v>1.7</v>
      </c>
      <c r="AEN10" s="3"/>
      <c r="AEO10" s="10">
        <f>IF(ISNUMBER(AEM10), (AEC10+AED10)-AEM10, "")</f>
        <v>0.19999999999999996</v>
      </c>
      <c r="AEP10" s="5">
        <v>0.24</v>
      </c>
      <c r="AEQ10" s="10">
        <f t="shared" ref="AEQ10:AEQ11" si="575">IF(ISNUMBER(AEP10), AEP10-AEO10, "")</f>
        <v>4.0000000000000036E-2</v>
      </c>
      <c r="AER10" s="21"/>
      <c r="AES10" s="24">
        <v>0</v>
      </c>
      <c r="AET10" s="6" t="s">
        <v>25</v>
      </c>
      <c r="AEU10" s="24">
        <v>0.9</v>
      </c>
      <c r="AEV10" s="6" t="s">
        <v>25</v>
      </c>
      <c r="AEW10" s="5">
        <f t="shared" ref="AEW10:AEW11" si="576">IF(OR(ISNUMBER(AES10), ISNUMBER(AEU10)), IF(ISNUMBER(AES10), AES10, 0) + IF(ISNUMBER(AEU10), AEU10, 0), "")</f>
        <v>0.9</v>
      </c>
      <c r="AEX10" s="3">
        <v>1</v>
      </c>
      <c r="AEY10" s="10">
        <f>IF(ISNUMBER(AEW10), (AEM10+AEN10)-AEW10, "")</f>
        <v>0.79999999999999993</v>
      </c>
      <c r="AEZ10" s="5">
        <v>0.53</v>
      </c>
      <c r="AFA10" s="10">
        <f t="shared" ref="AFA10:AFA11" si="577">IF(ISNUMBER(AEZ10), AEZ10-AEY10, "")</f>
        <v>-0.26999999999999991</v>
      </c>
      <c r="AFB10" s="21"/>
      <c r="AFC10" s="24">
        <v>1</v>
      </c>
      <c r="AFD10" s="6" t="s">
        <v>25</v>
      </c>
      <c r="AFE10" s="24">
        <v>0.4</v>
      </c>
      <c r="AFF10" s="6" t="s">
        <v>25</v>
      </c>
      <c r="AFG10" s="5">
        <f t="shared" ref="AFG10:AFG11" si="578">IF(OR(ISNUMBER(AFC10), ISNUMBER(AFE10)), IF(ISNUMBER(AFC10), AFC10, 0) + IF(ISNUMBER(AFE10), AFE10, 0), "")</f>
        <v>1.4</v>
      </c>
      <c r="AFH10" s="3"/>
      <c r="AFI10" s="10">
        <f>IF(ISNUMBER(AFG10), (AEW10+AEX10)-AFG10, "")</f>
        <v>0.5</v>
      </c>
      <c r="AFJ10" s="5">
        <v>0.5</v>
      </c>
      <c r="AFK10" s="10">
        <f t="shared" ref="AFK10:AFK11" si="579">IF(ISNUMBER(AFJ10), AFJ10-AFI10, "")</f>
        <v>0</v>
      </c>
      <c r="AFL10" s="21"/>
      <c r="AFM10" s="2">
        <v>0</v>
      </c>
      <c r="AFN10" s="6" t="s">
        <v>25</v>
      </c>
      <c r="AFO10" s="2">
        <v>0.9</v>
      </c>
      <c r="AFP10" s="6" t="s">
        <v>25</v>
      </c>
      <c r="AFQ10" s="5">
        <f t="shared" ref="AFQ10:AFQ11" si="580">IF(OR(ISNUMBER(AFM10), ISNUMBER(AFO10)), IF(ISNUMBER(AFM10), AFM10, 0) + IF(ISNUMBER(AFO10), AFO10, 0), "")</f>
        <v>0.9</v>
      </c>
      <c r="AFR10" s="3">
        <v>1</v>
      </c>
      <c r="AFS10" s="10">
        <f>IF(ISNUMBER(AFQ10), (AFG10+AFH10)-AFQ10, "")</f>
        <v>0.49999999999999989</v>
      </c>
      <c r="AFT10" s="5">
        <v>0.53</v>
      </c>
      <c r="AFU10" s="10">
        <f t="shared" ref="AFU10:AFU11" si="581">IF(ISNUMBER(AFT10), AFT10-AFS10, "")</f>
        <v>3.0000000000000138E-2</v>
      </c>
      <c r="AFV10" s="21"/>
      <c r="AFW10" s="2">
        <v>1</v>
      </c>
      <c r="AFX10" s="6" t="s">
        <v>25</v>
      </c>
      <c r="AFY10" s="2">
        <v>0.2</v>
      </c>
      <c r="AFZ10" s="6" t="s">
        <v>25</v>
      </c>
      <c r="AGA10" s="5">
        <f t="shared" ref="AGA10:AGA11" si="582">IF(OR(ISNUMBER(AFW10), ISNUMBER(AFY10)), IF(ISNUMBER(AFW10), AFW10, 0) + IF(ISNUMBER(AFY10), AFY10, 0), "")</f>
        <v>1.2</v>
      </c>
      <c r="AGB10" s="3"/>
      <c r="AGC10" s="10">
        <f>IF(ISNUMBER(AGA10), (AFQ10+AFR10)-AGA10, "")</f>
        <v>0.7</v>
      </c>
      <c r="AGD10" s="5">
        <v>0.43</v>
      </c>
      <c r="AGE10" s="10">
        <f t="shared" ref="AGE10:AGE11" si="583">IF(ISNUMBER(AGD10), AGD10-AGC10, "")</f>
        <v>-0.26999999999999996</v>
      </c>
      <c r="AGF10" s="21"/>
      <c r="AGG10" s="2">
        <v>0</v>
      </c>
      <c r="AGH10" s="6" t="s">
        <v>25</v>
      </c>
      <c r="AGI10" s="2">
        <v>0.9</v>
      </c>
      <c r="AGJ10" s="6" t="s">
        <v>25</v>
      </c>
      <c r="AGK10" s="5">
        <f t="shared" ref="AGK10:AGK11" si="584">IF(OR(ISNUMBER(AGG10), ISNUMBER(AGI10)), IF(ISNUMBER(AGG10), AGG10, 0) + IF(ISNUMBER(AGI10), AGI10, 0), "")</f>
        <v>0.9</v>
      </c>
      <c r="AGL10" s="3">
        <v>1</v>
      </c>
      <c r="AGM10" s="10">
        <f>IF(ISNUMBER(AGK10), (AGA10+AGB10)-AGK10, "")</f>
        <v>0.29999999999999993</v>
      </c>
      <c r="AGN10" s="5">
        <v>0.31</v>
      </c>
      <c r="AGO10" s="10">
        <f t="shared" ref="AGO10:AGO11" si="585">IF(ISNUMBER(AGN10), AGN10-AGM10, "")</f>
        <v>1.0000000000000064E-2</v>
      </c>
      <c r="AGP10" s="21"/>
      <c r="AGQ10" s="24">
        <v>1</v>
      </c>
      <c r="AGR10" s="6" t="s">
        <v>25</v>
      </c>
      <c r="AGS10" s="24">
        <v>0.3</v>
      </c>
      <c r="AGT10" s="6" t="s">
        <v>25</v>
      </c>
      <c r="AGU10" s="5">
        <f t="shared" ref="AGU10:AGU11" si="586">IF(OR(ISNUMBER(AGQ10), ISNUMBER(AGS10)), IF(ISNUMBER(AGQ10), AGQ10, 0) + IF(ISNUMBER(AGS10), AGS10, 0), "")</f>
        <v>1.3</v>
      </c>
      <c r="AGV10" s="3"/>
      <c r="AGW10" s="10">
        <f>IF(ISNUMBER(AGU10), (AGK10+AGL10)-AGU10, "")</f>
        <v>0.59999999999999987</v>
      </c>
      <c r="AGX10" s="5">
        <v>0.55000000000000004</v>
      </c>
      <c r="AGY10" s="10">
        <f t="shared" ref="AGY10:AGY11" si="587">IF(ISNUMBER(AGX10), AGX10-AGW10, "")</f>
        <v>-4.9999999999999822E-2</v>
      </c>
      <c r="AGZ10" s="21"/>
      <c r="AHA10" s="24">
        <v>0</v>
      </c>
      <c r="AHB10" s="6" t="s">
        <v>25</v>
      </c>
      <c r="AHC10" s="24">
        <v>0.5</v>
      </c>
      <c r="AHD10" s="6" t="s">
        <v>25</v>
      </c>
      <c r="AHE10" s="5">
        <f t="shared" ref="AHE10:AHE11" si="588">IF(OR(ISNUMBER(AHA10), ISNUMBER(AHC10)), IF(ISNUMBER(AHA10), AHA10, 0) + IF(ISNUMBER(AHC10), AHC10, 0), "")</f>
        <v>0.5</v>
      </c>
      <c r="AHF10" s="3">
        <v>2</v>
      </c>
      <c r="AHG10" s="10">
        <f>IF(ISNUMBER(AHE10), (AGU10+AGV10)-AHE10, "")</f>
        <v>0.8</v>
      </c>
      <c r="AHH10" s="5">
        <v>0.67</v>
      </c>
      <c r="AHI10" s="10">
        <f t="shared" ref="AHI10:AHI11" si="589">IF(ISNUMBER(AHH10), AHH10-AHG10, "")</f>
        <v>-0.13</v>
      </c>
      <c r="AHJ10" s="21"/>
      <c r="AHK10" s="24">
        <v>1</v>
      </c>
      <c r="AHL10" s="6" t="s">
        <v>25</v>
      </c>
      <c r="AHM10" s="24">
        <v>1</v>
      </c>
      <c r="AHN10" s="6" t="s">
        <v>25</v>
      </c>
      <c r="AHO10" s="5">
        <f t="shared" ref="AHO10:AHO11" si="590">IF(OR(ISNUMBER(AHK10), ISNUMBER(AHM10)), IF(ISNUMBER(AHK10), AHK10, 0) + IF(ISNUMBER(AHM10), AHM10, 0), "")</f>
        <v>2</v>
      </c>
      <c r="AHP10" s="3"/>
      <c r="AHQ10" s="10">
        <f>IF(ISNUMBER(AHO10), (AHE10+AHF10)-AHO10, "")</f>
        <v>0.5</v>
      </c>
      <c r="AHR10" s="5">
        <v>0.45</v>
      </c>
      <c r="AHS10" s="10">
        <f t="shared" ref="AHS10:AHS11" si="591">IF(ISNUMBER(AHR10), AHR10-AHQ10, "")</f>
        <v>-4.9999999999999989E-2</v>
      </c>
      <c r="AHT10" s="21"/>
      <c r="AHU10" s="2">
        <v>1</v>
      </c>
      <c r="AHV10" s="6" t="s">
        <v>25</v>
      </c>
      <c r="AHW10" s="2">
        <v>0.3</v>
      </c>
      <c r="AHX10" s="6" t="s">
        <v>25</v>
      </c>
      <c r="AHY10" s="5">
        <f t="shared" ref="AHY10:AHY11" si="592">IF(OR(ISNUMBER(AHU10), ISNUMBER(AHW10)), IF(ISNUMBER(AHU10), AHU10, 0) + IF(ISNUMBER(AHW10), AHW10, 0), "")</f>
        <v>1.3</v>
      </c>
      <c r="AHZ10" s="3">
        <v>1</v>
      </c>
      <c r="AIA10" s="10">
        <f>IF(ISNUMBER(AHY10), (AHO10+AHP10)-AHY10, "")</f>
        <v>0.7</v>
      </c>
      <c r="AIB10" s="5">
        <v>0.33</v>
      </c>
      <c r="AIC10" s="10">
        <f t="shared" ref="AIC10:AIC11" si="593">IF(ISNUMBER(AIB10), AIB10-AIA10, "")</f>
        <v>-0.36999999999999994</v>
      </c>
      <c r="AID10" s="21"/>
      <c r="AIE10" s="24">
        <v>1</v>
      </c>
      <c r="AIF10" s="6" t="s">
        <v>25</v>
      </c>
      <c r="AIG10" s="24">
        <v>0.8</v>
      </c>
      <c r="AIH10" s="6" t="s">
        <v>25</v>
      </c>
      <c r="AII10" s="5">
        <f t="shared" ref="AII10:AII11" si="594">IF(OR(ISNUMBER(AIE10), ISNUMBER(AIG10)), IF(ISNUMBER(AIE10), AIE10, 0) + IF(ISNUMBER(AIG10), AIG10, 0), "")</f>
        <v>1.8</v>
      </c>
      <c r="AIJ10" s="3"/>
      <c r="AIK10" s="10">
        <f>IF(ISNUMBER(AII10), (AHY10+AHZ10)-AII10, "")</f>
        <v>0.49999999999999978</v>
      </c>
      <c r="AIL10" s="5">
        <v>0.51</v>
      </c>
      <c r="AIM10" s="10">
        <f t="shared" ref="AIM10:AIM11" si="595">IF(ISNUMBER(AIL10), AIL10-AIK10, "")</f>
        <v>1.0000000000000231E-2</v>
      </c>
      <c r="AIN10" s="21"/>
      <c r="AIO10" s="24">
        <v>1</v>
      </c>
      <c r="AIP10" s="6" t="s">
        <v>25</v>
      </c>
      <c r="AIQ10" s="24">
        <v>0.3</v>
      </c>
      <c r="AIR10" s="6" t="s">
        <v>25</v>
      </c>
      <c r="AIS10" s="5">
        <f t="shared" ref="AIS10:AIS11" si="596">IF(OR(ISNUMBER(AIO10), ISNUMBER(AIQ10)), IF(ISNUMBER(AIO10), AIO10, 0) + IF(ISNUMBER(AIQ10), AIQ10, 0), "")</f>
        <v>1.3</v>
      </c>
      <c r="AIT10" s="3">
        <v>1</v>
      </c>
      <c r="AIU10" s="10">
        <f>IF(ISNUMBER(AIS10), (AII10+AIJ10)-AIS10, "")</f>
        <v>0.5</v>
      </c>
      <c r="AIV10" s="5">
        <v>0.31</v>
      </c>
      <c r="AIW10" s="10">
        <f t="shared" ref="AIW10:AIW11" si="597">IF(ISNUMBER(AIV10), AIV10-AIU10, "")</f>
        <v>-0.19</v>
      </c>
      <c r="AIX10" s="21"/>
      <c r="AIY10" s="2">
        <v>1</v>
      </c>
      <c r="AIZ10" s="6" t="s">
        <v>25</v>
      </c>
      <c r="AJA10" s="2">
        <v>0.9</v>
      </c>
      <c r="AJB10" s="6" t="s">
        <v>25</v>
      </c>
      <c r="AJC10" s="5">
        <f t="shared" ref="AJC10:AJC11" si="598">IF(OR(ISNUMBER(AIY10), ISNUMBER(AJA10)), IF(ISNUMBER(AIY10), AIY10, 0) + IF(ISNUMBER(AJA10), AJA10, 0), "")</f>
        <v>1.9</v>
      </c>
      <c r="AJD10" s="3"/>
      <c r="AJE10" s="10">
        <f>IF(ISNUMBER(AJC10), (AIS10+AIT10)-AJC10, "")</f>
        <v>0.39999999999999991</v>
      </c>
      <c r="AJF10" s="5">
        <v>0.41</v>
      </c>
      <c r="AJG10" s="10">
        <f t="shared" ref="AJG10:AJG11" si="599">IF(ISNUMBER(AJF10), AJF10-AJE10, "")</f>
        <v>1.0000000000000064E-2</v>
      </c>
      <c r="AJH10" s="21"/>
      <c r="AJI10" s="24">
        <v>1</v>
      </c>
      <c r="AJJ10" s="6" t="s">
        <v>25</v>
      </c>
      <c r="AJK10" s="24">
        <v>0.7</v>
      </c>
      <c r="AJL10" s="6" t="s">
        <v>25</v>
      </c>
      <c r="AJM10" s="5">
        <f t="shared" ref="AJM10:AJM11" si="600">IF(OR(ISNUMBER(AJI10), ISNUMBER(AJK10)), IF(ISNUMBER(AJI10), AJI10, 0) + IF(ISNUMBER(AJK10), AJK10, 0), "")</f>
        <v>1.7</v>
      </c>
      <c r="AJN10" s="3">
        <v>1</v>
      </c>
      <c r="AJO10" s="10">
        <f>IF(ISNUMBER(AJM10), (AJC10+AJD10)-AJM10, "")</f>
        <v>0.19999999999999996</v>
      </c>
      <c r="AJP10" s="5">
        <v>0.46</v>
      </c>
      <c r="AJQ10" s="10">
        <f t="shared" ref="AJQ10:AJQ11" si="601">IF(ISNUMBER(AJP10), AJP10-AJO10, "")</f>
        <v>0.26000000000000006</v>
      </c>
      <c r="AJR10" s="21"/>
      <c r="AJS10" s="2">
        <v>2</v>
      </c>
      <c r="AJT10" s="6" t="s">
        <v>25</v>
      </c>
      <c r="AJU10" s="2">
        <v>0.1</v>
      </c>
      <c r="AJV10" s="6" t="s">
        <v>25</v>
      </c>
      <c r="AJW10" s="5">
        <f t="shared" ref="AJW10:AJW11" si="602">IF(OR(ISNUMBER(AJS10), ISNUMBER(AJU10)), IF(ISNUMBER(AJS10), AJS10, 0) + IF(ISNUMBER(AJU10), AJU10, 0), "")</f>
        <v>2.1</v>
      </c>
      <c r="AJX10" s="3"/>
      <c r="AJY10" s="10">
        <f>IF(ISNUMBER(AJW10), (AJM10+AJN10)-AJW10, "")</f>
        <v>0.60000000000000009</v>
      </c>
      <c r="AJZ10" s="5">
        <v>0.56999999999999995</v>
      </c>
      <c r="AKA10" s="10">
        <f t="shared" ref="AKA10:AKA11" si="603">IF(ISNUMBER(AJZ10), AJZ10-AJY10, "")</f>
        <v>-3.0000000000000138E-2</v>
      </c>
      <c r="AKB10" s="21"/>
      <c r="AKC10" s="24">
        <v>1</v>
      </c>
      <c r="AKD10" s="6" t="s">
        <v>25</v>
      </c>
      <c r="AKE10" s="24">
        <v>0.6</v>
      </c>
      <c r="AKF10" s="6" t="s">
        <v>25</v>
      </c>
      <c r="AKG10" s="5">
        <f t="shared" ref="AKG10:AKG11" si="604">IF(OR(ISNUMBER(AKC10), ISNUMBER(AKE10)), IF(ISNUMBER(AKC10), AKC10, 0) + IF(ISNUMBER(AKE10), AKE10, 0), "")</f>
        <v>1.6</v>
      </c>
      <c r="AKH10" s="3">
        <v>1</v>
      </c>
      <c r="AKI10" s="10">
        <f>IF(ISNUMBER(AKG10), (AJW10+AJX10)-AKG10, "")</f>
        <v>0.5</v>
      </c>
      <c r="AKJ10" s="5">
        <v>0.53</v>
      </c>
      <c r="AKK10" s="10">
        <f t="shared" ref="AKK10:AKK11" si="605">IF(ISNUMBER(AKJ10), AKJ10-AKI10, "")</f>
        <v>3.0000000000000027E-2</v>
      </c>
      <c r="AKL10" s="21"/>
      <c r="AKM10" s="2">
        <v>2</v>
      </c>
      <c r="AKN10" s="6" t="s">
        <v>25</v>
      </c>
      <c r="AKO10" s="2">
        <v>0.2</v>
      </c>
      <c r="AKP10" s="6" t="s">
        <v>25</v>
      </c>
      <c r="AKQ10" s="5">
        <f t="shared" ref="AKQ10:AKQ11" si="606">IF(OR(ISNUMBER(AKM10), ISNUMBER(AKO10)), IF(ISNUMBER(AKM10), AKM10, 0) + IF(ISNUMBER(AKO10), AKO10, 0), "")</f>
        <v>2.2000000000000002</v>
      </c>
      <c r="AKR10" s="3"/>
      <c r="AKS10" s="10">
        <f>IF(ISNUMBER(AKQ10), (AKG10+AKH10)-AKQ10, "")</f>
        <v>0.39999999999999991</v>
      </c>
      <c r="AKT10" s="5">
        <v>0.41</v>
      </c>
      <c r="AKU10" s="10">
        <f t="shared" ref="AKU10:AKU11" si="607">IF(ISNUMBER(AKT10), AKT10-AKS10, "")</f>
        <v>1.0000000000000064E-2</v>
      </c>
      <c r="AKV10" s="21"/>
      <c r="AKW10" s="2">
        <v>1</v>
      </c>
      <c r="AKX10" s="6" t="s">
        <v>25</v>
      </c>
      <c r="AKY10" s="2">
        <v>0.9</v>
      </c>
      <c r="AKZ10" s="6" t="s">
        <v>25</v>
      </c>
      <c r="ALA10" s="5">
        <f t="shared" ref="ALA10:ALA11" si="608">IF(OR(ISNUMBER(AKW10), ISNUMBER(AKY10)), IF(ISNUMBER(AKW10), AKW10, 0) + IF(ISNUMBER(AKY10), AKY10, 0), "")</f>
        <v>1.9</v>
      </c>
      <c r="ALB10" s="3">
        <v>1</v>
      </c>
      <c r="ALC10" s="10">
        <f>IF(ISNUMBER(ALA10), (AKQ10+AKR10)-ALA10, "")</f>
        <v>0.30000000000000027</v>
      </c>
      <c r="ALD10" s="5">
        <v>0.27</v>
      </c>
      <c r="ALE10" s="10">
        <f t="shared" ref="ALE10:ALE11" si="609">IF(ISNUMBER(ALD10), ALD10-ALC10, "")</f>
        <v>-3.0000000000000249E-2</v>
      </c>
      <c r="ALF10" s="21"/>
      <c r="ALG10" s="2">
        <v>2</v>
      </c>
      <c r="ALH10" s="6" t="s">
        <v>25</v>
      </c>
      <c r="ALI10" s="2">
        <v>0.7</v>
      </c>
      <c r="ALJ10" s="6" t="s">
        <v>25</v>
      </c>
      <c r="ALK10" s="5">
        <f t="shared" ref="ALK10:ALK11" si="610">IF(OR(ISNUMBER(ALG10), ISNUMBER(ALI10)), IF(ISNUMBER(ALG10), ALG10, 0) + IF(ISNUMBER(ALI10), ALI10, 0), "")</f>
        <v>2.7</v>
      </c>
      <c r="ALL10" s="3"/>
      <c r="ALM10" s="10">
        <f>IF(ISNUMBER(ALK10), (ALA10+ALB10)-ALK10, "")</f>
        <v>0.19999999999999973</v>
      </c>
      <c r="ALN10" s="5">
        <v>0.19</v>
      </c>
      <c r="ALO10" s="10">
        <f t="shared" ref="ALO10:ALO11" si="611">IF(ISNUMBER(ALN10), ALN10-ALM10, "")</f>
        <v>-9.9999999999997313E-3</v>
      </c>
      <c r="ALP10" s="21"/>
      <c r="ALQ10" s="2">
        <v>1</v>
      </c>
      <c r="ALR10" s="6" t="s">
        <v>25</v>
      </c>
      <c r="ALS10" s="2">
        <v>0.9</v>
      </c>
      <c r="ALT10" s="6" t="s">
        <v>25</v>
      </c>
      <c r="ALU10" s="5">
        <f t="shared" ref="ALU10:ALU11" si="612">IF(OR(ISNUMBER(ALQ10), ISNUMBER(ALS10)), IF(ISNUMBER(ALQ10), ALQ10, 0) + IF(ISNUMBER(ALS10), ALS10, 0), "")</f>
        <v>1.9</v>
      </c>
      <c r="ALV10" s="3"/>
      <c r="ALW10" s="10">
        <f>IF(ISNUMBER(ALU10), (ALK10+ALL10)-ALU10, "")</f>
        <v>0.80000000000000027</v>
      </c>
      <c r="ALX10" s="5">
        <v>0.46</v>
      </c>
      <c r="ALY10" s="10">
        <f t="shared" ref="ALY10:ALY11" si="613">IF(ISNUMBER(ALX10), ALX10-ALW10, "")</f>
        <v>-0.34000000000000025</v>
      </c>
      <c r="ALZ10" s="21"/>
      <c r="AMA10" s="24">
        <v>1</v>
      </c>
      <c r="AMB10" s="6" t="s">
        <v>25</v>
      </c>
      <c r="AMC10" s="24">
        <v>0.3</v>
      </c>
      <c r="AMD10" s="6" t="s">
        <v>25</v>
      </c>
      <c r="AME10" s="5">
        <f t="shared" ref="AME10:AME11" si="614">IF(OR(ISNUMBER(AMA10), ISNUMBER(AMC10)), IF(ISNUMBER(AMA10), AMA10, 0) + IF(ISNUMBER(AMC10), AMC10, 0), "")</f>
        <v>1.3</v>
      </c>
      <c r="AMF10" s="3"/>
      <c r="AMG10" s="10">
        <f>IF(ISNUMBER(AME10), (ALU10+ALV10)-AME10, "")</f>
        <v>0.59999999999999987</v>
      </c>
      <c r="AMH10" s="5">
        <v>0.56999999999999995</v>
      </c>
      <c r="AMI10" s="10">
        <f t="shared" ref="AMI10:AMI11" si="615">IF(ISNUMBER(AMH10), AMH10-AMG10, "")</f>
        <v>-2.9999999999999916E-2</v>
      </c>
      <c r="AMJ10" s="21"/>
      <c r="AMK10" s="24">
        <v>0</v>
      </c>
      <c r="AML10" s="6" t="s">
        <v>25</v>
      </c>
      <c r="AMM10" s="24">
        <v>0.9</v>
      </c>
      <c r="AMN10" s="6" t="s">
        <v>25</v>
      </c>
      <c r="AMO10" s="5">
        <f t="shared" ref="AMO10:AMO11" si="616">IF(OR(ISNUMBER(AMK10), ISNUMBER(AMM10)), IF(ISNUMBER(AMK10), AMK10, 0) + IF(ISNUMBER(AMM10), AMM10, 0), "")</f>
        <v>0.9</v>
      </c>
      <c r="AMP10" s="3">
        <v>2</v>
      </c>
      <c r="AMQ10" s="10">
        <f>IF(ISNUMBER(AMO10), (AME10+AMF10)-AMO10, "")</f>
        <v>0.4</v>
      </c>
      <c r="AMR10" s="5">
        <v>0.43</v>
      </c>
      <c r="AMS10" s="10">
        <f t="shared" ref="AMS10:AMS11" si="617">IF(ISNUMBER(AMR10), AMR10-AMQ10, "")</f>
        <v>2.9999999999999971E-2</v>
      </c>
      <c r="AMT10" s="21"/>
      <c r="AMU10" s="24">
        <v>2</v>
      </c>
      <c r="AMV10" s="6" t="s">
        <v>25</v>
      </c>
      <c r="AMW10" s="24">
        <v>0.7</v>
      </c>
      <c r="AMX10" s="6" t="s">
        <v>25</v>
      </c>
      <c r="AMY10" s="5">
        <f t="shared" ref="AMY10:AMY11" si="618">IF(OR(ISNUMBER(AMU10), ISNUMBER(AMW10)), IF(ISNUMBER(AMU10), AMU10, 0) + IF(ISNUMBER(AMW10), AMW10, 0), "")</f>
        <v>2.7</v>
      </c>
      <c r="AMZ10" s="3"/>
      <c r="ANA10" s="10">
        <f>IF(ISNUMBER(AMY10), (AMO10+AMP10)-AMY10, "")</f>
        <v>0.19999999999999973</v>
      </c>
      <c r="ANB10" s="5">
        <v>0.36</v>
      </c>
      <c r="ANC10" s="10">
        <f t="shared" ref="ANC10:ANC11" si="619">IF(ISNUMBER(ANB10), ANB10-ANA10, "")</f>
        <v>0.16000000000000025</v>
      </c>
      <c r="AND10" s="21"/>
      <c r="ANE10" s="24">
        <v>1</v>
      </c>
      <c r="ANF10" s="6" t="s">
        <v>25</v>
      </c>
      <c r="ANG10" s="24">
        <v>1.3</v>
      </c>
      <c r="ANH10" s="6" t="s">
        <v>25</v>
      </c>
      <c r="ANI10" s="5">
        <f t="shared" ref="ANI10:ANI11" si="620">IF(OR(ISNUMBER(ANE10), ISNUMBER(ANG10)), IF(ISNUMBER(ANE10), ANE10, 0) + IF(ISNUMBER(ANG10), ANG10, 0), "")</f>
        <v>2.2999999999999998</v>
      </c>
      <c r="ANJ10" s="3"/>
      <c r="ANK10" s="10">
        <f>IF(ISNUMBER(ANI10), (AMY10+AMZ10)-ANI10, "")</f>
        <v>0.40000000000000036</v>
      </c>
      <c r="ANL10" s="5">
        <v>0.51</v>
      </c>
      <c r="ANM10" s="10">
        <f t="shared" ref="ANM10:ANM11" si="621">IF(ISNUMBER(ANL10), ANL10-ANK10, "")</f>
        <v>0.10999999999999965</v>
      </c>
      <c r="ANN10" s="21"/>
      <c r="ANO10" s="24">
        <v>1</v>
      </c>
      <c r="ANP10" s="6" t="s">
        <v>25</v>
      </c>
      <c r="ANQ10" s="24">
        <v>0.7</v>
      </c>
      <c r="ANR10" s="6" t="s">
        <v>25</v>
      </c>
      <c r="ANS10" s="5">
        <f t="shared" ref="ANS10:ANS11" si="622">IF(OR(ISNUMBER(ANO10), ISNUMBER(ANQ10)), IF(ISNUMBER(ANO10), ANO10, 0) + IF(ISNUMBER(ANQ10), ANQ10, 0), "")</f>
        <v>1.7</v>
      </c>
      <c r="ANT10" s="3"/>
      <c r="ANU10" s="10">
        <f>IF(ISNUMBER(ANS10), (ANI10+ANJ10)-ANS10, "")</f>
        <v>0.59999999999999987</v>
      </c>
      <c r="ANV10" s="5">
        <v>0.55000000000000004</v>
      </c>
      <c r="ANW10" s="10">
        <f t="shared" ref="ANW10:ANW11" si="623">IF(ISNUMBER(ANV10), ANV10-ANU10, "")</f>
        <v>-4.9999999999999822E-2</v>
      </c>
      <c r="ANX10" s="21"/>
      <c r="ANY10" s="24">
        <v>1</v>
      </c>
      <c r="ANZ10" s="6" t="s">
        <v>25</v>
      </c>
      <c r="AOA10" s="24">
        <v>0.3</v>
      </c>
      <c r="AOB10" s="6" t="s">
        <v>25</v>
      </c>
      <c r="AOC10" s="5">
        <f t="shared" ref="AOC10:AOC11" si="624">IF(OR(ISNUMBER(ANY10), ISNUMBER(AOA10)), IF(ISNUMBER(ANY10), ANY10, 0) + IF(ISNUMBER(AOA10), AOA10, 0), "")</f>
        <v>1.3</v>
      </c>
      <c r="AOD10" s="3">
        <v>1</v>
      </c>
      <c r="AOE10" s="10">
        <f>IF(ISNUMBER(AOC10), (ANS10+ANT10)-AOC10, "")</f>
        <v>0.39999999999999991</v>
      </c>
      <c r="AOF10" s="5">
        <v>0.31</v>
      </c>
      <c r="AOG10" s="10">
        <f t="shared" ref="AOG10:AOG11" si="625">IF(ISNUMBER(AOF10), AOF10-AOE10, "")</f>
        <v>-8.9999999999999913E-2</v>
      </c>
      <c r="AOH10" s="21"/>
      <c r="AOI10" s="24">
        <v>1</v>
      </c>
      <c r="AOJ10" s="6" t="s">
        <v>25</v>
      </c>
      <c r="AOK10" s="24">
        <v>0.9</v>
      </c>
      <c r="AOL10" s="6" t="s">
        <v>25</v>
      </c>
      <c r="AOM10" s="5">
        <f t="shared" ref="AOM10:AOM11" si="626">IF(OR(ISNUMBER(AOI10), ISNUMBER(AOK10)), IF(ISNUMBER(AOI10), AOI10, 0) + IF(ISNUMBER(AOK10), AOK10, 0), "")</f>
        <v>1.9</v>
      </c>
      <c r="AON10" s="3"/>
      <c r="AOO10" s="10">
        <f>IF(ISNUMBER(AOM10), (AOC10+AOD10)-AOM10, "")</f>
        <v>0.39999999999999991</v>
      </c>
      <c r="AOP10" s="5">
        <v>0.36</v>
      </c>
      <c r="AOQ10" s="10">
        <f t="shared" ref="AOQ10:AOQ11" si="627">IF(ISNUMBER(AOP10), AOP10-AOO10, "")</f>
        <v>-3.9999999999999925E-2</v>
      </c>
      <c r="AOR10" s="21"/>
      <c r="AOS10" s="24">
        <v>1</v>
      </c>
      <c r="AOT10" s="6" t="s">
        <v>25</v>
      </c>
      <c r="AOU10" s="24">
        <v>0.7</v>
      </c>
      <c r="AOV10" s="6" t="s">
        <v>25</v>
      </c>
      <c r="AOW10" s="5">
        <f t="shared" ref="AOW10:AOW11" si="628">IF(OR(ISNUMBER(AOS10), ISNUMBER(AOU10)), IF(ISNUMBER(AOS10), AOS10, 0) + IF(ISNUMBER(AOU10), AOU10, 0), "")</f>
        <v>1.7</v>
      </c>
      <c r="AOX10" s="3"/>
      <c r="AOY10" s="10">
        <f>IF(ISNUMBER(AOW10), (AOM10+AON10)-AOW10, "")</f>
        <v>0.19999999999999996</v>
      </c>
      <c r="AOZ10" s="5">
        <v>0.34</v>
      </c>
      <c r="APA10" s="10">
        <f t="shared" ref="APA10:APA11" si="629">IF(ISNUMBER(AOZ10), AOZ10-AOY10, "")</f>
        <v>0.14000000000000007</v>
      </c>
      <c r="APB10" s="21"/>
      <c r="APC10" s="24">
        <v>1</v>
      </c>
      <c r="APD10" s="6" t="s">
        <v>25</v>
      </c>
      <c r="APE10" s="24">
        <v>0.1</v>
      </c>
      <c r="APF10" s="6" t="s">
        <v>25</v>
      </c>
      <c r="APG10" s="5">
        <f t="shared" ref="APG10:APG11" si="630">IF(OR(ISNUMBER(APC10), ISNUMBER(APE10)), IF(ISNUMBER(APC10), APC10, 0) + IF(ISNUMBER(APE10), APE10, 0), "")</f>
        <v>1.1000000000000001</v>
      </c>
      <c r="APH10" s="3"/>
      <c r="API10" s="10">
        <f>IF(ISNUMBER(APG10), (AOW10+AOX10)-APG10, "")</f>
        <v>0.59999999999999987</v>
      </c>
      <c r="APJ10" s="5">
        <v>0.26</v>
      </c>
      <c r="APK10" s="10">
        <f t="shared" ref="APK10:APK11" si="631">IF(ISNUMBER(APJ10), APJ10-API10, "")</f>
        <v>-0.33999999999999986</v>
      </c>
      <c r="APL10" s="21"/>
      <c r="APM10" s="24">
        <v>0</v>
      </c>
      <c r="APN10" s="6" t="s">
        <v>25</v>
      </c>
      <c r="APO10" s="24">
        <v>0.9</v>
      </c>
      <c r="APP10" s="6" t="s">
        <v>25</v>
      </c>
      <c r="APQ10" s="5">
        <f t="shared" ref="APQ10:APQ11" si="632">IF(OR(ISNUMBER(APM10), ISNUMBER(APO10)), IF(ISNUMBER(APM10), APM10, 0) + IF(ISNUMBER(APO10), APO10, 0), "")</f>
        <v>0.9</v>
      </c>
      <c r="APR10" s="3">
        <v>2</v>
      </c>
      <c r="APS10" s="10">
        <f>IF(ISNUMBER(APQ10), (APG10+APH10)-APQ10, "")</f>
        <v>0.20000000000000007</v>
      </c>
      <c r="APT10" s="5">
        <v>0.34</v>
      </c>
      <c r="APU10" s="10">
        <f t="shared" ref="APU10:APU11" si="633">IF(ISNUMBER(APT10), APT10-APS10, "")</f>
        <v>0.13999999999999996</v>
      </c>
      <c r="APV10" s="21"/>
      <c r="APW10" s="95">
        <v>2</v>
      </c>
      <c r="APX10" s="96" t="s">
        <v>25</v>
      </c>
      <c r="APY10" s="95">
        <v>0.3</v>
      </c>
      <c r="APZ10" s="96" t="s">
        <v>25</v>
      </c>
      <c r="AQA10" s="97">
        <f t="shared" ref="AQA10:AQA11" si="634">IF(OR(ISNUMBER(APW10), ISNUMBER(APY10)), IF(ISNUMBER(APW10), APW10, 0) + IF(ISNUMBER(APY10), APY10, 0), "")</f>
        <v>2.2999999999999998</v>
      </c>
      <c r="AQB10" s="98"/>
      <c r="AQC10" s="102">
        <f>IF(ISNUMBER(AQA10), (APQ10+APR10)-AQA10, "")</f>
        <v>0.60000000000000009</v>
      </c>
      <c r="AQD10" s="97">
        <v>0.43</v>
      </c>
      <c r="AQE10" s="102">
        <f t="shared" ref="AQE10:AQE11" si="635">IF(ISNUMBER(AQD10), AQD10-AQC10, "")</f>
        <v>-0.1700000000000001</v>
      </c>
      <c r="AQF10" s="21"/>
      <c r="AQG10" s="2"/>
      <c r="AQH10" s="6" t="s">
        <v>25</v>
      </c>
      <c r="AQI10" s="2"/>
      <c r="AQJ10" s="6" t="s">
        <v>25</v>
      </c>
      <c r="AQK10" s="5" t="str">
        <f t="shared" ref="AQK10:AQK11" si="636">IF(OR(ISNUMBER(AQG10), ISNUMBER(AQI10)), IF(ISNUMBER(AQG10), AQG10, 0) + IF(ISNUMBER(AQI10), AQI10, 0), "")</f>
        <v/>
      </c>
      <c r="AQL10" s="3"/>
      <c r="AQM10" s="10" t="str">
        <f>IF(ISNUMBER(AQK10), (AQA10+AQB10)-AQK10, "")</f>
        <v/>
      </c>
      <c r="AQN10" s="5"/>
      <c r="AQO10" s="10" t="str">
        <f t="shared" ref="AQO10:AQO11" si="637">IF(ISNUMBER(AQN10), AQN10-AQM10, "")</f>
        <v/>
      </c>
    </row>
    <row r="11" spans="1:1133" ht="12.75" customHeight="1" x14ac:dyDescent="0.2">
      <c r="A11" s="22" t="s">
        <v>32</v>
      </c>
      <c r="B11" s="14">
        <v>0.25</v>
      </c>
      <c r="C11" s="13">
        <v>1</v>
      </c>
      <c r="E11" s="24"/>
      <c r="F11" s="6" t="s">
        <v>25</v>
      </c>
      <c r="G11" s="24">
        <v>0.1</v>
      </c>
      <c r="H11" s="6" t="s">
        <v>25</v>
      </c>
      <c r="I11" s="5">
        <f t="shared" si="344"/>
        <v>0.1</v>
      </c>
      <c r="J11" s="3"/>
      <c r="K11" s="10"/>
      <c r="L11" s="5"/>
      <c r="M11" s="10" t="str">
        <f t="shared" si="345"/>
        <v/>
      </c>
      <c r="O11" s="24"/>
      <c r="P11" s="6" t="s">
        <v>25</v>
      </c>
      <c r="Q11" s="24">
        <v>1</v>
      </c>
      <c r="R11" s="6" t="s">
        <v>25</v>
      </c>
      <c r="S11" s="5">
        <f t="shared" si="346"/>
        <v>1</v>
      </c>
      <c r="T11" s="3"/>
      <c r="U11" s="10">
        <f t="shared" si="347"/>
        <v>-0.9</v>
      </c>
      <c r="V11" s="5">
        <v>0.05</v>
      </c>
      <c r="W11" s="10">
        <f t="shared" si="348"/>
        <v>0.95000000000000007</v>
      </c>
      <c r="Y11" s="24"/>
      <c r="Z11" s="6" t="s">
        <v>25</v>
      </c>
      <c r="AA11" s="24">
        <v>0.7</v>
      </c>
      <c r="AB11" s="6" t="s">
        <v>25</v>
      </c>
      <c r="AC11" s="5">
        <f t="shared" si="349"/>
        <v>0.7</v>
      </c>
      <c r="AD11" s="3"/>
      <c r="AE11" s="10">
        <f t="shared" si="350"/>
        <v>0.30000000000000004</v>
      </c>
      <c r="AF11" s="5">
        <v>0.09</v>
      </c>
      <c r="AG11" s="10">
        <f t="shared" si="351"/>
        <v>-0.21000000000000005</v>
      </c>
      <c r="AI11" s="24">
        <v>0</v>
      </c>
      <c r="AJ11" s="6" t="s">
        <v>25</v>
      </c>
      <c r="AK11" s="24">
        <v>0.5</v>
      </c>
      <c r="AL11" s="6" t="s">
        <v>25</v>
      </c>
      <c r="AM11" s="5">
        <f t="shared" si="352"/>
        <v>0.5</v>
      </c>
      <c r="AN11" s="3">
        <v>1</v>
      </c>
      <c r="AO11" s="10">
        <f t="shared" si="353"/>
        <v>0.19999999999999996</v>
      </c>
      <c r="AP11" s="5">
        <v>0.1</v>
      </c>
      <c r="AQ11" s="10">
        <f t="shared" si="354"/>
        <v>-9.999999999999995E-2</v>
      </c>
      <c r="AS11" s="24">
        <v>1</v>
      </c>
      <c r="AT11" s="6" t="s">
        <v>25</v>
      </c>
      <c r="AU11" s="24">
        <v>0.7</v>
      </c>
      <c r="AV11" s="6" t="s">
        <v>25</v>
      </c>
      <c r="AW11" s="5">
        <f t="shared" si="355"/>
        <v>1.7</v>
      </c>
      <c r="AX11" s="3"/>
      <c r="AY11" s="10">
        <f t="shared" si="356"/>
        <v>-0.19999999999999996</v>
      </c>
      <c r="AZ11" s="5">
        <v>0.09</v>
      </c>
      <c r="BA11" s="10">
        <f t="shared" si="357"/>
        <v>0.28999999999999992</v>
      </c>
      <c r="BC11" s="24">
        <v>1</v>
      </c>
      <c r="BD11" s="6" t="s">
        <v>25</v>
      </c>
      <c r="BE11" s="24">
        <v>0.3</v>
      </c>
      <c r="BF11" s="6" t="s">
        <v>25</v>
      </c>
      <c r="BG11" s="5">
        <f t="shared" si="358"/>
        <v>1.3</v>
      </c>
      <c r="BH11" s="3"/>
      <c r="BI11" s="10">
        <f t="shared" si="359"/>
        <v>0.39999999999999991</v>
      </c>
      <c r="BJ11" s="5">
        <v>7.0000000000000007E-2</v>
      </c>
      <c r="BK11" s="10">
        <f t="shared" si="360"/>
        <v>-0.3299999999999999</v>
      </c>
      <c r="BM11" s="24">
        <v>1</v>
      </c>
      <c r="BN11" s="6" t="s">
        <v>25</v>
      </c>
      <c r="BO11" s="24">
        <v>0.3</v>
      </c>
      <c r="BP11" s="6" t="s">
        <v>25</v>
      </c>
      <c r="BQ11" s="5">
        <f t="shared" si="361"/>
        <v>1.3</v>
      </c>
      <c r="BR11" s="3"/>
      <c r="BS11" s="10">
        <f t="shared" si="362"/>
        <v>0</v>
      </c>
      <c r="BT11" s="5">
        <v>0.1</v>
      </c>
      <c r="BU11" s="10">
        <f t="shared" si="363"/>
        <v>0.1</v>
      </c>
      <c r="BW11" s="24">
        <v>1</v>
      </c>
      <c r="BX11" s="6" t="s">
        <v>25</v>
      </c>
      <c r="BY11" s="24">
        <v>0.3</v>
      </c>
      <c r="BZ11" s="6" t="s">
        <v>25</v>
      </c>
      <c r="CA11" s="5">
        <f t="shared" si="364"/>
        <v>1.3</v>
      </c>
      <c r="CB11" s="3"/>
      <c r="CC11" s="10">
        <f t="shared" si="365"/>
        <v>0</v>
      </c>
      <c r="CD11" s="5">
        <v>0.21</v>
      </c>
      <c r="CE11" s="10">
        <f t="shared" si="366"/>
        <v>0.21</v>
      </c>
      <c r="CG11" s="24">
        <v>1</v>
      </c>
      <c r="CH11" s="6" t="s">
        <v>25</v>
      </c>
      <c r="CI11" s="24">
        <v>0.2</v>
      </c>
      <c r="CJ11" s="6" t="s">
        <v>25</v>
      </c>
      <c r="CK11" s="5">
        <f t="shared" si="367"/>
        <v>1.2</v>
      </c>
      <c r="CL11" s="3"/>
      <c r="CM11" s="10">
        <f t="shared" si="368"/>
        <v>0.10000000000000009</v>
      </c>
      <c r="CN11" s="5">
        <v>7.0000000000000007E-2</v>
      </c>
      <c r="CO11" s="10">
        <f t="shared" si="369"/>
        <v>-3.0000000000000082E-2</v>
      </c>
      <c r="CQ11" s="24">
        <v>0</v>
      </c>
      <c r="CR11" s="6" t="s">
        <v>25</v>
      </c>
      <c r="CS11" s="24">
        <v>0.9</v>
      </c>
      <c r="CT11" s="6" t="s">
        <v>25</v>
      </c>
      <c r="CU11" s="5">
        <f t="shared" si="370"/>
        <v>0.9</v>
      </c>
      <c r="CV11" s="3"/>
      <c r="CW11" s="10">
        <f t="shared" si="371"/>
        <v>0.29999999999999993</v>
      </c>
      <c r="CX11" s="5">
        <v>0.15</v>
      </c>
      <c r="CY11" s="10">
        <f t="shared" si="372"/>
        <v>-0.14999999999999994</v>
      </c>
      <c r="DA11" s="24">
        <v>0</v>
      </c>
      <c r="DB11" s="6" t="s">
        <v>25</v>
      </c>
      <c r="DC11" s="24">
        <v>0.9</v>
      </c>
      <c r="DD11" s="6" t="s">
        <v>25</v>
      </c>
      <c r="DE11" s="5">
        <f t="shared" si="373"/>
        <v>0.9</v>
      </c>
      <c r="DF11" s="3"/>
      <c r="DG11" s="10">
        <f t="shared" si="374"/>
        <v>0</v>
      </c>
      <c r="DH11" s="5">
        <v>0.02</v>
      </c>
      <c r="DI11" s="10">
        <f t="shared" si="375"/>
        <v>0.02</v>
      </c>
      <c r="DK11" s="24">
        <v>0</v>
      </c>
      <c r="DL11" s="6" t="s">
        <v>25</v>
      </c>
      <c r="DM11" s="24">
        <v>0.9</v>
      </c>
      <c r="DN11" s="6" t="s">
        <v>25</v>
      </c>
      <c r="DO11" s="5">
        <f t="shared" si="376"/>
        <v>0.9</v>
      </c>
      <c r="DP11" s="3"/>
      <c r="DQ11" s="10">
        <f t="shared" si="377"/>
        <v>0</v>
      </c>
      <c r="DR11" s="5">
        <v>0.05</v>
      </c>
      <c r="DS11" s="10">
        <f t="shared" si="378"/>
        <v>0.05</v>
      </c>
      <c r="DU11" s="24">
        <v>0</v>
      </c>
      <c r="DV11" s="6" t="s">
        <v>25</v>
      </c>
      <c r="DW11" s="24">
        <v>0.7</v>
      </c>
      <c r="DX11" s="6" t="s">
        <v>25</v>
      </c>
      <c r="DY11" s="5">
        <f t="shared" si="379"/>
        <v>0.7</v>
      </c>
      <c r="DZ11" s="3"/>
      <c r="EA11" s="10">
        <f t="shared" si="380"/>
        <v>0.20000000000000007</v>
      </c>
      <c r="EB11" s="5">
        <v>0.05</v>
      </c>
      <c r="EC11" s="10">
        <f t="shared" si="381"/>
        <v>-0.15000000000000008</v>
      </c>
      <c r="EE11" s="24">
        <v>0</v>
      </c>
      <c r="EF11" s="6" t="s">
        <v>25</v>
      </c>
      <c r="EG11" s="24">
        <v>0.7</v>
      </c>
      <c r="EH11" s="6" t="s">
        <v>25</v>
      </c>
      <c r="EI11" s="5">
        <f t="shared" si="382"/>
        <v>0.7</v>
      </c>
      <c r="EJ11" s="3"/>
      <c r="EK11" s="10">
        <f t="shared" si="383"/>
        <v>0</v>
      </c>
      <c r="EL11" s="5">
        <v>7.0000000000000007E-2</v>
      </c>
      <c r="EM11" s="10">
        <f t="shared" si="384"/>
        <v>7.0000000000000007E-2</v>
      </c>
      <c r="EO11" s="24"/>
      <c r="EP11" s="6" t="s">
        <v>25</v>
      </c>
      <c r="EQ11" s="24">
        <v>0.7</v>
      </c>
      <c r="ER11" s="6" t="s">
        <v>25</v>
      </c>
      <c r="ES11" s="5">
        <f t="shared" si="385"/>
        <v>0.7</v>
      </c>
      <c r="ET11" s="3"/>
      <c r="EU11" s="10">
        <f t="shared" si="386"/>
        <v>0</v>
      </c>
      <c r="EV11" s="5">
        <v>0.05</v>
      </c>
      <c r="EW11" s="10">
        <f t="shared" si="387"/>
        <v>0.05</v>
      </c>
      <c r="EY11" s="2">
        <v>0</v>
      </c>
      <c r="EZ11" s="6" t="s">
        <v>25</v>
      </c>
      <c r="FA11" s="2">
        <v>0.7</v>
      </c>
      <c r="FB11" s="6" t="s">
        <v>25</v>
      </c>
      <c r="FC11" s="5">
        <f t="shared" si="388"/>
        <v>0.7</v>
      </c>
      <c r="FD11" s="3"/>
      <c r="FE11" s="10">
        <f t="shared" si="389"/>
        <v>0</v>
      </c>
      <c r="FF11" s="5">
        <v>7.0000000000000007E-2</v>
      </c>
      <c r="FG11" s="10">
        <f t="shared" si="390"/>
        <v>7.0000000000000007E-2</v>
      </c>
      <c r="FI11" s="24"/>
      <c r="FJ11" s="6" t="s">
        <v>25</v>
      </c>
      <c r="FK11" s="24">
        <v>0.3</v>
      </c>
      <c r="FL11" s="6" t="s">
        <v>25</v>
      </c>
      <c r="FM11" s="5">
        <f t="shared" si="391"/>
        <v>0.3</v>
      </c>
      <c r="FN11" s="3">
        <v>1</v>
      </c>
      <c r="FO11" s="10">
        <f t="shared" si="392"/>
        <v>0.39999999999999997</v>
      </c>
      <c r="FP11" s="5">
        <v>0.12</v>
      </c>
      <c r="FQ11" s="10">
        <f t="shared" si="393"/>
        <v>-0.27999999999999997</v>
      </c>
      <c r="FS11" s="24">
        <v>1</v>
      </c>
      <c r="FT11" s="6" t="s">
        <v>25</v>
      </c>
      <c r="FU11" s="24">
        <v>0.1</v>
      </c>
      <c r="FV11" s="6" t="s">
        <v>25</v>
      </c>
      <c r="FW11" s="5">
        <f t="shared" si="394"/>
        <v>1.1000000000000001</v>
      </c>
      <c r="FX11" s="3"/>
      <c r="FY11" s="10">
        <f t="shared" si="395"/>
        <v>0.19999999999999996</v>
      </c>
      <c r="FZ11" s="5">
        <v>7.0000000000000007E-2</v>
      </c>
      <c r="GA11" s="10">
        <f t="shared" si="396"/>
        <v>-0.12999999999999995</v>
      </c>
      <c r="GC11" s="24">
        <v>1</v>
      </c>
      <c r="GD11" s="6" t="s">
        <v>25</v>
      </c>
      <c r="GE11" s="24">
        <v>0.1</v>
      </c>
      <c r="GF11" s="6" t="s">
        <v>25</v>
      </c>
      <c r="GG11" s="5">
        <f t="shared" si="397"/>
        <v>1.1000000000000001</v>
      </c>
      <c r="GH11" s="3"/>
      <c r="GI11" s="10">
        <f t="shared" si="398"/>
        <v>0</v>
      </c>
      <c r="GJ11" s="5">
        <v>0.17</v>
      </c>
      <c r="GK11" s="10">
        <f t="shared" si="399"/>
        <v>0.17</v>
      </c>
      <c r="GM11" s="24">
        <v>1</v>
      </c>
      <c r="GN11" s="6" t="s">
        <v>25</v>
      </c>
      <c r="GO11" s="24">
        <v>0.1</v>
      </c>
      <c r="GP11" s="6" t="s">
        <v>25</v>
      </c>
      <c r="GQ11" s="5">
        <f t="shared" si="400"/>
        <v>1.1000000000000001</v>
      </c>
      <c r="GR11" s="3"/>
      <c r="GS11" s="10">
        <f t="shared" si="401"/>
        <v>0</v>
      </c>
      <c r="GT11" s="5">
        <v>7.0000000000000007E-2</v>
      </c>
      <c r="GU11" s="10">
        <f t="shared" si="402"/>
        <v>7.0000000000000007E-2</v>
      </c>
      <c r="GW11" s="24">
        <v>0</v>
      </c>
      <c r="GX11" s="6" t="s">
        <v>25</v>
      </c>
      <c r="GY11" s="24">
        <v>0.9</v>
      </c>
      <c r="GZ11" s="6" t="s">
        <v>25</v>
      </c>
      <c r="HA11" s="5">
        <f t="shared" si="403"/>
        <v>0.9</v>
      </c>
      <c r="HB11" s="3"/>
      <c r="HC11" s="10">
        <f t="shared" si="404"/>
        <v>0.20000000000000007</v>
      </c>
      <c r="HD11" s="5">
        <v>0.05</v>
      </c>
      <c r="HE11" s="10">
        <f t="shared" si="405"/>
        <v>-0.15000000000000008</v>
      </c>
      <c r="HG11" s="2">
        <v>0</v>
      </c>
      <c r="HH11" s="6" t="s">
        <v>25</v>
      </c>
      <c r="HI11" s="2">
        <v>0.7</v>
      </c>
      <c r="HJ11" s="6" t="s">
        <v>25</v>
      </c>
      <c r="HK11" s="5">
        <f t="shared" si="406"/>
        <v>0.7</v>
      </c>
      <c r="HL11" s="3"/>
      <c r="HM11" s="10">
        <f>IF(ISNUMBER(HK11), (HA11+HB11)-HK11, "")</f>
        <v>0.20000000000000007</v>
      </c>
      <c r="HN11" s="5">
        <v>0.03</v>
      </c>
      <c r="HO11" s="10">
        <f t="shared" si="407"/>
        <v>-0.17000000000000007</v>
      </c>
      <c r="HQ11" s="24">
        <v>0</v>
      </c>
      <c r="HR11" s="6" t="s">
        <v>25</v>
      </c>
      <c r="HS11" s="24">
        <v>0.5</v>
      </c>
      <c r="HT11" s="6" t="s">
        <v>25</v>
      </c>
      <c r="HU11" s="5">
        <f t="shared" si="408"/>
        <v>0.5</v>
      </c>
      <c r="HV11" s="3">
        <v>1</v>
      </c>
      <c r="HW11" s="10">
        <f t="shared" si="409"/>
        <v>0.19999999999999996</v>
      </c>
      <c r="HX11" s="5">
        <v>0.09</v>
      </c>
      <c r="HY11" s="10">
        <f t="shared" si="410"/>
        <v>-0.10999999999999996</v>
      </c>
      <c r="IA11" s="24">
        <v>1</v>
      </c>
      <c r="IB11" s="6" t="s">
        <v>25</v>
      </c>
      <c r="IC11" s="24">
        <v>0.9</v>
      </c>
      <c r="ID11" s="6" t="s">
        <v>25</v>
      </c>
      <c r="IE11" s="5">
        <f t="shared" si="411"/>
        <v>1.9</v>
      </c>
      <c r="IF11" s="3"/>
      <c r="IG11" s="10">
        <f t="shared" si="412"/>
        <v>-0.39999999999999991</v>
      </c>
      <c r="IH11" s="5">
        <v>0.19</v>
      </c>
      <c r="II11" s="10">
        <f t="shared" si="413"/>
        <v>0.58999999999999986</v>
      </c>
      <c r="IK11" s="24">
        <v>1</v>
      </c>
      <c r="IL11" s="6" t="s">
        <v>25</v>
      </c>
      <c r="IM11" s="24">
        <v>0.7</v>
      </c>
      <c r="IN11" s="6" t="s">
        <v>25</v>
      </c>
      <c r="IO11" s="5">
        <f t="shared" si="414"/>
        <v>1.7</v>
      </c>
      <c r="IP11" s="3"/>
      <c r="IQ11" s="10">
        <f t="shared" si="415"/>
        <v>0.19999999999999996</v>
      </c>
      <c r="IR11" s="5">
        <v>0.1</v>
      </c>
      <c r="IS11" s="10">
        <f t="shared" si="416"/>
        <v>-9.999999999999995E-2</v>
      </c>
      <c r="IU11" s="24">
        <v>1</v>
      </c>
      <c r="IV11" s="6" t="s">
        <v>25</v>
      </c>
      <c r="IW11" s="24">
        <v>0.5</v>
      </c>
      <c r="IX11" s="6" t="s">
        <v>25</v>
      </c>
      <c r="IY11" s="5">
        <f t="shared" si="417"/>
        <v>1.5</v>
      </c>
      <c r="IZ11" s="3"/>
      <c r="JA11" s="10">
        <f t="shared" si="418"/>
        <v>0.19999999999999996</v>
      </c>
      <c r="JB11" s="5">
        <v>0.09</v>
      </c>
      <c r="JC11" s="10">
        <f t="shared" si="419"/>
        <v>-0.10999999999999996</v>
      </c>
      <c r="JE11" s="24">
        <v>1</v>
      </c>
      <c r="JF11" s="6" t="s">
        <v>25</v>
      </c>
      <c r="JG11" s="24">
        <v>0.1</v>
      </c>
      <c r="JH11" s="6" t="s">
        <v>25</v>
      </c>
      <c r="JI11" s="5">
        <f t="shared" si="420"/>
        <v>1.1000000000000001</v>
      </c>
      <c r="JJ11" s="3"/>
      <c r="JK11" s="10">
        <f t="shared" si="421"/>
        <v>0.39999999999999991</v>
      </c>
      <c r="JL11" s="5">
        <v>0.15</v>
      </c>
      <c r="JM11" s="10">
        <f t="shared" si="422"/>
        <v>-0.24999999999999992</v>
      </c>
      <c r="JO11" s="24">
        <v>1</v>
      </c>
      <c r="JP11" s="6" t="s">
        <v>25</v>
      </c>
      <c r="JQ11" s="24">
        <v>0.1</v>
      </c>
      <c r="JR11" s="6" t="s">
        <v>25</v>
      </c>
      <c r="JS11" s="5">
        <f t="shared" si="423"/>
        <v>1.1000000000000001</v>
      </c>
      <c r="JT11" s="3"/>
      <c r="JU11" s="10">
        <f t="shared" si="424"/>
        <v>0</v>
      </c>
      <c r="JV11" s="5">
        <v>0.05</v>
      </c>
      <c r="JW11" s="10">
        <f t="shared" si="425"/>
        <v>0.05</v>
      </c>
      <c r="JY11" s="24">
        <v>1</v>
      </c>
      <c r="JZ11" s="6" t="s">
        <v>25</v>
      </c>
      <c r="KA11" s="24">
        <v>0.3</v>
      </c>
      <c r="KB11" s="6" t="s">
        <v>25</v>
      </c>
      <c r="KC11" s="5">
        <f t="shared" si="426"/>
        <v>1.3</v>
      </c>
      <c r="KD11" s="3"/>
      <c r="KE11" s="10">
        <f t="shared" si="427"/>
        <v>-0.19999999999999996</v>
      </c>
      <c r="KF11" s="5">
        <v>0.1</v>
      </c>
      <c r="KG11" s="10">
        <f t="shared" si="428"/>
        <v>0.29999999999999993</v>
      </c>
      <c r="KI11" s="24">
        <v>0.5</v>
      </c>
      <c r="KJ11" s="6" t="s">
        <v>25</v>
      </c>
      <c r="KK11" s="24">
        <v>0</v>
      </c>
      <c r="KL11" s="6" t="s">
        <v>25</v>
      </c>
      <c r="KM11" s="5">
        <f t="shared" si="429"/>
        <v>0.5</v>
      </c>
      <c r="KN11" s="3"/>
      <c r="KO11" s="10">
        <f t="shared" si="430"/>
        <v>0.8</v>
      </c>
      <c r="KP11" s="5">
        <v>0.21</v>
      </c>
      <c r="KQ11" s="10">
        <f t="shared" si="431"/>
        <v>-0.59000000000000008</v>
      </c>
      <c r="KS11" s="24">
        <v>0</v>
      </c>
      <c r="KT11" s="6" t="s">
        <v>25</v>
      </c>
      <c r="KU11" s="24">
        <v>0.5</v>
      </c>
      <c r="KV11" s="6" t="s">
        <v>25</v>
      </c>
      <c r="KW11" s="5">
        <f t="shared" si="432"/>
        <v>0.5</v>
      </c>
      <c r="KX11" s="3">
        <v>1</v>
      </c>
      <c r="KY11" s="10">
        <f t="shared" si="433"/>
        <v>0</v>
      </c>
      <c r="KZ11" s="5">
        <v>0.14000000000000001</v>
      </c>
      <c r="LA11" s="10">
        <f t="shared" si="434"/>
        <v>0.14000000000000001</v>
      </c>
      <c r="LC11" s="24">
        <v>1</v>
      </c>
      <c r="LD11" s="6" t="s">
        <v>25</v>
      </c>
      <c r="LE11" s="24">
        <v>0.3</v>
      </c>
      <c r="LF11" s="6" t="s">
        <v>25</v>
      </c>
      <c r="LG11" s="5">
        <f t="shared" si="435"/>
        <v>1.3</v>
      </c>
      <c r="LH11" s="3"/>
      <c r="LI11" s="10">
        <f t="shared" si="436"/>
        <v>0.19999999999999996</v>
      </c>
      <c r="LJ11" s="5">
        <v>0.27</v>
      </c>
      <c r="LK11" s="10">
        <f t="shared" si="437"/>
        <v>7.0000000000000062E-2</v>
      </c>
      <c r="LM11" s="24">
        <v>1</v>
      </c>
      <c r="LN11" s="6" t="s">
        <v>25</v>
      </c>
      <c r="LO11" s="24">
        <v>0.1</v>
      </c>
      <c r="LP11" s="6" t="s">
        <v>25</v>
      </c>
      <c r="LQ11" s="5">
        <f t="shared" si="438"/>
        <v>1.1000000000000001</v>
      </c>
      <c r="LR11" s="3"/>
      <c r="LS11" s="10">
        <f t="shared" si="439"/>
        <v>0.19999999999999996</v>
      </c>
      <c r="LT11" s="5">
        <v>0.09</v>
      </c>
      <c r="LU11" s="10">
        <f t="shared" si="440"/>
        <v>-0.10999999999999996</v>
      </c>
      <c r="LW11" s="24">
        <v>1</v>
      </c>
      <c r="LX11" s="6" t="s">
        <v>25</v>
      </c>
      <c r="LY11" s="24">
        <v>0</v>
      </c>
      <c r="LZ11" s="6" t="s">
        <v>25</v>
      </c>
      <c r="MA11" s="5">
        <f t="shared" si="441"/>
        <v>1</v>
      </c>
      <c r="MB11" s="3"/>
      <c r="MC11" s="10">
        <f t="shared" si="442"/>
        <v>0.10000000000000009</v>
      </c>
      <c r="MD11" s="5">
        <v>0.09</v>
      </c>
      <c r="ME11" s="10">
        <f t="shared" si="443"/>
        <v>-1.0000000000000092E-2</v>
      </c>
      <c r="MG11" s="24">
        <v>1</v>
      </c>
      <c r="MH11" s="6" t="s">
        <v>25</v>
      </c>
      <c r="MI11" s="24">
        <v>0.1</v>
      </c>
      <c r="MJ11" s="6" t="s">
        <v>25</v>
      </c>
      <c r="MK11" s="5">
        <f t="shared" si="444"/>
        <v>1.1000000000000001</v>
      </c>
      <c r="ML11" s="3"/>
      <c r="MM11" s="10">
        <f t="shared" si="445"/>
        <v>-0.10000000000000009</v>
      </c>
      <c r="MN11" s="5">
        <v>0.03</v>
      </c>
      <c r="MO11" s="10">
        <f t="shared" si="446"/>
        <v>0.13000000000000009</v>
      </c>
      <c r="MQ11" s="24">
        <v>0</v>
      </c>
      <c r="MR11" s="6" t="s">
        <v>25</v>
      </c>
      <c r="MS11" s="24">
        <v>1</v>
      </c>
      <c r="MT11" s="6" t="s">
        <v>25</v>
      </c>
      <c r="MU11" s="5">
        <f t="shared" si="447"/>
        <v>1</v>
      </c>
      <c r="MV11" s="3"/>
      <c r="MW11" s="10">
        <f t="shared" si="448"/>
        <v>0.10000000000000009</v>
      </c>
      <c r="MX11" s="5">
        <v>0.14000000000000001</v>
      </c>
      <c r="MY11" s="10">
        <f t="shared" si="449"/>
        <v>3.9999999999999925E-2</v>
      </c>
      <c r="NA11" s="24">
        <v>0</v>
      </c>
      <c r="NB11" s="6" t="s">
        <v>25</v>
      </c>
      <c r="NC11" s="24">
        <v>0.7</v>
      </c>
      <c r="ND11" s="6" t="s">
        <v>25</v>
      </c>
      <c r="NE11" s="5">
        <f t="shared" si="450"/>
        <v>0.7</v>
      </c>
      <c r="NF11" s="3">
        <v>1</v>
      </c>
      <c r="NG11" s="10">
        <f t="shared" si="451"/>
        <v>0.30000000000000004</v>
      </c>
      <c r="NH11" s="5">
        <v>0.12</v>
      </c>
      <c r="NI11" s="10">
        <f t="shared" si="452"/>
        <v>-0.18000000000000005</v>
      </c>
      <c r="NK11" s="24">
        <v>1</v>
      </c>
      <c r="NL11" s="6" t="s">
        <v>25</v>
      </c>
      <c r="NM11" s="24">
        <v>0.5</v>
      </c>
      <c r="NN11" s="6" t="s">
        <v>25</v>
      </c>
      <c r="NO11" s="5">
        <f t="shared" si="453"/>
        <v>1.5</v>
      </c>
      <c r="NP11" s="3"/>
      <c r="NQ11" s="10">
        <f t="shared" si="454"/>
        <v>0.19999999999999996</v>
      </c>
      <c r="NR11" s="5">
        <v>0.1</v>
      </c>
      <c r="NS11" s="10">
        <f t="shared" si="455"/>
        <v>-9.999999999999995E-2</v>
      </c>
      <c r="NU11" s="24">
        <v>1</v>
      </c>
      <c r="NV11" s="6" t="s">
        <v>25</v>
      </c>
      <c r="NW11" s="24">
        <v>0.9</v>
      </c>
      <c r="NX11" s="6" t="s">
        <v>25</v>
      </c>
      <c r="NY11" s="5">
        <f t="shared" si="456"/>
        <v>1.9</v>
      </c>
      <c r="NZ11" s="3"/>
      <c r="OA11" s="10">
        <f t="shared" si="457"/>
        <v>-0.39999999999999991</v>
      </c>
      <c r="OB11" s="5">
        <v>0.1</v>
      </c>
      <c r="OC11" s="10">
        <f t="shared" si="458"/>
        <v>0.49999999999999989</v>
      </c>
      <c r="OE11" s="2">
        <v>1</v>
      </c>
      <c r="OF11" s="6" t="s">
        <v>25</v>
      </c>
      <c r="OG11" s="2">
        <v>0.3</v>
      </c>
      <c r="OH11" s="6" t="s">
        <v>25</v>
      </c>
      <c r="OI11" s="5">
        <f t="shared" si="459"/>
        <v>1.3</v>
      </c>
      <c r="OJ11" s="3"/>
      <c r="OK11" s="10">
        <f t="shared" si="460"/>
        <v>0.59999999999999987</v>
      </c>
      <c r="OL11" s="5">
        <v>0.19</v>
      </c>
      <c r="OM11" s="10">
        <f t="shared" si="461"/>
        <v>-0.40999999999999986</v>
      </c>
      <c r="OO11" s="24">
        <v>1</v>
      </c>
      <c r="OP11" s="6" t="s">
        <v>25</v>
      </c>
      <c r="OQ11" s="24">
        <v>0.1</v>
      </c>
      <c r="OR11" s="6" t="s">
        <v>25</v>
      </c>
      <c r="OS11" s="5">
        <f t="shared" si="462"/>
        <v>1.1000000000000001</v>
      </c>
      <c r="OT11" s="3"/>
      <c r="OU11" s="10">
        <f t="shared" si="463"/>
        <v>0.19999999999999996</v>
      </c>
      <c r="OV11" s="5">
        <v>0.1</v>
      </c>
      <c r="OW11" s="10">
        <f t="shared" si="464"/>
        <v>-9.999999999999995E-2</v>
      </c>
      <c r="OY11" s="24">
        <v>0</v>
      </c>
      <c r="OZ11" s="6" t="s">
        <v>25</v>
      </c>
      <c r="PA11" s="24">
        <v>0.9</v>
      </c>
      <c r="PB11" s="6" t="s">
        <v>25</v>
      </c>
      <c r="PC11" s="5">
        <f t="shared" si="465"/>
        <v>0.9</v>
      </c>
      <c r="PD11" s="3"/>
      <c r="PE11" s="10">
        <f t="shared" si="466"/>
        <v>0.20000000000000007</v>
      </c>
      <c r="PF11" s="5">
        <v>0.17</v>
      </c>
      <c r="PG11" s="10">
        <f t="shared" si="467"/>
        <v>-3.0000000000000054E-2</v>
      </c>
      <c r="PI11" s="2">
        <v>0.8</v>
      </c>
      <c r="PJ11" s="36" t="s">
        <v>25</v>
      </c>
      <c r="PK11" s="2">
        <v>0</v>
      </c>
      <c r="PL11" s="36" t="s">
        <v>25</v>
      </c>
      <c r="PM11" s="5">
        <f t="shared" si="468"/>
        <v>0.8</v>
      </c>
      <c r="PN11" s="3"/>
      <c r="PO11" s="10">
        <f t="shared" si="469"/>
        <v>9.9999999999999978E-2</v>
      </c>
      <c r="PP11" s="5">
        <v>7.0000000000000007E-2</v>
      </c>
      <c r="PQ11" s="10">
        <f t="shared" si="470"/>
        <v>-2.9999999999999971E-2</v>
      </c>
      <c r="PS11" s="2"/>
      <c r="PT11" s="6" t="s">
        <v>25</v>
      </c>
      <c r="PU11" s="2">
        <v>0.8</v>
      </c>
      <c r="PV11" s="6" t="s">
        <v>25</v>
      </c>
      <c r="PW11" s="5">
        <f t="shared" si="471"/>
        <v>0.8</v>
      </c>
      <c r="PX11" s="3"/>
      <c r="PY11" s="10">
        <f t="shared" si="472"/>
        <v>0</v>
      </c>
      <c r="PZ11" s="5">
        <v>0</v>
      </c>
      <c r="QA11" s="10">
        <f t="shared" si="473"/>
        <v>0</v>
      </c>
      <c r="QC11" s="2">
        <v>0</v>
      </c>
      <c r="QD11" s="6" t="s">
        <v>25</v>
      </c>
      <c r="QE11" s="2">
        <v>0.6</v>
      </c>
      <c r="QF11" s="6" t="s">
        <v>25</v>
      </c>
      <c r="QG11" s="5">
        <f t="shared" si="474"/>
        <v>0.6</v>
      </c>
      <c r="QH11" s="3">
        <v>1</v>
      </c>
      <c r="QI11" s="10">
        <f t="shared" si="475"/>
        <v>0.20000000000000007</v>
      </c>
      <c r="QJ11" s="5">
        <v>0.09</v>
      </c>
      <c r="QK11" s="10">
        <f t="shared" si="476"/>
        <v>-0.11000000000000007</v>
      </c>
      <c r="QM11" s="24">
        <v>1</v>
      </c>
      <c r="QN11" s="6" t="s">
        <v>25</v>
      </c>
      <c r="QO11" s="24">
        <v>0.3</v>
      </c>
      <c r="QP11" s="6" t="s">
        <v>25</v>
      </c>
      <c r="QQ11" s="5">
        <f t="shared" si="477"/>
        <v>1.3</v>
      </c>
      <c r="QR11" s="3"/>
      <c r="QS11" s="10">
        <f t="shared" si="478"/>
        <v>0.30000000000000004</v>
      </c>
      <c r="QT11" s="5">
        <v>0.26</v>
      </c>
      <c r="QU11" s="10">
        <f t="shared" si="479"/>
        <v>-4.0000000000000036E-2</v>
      </c>
      <c r="QW11" s="24">
        <v>1</v>
      </c>
      <c r="QX11" s="6" t="s">
        <v>25</v>
      </c>
      <c r="QY11" s="24">
        <v>0.1</v>
      </c>
      <c r="QZ11" s="6" t="s">
        <v>25</v>
      </c>
      <c r="RA11" s="5">
        <f t="shared" si="480"/>
        <v>1.1000000000000001</v>
      </c>
      <c r="RB11" s="3"/>
      <c r="RC11" s="10">
        <f t="shared" si="481"/>
        <v>0.19999999999999996</v>
      </c>
      <c r="RD11" s="5">
        <v>0.05</v>
      </c>
      <c r="RE11" s="10">
        <f t="shared" si="482"/>
        <v>-0.14999999999999997</v>
      </c>
      <c r="RG11" s="24">
        <v>1</v>
      </c>
      <c r="RH11" s="6" t="s">
        <v>25</v>
      </c>
      <c r="RI11" s="24">
        <v>0.1</v>
      </c>
      <c r="RJ11" s="6" t="s">
        <v>25</v>
      </c>
      <c r="RK11" s="5">
        <f t="shared" si="483"/>
        <v>1.1000000000000001</v>
      </c>
      <c r="RL11" s="3"/>
      <c r="RM11" s="10">
        <f t="shared" si="484"/>
        <v>0</v>
      </c>
      <c r="RN11" s="5">
        <v>0.1</v>
      </c>
      <c r="RO11" s="10">
        <f t="shared" si="485"/>
        <v>0.1</v>
      </c>
      <c r="RQ11" s="24">
        <v>0</v>
      </c>
      <c r="RR11" s="6" t="s">
        <v>25</v>
      </c>
      <c r="RS11" s="24">
        <v>1</v>
      </c>
      <c r="RT11" s="6" t="s">
        <v>25</v>
      </c>
      <c r="RU11" s="5">
        <f t="shared" si="486"/>
        <v>1</v>
      </c>
      <c r="RV11" s="3"/>
      <c r="RW11" s="10">
        <f t="shared" si="487"/>
        <v>0.10000000000000009</v>
      </c>
      <c r="RX11" s="5">
        <v>0.15</v>
      </c>
      <c r="RY11" s="10">
        <f t="shared" si="488"/>
        <v>4.9999999999999906E-2</v>
      </c>
      <c r="SA11" s="2">
        <v>0</v>
      </c>
      <c r="SB11" s="6" t="s">
        <v>25</v>
      </c>
      <c r="SC11" s="2">
        <v>0.9</v>
      </c>
      <c r="SD11" s="6" t="s">
        <v>25</v>
      </c>
      <c r="SE11" s="5">
        <f t="shared" si="489"/>
        <v>0.9</v>
      </c>
      <c r="SF11" s="3"/>
      <c r="SG11" s="10">
        <f t="shared" si="490"/>
        <v>9.9999999999999978E-2</v>
      </c>
      <c r="SH11" s="5">
        <v>0.1</v>
      </c>
      <c r="SI11" s="10">
        <f t="shared" si="491"/>
        <v>2.7755575615628914E-17</v>
      </c>
      <c r="SK11" s="24">
        <v>0</v>
      </c>
      <c r="SL11" s="6" t="s">
        <v>25</v>
      </c>
      <c r="SM11" s="24">
        <v>0.9</v>
      </c>
      <c r="SN11" s="6" t="s">
        <v>25</v>
      </c>
      <c r="SO11" s="5">
        <f t="shared" si="492"/>
        <v>0.9</v>
      </c>
      <c r="SP11" s="3"/>
      <c r="SQ11" s="10">
        <f t="shared" si="493"/>
        <v>0</v>
      </c>
      <c r="SR11" s="5">
        <v>0.02</v>
      </c>
      <c r="SS11" s="10">
        <f t="shared" si="494"/>
        <v>0.02</v>
      </c>
      <c r="SU11" s="24">
        <v>0</v>
      </c>
      <c r="SV11" s="6" t="s">
        <v>25</v>
      </c>
      <c r="SW11" s="24">
        <v>0.8</v>
      </c>
      <c r="SX11" s="6" t="s">
        <v>25</v>
      </c>
      <c r="SY11" s="5">
        <f t="shared" si="495"/>
        <v>0.8</v>
      </c>
      <c r="SZ11" s="3"/>
      <c r="TA11" s="10">
        <f t="shared" si="496"/>
        <v>9.9999999999999978E-2</v>
      </c>
      <c r="TB11" s="5">
        <v>0.1</v>
      </c>
      <c r="TC11" s="10">
        <f t="shared" si="497"/>
        <v>2.7755575615628914E-17</v>
      </c>
      <c r="TE11" s="24">
        <v>0</v>
      </c>
      <c r="TF11" s="6" t="s">
        <v>25</v>
      </c>
      <c r="TG11" s="24">
        <v>0.8</v>
      </c>
      <c r="TH11" s="6" t="s">
        <v>25</v>
      </c>
      <c r="TI11" s="5">
        <f t="shared" si="498"/>
        <v>0.8</v>
      </c>
      <c r="TJ11" s="3"/>
      <c r="TK11" s="10">
        <f t="shared" si="499"/>
        <v>0</v>
      </c>
      <c r="TL11" s="5">
        <v>0.03</v>
      </c>
      <c r="TM11" s="10">
        <f t="shared" si="500"/>
        <v>0.03</v>
      </c>
      <c r="TO11" s="2">
        <v>0</v>
      </c>
      <c r="TP11" s="6" t="s">
        <v>25</v>
      </c>
      <c r="TQ11" s="2">
        <v>0.2</v>
      </c>
      <c r="TR11" s="6" t="s">
        <v>25</v>
      </c>
      <c r="TS11" s="5">
        <f t="shared" si="501"/>
        <v>0.2</v>
      </c>
      <c r="TT11" s="3">
        <v>1</v>
      </c>
      <c r="TU11" s="10">
        <f t="shared" si="502"/>
        <v>0.60000000000000009</v>
      </c>
      <c r="TV11" s="5">
        <v>0.09</v>
      </c>
      <c r="TW11" s="10">
        <f t="shared" si="503"/>
        <v>-0.51000000000000012</v>
      </c>
      <c r="TY11" s="24">
        <v>1</v>
      </c>
      <c r="TZ11" s="6" t="s">
        <v>25</v>
      </c>
      <c r="UA11" s="24">
        <v>0.1</v>
      </c>
      <c r="UB11" s="6" t="s">
        <v>25</v>
      </c>
      <c r="UC11" s="5">
        <f t="shared" si="504"/>
        <v>1.1000000000000001</v>
      </c>
      <c r="UD11" s="3"/>
      <c r="UE11" s="10">
        <f t="shared" si="505"/>
        <v>9.9999999999999867E-2</v>
      </c>
      <c r="UF11" s="5">
        <v>0.14000000000000001</v>
      </c>
      <c r="UG11" s="10">
        <f t="shared" si="506"/>
        <v>4.0000000000000147E-2</v>
      </c>
      <c r="UI11" s="2">
        <v>1</v>
      </c>
      <c r="UJ11" s="6" t="s">
        <v>25</v>
      </c>
      <c r="UK11" s="2">
        <v>0.1</v>
      </c>
      <c r="UL11" s="6" t="s">
        <v>25</v>
      </c>
      <c r="UM11" s="5">
        <f t="shared" si="507"/>
        <v>1.1000000000000001</v>
      </c>
      <c r="UN11" s="3"/>
      <c r="UO11" s="10">
        <f t="shared" si="508"/>
        <v>0</v>
      </c>
      <c r="UP11" s="5">
        <v>0.03</v>
      </c>
      <c r="UQ11" s="10">
        <f t="shared" si="509"/>
        <v>0.03</v>
      </c>
      <c r="US11" s="2">
        <v>1</v>
      </c>
      <c r="UT11" s="6" t="s">
        <v>25</v>
      </c>
      <c r="UU11" s="2">
        <v>0.1</v>
      </c>
      <c r="UV11" s="6" t="s">
        <v>25</v>
      </c>
      <c r="UW11" s="5">
        <f t="shared" si="510"/>
        <v>1.1000000000000001</v>
      </c>
      <c r="UX11" s="3"/>
      <c r="UY11" s="10">
        <f t="shared" si="511"/>
        <v>0</v>
      </c>
      <c r="UZ11" s="5">
        <v>0.14000000000000001</v>
      </c>
      <c r="VA11" s="10">
        <f t="shared" si="512"/>
        <v>0.14000000000000001</v>
      </c>
      <c r="VC11" s="24">
        <v>1</v>
      </c>
      <c r="VD11" s="6" t="s">
        <v>25</v>
      </c>
      <c r="VE11" s="24">
        <v>0.1</v>
      </c>
      <c r="VF11" s="6" t="s">
        <v>25</v>
      </c>
      <c r="VG11" s="5">
        <f t="shared" si="513"/>
        <v>1.1000000000000001</v>
      </c>
      <c r="VH11" s="3"/>
      <c r="VI11" s="10">
        <f t="shared" si="514"/>
        <v>0</v>
      </c>
      <c r="VJ11" s="5">
        <v>0.05</v>
      </c>
      <c r="VK11" s="10">
        <f t="shared" si="515"/>
        <v>0.05</v>
      </c>
      <c r="VM11" s="24">
        <v>1</v>
      </c>
      <c r="VN11" s="6" t="s">
        <v>25</v>
      </c>
      <c r="VO11" s="24">
        <v>0.1</v>
      </c>
      <c r="VP11" s="6" t="s">
        <v>25</v>
      </c>
      <c r="VQ11" s="5">
        <f t="shared" si="516"/>
        <v>1.1000000000000001</v>
      </c>
      <c r="VR11" s="3"/>
      <c r="VS11" s="10">
        <f t="shared" si="517"/>
        <v>0</v>
      </c>
      <c r="VT11" s="5">
        <v>0.05</v>
      </c>
      <c r="VU11" s="10">
        <f t="shared" si="518"/>
        <v>0.05</v>
      </c>
      <c r="VW11" s="2">
        <v>0</v>
      </c>
      <c r="VX11" s="6" t="s">
        <v>25</v>
      </c>
      <c r="VY11" s="2">
        <v>0.7</v>
      </c>
      <c r="VZ11" s="6" t="s">
        <v>25</v>
      </c>
      <c r="WA11" s="40">
        <f t="shared" si="519"/>
        <v>0.7</v>
      </c>
      <c r="WB11" s="3"/>
      <c r="WC11" s="10">
        <f t="shared" si="520"/>
        <v>0.40000000000000013</v>
      </c>
      <c r="WD11" s="5">
        <v>0.14000000000000001</v>
      </c>
      <c r="WE11" s="10">
        <f t="shared" si="521"/>
        <v>-0.26000000000000012</v>
      </c>
      <c r="WG11" s="24">
        <v>0</v>
      </c>
      <c r="WH11" s="6" t="s">
        <v>25</v>
      </c>
      <c r="WI11" s="24">
        <v>0.6</v>
      </c>
      <c r="WJ11" s="6" t="s">
        <v>25</v>
      </c>
      <c r="WK11" s="5">
        <f t="shared" si="522"/>
        <v>0.6</v>
      </c>
      <c r="WL11" s="3"/>
      <c r="WM11" s="10">
        <f t="shared" si="523"/>
        <v>9.9999999999999978E-2</v>
      </c>
      <c r="WN11" s="5">
        <v>0.09</v>
      </c>
      <c r="WO11" s="10">
        <f t="shared" si="524"/>
        <v>-9.9999999999999811E-3</v>
      </c>
      <c r="WQ11" s="24">
        <v>0</v>
      </c>
      <c r="WR11" s="6" t="s">
        <v>25</v>
      </c>
      <c r="WS11" s="24">
        <v>0.5</v>
      </c>
      <c r="WT11" s="6" t="s">
        <v>25</v>
      </c>
      <c r="WU11" s="5">
        <f t="shared" si="525"/>
        <v>0.5</v>
      </c>
      <c r="WV11" s="3"/>
      <c r="WW11" s="10">
        <f t="shared" si="526"/>
        <v>9.9999999999999978E-2</v>
      </c>
      <c r="WX11" s="5">
        <v>0.1</v>
      </c>
      <c r="WY11" s="10">
        <f t="shared" si="527"/>
        <v>2.7755575615628914E-17</v>
      </c>
      <c r="XA11" s="24"/>
      <c r="XB11" s="6" t="s">
        <v>25</v>
      </c>
      <c r="XC11" s="24">
        <v>0.4</v>
      </c>
      <c r="XD11" s="6" t="s">
        <v>25</v>
      </c>
      <c r="XE11" s="5">
        <f t="shared" si="528"/>
        <v>0.4</v>
      </c>
      <c r="XF11" s="3">
        <v>1</v>
      </c>
      <c r="XG11" s="10">
        <f t="shared" si="529"/>
        <v>9.9999999999999978E-2</v>
      </c>
      <c r="XH11" s="5">
        <v>7.0000000000000007E-2</v>
      </c>
      <c r="XI11" s="10">
        <f t="shared" si="530"/>
        <v>-2.9999999999999971E-2</v>
      </c>
      <c r="XK11" s="24">
        <v>1</v>
      </c>
      <c r="XL11" s="6" t="s">
        <v>25</v>
      </c>
      <c r="XM11" s="24">
        <v>0.3</v>
      </c>
      <c r="XN11" s="6" t="s">
        <v>25</v>
      </c>
      <c r="XO11" s="5">
        <f t="shared" si="531"/>
        <v>1.3</v>
      </c>
      <c r="XP11" s="3"/>
      <c r="XQ11" s="10">
        <f t="shared" si="532"/>
        <v>9.9999999999999867E-2</v>
      </c>
      <c r="XR11" s="5">
        <v>0.05</v>
      </c>
      <c r="XS11" s="10">
        <f t="shared" si="533"/>
        <v>-4.9999999999999864E-2</v>
      </c>
      <c r="XU11" s="24">
        <v>1</v>
      </c>
      <c r="XV11" s="6" t="s">
        <v>25</v>
      </c>
      <c r="XW11" s="24">
        <v>0.3</v>
      </c>
      <c r="XX11" s="6" t="s">
        <v>25</v>
      </c>
      <c r="XY11" s="5">
        <f t="shared" si="534"/>
        <v>1.3</v>
      </c>
      <c r="XZ11" s="3"/>
      <c r="YA11" s="10">
        <f t="shared" si="535"/>
        <v>0</v>
      </c>
      <c r="YB11" s="5">
        <v>0.12</v>
      </c>
      <c r="YC11" s="10">
        <f t="shared" si="536"/>
        <v>0.12</v>
      </c>
      <c r="YE11" s="24">
        <v>1</v>
      </c>
      <c r="YF11" s="6" t="s">
        <v>25</v>
      </c>
      <c r="YG11" s="24">
        <v>0.3</v>
      </c>
      <c r="YH11" s="6" t="s">
        <v>25</v>
      </c>
      <c r="YI11" s="5">
        <f t="shared" si="537"/>
        <v>1.3</v>
      </c>
      <c r="YJ11" s="3"/>
      <c r="YK11" s="10">
        <f t="shared" si="538"/>
        <v>0</v>
      </c>
      <c r="YL11" s="5">
        <v>0.05</v>
      </c>
      <c r="YM11" s="10">
        <f t="shared" si="539"/>
        <v>0.05</v>
      </c>
      <c r="YO11" s="24">
        <v>1</v>
      </c>
      <c r="YP11" s="6" t="s">
        <v>25</v>
      </c>
      <c r="YQ11" s="24">
        <v>0.2</v>
      </c>
      <c r="YR11" s="6" t="s">
        <v>25</v>
      </c>
      <c r="YS11" s="5">
        <f t="shared" si="540"/>
        <v>1.2</v>
      </c>
      <c r="YT11" s="3"/>
      <c r="YU11" s="10">
        <f t="shared" si="541"/>
        <v>0.10000000000000009</v>
      </c>
      <c r="YV11" s="5">
        <v>0.05</v>
      </c>
      <c r="YW11" s="10">
        <f t="shared" si="542"/>
        <v>-5.0000000000000086E-2</v>
      </c>
      <c r="YY11" s="2">
        <v>1</v>
      </c>
      <c r="YZ11" s="6" t="s">
        <v>25</v>
      </c>
      <c r="ZA11" s="2">
        <v>0.1</v>
      </c>
      <c r="ZB11" s="6" t="s">
        <v>25</v>
      </c>
      <c r="ZC11" s="5">
        <f t="shared" si="543"/>
        <v>1.1000000000000001</v>
      </c>
      <c r="ZD11" s="3"/>
      <c r="ZE11" s="10">
        <f t="shared" si="544"/>
        <v>9.9999999999999867E-2</v>
      </c>
      <c r="ZF11" s="5">
        <v>0.05</v>
      </c>
      <c r="ZG11" s="10">
        <f t="shared" si="545"/>
        <v>-4.9999999999999864E-2</v>
      </c>
      <c r="ZI11" s="24">
        <v>0</v>
      </c>
      <c r="ZJ11" s="6" t="s">
        <v>25</v>
      </c>
      <c r="ZK11" s="24">
        <v>1</v>
      </c>
      <c r="ZL11" s="6" t="s">
        <v>25</v>
      </c>
      <c r="ZM11" s="5">
        <f t="shared" si="546"/>
        <v>1</v>
      </c>
      <c r="ZN11" s="3"/>
      <c r="ZO11" s="10">
        <f t="shared" si="547"/>
        <v>0.10000000000000009</v>
      </c>
      <c r="ZP11" s="5">
        <v>0.15</v>
      </c>
      <c r="ZQ11" s="10">
        <f t="shared" si="548"/>
        <v>4.9999999999999906E-2</v>
      </c>
      <c r="ZS11" s="24">
        <v>0</v>
      </c>
      <c r="ZT11" s="6" t="s">
        <v>25</v>
      </c>
      <c r="ZU11" s="24">
        <v>0.8</v>
      </c>
      <c r="ZV11" s="6" t="s">
        <v>25</v>
      </c>
      <c r="ZW11" s="5">
        <f t="shared" si="549"/>
        <v>0.8</v>
      </c>
      <c r="ZX11" s="3"/>
      <c r="ZY11" s="10">
        <f t="shared" si="550"/>
        <v>0.19999999999999996</v>
      </c>
      <c r="ZZ11" s="5">
        <v>0.02</v>
      </c>
      <c r="AAA11" s="10">
        <f t="shared" si="551"/>
        <v>-0.17999999999999997</v>
      </c>
      <c r="AAC11" s="24">
        <v>0</v>
      </c>
      <c r="AAD11" s="6" t="s">
        <v>25</v>
      </c>
      <c r="AAE11" s="24">
        <v>0.7</v>
      </c>
      <c r="AAF11" s="6" t="s">
        <v>25</v>
      </c>
      <c r="AAG11" s="5">
        <f t="shared" si="552"/>
        <v>0.7</v>
      </c>
      <c r="AAH11" s="3">
        <v>1</v>
      </c>
      <c r="AAI11" s="10">
        <f>IF(ISNUMBER(AAG11), (ZW11+ZX11)-AAG11, "")</f>
        <v>0.10000000000000009</v>
      </c>
      <c r="AAJ11" s="5">
        <v>0.05</v>
      </c>
      <c r="AAK11" s="10">
        <f t="shared" si="553"/>
        <v>-5.0000000000000086E-2</v>
      </c>
      <c r="AAM11" s="24">
        <v>1</v>
      </c>
      <c r="AAN11" s="6" t="s">
        <v>25</v>
      </c>
      <c r="AAO11" s="24">
        <v>0.5</v>
      </c>
      <c r="AAP11" s="6" t="s">
        <v>25</v>
      </c>
      <c r="AAQ11" s="5">
        <f t="shared" si="554"/>
        <v>1.5</v>
      </c>
      <c r="AAR11" s="3"/>
      <c r="AAS11" s="10">
        <f>IF(ISNUMBER(AAQ11), (AAG11+AAH11)-AAQ11, "")</f>
        <v>0.19999999999999996</v>
      </c>
      <c r="AAT11" s="5">
        <v>0.15</v>
      </c>
      <c r="AAU11" s="10">
        <f t="shared" si="555"/>
        <v>-4.9999999999999961E-2</v>
      </c>
      <c r="AAW11" s="2">
        <v>1</v>
      </c>
      <c r="AAX11" s="6" t="s">
        <v>25</v>
      </c>
      <c r="AAY11" s="2">
        <v>0.4</v>
      </c>
      <c r="AAZ11" s="6" t="s">
        <v>25</v>
      </c>
      <c r="ABA11" s="5">
        <f t="shared" si="556"/>
        <v>1.4</v>
      </c>
      <c r="ABB11" s="3"/>
      <c r="ABC11" s="10">
        <f>IF(ISNUMBER(ABA11), (AAQ11+AAR11)-ABA11, "")</f>
        <v>0.10000000000000009</v>
      </c>
      <c r="ABD11" s="5">
        <v>0.09</v>
      </c>
      <c r="ABE11" s="10">
        <f t="shared" si="557"/>
        <v>-1.0000000000000092E-2</v>
      </c>
      <c r="ABG11" s="24">
        <v>1</v>
      </c>
      <c r="ABH11" s="6" t="s">
        <v>25</v>
      </c>
      <c r="ABI11" s="24">
        <v>0.3</v>
      </c>
      <c r="ABJ11" s="6" t="s">
        <v>25</v>
      </c>
      <c r="ABK11" s="5">
        <f t="shared" si="558"/>
        <v>1.3</v>
      </c>
      <c r="ABL11" s="3"/>
      <c r="ABM11" s="10">
        <f>IF(ISNUMBER(ABK11), (ABA11+ABB11)-ABK11, "")</f>
        <v>9.9999999999999867E-2</v>
      </c>
      <c r="ABN11" s="5">
        <v>0.1</v>
      </c>
      <c r="ABO11" s="10">
        <f t="shared" si="559"/>
        <v>1.3877787807814457E-16</v>
      </c>
      <c r="ABQ11" s="24">
        <v>1</v>
      </c>
      <c r="ABR11" s="6" t="s">
        <v>25</v>
      </c>
      <c r="ABS11" s="24">
        <v>0.2</v>
      </c>
      <c r="ABT11" s="6" t="s">
        <v>25</v>
      </c>
      <c r="ABU11" s="5">
        <f t="shared" si="560"/>
        <v>1.2</v>
      </c>
      <c r="ABV11" s="3"/>
      <c r="ABW11" s="10">
        <f>IF(ISNUMBER(ABU11), (ABK11+ABL11)-ABU11, "")</f>
        <v>0.10000000000000009</v>
      </c>
      <c r="ABX11" s="5">
        <v>0.05</v>
      </c>
      <c r="ABY11" s="10">
        <f t="shared" si="561"/>
        <v>-5.0000000000000086E-2</v>
      </c>
      <c r="ACA11" s="24">
        <v>1</v>
      </c>
      <c r="ACB11" s="6" t="s">
        <v>25</v>
      </c>
      <c r="ACC11" s="24">
        <v>0.1</v>
      </c>
      <c r="ACD11" s="6" t="s">
        <v>25</v>
      </c>
      <c r="ACE11" s="5">
        <f t="shared" si="562"/>
        <v>1.1000000000000001</v>
      </c>
      <c r="ACF11" s="3"/>
      <c r="ACG11" s="10">
        <f>IF(ISNUMBER(ACE11), (ABU11+ABV11)-ACE11, "")</f>
        <v>9.9999999999999867E-2</v>
      </c>
      <c r="ACH11" s="5">
        <v>0.05</v>
      </c>
      <c r="ACI11" s="10">
        <f t="shared" si="563"/>
        <v>-4.9999999999999864E-2</v>
      </c>
      <c r="ACK11" s="2">
        <v>1</v>
      </c>
      <c r="ACL11" s="6" t="s">
        <v>25</v>
      </c>
      <c r="ACM11" s="2">
        <v>0.1</v>
      </c>
      <c r="ACN11" s="6" t="s">
        <v>25</v>
      </c>
      <c r="ACO11" s="5">
        <f t="shared" si="564"/>
        <v>1.1000000000000001</v>
      </c>
      <c r="ACP11" s="3"/>
      <c r="ACQ11" s="10">
        <f>IF(ISNUMBER(ACO11), (ACE11+ACF11)-ACO11, "")</f>
        <v>0</v>
      </c>
      <c r="ACR11" s="5">
        <v>7.0000000000000007E-2</v>
      </c>
      <c r="ACS11" s="10">
        <f t="shared" si="565"/>
        <v>7.0000000000000007E-2</v>
      </c>
      <c r="ACU11" s="2">
        <v>1</v>
      </c>
      <c r="ACV11" s="6" t="s">
        <v>25</v>
      </c>
      <c r="ACW11" s="2">
        <v>0.1</v>
      </c>
      <c r="ACX11" s="6" t="s">
        <v>25</v>
      </c>
      <c r="ACY11" s="5">
        <f t="shared" si="566"/>
        <v>1.1000000000000001</v>
      </c>
      <c r="ACZ11" s="3"/>
      <c r="ADA11" s="10">
        <f>IF(ISNUMBER(ACY11), (ACO11+ACP11)-ACY11, "")</f>
        <v>0</v>
      </c>
      <c r="ADB11" s="5">
        <v>0.02</v>
      </c>
      <c r="ADC11" s="10">
        <f t="shared" si="567"/>
        <v>0.02</v>
      </c>
      <c r="ADE11" s="24">
        <v>1</v>
      </c>
      <c r="ADF11" s="6" t="s">
        <v>25</v>
      </c>
      <c r="ADG11" s="24">
        <v>0.1</v>
      </c>
      <c r="ADH11" s="6" t="s">
        <v>25</v>
      </c>
      <c r="ADI11" s="5">
        <f t="shared" si="568"/>
        <v>1.1000000000000001</v>
      </c>
      <c r="ADJ11" s="3"/>
      <c r="ADK11" s="10">
        <f>IF(ISNUMBER(ADI11), (ACY11+ACZ11)-ADI11, "")</f>
        <v>0</v>
      </c>
      <c r="ADL11" s="5">
        <v>7.0000000000000007E-2</v>
      </c>
      <c r="ADM11" s="10">
        <f t="shared" si="569"/>
        <v>7.0000000000000007E-2</v>
      </c>
      <c r="ADO11" s="24">
        <v>0</v>
      </c>
      <c r="ADP11" s="6" t="s">
        <v>25</v>
      </c>
      <c r="ADQ11" s="24">
        <v>1</v>
      </c>
      <c r="ADR11" s="6" t="s">
        <v>25</v>
      </c>
      <c r="ADS11" s="5">
        <f t="shared" si="570"/>
        <v>1</v>
      </c>
      <c r="ADT11" s="3"/>
      <c r="ADU11" s="10">
        <f>IF(ISNUMBER(ADS11), (ADI11+ADJ11)-ADS11, "")</f>
        <v>0.10000000000000009</v>
      </c>
      <c r="ADV11" s="5">
        <v>7.0000000000000007E-2</v>
      </c>
      <c r="ADW11" s="10">
        <f t="shared" si="571"/>
        <v>-3.0000000000000082E-2</v>
      </c>
      <c r="ADY11" s="24">
        <v>0</v>
      </c>
      <c r="ADZ11" s="6" t="s">
        <v>25</v>
      </c>
      <c r="AEA11" s="24">
        <v>0.9</v>
      </c>
      <c r="AEB11" s="6" t="s">
        <v>25</v>
      </c>
      <c r="AEC11" s="5">
        <f t="shared" si="572"/>
        <v>0.9</v>
      </c>
      <c r="AED11" s="3"/>
      <c r="AEE11" s="10">
        <f>IF(ISNUMBER(AEC11), (ADS11+ADT11)-AEC11, "")</f>
        <v>9.9999999999999978E-2</v>
      </c>
      <c r="AEF11" s="5">
        <v>0.12</v>
      </c>
      <c r="AEG11" s="10">
        <f t="shared" si="573"/>
        <v>2.0000000000000018E-2</v>
      </c>
      <c r="AEI11" s="2">
        <v>0</v>
      </c>
      <c r="AEJ11" s="6" t="s">
        <v>25</v>
      </c>
      <c r="AEK11" s="2">
        <v>0.9</v>
      </c>
      <c r="AEL11" s="6" t="s">
        <v>25</v>
      </c>
      <c r="AEM11" s="5">
        <f t="shared" si="574"/>
        <v>0.9</v>
      </c>
      <c r="AEN11" s="3"/>
      <c r="AEO11" s="10">
        <f>IF(ISNUMBER(AEM11), (AEC11+AED11)-AEM11, "")</f>
        <v>0</v>
      </c>
      <c r="AEP11" s="5">
        <v>0.02</v>
      </c>
      <c r="AEQ11" s="10">
        <f t="shared" si="575"/>
        <v>0.02</v>
      </c>
      <c r="AES11" s="24">
        <v>0</v>
      </c>
      <c r="AET11" s="6" t="s">
        <v>25</v>
      </c>
      <c r="AEU11" s="24">
        <v>0.6</v>
      </c>
      <c r="AEV11" s="6" t="s">
        <v>25</v>
      </c>
      <c r="AEW11" s="5">
        <f t="shared" si="576"/>
        <v>0.6</v>
      </c>
      <c r="AEX11" s="3">
        <v>1</v>
      </c>
      <c r="AEY11" s="10">
        <f>IF(ISNUMBER(AEW11), (AEM11+AEN11)-AEW11, "")</f>
        <v>0.30000000000000004</v>
      </c>
      <c r="AEZ11" s="5">
        <v>0.24</v>
      </c>
      <c r="AFA11" s="10">
        <f t="shared" si="577"/>
        <v>-6.0000000000000053E-2</v>
      </c>
      <c r="AFC11" s="24">
        <v>1</v>
      </c>
      <c r="AFD11" s="6" t="s">
        <v>25</v>
      </c>
      <c r="AFE11" s="24">
        <v>0.5</v>
      </c>
      <c r="AFF11" s="6" t="s">
        <v>25</v>
      </c>
      <c r="AFG11" s="5">
        <f t="shared" si="578"/>
        <v>1.5</v>
      </c>
      <c r="AFH11" s="3"/>
      <c r="AFI11" s="10">
        <f>IF(ISNUMBER(AFG11), (AEW11+AEX11)-AFG11, "")</f>
        <v>0.10000000000000009</v>
      </c>
      <c r="AFJ11" s="5">
        <v>0.1</v>
      </c>
      <c r="AFK11" s="10">
        <f t="shared" si="579"/>
        <v>-8.3266726846886741E-17</v>
      </c>
      <c r="AFM11" s="2">
        <v>1</v>
      </c>
      <c r="AFN11" s="6" t="s">
        <v>25</v>
      </c>
      <c r="AFO11" s="2">
        <v>0.5</v>
      </c>
      <c r="AFP11" s="6" t="s">
        <v>25</v>
      </c>
      <c r="AFQ11" s="5">
        <f t="shared" si="580"/>
        <v>1.5</v>
      </c>
      <c r="AFR11" s="3"/>
      <c r="AFS11" s="10">
        <f>IF(ISNUMBER(AFQ11), (AFG11+AFH11)-AFQ11, "")</f>
        <v>0</v>
      </c>
      <c r="AFT11" s="5">
        <v>0.02</v>
      </c>
      <c r="AFU11" s="10">
        <f t="shared" si="581"/>
        <v>0.02</v>
      </c>
      <c r="AFW11" s="2">
        <v>1</v>
      </c>
      <c r="AFX11" s="6" t="s">
        <v>25</v>
      </c>
      <c r="AFY11" s="2">
        <v>0.2</v>
      </c>
      <c r="AFZ11" s="6" t="s">
        <v>25</v>
      </c>
      <c r="AGA11" s="5">
        <f t="shared" si="582"/>
        <v>1.2</v>
      </c>
      <c r="AGB11" s="3"/>
      <c r="AGC11" s="10">
        <f>IF(ISNUMBER(AGA11), (AFQ11+AFR11)-AGA11, "")</f>
        <v>0.30000000000000004</v>
      </c>
      <c r="AGD11" s="5">
        <v>0.05</v>
      </c>
      <c r="AGE11" s="10">
        <f t="shared" si="583"/>
        <v>-0.25000000000000006</v>
      </c>
      <c r="AGG11" s="2">
        <v>1</v>
      </c>
      <c r="AGH11" s="6" t="s">
        <v>25</v>
      </c>
      <c r="AGI11" s="2">
        <v>0.1</v>
      </c>
      <c r="AGJ11" s="6" t="s">
        <v>25</v>
      </c>
      <c r="AGK11" s="5">
        <f t="shared" si="584"/>
        <v>1.1000000000000001</v>
      </c>
      <c r="AGL11" s="3"/>
      <c r="AGM11" s="10">
        <f>IF(ISNUMBER(AGK11), (AGA11+AGB11)-AGK11, "")</f>
        <v>9.9999999999999867E-2</v>
      </c>
      <c r="AGN11" s="5">
        <v>0.12</v>
      </c>
      <c r="AGO11" s="10">
        <f t="shared" si="585"/>
        <v>2.0000000000000129E-2</v>
      </c>
      <c r="AGQ11" s="24">
        <v>0</v>
      </c>
      <c r="AGR11" s="6" t="s">
        <v>25</v>
      </c>
      <c r="AGS11" s="24">
        <v>1</v>
      </c>
      <c r="AGT11" s="6" t="s">
        <v>25</v>
      </c>
      <c r="AGU11" s="5">
        <f t="shared" si="586"/>
        <v>1</v>
      </c>
      <c r="AGV11" s="3"/>
      <c r="AGW11" s="10">
        <f>IF(ISNUMBER(AGU11), (AGK11+AGL11)-AGU11, "")</f>
        <v>0.10000000000000009</v>
      </c>
      <c r="AGX11" s="5">
        <v>0.09</v>
      </c>
      <c r="AGY11" s="10">
        <f t="shared" si="587"/>
        <v>-1.0000000000000092E-2</v>
      </c>
      <c r="AHA11" s="24">
        <v>0</v>
      </c>
      <c r="AHB11" s="6" t="s">
        <v>25</v>
      </c>
      <c r="AHC11" s="24">
        <v>0.9</v>
      </c>
      <c r="AHD11" s="6" t="s">
        <v>25</v>
      </c>
      <c r="AHE11" s="5">
        <f t="shared" si="588"/>
        <v>0.9</v>
      </c>
      <c r="AHF11" s="3">
        <v>1</v>
      </c>
      <c r="AHG11" s="10">
        <f>IF(ISNUMBER(AHE11), (AGU11+AGV11)-AHE11, "")</f>
        <v>9.9999999999999978E-2</v>
      </c>
      <c r="AHH11" s="5">
        <v>7.0000000000000007E-2</v>
      </c>
      <c r="AHI11" s="10">
        <f t="shared" si="589"/>
        <v>-2.9999999999999971E-2</v>
      </c>
      <c r="AHK11" s="24">
        <v>1</v>
      </c>
      <c r="AHL11" s="6" t="s">
        <v>25</v>
      </c>
      <c r="AHM11" s="24">
        <v>0.8</v>
      </c>
      <c r="AHN11" s="6" t="s">
        <v>25</v>
      </c>
      <c r="AHO11" s="5">
        <f t="shared" si="590"/>
        <v>1.8</v>
      </c>
      <c r="AHP11" s="3"/>
      <c r="AHQ11" s="10">
        <f>IF(ISNUMBER(AHO11), (AHE11+AHF11)-AHO11, "")</f>
        <v>9.9999999999999867E-2</v>
      </c>
      <c r="AHR11" s="5">
        <v>0.09</v>
      </c>
      <c r="AHS11" s="10">
        <f t="shared" si="591"/>
        <v>-9.9999999999998701E-3</v>
      </c>
      <c r="AHU11" s="2">
        <v>1</v>
      </c>
      <c r="AHV11" s="6" t="s">
        <v>25</v>
      </c>
      <c r="AHW11" s="2">
        <v>0.7</v>
      </c>
      <c r="AHX11" s="6" t="s">
        <v>25</v>
      </c>
      <c r="AHY11" s="5">
        <f t="shared" si="592"/>
        <v>1.7</v>
      </c>
      <c r="AHZ11" s="3"/>
      <c r="AIA11" s="10">
        <f>IF(ISNUMBER(AHY11), (AHO11+AHP11)-AHY11, "")</f>
        <v>0.10000000000000009</v>
      </c>
      <c r="AIB11" s="5">
        <v>0.09</v>
      </c>
      <c r="AIC11" s="10">
        <f t="shared" si="593"/>
        <v>-1.0000000000000092E-2</v>
      </c>
      <c r="AIE11" s="24">
        <v>1</v>
      </c>
      <c r="AIF11" s="6" t="s">
        <v>25</v>
      </c>
      <c r="AIG11" s="24">
        <v>0.5</v>
      </c>
      <c r="AIH11" s="6" t="s">
        <v>25</v>
      </c>
      <c r="AII11" s="5">
        <f t="shared" si="594"/>
        <v>1.5</v>
      </c>
      <c r="AIJ11" s="3"/>
      <c r="AIK11" s="10">
        <f>IF(ISNUMBER(AII11), (AHY11+AHZ11)-AII11, "")</f>
        <v>0.19999999999999996</v>
      </c>
      <c r="AIL11" s="5">
        <v>0.17</v>
      </c>
      <c r="AIM11" s="10">
        <f t="shared" si="595"/>
        <v>-2.9999999999999943E-2</v>
      </c>
      <c r="AIO11" s="24">
        <v>1</v>
      </c>
      <c r="AIP11" s="6" t="s">
        <v>25</v>
      </c>
      <c r="AIQ11" s="24">
        <v>0.8</v>
      </c>
      <c r="AIR11" s="6" t="s">
        <v>25</v>
      </c>
      <c r="AIS11" s="5">
        <f t="shared" si="596"/>
        <v>1.8</v>
      </c>
      <c r="AIT11" s="3"/>
      <c r="AIU11" s="10">
        <f>IF(ISNUMBER(AIS11), (AII11+AIJ11)-AIS11, "")</f>
        <v>-0.30000000000000004</v>
      </c>
      <c r="AIV11" s="5">
        <v>0.03</v>
      </c>
      <c r="AIW11" s="10">
        <f t="shared" si="597"/>
        <v>0.33000000000000007</v>
      </c>
      <c r="AIY11" s="2">
        <v>1</v>
      </c>
      <c r="AIZ11" s="6" t="s">
        <v>25</v>
      </c>
      <c r="AJA11" s="2">
        <v>0.8</v>
      </c>
      <c r="AJB11" s="6" t="s">
        <v>25</v>
      </c>
      <c r="AJC11" s="5">
        <f t="shared" si="598"/>
        <v>1.8</v>
      </c>
      <c r="AJD11" s="3"/>
      <c r="AJE11" s="10">
        <f>IF(ISNUMBER(AJC11), (AIS11+AIT11)-AJC11, "")</f>
        <v>0</v>
      </c>
      <c r="AJF11" s="5">
        <v>0.03</v>
      </c>
      <c r="AJG11" s="10">
        <f t="shared" si="599"/>
        <v>0.03</v>
      </c>
      <c r="AJI11" s="24">
        <v>1</v>
      </c>
      <c r="AJJ11" s="6" t="s">
        <v>25</v>
      </c>
      <c r="AJK11" s="24">
        <v>0.8</v>
      </c>
      <c r="AJL11" s="6" t="s">
        <v>25</v>
      </c>
      <c r="AJM11" s="5">
        <f t="shared" si="600"/>
        <v>1.8</v>
      </c>
      <c r="AJN11" s="3"/>
      <c r="AJO11" s="10">
        <f>IF(ISNUMBER(AJM11), (AJC11+AJD11)-AJM11, "")</f>
        <v>0</v>
      </c>
      <c r="AJP11" s="5">
        <v>0.05</v>
      </c>
      <c r="AJQ11" s="10">
        <f t="shared" si="601"/>
        <v>0.05</v>
      </c>
      <c r="AJS11" s="2">
        <v>1</v>
      </c>
      <c r="AJT11" s="6" t="s">
        <v>25</v>
      </c>
      <c r="AJU11" s="2">
        <v>0.6</v>
      </c>
      <c r="AJV11" s="6" t="s">
        <v>25</v>
      </c>
      <c r="AJW11" s="5">
        <f t="shared" si="602"/>
        <v>1.6</v>
      </c>
      <c r="AJX11" s="3"/>
      <c r="AJY11" s="10">
        <f>IF(ISNUMBER(AJW11), (AJM11+AJN11)-AJW11, "")</f>
        <v>0.19999999999999996</v>
      </c>
      <c r="AJZ11" s="5">
        <v>0.03</v>
      </c>
      <c r="AKA11" s="10">
        <f t="shared" si="603"/>
        <v>-0.16999999999999996</v>
      </c>
      <c r="AKC11" s="24">
        <v>1</v>
      </c>
      <c r="AKD11" s="6" t="s">
        <v>25</v>
      </c>
      <c r="AKE11" s="24">
        <v>0.5</v>
      </c>
      <c r="AKF11" s="6" t="s">
        <v>25</v>
      </c>
      <c r="AKG11" s="5">
        <f t="shared" si="604"/>
        <v>1.5</v>
      </c>
      <c r="AKH11" s="3"/>
      <c r="AKI11" s="10">
        <f>IF(ISNUMBER(AKG11), (AJW11+AJX11)-AKG11, "")</f>
        <v>0.10000000000000009</v>
      </c>
      <c r="AKJ11" s="5">
        <v>0.12</v>
      </c>
      <c r="AKK11" s="10">
        <f t="shared" si="605"/>
        <v>1.9999999999999907E-2</v>
      </c>
      <c r="AKM11" s="2">
        <v>1</v>
      </c>
      <c r="AKN11" s="6" t="s">
        <v>25</v>
      </c>
      <c r="AKO11" s="2">
        <v>0.4</v>
      </c>
      <c r="AKP11" s="6" t="s">
        <v>25</v>
      </c>
      <c r="AKQ11" s="5">
        <f t="shared" si="606"/>
        <v>1.4</v>
      </c>
      <c r="AKR11" s="3"/>
      <c r="AKS11" s="10">
        <f>IF(ISNUMBER(AKQ11), (AKG11+AKH11)-AKQ11, "")</f>
        <v>0.10000000000000009</v>
      </c>
      <c r="AKT11" s="5">
        <v>0.05</v>
      </c>
      <c r="AKU11" s="10">
        <f t="shared" si="607"/>
        <v>-5.0000000000000086E-2</v>
      </c>
      <c r="AKW11" s="2">
        <v>1</v>
      </c>
      <c r="AKX11" s="6" t="s">
        <v>25</v>
      </c>
      <c r="AKY11" s="2">
        <v>0.3</v>
      </c>
      <c r="AKZ11" s="6" t="s">
        <v>25</v>
      </c>
      <c r="ALA11" s="5">
        <f t="shared" si="608"/>
        <v>1.3</v>
      </c>
      <c r="ALB11" s="3"/>
      <c r="ALC11" s="10">
        <f>IF(ISNUMBER(ALA11), (AKQ11+AKR11)-ALA11, "")</f>
        <v>9.9999999999999867E-2</v>
      </c>
      <c r="ALD11" s="5">
        <v>0.1</v>
      </c>
      <c r="ALE11" s="10">
        <f t="shared" si="609"/>
        <v>1.3877787807814457E-16</v>
      </c>
      <c r="ALG11" s="2">
        <v>0</v>
      </c>
      <c r="ALH11" s="6" t="s">
        <v>25</v>
      </c>
      <c r="ALI11" s="2">
        <v>0.9</v>
      </c>
      <c r="ALJ11" s="6" t="s">
        <v>25</v>
      </c>
      <c r="ALK11" s="5">
        <f t="shared" si="610"/>
        <v>0.9</v>
      </c>
      <c r="ALL11" s="3"/>
      <c r="ALM11" s="10">
        <f>IF(ISNUMBER(ALK11), (ALA11+ALB11)-ALK11, "")</f>
        <v>0.4</v>
      </c>
      <c r="ALN11" s="5">
        <v>0.05</v>
      </c>
      <c r="ALO11" s="10">
        <f t="shared" si="611"/>
        <v>-0.35000000000000003</v>
      </c>
      <c r="ALQ11" s="2">
        <v>0</v>
      </c>
      <c r="ALR11" s="6" t="s">
        <v>25</v>
      </c>
      <c r="ALS11" s="2">
        <v>0.8</v>
      </c>
      <c r="ALT11" s="6" t="s">
        <v>25</v>
      </c>
      <c r="ALU11" s="5">
        <f t="shared" si="612"/>
        <v>0.8</v>
      </c>
      <c r="ALV11" s="3"/>
      <c r="ALW11" s="10">
        <f>IF(ISNUMBER(ALU11), (ALK11+ALL11)-ALU11, "")</f>
        <v>9.9999999999999978E-2</v>
      </c>
      <c r="ALX11" s="5">
        <v>0.09</v>
      </c>
      <c r="ALY11" s="10">
        <f t="shared" si="613"/>
        <v>-9.9999999999999811E-3</v>
      </c>
      <c r="AMA11" s="24">
        <v>0</v>
      </c>
      <c r="AMB11" s="6" t="s">
        <v>25</v>
      </c>
      <c r="AMC11" s="24">
        <v>0.7</v>
      </c>
      <c r="AMD11" s="6" t="s">
        <v>25</v>
      </c>
      <c r="AME11" s="5">
        <f t="shared" si="614"/>
        <v>0.7</v>
      </c>
      <c r="AMF11" s="3"/>
      <c r="AMG11" s="10">
        <f>IF(ISNUMBER(AME11), (ALU11+ALV11)-AME11, "")</f>
        <v>0.10000000000000009</v>
      </c>
      <c r="AMH11" s="5">
        <v>7.0000000000000007E-2</v>
      </c>
      <c r="AMI11" s="10">
        <f t="shared" si="615"/>
        <v>-3.0000000000000082E-2</v>
      </c>
      <c r="AMK11" s="24">
        <v>0</v>
      </c>
      <c r="AML11" s="6" t="s">
        <v>25</v>
      </c>
      <c r="AMM11" s="24">
        <v>0.6</v>
      </c>
      <c r="AMN11" s="6" t="s">
        <v>25</v>
      </c>
      <c r="AMO11" s="5">
        <f t="shared" si="616"/>
        <v>0.6</v>
      </c>
      <c r="AMP11" s="3">
        <v>1</v>
      </c>
      <c r="AMQ11" s="10">
        <f>IF(ISNUMBER(AMO11), (AME11+AMF11)-AMO11, "")</f>
        <v>9.9999999999999978E-2</v>
      </c>
      <c r="AMR11" s="5">
        <v>0.05</v>
      </c>
      <c r="AMS11" s="10">
        <f t="shared" si="617"/>
        <v>-4.9999999999999975E-2</v>
      </c>
      <c r="AMU11" s="24">
        <v>1</v>
      </c>
      <c r="AMV11" s="6" t="s">
        <v>25</v>
      </c>
      <c r="AMW11" s="24">
        <v>0.5</v>
      </c>
      <c r="AMX11" s="6" t="s">
        <v>25</v>
      </c>
      <c r="AMY11" s="5">
        <f t="shared" si="618"/>
        <v>1.5</v>
      </c>
      <c r="AMZ11" s="3"/>
      <c r="ANA11" s="10">
        <f>IF(ISNUMBER(AMY11), (AMO11+AMP11)-AMY11, "")</f>
        <v>0.10000000000000009</v>
      </c>
      <c r="ANB11" s="5">
        <v>0.09</v>
      </c>
      <c r="ANC11" s="10">
        <f t="shared" si="619"/>
        <v>-1.0000000000000092E-2</v>
      </c>
      <c r="ANE11" s="24">
        <v>1</v>
      </c>
      <c r="ANF11" s="6" t="s">
        <v>25</v>
      </c>
      <c r="ANG11" s="24">
        <v>0.3</v>
      </c>
      <c r="ANH11" s="6" t="s">
        <v>25</v>
      </c>
      <c r="ANI11" s="5">
        <f t="shared" si="620"/>
        <v>1.3</v>
      </c>
      <c r="ANJ11" s="3"/>
      <c r="ANK11" s="10">
        <f>IF(ISNUMBER(ANI11), (AMY11+AMZ11)-ANI11, "")</f>
        <v>0.19999999999999996</v>
      </c>
      <c r="ANL11" s="5">
        <v>0.14000000000000001</v>
      </c>
      <c r="ANM11" s="10">
        <f t="shared" si="621"/>
        <v>-5.9999999999999942E-2</v>
      </c>
      <c r="ANO11" s="24">
        <v>1</v>
      </c>
      <c r="ANP11" s="6" t="s">
        <v>25</v>
      </c>
      <c r="ANQ11" s="24">
        <v>0.3</v>
      </c>
      <c r="ANR11" s="6" t="s">
        <v>25</v>
      </c>
      <c r="ANS11" s="5">
        <f t="shared" si="622"/>
        <v>1.3</v>
      </c>
      <c r="ANT11" s="3"/>
      <c r="ANU11" s="10">
        <f>IF(ISNUMBER(ANS11), (ANI11+ANJ11)-ANS11, "")</f>
        <v>0</v>
      </c>
      <c r="ANV11" s="5">
        <v>0.05</v>
      </c>
      <c r="ANW11" s="10">
        <f t="shared" si="623"/>
        <v>0.05</v>
      </c>
      <c r="ANY11" s="24">
        <v>1</v>
      </c>
      <c r="ANZ11" s="6" t="s">
        <v>25</v>
      </c>
      <c r="AOA11" s="24">
        <v>0.2</v>
      </c>
      <c r="AOB11" s="6" t="s">
        <v>25</v>
      </c>
      <c r="AOC11" s="5">
        <f t="shared" si="624"/>
        <v>1.2</v>
      </c>
      <c r="AOD11" s="3"/>
      <c r="AOE11" s="10">
        <f>IF(ISNUMBER(AOC11), (ANS11+ANT11)-AOC11, "")</f>
        <v>0.10000000000000009</v>
      </c>
      <c r="AOF11" s="5">
        <v>0.02</v>
      </c>
      <c r="AOG11" s="10">
        <f t="shared" si="625"/>
        <v>-8.0000000000000085E-2</v>
      </c>
      <c r="AOI11" s="24">
        <v>1</v>
      </c>
      <c r="AOJ11" s="6" t="s">
        <v>25</v>
      </c>
      <c r="AOK11" s="24">
        <v>0.2</v>
      </c>
      <c r="AOL11" s="6" t="s">
        <v>25</v>
      </c>
      <c r="AOM11" s="5">
        <f t="shared" si="626"/>
        <v>1.2</v>
      </c>
      <c r="AON11" s="3"/>
      <c r="AOO11" s="10">
        <f>IF(ISNUMBER(AOM11), (AOC11+AOD11)-AOM11, "")</f>
        <v>0</v>
      </c>
      <c r="AOP11" s="5">
        <v>0.05</v>
      </c>
      <c r="AOQ11" s="10">
        <f t="shared" si="627"/>
        <v>0.05</v>
      </c>
      <c r="AOS11" s="24">
        <v>0</v>
      </c>
      <c r="AOT11" s="6" t="s">
        <v>25</v>
      </c>
      <c r="AOU11" s="24">
        <v>0.9</v>
      </c>
      <c r="AOV11" s="6" t="s">
        <v>25</v>
      </c>
      <c r="AOW11" s="5">
        <f t="shared" si="628"/>
        <v>0.9</v>
      </c>
      <c r="AOX11" s="3"/>
      <c r="AOY11" s="10">
        <f>IF(ISNUMBER(AOW11), (AOM11+AON11)-AOW11, "")</f>
        <v>0.29999999999999993</v>
      </c>
      <c r="AOZ11" s="5">
        <v>0.09</v>
      </c>
      <c r="APA11" s="10">
        <f t="shared" si="629"/>
        <v>-0.20999999999999994</v>
      </c>
      <c r="APC11" s="24">
        <v>0</v>
      </c>
      <c r="APD11" s="6" t="s">
        <v>25</v>
      </c>
      <c r="APE11" s="24">
        <v>0.9</v>
      </c>
      <c r="APF11" s="6" t="s">
        <v>25</v>
      </c>
      <c r="APG11" s="5">
        <f t="shared" si="630"/>
        <v>0.9</v>
      </c>
      <c r="APH11" s="3"/>
      <c r="API11" s="10">
        <f>IF(ISNUMBER(APG11), (AOW11+AOX11)-APG11, "")</f>
        <v>0</v>
      </c>
      <c r="APJ11" s="5">
        <v>7.0000000000000007E-2</v>
      </c>
      <c r="APK11" s="10">
        <f t="shared" si="631"/>
        <v>7.0000000000000007E-2</v>
      </c>
      <c r="APM11" s="24">
        <v>0</v>
      </c>
      <c r="APN11" s="6" t="s">
        <v>25</v>
      </c>
      <c r="APO11" s="24">
        <v>0.9</v>
      </c>
      <c r="APP11" s="6" t="s">
        <v>25</v>
      </c>
      <c r="APQ11" s="5">
        <f t="shared" si="632"/>
        <v>0.9</v>
      </c>
      <c r="APR11" s="3"/>
      <c r="APS11" s="10">
        <f>IF(ISNUMBER(APQ11), (APG11+APH11)-APQ11, "")</f>
        <v>0</v>
      </c>
      <c r="APT11" s="5"/>
      <c r="APU11" s="10" t="str">
        <f t="shared" si="633"/>
        <v/>
      </c>
      <c r="APW11" s="95">
        <v>0</v>
      </c>
      <c r="APX11" s="96" t="s">
        <v>25</v>
      </c>
      <c r="APY11" s="95">
        <v>0.9</v>
      </c>
      <c r="APZ11" s="96" t="s">
        <v>25</v>
      </c>
      <c r="AQA11" s="97">
        <f t="shared" si="634"/>
        <v>0.9</v>
      </c>
      <c r="AQB11" s="98"/>
      <c r="AQC11" s="102">
        <f>IF(ISNUMBER(AQA11), (APQ11+APR11)-AQA11, "")</f>
        <v>0</v>
      </c>
      <c r="AQD11" s="97">
        <v>0.03</v>
      </c>
      <c r="AQE11" s="102">
        <f t="shared" si="635"/>
        <v>0.03</v>
      </c>
      <c r="AQG11" s="2"/>
      <c r="AQH11" s="6" t="s">
        <v>25</v>
      </c>
      <c r="AQI11" s="2"/>
      <c r="AQJ11" s="6" t="s">
        <v>25</v>
      </c>
      <c r="AQK11" s="5" t="str">
        <f t="shared" si="636"/>
        <v/>
      </c>
      <c r="AQL11" s="3"/>
      <c r="AQM11" s="10" t="str">
        <f>IF(ISNUMBER(AQK11), (AQA11+AQB11)-AQK11, "")</f>
        <v/>
      </c>
      <c r="AQN11" s="5"/>
      <c r="AQO11" s="10" t="str">
        <f t="shared" si="637"/>
        <v/>
      </c>
    </row>
    <row r="12" spans="1:1133" ht="12.75" customHeight="1" x14ac:dyDescent="0.2">
      <c r="B12" s="8"/>
      <c r="C12" s="8"/>
      <c r="APW12" s="100"/>
      <c r="APX12" s="101"/>
      <c r="APY12" s="100"/>
      <c r="APZ12" s="101"/>
      <c r="AQA12" s="100"/>
      <c r="AQB12" s="100"/>
      <c r="AQC12" s="100"/>
      <c r="AQD12" s="100"/>
      <c r="AQE12" s="100"/>
    </row>
    <row r="13" spans="1:1133" s="21" customFormat="1" ht="11.25" x14ac:dyDescent="0.2">
      <c r="A13" s="20" t="s">
        <v>33</v>
      </c>
      <c r="B13" s="4" t="s">
        <v>14</v>
      </c>
      <c r="C13" s="4"/>
      <c r="E13" s="74" t="s">
        <v>34</v>
      </c>
      <c r="F13" s="75"/>
      <c r="G13" s="51" t="s">
        <v>35</v>
      </c>
      <c r="H13" s="52"/>
      <c r="I13" s="52"/>
      <c r="J13" s="52"/>
      <c r="K13" s="52"/>
      <c r="L13" s="52"/>
      <c r="M13" s="53"/>
      <c r="O13" s="74" t="s">
        <v>34</v>
      </c>
      <c r="P13" s="75"/>
      <c r="Q13" s="51" t="s">
        <v>35</v>
      </c>
      <c r="R13" s="52"/>
      <c r="S13" s="52"/>
      <c r="T13" s="52"/>
      <c r="U13" s="52"/>
      <c r="V13" s="52"/>
      <c r="W13" s="53"/>
      <c r="Y13" s="74" t="s">
        <v>34</v>
      </c>
      <c r="Z13" s="75"/>
      <c r="AA13" s="51" t="s">
        <v>35</v>
      </c>
      <c r="AB13" s="52"/>
      <c r="AC13" s="52"/>
      <c r="AD13" s="52"/>
      <c r="AE13" s="52"/>
      <c r="AF13" s="52"/>
      <c r="AG13" s="53"/>
      <c r="AI13" s="74" t="s">
        <v>34</v>
      </c>
      <c r="AJ13" s="75"/>
      <c r="AK13" s="51" t="s">
        <v>35</v>
      </c>
      <c r="AL13" s="52"/>
      <c r="AM13" s="52"/>
      <c r="AN13" s="52"/>
      <c r="AO13" s="52"/>
      <c r="AP13" s="52"/>
      <c r="AQ13" s="53"/>
      <c r="AS13" s="74" t="s">
        <v>34</v>
      </c>
      <c r="AT13" s="75"/>
      <c r="AU13" s="51" t="s">
        <v>35</v>
      </c>
      <c r="AV13" s="52"/>
      <c r="AW13" s="52"/>
      <c r="AX13" s="52"/>
      <c r="AY13" s="52"/>
      <c r="AZ13" s="52"/>
      <c r="BA13" s="53"/>
      <c r="BC13" s="74" t="s">
        <v>34</v>
      </c>
      <c r="BD13" s="75"/>
      <c r="BE13" s="51" t="s">
        <v>35</v>
      </c>
      <c r="BF13" s="52"/>
      <c r="BG13" s="52"/>
      <c r="BH13" s="52"/>
      <c r="BI13" s="52"/>
      <c r="BJ13" s="52"/>
      <c r="BK13" s="53"/>
      <c r="BM13" s="74" t="s">
        <v>34</v>
      </c>
      <c r="BN13" s="75"/>
      <c r="BO13" s="51" t="s">
        <v>35</v>
      </c>
      <c r="BP13" s="52"/>
      <c r="BQ13" s="52"/>
      <c r="BR13" s="52"/>
      <c r="BS13" s="52"/>
      <c r="BT13" s="52"/>
      <c r="BU13" s="53"/>
      <c r="BW13" s="74" t="s">
        <v>34</v>
      </c>
      <c r="BX13" s="75"/>
      <c r="BY13" s="51" t="s">
        <v>35</v>
      </c>
      <c r="BZ13" s="52"/>
      <c r="CA13" s="52"/>
      <c r="CB13" s="52"/>
      <c r="CC13" s="52"/>
      <c r="CD13" s="52"/>
      <c r="CE13" s="53"/>
      <c r="CG13" s="74" t="s">
        <v>34</v>
      </c>
      <c r="CH13" s="75"/>
      <c r="CI13" s="51" t="s">
        <v>35</v>
      </c>
      <c r="CJ13" s="52"/>
      <c r="CK13" s="52"/>
      <c r="CL13" s="52"/>
      <c r="CM13" s="52"/>
      <c r="CN13" s="52"/>
      <c r="CO13" s="53"/>
      <c r="CQ13" s="74" t="s">
        <v>34</v>
      </c>
      <c r="CR13" s="75"/>
      <c r="CS13" s="51" t="s">
        <v>35</v>
      </c>
      <c r="CT13" s="52"/>
      <c r="CU13" s="52"/>
      <c r="CV13" s="52"/>
      <c r="CW13" s="52"/>
      <c r="CX13" s="52"/>
      <c r="CY13" s="53"/>
      <c r="DA13" s="74" t="s">
        <v>34</v>
      </c>
      <c r="DB13" s="75"/>
      <c r="DC13" s="51" t="s">
        <v>35</v>
      </c>
      <c r="DD13" s="52"/>
      <c r="DE13" s="52"/>
      <c r="DF13" s="52"/>
      <c r="DG13" s="52"/>
      <c r="DH13" s="52"/>
      <c r="DI13" s="53"/>
      <c r="DK13" s="74" t="s">
        <v>34</v>
      </c>
      <c r="DL13" s="75"/>
      <c r="DM13" s="51" t="s">
        <v>35</v>
      </c>
      <c r="DN13" s="52"/>
      <c r="DO13" s="52"/>
      <c r="DP13" s="52"/>
      <c r="DQ13" s="52"/>
      <c r="DR13" s="52"/>
      <c r="DS13" s="53"/>
      <c r="DU13" s="74" t="s">
        <v>34</v>
      </c>
      <c r="DV13" s="75"/>
      <c r="DW13" s="51" t="s">
        <v>35</v>
      </c>
      <c r="DX13" s="52"/>
      <c r="DY13" s="52"/>
      <c r="DZ13" s="52"/>
      <c r="EA13" s="52"/>
      <c r="EB13" s="52"/>
      <c r="EC13" s="53"/>
      <c r="EE13" s="74" t="s">
        <v>34</v>
      </c>
      <c r="EF13" s="75"/>
      <c r="EG13" s="51" t="s">
        <v>35</v>
      </c>
      <c r="EH13" s="52"/>
      <c r="EI13" s="52"/>
      <c r="EJ13" s="52"/>
      <c r="EK13" s="52"/>
      <c r="EL13" s="52"/>
      <c r="EM13" s="53"/>
      <c r="EO13" s="74" t="s">
        <v>34</v>
      </c>
      <c r="EP13" s="75"/>
      <c r="EQ13" s="51" t="s">
        <v>35</v>
      </c>
      <c r="ER13" s="52"/>
      <c r="ES13" s="52"/>
      <c r="ET13" s="52"/>
      <c r="EU13" s="52"/>
      <c r="EV13" s="52"/>
      <c r="EW13" s="53"/>
      <c r="EY13" s="74" t="s">
        <v>34</v>
      </c>
      <c r="EZ13" s="75"/>
      <c r="FA13" s="51" t="s">
        <v>35</v>
      </c>
      <c r="FB13" s="52"/>
      <c r="FC13" s="52"/>
      <c r="FD13" s="52"/>
      <c r="FE13" s="52"/>
      <c r="FF13" s="52"/>
      <c r="FG13" s="53"/>
      <c r="FI13" s="74" t="s">
        <v>34</v>
      </c>
      <c r="FJ13" s="75"/>
      <c r="FK13" s="51" t="s">
        <v>35</v>
      </c>
      <c r="FL13" s="52"/>
      <c r="FM13" s="52"/>
      <c r="FN13" s="52"/>
      <c r="FO13" s="52"/>
      <c r="FP13" s="52"/>
      <c r="FQ13" s="53"/>
      <c r="FS13" s="74" t="s">
        <v>34</v>
      </c>
      <c r="FT13" s="75"/>
      <c r="FU13" s="51" t="s">
        <v>35</v>
      </c>
      <c r="FV13" s="52"/>
      <c r="FW13" s="52"/>
      <c r="FX13" s="52"/>
      <c r="FY13" s="52"/>
      <c r="FZ13" s="52"/>
      <c r="GA13" s="53"/>
      <c r="GC13" s="74" t="s">
        <v>34</v>
      </c>
      <c r="GD13" s="75"/>
      <c r="GE13" s="51" t="s">
        <v>35</v>
      </c>
      <c r="GF13" s="52"/>
      <c r="GG13" s="52"/>
      <c r="GH13" s="52"/>
      <c r="GI13" s="52"/>
      <c r="GJ13" s="52"/>
      <c r="GK13" s="53"/>
      <c r="GM13" s="74" t="s">
        <v>34</v>
      </c>
      <c r="GN13" s="75"/>
      <c r="GO13" s="51" t="s">
        <v>35</v>
      </c>
      <c r="GP13" s="52"/>
      <c r="GQ13" s="52"/>
      <c r="GR13" s="52"/>
      <c r="GS13" s="52"/>
      <c r="GT13" s="52"/>
      <c r="GU13" s="53"/>
      <c r="GW13" s="74" t="s">
        <v>34</v>
      </c>
      <c r="GX13" s="75"/>
      <c r="GY13" s="51" t="s">
        <v>35</v>
      </c>
      <c r="GZ13" s="52"/>
      <c r="HA13" s="52"/>
      <c r="HB13" s="52"/>
      <c r="HC13" s="52"/>
      <c r="HD13" s="52"/>
      <c r="HE13" s="53"/>
      <c r="HG13" s="74" t="s">
        <v>34</v>
      </c>
      <c r="HH13" s="75"/>
      <c r="HI13" s="51" t="s">
        <v>35</v>
      </c>
      <c r="HJ13" s="52"/>
      <c r="HK13" s="52"/>
      <c r="HL13" s="52"/>
      <c r="HM13" s="52"/>
      <c r="HN13" s="52"/>
      <c r="HO13" s="53"/>
      <c r="HQ13" s="74" t="s">
        <v>34</v>
      </c>
      <c r="HR13" s="75"/>
      <c r="HS13" s="51" t="s">
        <v>35</v>
      </c>
      <c r="HT13" s="52"/>
      <c r="HU13" s="52"/>
      <c r="HV13" s="52"/>
      <c r="HW13" s="52"/>
      <c r="HX13" s="52"/>
      <c r="HY13" s="53"/>
      <c r="IA13" s="74" t="s">
        <v>34</v>
      </c>
      <c r="IB13" s="75"/>
      <c r="IC13" s="51" t="s">
        <v>35</v>
      </c>
      <c r="ID13" s="52"/>
      <c r="IE13" s="52"/>
      <c r="IF13" s="52"/>
      <c r="IG13" s="52"/>
      <c r="IH13" s="52"/>
      <c r="II13" s="53"/>
      <c r="IK13" s="74" t="s">
        <v>34</v>
      </c>
      <c r="IL13" s="75"/>
      <c r="IM13" s="51" t="s">
        <v>35</v>
      </c>
      <c r="IN13" s="52"/>
      <c r="IO13" s="52"/>
      <c r="IP13" s="52"/>
      <c r="IQ13" s="52"/>
      <c r="IR13" s="52"/>
      <c r="IS13" s="53"/>
      <c r="IU13" s="74" t="s">
        <v>34</v>
      </c>
      <c r="IV13" s="75"/>
      <c r="IW13" s="51" t="s">
        <v>35</v>
      </c>
      <c r="IX13" s="52"/>
      <c r="IY13" s="52"/>
      <c r="IZ13" s="52"/>
      <c r="JA13" s="52"/>
      <c r="JB13" s="52"/>
      <c r="JC13" s="53"/>
      <c r="JE13" s="74" t="s">
        <v>34</v>
      </c>
      <c r="JF13" s="75"/>
      <c r="JG13" s="51" t="s">
        <v>35</v>
      </c>
      <c r="JH13" s="52"/>
      <c r="JI13" s="52"/>
      <c r="JJ13" s="52"/>
      <c r="JK13" s="52"/>
      <c r="JL13" s="52"/>
      <c r="JM13" s="53"/>
      <c r="JO13" s="74" t="s">
        <v>34</v>
      </c>
      <c r="JP13" s="75"/>
      <c r="JQ13" s="51" t="s">
        <v>35</v>
      </c>
      <c r="JR13" s="52"/>
      <c r="JS13" s="52"/>
      <c r="JT13" s="52"/>
      <c r="JU13" s="52"/>
      <c r="JV13" s="52"/>
      <c r="JW13" s="53"/>
      <c r="JY13" s="74" t="s">
        <v>34</v>
      </c>
      <c r="JZ13" s="75"/>
      <c r="KA13" s="51" t="s">
        <v>35</v>
      </c>
      <c r="KB13" s="52"/>
      <c r="KC13" s="52"/>
      <c r="KD13" s="52"/>
      <c r="KE13" s="52"/>
      <c r="KF13" s="52"/>
      <c r="KG13" s="53"/>
      <c r="KI13" s="74" t="s">
        <v>34</v>
      </c>
      <c r="KJ13" s="75"/>
      <c r="KK13" s="51" t="s">
        <v>35</v>
      </c>
      <c r="KL13" s="52"/>
      <c r="KM13" s="52"/>
      <c r="KN13" s="52"/>
      <c r="KO13" s="52"/>
      <c r="KP13" s="52"/>
      <c r="KQ13" s="53"/>
      <c r="KS13" s="74" t="s">
        <v>34</v>
      </c>
      <c r="KT13" s="75"/>
      <c r="KU13" s="51" t="s">
        <v>35</v>
      </c>
      <c r="KV13" s="52"/>
      <c r="KW13" s="52"/>
      <c r="KX13" s="52"/>
      <c r="KY13" s="52"/>
      <c r="KZ13" s="52"/>
      <c r="LA13" s="53"/>
      <c r="LC13" s="74" t="s">
        <v>34</v>
      </c>
      <c r="LD13" s="75"/>
      <c r="LE13" s="51" t="s">
        <v>35</v>
      </c>
      <c r="LF13" s="52"/>
      <c r="LG13" s="52"/>
      <c r="LH13" s="52"/>
      <c r="LI13" s="52"/>
      <c r="LJ13" s="52"/>
      <c r="LK13" s="53"/>
      <c r="LM13" s="74" t="s">
        <v>34</v>
      </c>
      <c r="LN13" s="75"/>
      <c r="LO13" s="51" t="s">
        <v>35</v>
      </c>
      <c r="LP13" s="52"/>
      <c r="LQ13" s="52"/>
      <c r="LR13" s="52"/>
      <c r="LS13" s="52"/>
      <c r="LT13" s="52"/>
      <c r="LU13" s="53"/>
      <c r="LW13" s="74" t="s">
        <v>34</v>
      </c>
      <c r="LX13" s="75"/>
      <c r="LY13" s="51" t="s">
        <v>35</v>
      </c>
      <c r="LZ13" s="52"/>
      <c r="MA13" s="52"/>
      <c r="MB13" s="52"/>
      <c r="MC13" s="52"/>
      <c r="MD13" s="52"/>
      <c r="ME13" s="53"/>
      <c r="MG13" s="74" t="s">
        <v>34</v>
      </c>
      <c r="MH13" s="75"/>
      <c r="MI13" s="51" t="s">
        <v>35</v>
      </c>
      <c r="MJ13" s="52"/>
      <c r="MK13" s="52"/>
      <c r="ML13" s="52"/>
      <c r="MM13" s="52"/>
      <c r="MN13" s="52"/>
      <c r="MO13" s="53"/>
      <c r="MQ13" s="74" t="s">
        <v>34</v>
      </c>
      <c r="MR13" s="75"/>
      <c r="MS13" s="51" t="s">
        <v>35</v>
      </c>
      <c r="MT13" s="52"/>
      <c r="MU13" s="52"/>
      <c r="MV13" s="52"/>
      <c r="MW13" s="52"/>
      <c r="MX13" s="52"/>
      <c r="MY13" s="53"/>
      <c r="NA13" s="74" t="s">
        <v>34</v>
      </c>
      <c r="NB13" s="75"/>
      <c r="NC13" s="51" t="s">
        <v>35</v>
      </c>
      <c r="ND13" s="52"/>
      <c r="NE13" s="52"/>
      <c r="NF13" s="52"/>
      <c r="NG13" s="52"/>
      <c r="NH13" s="52"/>
      <c r="NI13" s="53"/>
      <c r="NK13" s="74" t="s">
        <v>34</v>
      </c>
      <c r="NL13" s="75"/>
      <c r="NM13" s="51" t="s">
        <v>35</v>
      </c>
      <c r="NN13" s="52"/>
      <c r="NO13" s="52"/>
      <c r="NP13" s="52"/>
      <c r="NQ13" s="52"/>
      <c r="NR13" s="52"/>
      <c r="NS13" s="53"/>
      <c r="NU13" s="74" t="s">
        <v>34</v>
      </c>
      <c r="NV13" s="75"/>
      <c r="NW13" s="51" t="s">
        <v>35</v>
      </c>
      <c r="NX13" s="52"/>
      <c r="NY13" s="52"/>
      <c r="NZ13" s="52"/>
      <c r="OA13" s="52"/>
      <c r="OB13" s="52"/>
      <c r="OC13" s="53"/>
      <c r="OE13" s="74" t="s">
        <v>34</v>
      </c>
      <c r="OF13" s="75"/>
      <c r="OG13" s="51" t="s">
        <v>35</v>
      </c>
      <c r="OH13" s="52"/>
      <c r="OI13" s="52"/>
      <c r="OJ13" s="52"/>
      <c r="OK13" s="52"/>
      <c r="OL13" s="52"/>
      <c r="OM13" s="53"/>
      <c r="OO13" s="74" t="s">
        <v>34</v>
      </c>
      <c r="OP13" s="75"/>
      <c r="OQ13" s="51" t="s">
        <v>35</v>
      </c>
      <c r="OR13" s="52"/>
      <c r="OS13" s="52"/>
      <c r="OT13" s="52"/>
      <c r="OU13" s="52"/>
      <c r="OV13" s="52"/>
      <c r="OW13" s="53"/>
      <c r="OY13" s="74" t="s">
        <v>34</v>
      </c>
      <c r="OZ13" s="75"/>
      <c r="PA13" s="51" t="s">
        <v>35</v>
      </c>
      <c r="PB13" s="52"/>
      <c r="PC13" s="52"/>
      <c r="PD13" s="52"/>
      <c r="PE13" s="52"/>
      <c r="PF13" s="52"/>
      <c r="PG13" s="53"/>
      <c r="PI13" s="74" t="s">
        <v>34</v>
      </c>
      <c r="PJ13" s="75"/>
      <c r="PK13" s="51" t="s">
        <v>35</v>
      </c>
      <c r="PL13" s="52"/>
      <c r="PM13" s="52"/>
      <c r="PN13" s="52"/>
      <c r="PO13" s="52"/>
      <c r="PP13" s="52"/>
      <c r="PQ13" s="53"/>
      <c r="PS13" s="74" t="s">
        <v>34</v>
      </c>
      <c r="PT13" s="75"/>
      <c r="PU13" s="51" t="s">
        <v>35</v>
      </c>
      <c r="PV13" s="52"/>
      <c r="PW13" s="52"/>
      <c r="PX13" s="52"/>
      <c r="PY13" s="52"/>
      <c r="PZ13" s="52"/>
      <c r="QA13" s="53"/>
      <c r="QC13" s="74" t="s">
        <v>34</v>
      </c>
      <c r="QD13" s="75"/>
      <c r="QE13" s="51" t="s">
        <v>35</v>
      </c>
      <c r="QF13" s="52"/>
      <c r="QG13" s="52"/>
      <c r="QH13" s="52"/>
      <c r="QI13" s="52"/>
      <c r="QJ13" s="52"/>
      <c r="QK13" s="53"/>
      <c r="QM13" s="74" t="s">
        <v>34</v>
      </c>
      <c r="QN13" s="75"/>
      <c r="QO13" s="51" t="s">
        <v>35</v>
      </c>
      <c r="QP13" s="52"/>
      <c r="QQ13" s="52"/>
      <c r="QR13" s="52"/>
      <c r="QS13" s="52"/>
      <c r="QT13" s="52"/>
      <c r="QU13" s="53"/>
      <c r="QW13" s="74" t="s">
        <v>34</v>
      </c>
      <c r="QX13" s="75"/>
      <c r="QY13" s="51" t="s">
        <v>35</v>
      </c>
      <c r="QZ13" s="52"/>
      <c r="RA13" s="52"/>
      <c r="RB13" s="52"/>
      <c r="RC13" s="52"/>
      <c r="RD13" s="52"/>
      <c r="RE13" s="53"/>
      <c r="RG13" s="74" t="s">
        <v>34</v>
      </c>
      <c r="RH13" s="75"/>
      <c r="RI13" s="51" t="s">
        <v>35</v>
      </c>
      <c r="RJ13" s="52"/>
      <c r="RK13" s="52"/>
      <c r="RL13" s="52"/>
      <c r="RM13" s="52"/>
      <c r="RN13" s="52"/>
      <c r="RO13" s="53"/>
      <c r="RQ13" s="74" t="s">
        <v>34</v>
      </c>
      <c r="RR13" s="75"/>
      <c r="RS13" s="51" t="s">
        <v>35</v>
      </c>
      <c r="RT13" s="52"/>
      <c r="RU13" s="52"/>
      <c r="RV13" s="52"/>
      <c r="RW13" s="52"/>
      <c r="RX13" s="52"/>
      <c r="RY13" s="53"/>
      <c r="SA13" s="74" t="s">
        <v>34</v>
      </c>
      <c r="SB13" s="75"/>
      <c r="SC13" s="51" t="s">
        <v>35</v>
      </c>
      <c r="SD13" s="52"/>
      <c r="SE13" s="52"/>
      <c r="SF13" s="52"/>
      <c r="SG13" s="52"/>
      <c r="SH13" s="52"/>
      <c r="SI13" s="53"/>
      <c r="SK13" s="74" t="s">
        <v>34</v>
      </c>
      <c r="SL13" s="75"/>
      <c r="SM13" s="51" t="s">
        <v>35</v>
      </c>
      <c r="SN13" s="52"/>
      <c r="SO13" s="52"/>
      <c r="SP13" s="52"/>
      <c r="SQ13" s="52"/>
      <c r="SR13" s="52"/>
      <c r="SS13" s="53"/>
      <c r="SU13" s="74" t="s">
        <v>34</v>
      </c>
      <c r="SV13" s="75"/>
      <c r="SW13" s="51" t="s">
        <v>35</v>
      </c>
      <c r="SX13" s="52"/>
      <c r="SY13" s="52"/>
      <c r="SZ13" s="52"/>
      <c r="TA13" s="52"/>
      <c r="TB13" s="52"/>
      <c r="TC13" s="53"/>
      <c r="TE13" s="74" t="s">
        <v>34</v>
      </c>
      <c r="TF13" s="75"/>
      <c r="TG13" s="51" t="s">
        <v>35</v>
      </c>
      <c r="TH13" s="52"/>
      <c r="TI13" s="52"/>
      <c r="TJ13" s="52"/>
      <c r="TK13" s="52"/>
      <c r="TL13" s="52"/>
      <c r="TM13" s="53"/>
      <c r="TO13" s="74" t="s">
        <v>34</v>
      </c>
      <c r="TP13" s="75"/>
      <c r="TQ13" s="51" t="s">
        <v>35</v>
      </c>
      <c r="TR13" s="52"/>
      <c r="TS13" s="52"/>
      <c r="TT13" s="52"/>
      <c r="TU13" s="52"/>
      <c r="TV13" s="52"/>
      <c r="TW13" s="53"/>
      <c r="TY13" s="74" t="s">
        <v>34</v>
      </c>
      <c r="TZ13" s="75"/>
      <c r="UA13" s="51" t="s">
        <v>35</v>
      </c>
      <c r="UB13" s="52"/>
      <c r="UC13" s="52"/>
      <c r="UD13" s="52"/>
      <c r="UE13" s="52"/>
      <c r="UF13" s="52"/>
      <c r="UG13" s="53"/>
      <c r="UI13" s="74" t="s">
        <v>34</v>
      </c>
      <c r="UJ13" s="75"/>
      <c r="UK13" s="51" t="s">
        <v>35</v>
      </c>
      <c r="UL13" s="52"/>
      <c r="UM13" s="52"/>
      <c r="UN13" s="52"/>
      <c r="UO13" s="52"/>
      <c r="UP13" s="52"/>
      <c r="UQ13" s="53"/>
      <c r="US13" s="74" t="s">
        <v>34</v>
      </c>
      <c r="UT13" s="75"/>
      <c r="UU13" s="51" t="s">
        <v>35</v>
      </c>
      <c r="UV13" s="52"/>
      <c r="UW13" s="52"/>
      <c r="UX13" s="52"/>
      <c r="UY13" s="52"/>
      <c r="UZ13" s="52"/>
      <c r="VA13" s="53"/>
      <c r="VC13" s="74" t="s">
        <v>34</v>
      </c>
      <c r="VD13" s="75"/>
      <c r="VE13" s="51" t="s">
        <v>35</v>
      </c>
      <c r="VF13" s="52"/>
      <c r="VG13" s="52"/>
      <c r="VH13" s="52"/>
      <c r="VI13" s="52"/>
      <c r="VJ13" s="52"/>
      <c r="VK13" s="53"/>
      <c r="VM13" s="74" t="s">
        <v>34</v>
      </c>
      <c r="VN13" s="75"/>
      <c r="VO13" s="51" t="s">
        <v>35</v>
      </c>
      <c r="VP13" s="52"/>
      <c r="VQ13" s="52"/>
      <c r="VR13" s="52"/>
      <c r="VS13" s="52"/>
      <c r="VT13" s="52"/>
      <c r="VU13" s="53"/>
      <c r="VW13" s="74" t="s">
        <v>34</v>
      </c>
      <c r="VX13" s="75"/>
      <c r="VY13" s="51" t="s">
        <v>35</v>
      </c>
      <c r="VZ13" s="52"/>
      <c r="WA13" s="52"/>
      <c r="WB13" s="52"/>
      <c r="WC13" s="52"/>
      <c r="WD13" s="52"/>
      <c r="WE13" s="53"/>
      <c r="WG13" s="74" t="s">
        <v>34</v>
      </c>
      <c r="WH13" s="75"/>
      <c r="WI13" s="51" t="s">
        <v>35</v>
      </c>
      <c r="WJ13" s="52"/>
      <c r="WK13" s="52"/>
      <c r="WL13" s="52"/>
      <c r="WM13" s="52"/>
      <c r="WN13" s="52"/>
      <c r="WO13" s="53"/>
      <c r="WQ13" s="74" t="s">
        <v>34</v>
      </c>
      <c r="WR13" s="75"/>
      <c r="WS13" s="51" t="s">
        <v>35</v>
      </c>
      <c r="WT13" s="52"/>
      <c r="WU13" s="52"/>
      <c r="WV13" s="52"/>
      <c r="WW13" s="52"/>
      <c r="WX13" s="52"/>
      <c r="WY13" s="53"/>
      <c r="XA13" s="74" t="s">
        <v>34</v>
      </c>
      <c r="XB13" s="75"/>
      <c r="XC13" s="51" t="s">
        <v>35</v>
      </c>
      <c r="XD13" s="52"/>
      <c r="XE13" s="52"/>
      <c r="XF13" s="52"/>
      <c r="XG13" s="52"/>
      <c r="XH13" s="52"/>
      <c r="XI13" s="53"/>
      <c r="XK13" s="74" t="s">
        <v>34</v>
      </c>
      <c r="XL13" s="75"/>
      <c r="XM13" s="51" t="s">
        <v>35</v>
      </c>
      <c r="XN13" s="52"/>
      <c r="XO13" s="52"/>
      <c r="XP13" s="52"/>
      <c r="XQ13" s="52"/>
      <c r="XR13" s="52"/>
      <c r="XS13" s="53"/>
      <c r="XU13" s="74" t="s">
        <v>34</v>
      </c>
      <c r="XV13" s="75"/>
      <c r="XW13" s="51" t="s">
        <v>35</v>
      </c>
      <c r="XX13" s="52"/>
      <c r="XY13" s="52"/>
      <c r="XZ13" s="52"/>
      <c r="YA13" s="52"/>
      <c r="YB13" s="52"/>
      <c r="YC13" s="53"/>
      <c r="YE13" s="74" t="s">
        <v>34</v>
      </c>
      <c r="YF13" s="75"/>
      <c r="YG13" s="51" t="s">
        <v>35</v>
      </c>
      <c r="YH13" s="52"/>
      <c r="YI13" s="52"/>
      <c r="YJ13" s="52"/>
      <c r="YK13" s="52"/>
      <c r="YL13" s="52"/>
      <c r="YM13" s="53"/>
      <c r="YO13" s="74" t="s">
        <v>34</v>
      </c>
      <c r="YP13" s="75"/>
      <c r="YQ13" s="51" t="s">
        <v>35</v>
      </c>
      <c r="YR13" s="52"/>
      <c r="YS13" s="52"/>
      <c r="YT13" s="52"/>
      <c r="YU13" s="52"/>
      <c r="YV13" s="52"/>
      <c r="YW13" s="53"/>
      <c r="YY13" s="74" t="s">
        <v>34</v>
      </c>
      <c r="YZ13" s="75"/>
      <c r="ZA13" s="51" t="s">
        <v>35</v>
      </c>
      <c r="ZB13" s="52"/>
      <c r="ZC13" s="52"/>
      <c r="ZD13" s="52"/>
      <c r="ZE13" s="52"/>
      <c r="ZF13" s="52"/>
      <c r="ZG13" s="53"/>
      <c r="ZI13" s="74" t="s">
        <v>34</v>
      </c>
      <c r="ZJ13" s="75"/>
      <c r="ZK13" s="51" t="s">
        <v>35</v>
      </c>
      <c r="ZL13" s="52"/>
      <c r="ZM13" s="52"/>
      <c r="ZN13" s="52"/>
      <c r="ZO13" s="52"/>
      <c r="ZP13" s="52"/>
      <c r="ZQ13" s="53"/>
      <c r="ZR13" s="1"/>
      <c r="ZS13" s="74" t="s">
        <v>34</v>
      </c>
      <c r="ZT13" s="75"/>
      <c r="ZU13" s="51" t="s">
        <v>35</v>
      </c>
      <c r="ZV13" s="52"/>
      <c r="ZW13" s="52"/>
      <c r="ZX13" s="52"/>
      <c r="ZY13" s="52"/>
      <c r="ZZ13" s="52"/>
      <c r="AAA13" s="53"/>
      <c r="AAB13" s="1"/>
      <c r="AAC13" s="74" t="s">
        <v>34</v>
      </c>
      <c r="AAD13" s="75"/>
      <c r="AAE13" s="51" t="s">
        <v>35</v>
      </c>
      <c r="AAF13" s="52"/>
      <c r="AAG13" s="52"/>
      <c r="AAH13" s="52"/>
      <c r="AAI13" s="52"/>
      <c r="AAJ13" s="52"/>
      <c r="AAK13" s="53"/>
      <c r="AAL13" s="1"/>
      <c r="AAM13" s="74" t="s">
        <v>34</v>
      </c>
      <c r="AAN13" s="75"/>
      <c r="AAO13" s="51" t="s">
        <v>35</v>
      </c>
      <c r="AAP13" s="52"/>
      <c r="AAQ13" s="52"/>
      <c r="AAR13" s="52"/>
      <c r="AAS13" s="52"/>
      <c r="AAT13" s="52"/>
      <c r="AAU13" s="53"/>
      <c r="AAV13" s="1"/>
      <c r="AAW13" s="74" t="s">
        <v>34</v>
      </c>
      <c r="AAX13" s="75"/>
      <c r="AAY13" s="51" t="s">
        <v>35</v>
      </c>
      <c r="AAZ13" s="52"/>
      <c r="ABA13" s="52"/>
      <c r="ABB13" s="52"/>
      <c r="ABC13" s="52"/>
      <c r="ABD13" s="52"/>
      <c r="ABE13" s="53"/>
      <c r="ABF13" s="1"/>
      <c r="ABG13" s="74" t="s">
        <v>34</v>
      </c>
      <c r="ABH13" s="75"/>
      <c r="ABI13" s="51" t="s">
        <v>35</v>
      </c>
      <c r="ABJ13" s="52"/>
      <c r="ABK13" s="52"/>
      <c r="ABL13" s="52"/>
      <c r="ABM13" s="52"/>
      <c r="ABN13" s="52"/>
      <c r="ABO13" s="53"/>
      <c r="ABP13" s="1"/>
      <c r="ABQ13" s="74" t="s">
        <v>34</v>
      </c>
      <c r="ABR13" s="75"/>
      <c r="ABS13" s="51" t="s">
        <v>35</v>
      </c>
      <c r="ABT13" s="52"/>
      <c r="ABU13" s="52"/>
      <c r="ABV13" s="52"/>
      <c r="ABW13" s="52"/>
      <c r="ABX13" s="52"/>
      <c r="ABY13" s="53"/>
      <c r="ABZ13" s="1"/>
      <c r="ACA13" s="74" t="s">
        <v>34</v>
      </c>
      <c r="ACB13" s="75"/>
      <c r="ACC13" s="51" t="s">
        <v>35</v>
      </c>
      <c r="ACD13" s="52"/>
      <c r="ACE13" s="52"/>
      <c r="ACF13" s="52"/>
      <c r="ACG13" s="52"/>
      <c r="ACH13" s="52"/>
      <c r="ACI13" s="53"/>
      <c r="ACJ13" s="1"/>
      <c r="ACK13" s="74" t="s">
        <v>34</v>
      </c>
      <c r="ACL13" s="75"/>
      <c r="ACM13" s="51" t="s">
        <v>35</v>
      </c>
      <c r="ACN13" s="52"/>
      <c r="ACO13" s="52"/>
      <c r="ACP13" s="52"/>
      <c r="ACQ13" s="52"/>
      <c r="ACR13" s="52"/>
      <c r="ACS13" s="53"/>
      <c r="ACT13" s="1"/>
      <c r="ACU13" s="74" t="s">
        <v>34</v>
      </c>
      <c r="ACV13" s="75"/>
      <c r="ACW13" s="51" t="s">
        <v>35</v>
      </c>
      <c r="ACX13" s="52"/>
      <c r="ACY13" s="52"/>
      <c r="ACZ13" s="52"/>
      <c r="ADA13" s="52"/>
      <c r="ADB13" s="52"/>
      <c r="ADC13" s="53"/>
      <c r="ADD13" s="1"/>
      <c r="ADE13" s="74" t="s">
        <v>34</v>
      </c>
      <c r="ADF13" s="75"/>
      <c r="ADG13" s="51" t="s">
        <v>35</v>
      </c>
      <c r="ADH13" s="52"/>
      <c r="ADI13" s="52"/>
      <c r="ADJ13" s="52"/>
      <c r="ADK13" s="52"/>
      <c r="ADL13" s="52"/>
      <c r="ADM13" s="53"/>
      <c r="ADN13" s="1"/>
      <c r="ADO13" s="74" t="s">
        <v>34</v>
      </c>
      <c r="ADP13" s="75"/>
      <c r="ADQ13" s="51" t="s">
        <v>35</v>
      </c>
      <c r="ADR13" s="52"/>
      <c r="ADS13" s="52"/>
      <c r="ADT13" s="52"/>
      <c r="ADU13" s="52"/>
      <c r="ADV13" s="52"/>
      <c r="ADW13" s="53"/>
      <c r="ADX13" s="1"/>
      <c r="ADY13" s="74" t="s">
        <v>34</v>
      </c>
      <c r="ADZ13" s="75"/>
      <c r="AEA13" s="51" t="s">
        <v>35</v>
      </c>
      <c r="AEB13" s="52"/>
      <c r="AEC13" s="52"/>
      <c r="AED13" s="52"/>
      <c r="AEE13" s="52"/>
      <c r="AEF13" s="52"/>
      <c r="AEG13" s="53"/>
      <c r="AEH13" s="1"/>
      <c r="AEI13" s="74" t="s">
        <v>34</v>
      </c>
      <c r="AEJ13" s="75"/>
      <c r="AEK13" s="51" t="s">
        <v>35</v>
      </c>
      <c r="AEL13" s="52"/>
      <c r="AEM13" s="52"/>
      <c r="AEN13" s="52"/>
      <c r="AEO13" s="52"/>
      <c r="AEP13" s="52"/>
      <c r="AEQ13" s="53"/>
      <c r="AER13" s="1"/>
      <c r="AES13" s="74" t="s">
        <v>34</v>
      </c>
      <c r="AET13" s="75"/>
      <c r="AEU13" s="51" t="s">
        <v>35</v>
      </c>
      <c r="AEV13" s="52"/>
      <c r="AEW13" s="52"/>
      <c r="AEX13" s="52"/>
      <c r="AEY13" s="52"/>
      <c r="AEZ13" s="52"/>
      <c r="AFA13" s="53"/>
      <c r="AFB13" s="1"/>
      <c r="AFC13" s="74" t="s">
        <v>34</v>
      </c>
      <c r="AFD13" s="75"/>
      <c r="AFE13" s="51" t="s">
        <v>35</v>
      </c>
      <c r="AFF13" s="52"/>
      <c r="AFG13" s="52"/>
      <c r="AFH13" s="52"/>
      <c r="AFI13" s="52"/>
      <c r="AFJ13" s="52"/>
      <c r="AFK13" s="53"/>
      <c r="AFL13" s="1"/>
      <c r="AFM13" s="74" t="s">
        <v>34</v>
      </c>
      <c r="AFN13" s="75"/>
      <c r="AFO13" s="51" t="s">
        <v>35</v>
      </c>
      <c r="AFP13" s="52"/>
      <c r="AFQ13" s="52"/>
      <c r="AFR13" s="52"/>
      <c r="AFS13" s="52"/>
      <c r="AFT13" s="52"/>
      <c r="AFU13" s="53"/>
      <c r="AFV13" s="1"/>
      <c r="AFW13" s="74" t="s">
        <v>34</v>
      </c>
      <c r="AFX13" s="75"/>
      <c r="AFY13" s="51" t="s">
        <v>35</v>
      </c>
      <c r="AFZ13" s="52"/>
      <c r="AGA13" s="52"/>
      <c r="AGB13" s="52"/>
      <c r="AGC13" s="52"/>
      <c r="AGD13" s="52"/>
      <c r="AGE13" s="53"/>
      <c r="AGF13" s="1"/>
      <c r="AGG13" s="74" t="s">
        <v>34</v>
      </c>
      <c r="AGH13" s="75"/>
      <c r="AGI13" s="51" t="s">
        <v>35</v>
      </c>
      <c r="AGJ13" s="52"/>
      <c r="AGK13" s="52"/>
      <c r="AGL13" s="52"/>
      <c r="AGM13" s="52"/>
      <c r="AGN13" s="52"/>
      <c r="AGO13" s="53"/>
      <c r="AGP13" s="1"/>
      <c r="AGQ13" s="74" t="s">
        <v>34</v>
      </c>
      <c r="AGR13" s="75"/>
      <c r="AGS13" s="51" t="s">
        <v>35</v>
      </c>
      <c r="AGT13" s="52"/>
      <c r="AGU13" s="52"/>
      <c r="AGV13" s="52"/>
      <c r="AGW13" s="52"/>
      <c r="AGX13" s="52"/>
      <c r="AGY13" s="53"/>
      <c r="AGZ13" s="1"/>
      <c r="AHA13" s="74" t="s">
        <v>34</v>
      </c>
      <c r="AHB13" s="75"/>
      <c r="AHC13" s="51" t="s">
        <v>35</v>
      </c>
      <c r="AHD13" s="52"/>
      <c r="AHE13" s="52"/>
      <c r="AHF13" s="52"/>
      <c r="AHG13" s="52"/>
      <c r="AHH13" s="52"/>
      <c r="AHI13" s="53"/>
      <c r="AHJ13" s="1"/>
      <c r="AHK13" s="74" t="s">
        <v>34</v>
      </c>
      <c r="AHL13" s="75"/>
      <c r="AHM13" s="51" t="s">
        <v>35</v>
      </c>
      <c r="AHN13" s="52"/>
      <c r="AHO13" s="52"/>
      <c r="AHP13" s="52"/>
      <c r="AHQ13" s="52"/>
      <c r="AHR13" s="52"/>
      <c r="AHS13" s="53"/>
      <c r="AHT13" s="1"/>
      <c r="AHU13" s="74" t="s">
        <v>34</v>
      </c>
      <c r="AHV13" s="75"/>
      <c r="AHW13" s="51" t="s">
        <v>35</v>
      </c>
      <c r="AHX13" s="52"/>
      <c r="AHY13" s="52"/>
      <c r="AHZ13" s="52"/>
      <c r="AIA13" s="52"/>
      <c r="AIB13" s="52"/>
      <c r="AIC13" s="53"/>
      <c r="AID13" s="1"/>
      <c r="AIE13" s="74" t="s">
        <v>34</v>
      </c>
      <c r="AIF13" s="75"/>
      <c r="AIG13" s="51" t="s">
        <v>35</v>
      </c>
      <c r="AIH13" s="52"/>
      <c r="AII13" s="52"/>
      <c r="AIJ13" s="52"/>
      <c r="AIK13" s="52"/>
      <c r="AIL13" s="52"/>
      <c r="AIM13" s="53"/>
      <c r="AIN13" s="1"/>
      <c r="AIO13" s="74" t="s">
        <v>34</v>
      </c>
      <c r="AIP13" s="75"/>
      <c r="AIQ13" s="51" t="s">
        <v>35</v>
      </c>
      <c r="AIR13" s="52"/>
      <c r="AIS13" s="52"/>
      <c r="AIT13" s="52"/>
      <c r="AIU13" s="52"/>
      <c r="AIV13" s="52"/>
      <c r="AIW13" s="53"/>
      <c r="AIX13" s="1"/>
      <c r="AIY13" s="74" t="s">
        <v>34</v>
      </c>
      <c r="AIZ13" s="75"/>
      <c r="AJA13" s="51" t="s">
        <v>35</v>
      </c>
      <c r="AJB13" s="52"/>
      <c r="AJC13" s="52"/>
      <c r="AJD13" s="52"/>
      <c r="AJE13" s="52"/>
      <c r="AJF13" s="52"/>
      <c r="AJG13" s="53"/>
      <c r="AJH13" s="1"/>
      <c r="AJI13" s="74" t="s">
        <v>34</v>
      </c>
      <c r="AJJ13" s="75"/>
      <c r="AJK13" s="51" t="s">
        <v>35</v>
      </c>
      <c r="AJL13" s="52"/>
      <c r="AJM13" s="52"/>
      <c r="AJN13" s="52"/>
      <c r="AJO13" s="52"/>
      <c r="AJP13" s="52"/>
      <c r="AJQ13" s="53"/>
      <c r="AJR13" s="1"/>
      <c r="AJS13" s="74" t="s">
        <v>34</v>
      </c>
      <c r="AJT13" s="75"/>
      <c r="AJU13" s="51" t="s">
        <v>35</v>
      </c>
      <c r="AJV13" s="52"/>
      <c r="AJW13" s="52"/>
      <c r="AJX13" s="52"/>
      <c r="AJY13" s="52"/>
      <c r="AJZ13" s="52"/>
      <c r="AKA13" s="53"/>
      <c r="AKB13" s="1"/>
      <c r="AKC13" s="74" t="s">
        <v>34</v>
      </c>
      <c r="AKD13" s="75"/>
      <c r="AKE13" s="51" t="s">
        <v>35</v>
      </c>
      <c r="AKF13" s="52"/>
      <c r="AKG13" s="52"/>
      <c r="AKH13" s="52"/>
      <c r="AKI13" s="52"/>
      <c r="AKJ13" s="52"/>
      <c r="AKK13" s="53"/>
      <c r="AKL13" s="1"/>
      <c r="AKM13" s="74" t="s">
        <v>34</v>
      </c>
      <c r="AKN13" s="75"/>
      <c r="AKO13" s="51" t="s">
        <v>35</v>
      </c>
      <c r="AKP13" s="52"/>
      <c r="AKQ13" s="52"/>
      <c r="AKR13" s="52"/>
      <c r="AKS13" s="52"/>
      <c r="AKT13" s="52"/>
      <c r="AKU13" s="53"/>
      <c r="AKV13" s="1"/>
      <c r="AKW13" s="74" t="s">
        <v>34</v>
      </c>
      <c r="AKX13" s="75"/>
      <c r="AKY13" s="51" t="s">
        <v>35</v>
      </c>
      <c r="AKZ13" s="52"/>
      <c r="ALA13" s="52"/>
      <c r="ALB13" s="52"/>
      <c r="ALC13" s="52"/>
      <c r="ALD13" s="52"/>
      <c r="ALE13" s="53"/>
      <c r="ALF13" s="1"/>
      <c r="ALG13" s="74" t="s">
        <v>34</v>
      </c>
      <c r="ALH13" s="75"/>
      <c r="ALI13" s="51" t="s">
        <v>35</v>
      </c>
      <c r="ALJ13" s="52"/>
      <c r="ALK13" s="52"/>
      <c r="ALL13" s="52"/>
      <c r="ALM13" s="52"/>
      <c r="ALN13" s="52"/>
      <c r="ALO13" s="53"/>
      <c r="ALP13" s="1"/>
      <c r="ALQ13" s="74" t="s">
        <v>34</v>
      </c>
      <c r="ALR13" s="75"/>
      <c r="ALS13" s="51" t="s">
        <v>35</v>
      </c>
      <c r="ALT13" s="52"/>
      <c r="ALU13" s="52"/>
      <c r="ALV13" s="52"/>
      <c r="ALW13" s="52"/>
      <c r="ALX13" s="52"/>
      <c r="ALY13" s="53"/>
      <c r="ALZ13" s="1"/>
      <c r="AMA13" s="74" t="s">
        <v>34</v>
      </c>
      <c r="AMB13" s="75"/>
      <c r="AMC13" s="51" t="s">
        <v>35</v>
      </c>
      <c r="AMD13" s="52"/>
      <c r="AME13" s="52"/>
      <c r="AMF13" s="52"/>
      <c r="AMG13" s="52"/>
      <c r="AMH13" s="52"/>
      <c r="AMI13" s="53"/>
      <c r="AMJ13" s="1"/>
      <c r="AMK13" s="74" t="s">
        <v>34</v>
      </c>
      <c r="AML13" s="75"/>
      <c r="AMM13" s="51" t="s">
        <v>35</v>
      </c>
      <c r="AMN13" s="52"/>
      <c r="AMO13" s="52"/>
      <c r="AMP13" s="52"/>
      <c r="AMQ13" s="52"/>
      <c r="AMR13" s="52"/>
      <c r="AMS13" s="53"/>
      <c r="AMT13" s="1"/>
      <c r="AMU13" s="74" t="s">
        <v>34</v>
      </c>
      <c r="AMV13" s="75"/>
      <c r="AMW13" s="51" t="s">
        <v>35</v>
      </c>
      <c r="AMX13" s="52"/>
      <c r="AMY13" s="52"/>
      <c r="AMZ13" s="52"/>
      <c r="ANA13" s="52"/>
      <c r="ANB13" s="52"/>
      <c r="ANC13" s="53"/>
      <c r="AND13" s="1"/>
      <c r="ANE13" s="74" t="s">
        <v>34</v>
      </c>
      <c r="ANF13" s="75"/>
      <c r="ANG13" s="51" t="s">
        <v>35</v>
      </c>
      <c r="ANH13" s="52"/>
      <c r="ANI13" s="52"/>
      <c r="ANJ13" s="52"/>
      <c r="ANK13" s="52"/>
      <c r="ANL13" s="52"/>
      <c r="ANM13" s="53"/>
      <c r="ANN13" s="1"/>
      <c r="ANO13" s="74" t="s">
        <v>34</v>
      </c>
      <c r="ANP13" s="75"/>
      <c r="ANQ13" s="51" t="s">
        <v>35</v>
      </c>
      <c r="ANR13" s="52"/>
      <c r="ANS13" s="52"/>
      <c r="ANT13" s="52"/>
      <c r="ANU13" s="52"/>
      <c r="ANV13" s="52"/>
      <c r="ANW13" s="53"/>
      <c r="ANX13" s="1"/>
      <c r="ANY13" s="74" t="s">
        <v>34</v>
      </c>
      <c r="ANZ13" s="75"/>
      <c r="AOA13" s="51" t="s">
        <v>35</v>
      </c>
      <c r="AOB13" s="52"/>
      <c r="AOC13" s="52"/>
      <c r="AOD13" s="52"/>
      <c r="AOE13" s="52"/>
      <c r="AOF13" s="52"/>
      <c r="AOG13" s="53"/>
      <c r="AOH13" s="1"/>
      <c r="AOI13" s="74" t="s">
        <v>34</v>
      </c>
      <c r="AOJ13" s="75"/>
      <c r="AOK13" s="51" t="s">
        <v>35</v>
      </c>
      <c r="AOL13" s="52"/>
      <c r="AOM13" s="52"/>
      <c r="AON13" s="52"/>
      <c r="AOO13" s="52"/>
      <c r="AOP13" s="52"/>
      <c r="AOQ13" s="53"/>
      <c r="AOR13" s="1"/>
      <c r="AOS13" s="74" t="s">
        <v>34</v>
      </c>
      <c r="AOT13" s="75"/>
      <c r="AOU13" s="51" t="s">
        <v>35</v>
      </c>
      <c r="AOV13" s="52"/>
      <c r="AOW13" s="52"/>
      <c r="AOX13" s="52"/>
      <c r="AOY13" s="52"/>
      <c r="AOZ13" s="52"/>
      <c r="APA13" s="53"/>
      <c r="APB13" s="1"/>
      <c r="APC13" s="74" t="s">
        <v>34</v>
      </c>
      <c r="APD13" s="75"/>
      <c r="APE13" s="51" t="s">
        <v>35</v>
      </c>
      <c r="APF13" s="52"/>
      <c r="APG13" s="52"/>
      <c r="APH13" s="52"/>
      <c r="API13" s="52"/>
      <c r="APJ13" s="52"/>
      <c r="APK13" s="53"/>
      <c r="APL13" s="1"/>
      <c r="APM13" s="74" t="s">
        <v>34</v>
      </c>
      <c r="APN13" s="75"/>
      <c r="APO13" s="51" t="s">
        <v>35</v>
      </c>
      <c r="APP13" s="52"/>
      <c r="APQ13" s="52"/>
      <c r="APR13" s="52"/>
      <c r="APS13" s="52"/>
      <c r="APT13" s="52"/>
      <c r="APU13" s="53"/>
      <c r="APV13" s="1"/>
      <c r="APW13" s="92" t="s">
        <v>34</v>
      </c>
      <c r="APX13" s="93"/>
      <c r="APY13" s="103" t="s">
        <v>35</v>
      </c>
      <c r="APZ13" s="104"/>
      <c r="AQA13" s="104"/>
      <c r="AQB13" s="104"/>
      <c r="AQC13" s="104"/>
      <c r="AQD13" s="104"/>
      <c r="AQE13" s="105"/>
      <c r="AQF13" s="1"/>
      <c r="AQG13" s="49" t="s">
        <v>34</v>
      </c>
      <c r="AQH13" s="50"/>
      <c r="AQI13" s="51" t="s">
        <v>35</v>
      </c>
      <c r="AQJ13" s="52"/>
      <c r="AQK13" s="52"/>
      <c r="AQL13" s="52"/>
      <c r="AQM13" s="52"/>
      <c r="AQN13" s="52"/>
      <c r="AQO13" s="53"/>
    </row>
    <row r="14" spans="1:1133" ht="11.25" x14ac:dyDescent="0.2">
      <c r="A14" s="22" t="s">
        <v>36</v>
      </c>
      <c r="B14" s="14" t="s">
        <v>37</v>
      </c>
      <c r="C14" s="23"/>
      <c r="E14" s="24"/>
      <c r="F14" s="6" t="s">
        <v>25</v>
      </c>
      <c r="G14" s="54"/>
      <c r="H14" s="55"/>
      <c r="I14" s="55"/>
      <c r="J14" s="55"/>
      <c r="K14" s="55"/>
      <c r="L14" s="55"/>
      <c r="M14" s="56"/>
      <c r="O14" s="24"/>
      <c r="P14" s="6" t="s">
        <v>25</v>
      </c>
      <c r="Q14" s="54"/>
      <c r="R14" s="55"/>
      <c r="S14" s="55"/>
      <c r="T14" s="55"/>
      <c r="U14" s="55"/>
      <c r="V14" s="55"/>
      <c r="W14" s="56"/>
      <c r="Y14" s="24">
        <v>0</v>
      </c>
      <c r="Z14" s="6" t="s">
        <v>25</v>
      </c>
      <c r="AA14" s="54"/>
      <c r="AB14" s="55"/>
      <c r="AC14" s="55"/>
      <c r="AD14" s="55"/>
      <c r="AE14" s="55"/>
      <c r="AF14" s="55"/>
      <c r="AG14" s="56"/>
      <c r="AI14" s="24">
        <v>1</v>
      </c>
      <c r="AJ14" s="6" t="s">
        <v>25</v>
      </c>
      <c r="AK14" s="54"/>
      <c r="AL14" s="55"/>
      <c r="AM14" s="55"/>
      <c r="AN14" s="55"/>
      <c r="AO14" s="55"/>
      <c r="AP14" s="55"/>
      <c r="AQ14" s="56"/>
      <c r="AS14" s="24">
        <v>0</v>
      </c>
      <c r="AT14" s="6" t="s">
        <v>25</v>
      </c>
      <c r="AU14" s="54"/>
      <c r="AV14" s="55"/>
      <c r="AW14" s="55"/>
      <c r="AX14" s="55"/>
      <c r="AY14" s="55"/>
      <c r="AZ14" s="55"/>
      <c r="BA14" s="56"/>
      <c r="BC14" s="24">
        <v>0</v>
      </c>
      <c r="BD14" s="6" t="s">
        <v>25</v>
      </c>
      <c r="BE14" s="54"/>
      <c r="BF14" s="55"/>
      <c r="BG14" s="55"/>
      <c r="BH14" s="55"/>
      <c r="BI14" s="55"/>
      <c r="BJ14" s="55"/>
      <c r="BK14" s="56"/>
      <c r="BM14" s="24">
        <v>0</v>
      </c>
      <c r="BN14" s="6" t="s">
        <v>25</v>
      </c>
      <c r="BO14" s="54"/>
      <c r="BP14" s="55"/>
      <c r="BQ14" s="55"/>
      <c r="BR14" s="55"/>
      <c r="BS14" s="55"/>
      <c r="BT14" s="55"/>
      <c r="BU14" s="56"/>
      <c r="BW14" s="24">
        <v>0</v>
      </c>
      <c r="BX14" s="6" t="s">
        <v>25</v>
      </c>
      <c r="BY14" s="54"/>
      <c r="BZ14" s="55"/>
      <c r="CA14" s="55"/>
      <c r="CB14" s="55"/>
      <c r="CC14" s="55"/>
      <c r="CD14" s="55"/>
      <c r="CE14" s="56"/>
      <c r="CG14" s="24">
        <v>0</v>
      </c>
      <c r="CH14" s="6" t="s">
        <v>25</v>
      </c>
      <c r="CI14" s="54"/>
      <c r="CJ14" s="55"/>
      <c r="CK14" s="55"/>
      <c r="CL14" s="55"/>
      <c r="CM14" s="55"/>
      <c r="CN14" s="55"/>
      <c r="CO14" s="56"/>
      <c r="CQ14" s="24">
        <v>0</v>
      </c>
      <c r="CR14" s="6" t="s">
        <v>25</v>
      </c>
      <c r="CS14" s="54"/>
      <c r="CT14" s="55"/>
      <c r="CU14" s="55"/>
      <c r="CV14" s="55"/>
      <c r="CW14" s="55"/>
      <c r="CX14" s="55"/>
      <c r="CY14" s="56"/>
      <c r="DA14" s="24">
        <v>0</v>
      </c>
      <c r="DB14" s="6" t="s">
        <v>25</v>
      </c>
      <c r="DC14" s="54"/>
      <c r="DD14" s="55"/>
      <c r="DE14" s="55"/>
      <c r="DF14" s="55"/>
      <c r="DG14" s="55"/>
      <c r="DH14" s="55"/>
      <c r="DI14" s="56"/>
      <c r="DK14" s="24">
        <v>1</v>
      </c>
      <c r="DL14" s="6" t="s">
        <v>25</v>
      </c>
      <c r="DM14" s="54"/>
      <c r="DN14" s="55"/>
      <c r="DO14" s="55"/>
      <c r="DP14" s="55"/>
      <c r="DQ14" s="55"/>
      <c r="DR14" s="55"/>
      <c r="DS14" s="56"/>
      <c r="DU14" s="24">
        <v>0</v>
      </c>
      <c r="DV14" s="6" t="s">
        <v>25</v>
      </c>
      <c r="DW14" s="54"/>
      <c r="DX14" s="55"/>
      <c r="DY14" s="55"/>
      <c r="DZ14" s="55"/>
      <c r="EA14" s="55"/>
      <c r="EB14" s="55"/>
      <c r="EC14" s="56"/>
      <c r="EE14" s="24">
        <v>0</v>
      </c>
      <c r="EF14" s="6" t="s">
        <v>25</v>
      </c>
      <c r="EG14" s="54"/>
      <c r="EH14" s="55"/>
      <c r="EI14" s="55"/>
      <c r="EJ14" s="55"/>
      <c r="EK14" s="55"/>
      <c r="EL14" s="55"/>
      <c r="EM14" s="56"/>
      <c r="EO14" s="24">
        <v>0</v>
      </c>
      <c r="EP14" s="6" t="s">
        <v>25</v>
      </c>
      <c r="EQ14" s="54"/>
      <c r="ER14" s="55"/>
      <c r="ES14" s="55"/>
      <c r="ET14" s="55"/>
      <c r="EU14" s="55"/>
      <c r="EV14" s="55"/>
      <c r="EW14" s="56"/>
      <c r="EY14" s="2">
        <v>0</v>
      </c>
      <c r="EZ14" s="6" t="s">
        <v>25</v>
      </c>
      <c r="FA14" s="54"/>
      <c r="FB14" s="55"/>
      <c r="FC14" s="55"/>
      <c r="FD14" s="55"/>
      <c r="FE14" s="55"/>
      <c r="FF14" s="55"/>
      <c r="FG14" s="56"/>
      <c r="FI14" s="24">
        <v>0</v>
      </c>
      <c r="FJ14" s="6" t="s">
        <v>25</v>
      </c>
      <c r="FK14" s="54"/>
      <c r="FL14" s="55"/>
      <c r="FM14" s="55"/>
      <c r="FN14" s="55"/>
      <c r="FO14" s="55"/>
      <c r="FP14" s="55"/>
      <c r="FQ14" s="56"/>
      <c r="FS14" s="24">
        <v>0</v>
      </c>
      <c r="FT14" s="6" t="s">
        <v>25</v>
      </c>
      <c r="FU14" s="54"/>
      <c r="FV14" s="55"/>
      <c r="FW14" s="55"/>
      <c r="FX14" s="55"/>
      <c r="FY14" s="55"/>
      <c r="FZ14" s="55"/>
      <c r="GA14" s="56"/>
      <c r="GC14" s="24">
        <v>0</v>
      </c>
      <c r="GD14" s="6" t="s">
        <v>25</v>
      </c>
      <c r="GE14" s="54"/>
      <c r="GF14" s="55"/>
      <c r="GG14" s="55"/>
      <c r="GH14" s="55"/>
      <c r="GI14" s="55"/>
      <c r="GJ14" s="55"/>
      <c r="GK14" s="56"/>
      <c r="GM14" s="24">
        <v>0</v>
      </c>
      <c r="GN14" s="6" t="s">
        <v>25</v>
      </c>
      <c r="GO14" s="54"/>
      <c r="GP14" s="55"/>
      <c r="GQ14" s="55"/>
      <c r="GR14" s="55"/>
      <c r="GS14" s="55"/>
      <c r="GT14" s="55"/>
      <c r="GU14" s="56"/>
      <c r="GW14" s="24">
        <v>0</v>
      </c>
      <c r="GX14" s="6" t="s">
        <v>25</v>
      </c>
      <c r="GY14" s="54"/>
      <c r="GZ14" s="55"/>
      <c r="HA14" s="55"/>
      <c r="HB14" s="55"/>
      <c r="HC14" s="55"/>
      <c r="HD14" s="55"/>
      <c r="HE14" s="56"/>
      <c r="HG14" s="2">
        <v>2</v>
      </c>
      <c r="HH14" s="6" t="s">
        <v>25</v>
      </c>
      <c r="HI14" s="54"/>
      <c r="HJ14" s="55"/>
      <c r="HK14" s="55"/>
      <c r="HL14" s="55"/>
      <c r="HM14" s="55"/>
      <c r="HN14" s="55"/>
      <c r="HO14" s="56"/>
      <c r="HQ14" s="24">
        <v>0</v>
      </c>
      <c r="HR14" s="6" t="s">
        <v>25</v>
      </c>
      <c r="HS14" s="54"/>
      <c r="HT14" s="55"/>
      <c r="HU14" s="55"/>
      <c r="HV14" s="55"/>
      <c r="HW14" s="55"/>
      <c r="HX14" s="55"/>
      <c r="HY14" s="56"/>
      <c r="IA14" s="24">
        <v>2</v>
      </c>
      <c r="IB14" s="6" t="s">
        <v>25</v>
      </c>
      <c r="IC14" s="54"/>
      <c r="ID14" s="55"/>
      <c r="IE14" s="55"/>
      <c r="IF14" s="55"/>
      <c r="IG14" s="55"/>
      <c r="IH14" s="55"/>
      <c r="II14" s="56"/>
      <c r="IK14" s="24">
        <v>0</v>
      </c>
      <c r="IL14" s="6" t="s">
        <v>25</v>
      </c>
      <c r="IM14" s="54"/>
      <c r="IN14" s="55"/>
      <c r="IO14" s="55"/>
      <c r="IP14" s="55"/>
      <c r="IQ14" s="55"/>
      <c r="IR14" s="55"/>
      <c r="IS14" s="56"/>
      <c r="IU14" s="24">
        <v>0</v>
      </c>
      <c r="IV14" s="6" t="s">
        <v>25</v>
      </c>
      <c r="IW14" s="54"/>
      <c r="IX14" s="55"/>
      <c r="IY14" s="55"/>
      <c r="IZ14" s="55"/>
      <c r="JA14" s="55"/>
      <c r="JB14" s="55"/>
      <c r="JC14" s="56"/>
      <c r="JE14" s="24">
        <v>0</v>
      </c>
      <c r="JF14" s="6" t="s">
        <v>25</v>
      </c>
      <c r="JG14" s="54"/>
      <c r="JH14" s="55"/>
      <c r="JI14" s="55"/>
      <c r="JJ14" s="55"/>
      <c r="JK14" s="55"/>
      <c r="JL14" s="55"/>
      <c r="JM14" s="56"/>
      <c r="JO14" s="24">
        <v>0</v>
      </c>
      <c r="JP14" s="6" t="s">
        <v>25</v>
      </c>
      <c r="JQ14" s="54"/>
      <c r="JR14" s="55"/>
      <c r="JS14" s="55"/>
      <c r="JT14" s="55"/>
      <c r="JU14" s="55"/>
      <c r="JV14" s="55"/>
      <c r="JW14" s="56"/>
      <c r="JY14" s="24">
        <v>0</v>
      </c>
      <c r="JZ14" s="6" t="s">
        <v>25</v>
      </c>
      <c r="KA14" s="54"/>
      <c r="KB14" s="55"/>
      <c r="KC14" s="55"/>
      <c r="KD14" s="55"/>
      <c r="KE14" s="55"/>
      <c r="KF14" s="55"/>
      <c r="KG14" s="56"/>
      <c r="KI14" s="24">
        <v>0</v>
      </c>
      <c r="KJ14" s="6" t="s">
        <v>25</v>
      </c>
      <c r="KK14" s="54"/>
      <c r="KL14" s="55"/>
      <c r="KM14" s="55"/>
      <c r="KN14" s="55"/>
      <c r="KO14" s="55"/>
      <c r="KP14" s="55"/>
      <c r="KQ14" s="56"/>
      <c r="KS14" s="24">
        <v>0</v>
      </c>
      <c r="KT14" s="6" t="s">
        <v>25</v>
      </c>
      <c r="KU14" s="54"/>
      <c r="KV14" s="55"/>
      <c r="KW14" s="55"/>
      <c r="KX14" s="55"/>
      <c r="KY14" s="55"/>
      <c r="KZ14" s="55"/>
      <c r="LA14" s="56"/>
      <c r="LC14" s="24">
        <v>0</v>
      </c>
      <c r="LD14" s="6" t="s">
        <v>25</v>
      </c>
      <c r="LE14" s="54"/>
      <c r="LF14" s="55"/>
      <c r="LG14" s="55"/>
      <c r="LH14" s="55"/>
      <c r="LI14" s="55"/>
      <c r="LJ14" s="55"/>
      <c r="LK14" s="56"/>
      <c r="LM14" s="24">
        <v>0</v>
      </c>
      <c r="LN14" s="6" t="s">
        <v>25</v>
      </c>
      <c r="LO14" s="54"/>
      <c r="LP14" s="55"/>
      <c r="LQ14" s="55"/>
      <c r="LR14" s="55"/>
      <c r="LS14" s="55"/>
      <c r="LT14" s="55"/>
      <c r="LU14" s="56"/>
      <c r="LW14" s="24">
        <v>0</v>
      </c>
      <c r="LX14" s="6" t="s">
        <v>25</v>
      </c>
      <c r="LY14" s="54"/>
      <c r="LZ14" s="55"/>
      <c r="MA14" s="55"/>
      <c r="MB14" s="55"/>
      <c r="MC14" s="55"/>
      <c r="MD14" s="55"/>
      <c r="ME14" s="56"/>
      <c r="MG14" s="24">
        <v>0</v>
      </c>
      <c r="MH14" s="6" t="s">
        <v>25</v>
      </c>
      <c r="MI14" s="54"/>
      <c r="MJ14" s="55"/>
      <c r="MK14" s="55"/>
      <c r="ML14" s="55"/>
      <c r="MM14" s="55"/>
      <c r="MN14" s="55"/>
      <c r="MO14" s="56"/>
      <c r="MQ14" s="24">
        <v>0</v>
      </c>
      <c r="MR14" s="6" t="s">
        <v>25</v>
      </c>
      <c r="MS14" s="54"/>
      <c r="MT14" s="55"/>
      <c r="MU14" s="55"/>
      <c r="MV14" s="55"/>
      <c r="MW14" s="55"/>
      <c r="MX14" s="55"/>
      <c r="MY14" s="56"/>
      <c r="NA14" s="24">
        <v>0</v>
      </c>
      <c r="NB14" s="6" t="s">
        <v>25</v>
      </c>
      <c r="NC14" s="54"/>
      <c r="ND14" s="55"/>
      <c r="NE14" s="55"/>
      <c r="NF14" s="55"/>
      <c r="NG14" s="55"/>
      <c r="NH14" s="55"/>
      <c r="NI14" s="56"/>
      <c r="NK14" s="24">
        <v>0</v>
      </c>
      <c r="NL14" s="6" t="s">
        <v>25</v>
      </c>
      <c r="NM14" s="54"/>
      <c r="NN14" s="55"/>
      <c r="NO14" s="55"/>
      <c r="NP14" s="55"/>
      <c r="NQ14" s="55"/>
      <c r="NR14" s="55"/>
      <c r="NS14" s="56"/>
      <c r="NU14" s="24">
        <v>0</v>
      </c>
      <c r="NV14" s="6" t="s">
        <v>25</v>
      </c>
      <c r="NW14" s="54"/>
      <c r="NX14" s="55"/>
      <c r="NY14" s="55"/>
      <c r="NZ14" s="55"/>
      <c r="OA14" s="55"/>
      <c r="OB14" s="55"/>
      <c r="OC14" s="56"/>
      <c r="OE14" s="2">
        <v>0</v>
      </c>
      <c r="OF14" s="6" t="s">
        <v>25</v>
      </c>
      <c r="OG14" s="54"/>
      <c r="OH14" s="55"/>
      <c r="OI14" s="55"/>
      <c r="OJ14" s="55"/>
      <c r="OK14" s="55"/>
      <c r="OL14" s="55"/>
      <c r="OM14" s="56"/>
      <c r="OO14" s="24">
        <v>0</v>
      </c>
      <c r="OP14" s="6" t="s">
        <v>25</v>
      </c>
      <c r="OQ14" s="54"/>
      <c r="OR14" s="55"/>
      <c r="OS14" s="55"/>
      <c r="OT14" s="55"/>
      <c r="OU14" s="55"/>
      <c r="OV14" s="55"/>
      <c r="OW14" s="56"/>
      <c r="OY14" s="24">
        <v>0</v>
      </c>
      <c r="OZ14" s="6" t="s">
        <v>25</v>
      </c>
      <c r="PA14" s="54"/>
      <c r="PB14" s="55"/>
      <c r="PC14" s="55"/>
      <c r="PD14" s="55"/>
      <c r="PE14" s="55"/>
      <c r="PF14" s="55"/>
      <c r="PG14" s="56"/>
      <c r="PI14" s="24">
        <v>0</v>
      </c>
      <c r="PJ14" s="6" t="s">
        <v>25</v>
      </c>
      <c r="PK14" s="54"/>
      <c r="PL14" s="55"/>
      <c r="PM14" s="55"/>
      <c r="PN14" s="55"/>
      <c r="PO14" s="55"/>
      <c r="PP14" s="55"/>
      <c r="PQ14" s="56"/>
      <c r="PS14" s="2">
        <v>0</v>
      </c>
      <c r="PT14" s="6" t="s">
        <v>25</v>
      </c>
      <c r="PU14" s="54"/>
      <c r="PV14" s="55"/>
      <c r="PW14" s="55"/>
      <c r="PX14" s="55"/>
      <c r="PY14" s="55"/>
      <c r="PZ14" s="55"/>
      <c r="QA14" s="56"/>
      <c r="QC14" s="2">
        <v>0</v>
      </c>
      <c r="QD14" s="6" t="s">
        <v>25</v>
      </c>
      <c r="QE14" s="54"/>
      <c r="QF14" s="55"/>
      <c r="QG14" s="55"/>
      <c r="QH14" s="55"/>
      <c r="QI14" s="55"/>
      <c r="QJ14" s="55"/>
      <c r="QK14" s="56"/>
      <c r="QM14" s="24">
        <v>0</v>
      </c>
      <c r="QN14" s="6" t="s">
        <v>25</v>
      </c>
      <c r="QO14" s="54"/>
      <c r="QP14" s="55"/>
      <c r="QQ14" s="55"/>
      <c r="QR14" s="55"/>
      <c r="QS14" s="55"/>
      <c r="QT14" s="55"/>
      <c r="QU14" s="56"/>
      <c r="QW14" s="24">
        <v>0</v>
      </c>
      <c r="QX14" s="6" t="s">
        <v>25</v>
      </c>
      <c r="QY14" s="54"/>
      <c r="QZ14" s="55"/>
      <c r="RA14" s="55"/>
      <c r="RB14" s="55"/>
      <c r="RC14" s="55"/>
      <c r="RD14" s="55"/>
      <c r="RE14" s="56"/>
      <c r="RG14" s="24">
        <v>0</v>
      </c>
      <c r="RH14" s="6" t="s">
        <v>25</v>
      </c>
      <c r="RI14" s="54"/>
      <c r="RJ14" s="55"/>
      <c r="RK14" s="55"/>
      <c r="RL14" s="55"/>
      <c r="RM14" s="55"/>
      <c r="RN14" s="55"/>
      <c r="RO14" s="56"/>
      <c r="RQ14" s="24">
        <v>0</v>
      </c>
      <c r="RR14" s="6" t="s">
        <v>25</v>
      </c>
      <c r="RS14" s="54"/>
      <c r="RT14" s="55"/>
      <c r="RU14" s="55"/>
      <c r="RV14" s="55"/>
      <c r="RW14" s="55"/>
      <c r="RX14" s="55"/>
      <c r="RY14" s="56"/>
      <c r="SA14" s="2">
        <v>0</v>
      </c>
      <c r="SB14" s="6" t="s">
        <v>25</v>
      </c>
      <c r="SC14" s="54"/>
      <c r="SD14" s="55"/>
      <c r="SE14" s="55"/>
      <c r="SF14" s="55"/>
      <c r="SG14" s="55"/>
      <c r="SH14" s="55"/>
      <c r="SI14" s="56"/>
      <c r="SK14" s="24">
        <v>0</v>
      </c>
      <c r="SL14" s="6" t="s">
        <v>25</v>
      </c>
      <c r="SM14" s="54"/>
      <c r="SN14" s="55"/>
      <c r="SO14" s="55"/>
      <c r="SP14" s="55"/>
      <c r="SQ14" s="55"/>
      <c r="SR14" s="55"/>
      <c r="SS14" s="56"/>
      <c r="SU14" s="24">
        <v>1</v>
      </c>
      <c r="SV14" s="6" t="s">
        <v>25</v>
      </c>
      <c r="SW14" s="54"/>
      <c r="SX14" s="55"/>
      <c r="SY14" s="55"/>
      <c r="SZ14" s="55"/>
      <c r="TA14" s="55"/>
      <c r="TB14" s="55"/>
      <c r="TC14" s="56"/>
      <c r="TE14" s="24">
        <v>1</v>
      </c>
      <c r="TF14" s="6" t="s">
        <v>25</v>
      </c>
      <c r="TG14" s="54"/>
      <c r="TH14" s="55"/>
      <c r="TI14" s="55"/>
      <c r="TJ14" s="55"/>
      <c r="TK14" s="55"/>
      <c r="TL14" s="55"/>
      <c r="TM14" s="56"/>
      <c r="TO14" s="2">
        <v>0</v>
      </c>
      <c r="TP14" s="6" t="s">
        <v>25</v>
      </c>
      <c r="TQ14" s="54"/>
      <c r="TR14" s="55"/>
      <c r="TS14" s="55"/>
      <c r="TT14" s="55"/>
      <c r="TU14" s="55"/>
      <c r="TV14" s="55"/>
      <c r="TW14" s="56"/>
      <c r="TY14" s="24">
        <v>0</v>
      </c>
      <c r="TZ14" s="6" t="s">
        <v>25</v>
      </c>
      <c r="UA14" s="54"/>
      <c r="UB14" s="55"/>
      <c r="UC14" s="55"/>
      <c r="UD14" s="55"/>
      <c r="UE14" s="55"/>
      <c r="UF14" s="55"/>
      <c r="UG14" s="56"/>
      <c r="UI14" s="2">
        <v>0</v>
      </c>
      <c r="UJ14" s="6" t="s">
        <v>25</v>
      </c>
      <c r="UK14" s="54"/>
      <c r="UL14" s="55"/>
      <c r="UM14" s="55"/>
      <c r="UN14" s="55"/>
      <c r="UO14" s="55"/>
      <c r="UP14" s="55"/>
      <c r="UQ14" s="56"/>
      <c r="US14" s="2">
        <v>0</v>
      </c>
      <c r="UT14" s="6" t="s">
        <v>25</v>
      </c>
      <c r="UU14" s="54"/>
      <c r="UV14" s="55"/>
      <c r="UW14" s="55"/>
      <c r="UX14" s="55"/>
      <c r="UY14" s="55"/>
      <c r="UZ14" s="55"/>
      <c r="VA14" s="56"/>
      <c r="VC14" s="24">
        <v>0</v>
      </c>
      <c r="VD14" s="6" t="s">
        <v>25</v>
      </c>
      <c r="VE14" s="54"/>
      <c r="VF14" s="55"/>
      <c r="VG14" s="55"/>
      <c r="VH14" s="55"/>
      <c r="VI14" s="55"/>
      <c r="VJ14" s="55"/>
      <c r="VK14" s="56"/>
      <c r="VM14" s="24">
        <v>0</v>
      </c>
      <c r="VN14" s="6" t="s">
        <v>25</v>
      </c>
      <c r="VO14" s="54"/>
      <c r="VP14" s="55"/>
      <c r="VQ14" s="55"/>
      <c r="VR14" s="55"/>
      <c r="VS14" s="55"/>
      <c r="VT14" s="55"/>
      <c r="VU14" s="56"/>
      <c r="VW14" s="2">
        <v>0</v>
      </c>
      <c r="VX14" s="6" t="s">
        <v>25</v>
      </c>
      <c r="VY14" s="54"/>
      <c r="VZ14" s="55"/>
      <c r="WA14" s="55"/>
      <c r="WB14" s="55"/>
      <c r="WC14" s="55"/>
      <c r="WD14" s="55"/>
      <c r="WE14" s="56"/>
      <c r="WG14" s="24">
        <v>1</v>
      </c>
      <c r="WH14" s="6" t="s">
        <v>25</v>
      </c>
      <c r="WI14" s="54"/>
      <c r="WJ14" s="55"/>
      <c r="WK14" s="55"/>
      <c r="WL14" s="55"/>
      <c r="WM14" s="55"/>
      <c r="WN14" s="55"/>
      <c r="WO14" s="56"/>
      <c r="WQ14" s="24">
        <v>0</v>
      </c>
      <c r="WR14" s="6" t="s">
        <v>25</v>
      </c>
      <c r="WS14" s="54"/>
      <c r="WT14" s="55"/>
      <c r="WU14" s="55"/>
      <c r="WV14" s="55"/>
      <c r="WW14" s="55"/>
      <c r="WX14" s="55"/>
      <c r="WY14" s="56"/>
      <c r="XA14" s="24"/>
      <c r="XB14" s="6" t="s">
        <v>25</v>
      </c>
      <c r="XC14" s="54"/>
      <c r="XD14" s="55"/>
      <c r="XE14" s="55"/>
      <c r="XF14" s="55"/>
      <c r="XG14" s="55"/>
      <c r="XH14" s="55"/>
      <c r="XI14" s="56"/>
      <c r="XK14" s="24">
        <v>0</v>
      </c>
      <c r="XL14" s="6" t="s">
        <v>25</v>
      </c>
      <c r="XM14" s="54"/>
      <c r="XN14" s="55"/>
      <c r="XO14" s="55"/>
      <c r="XP14" s="55"/>
      <c r="XQ14" s="55"/>
      <c r="XR14" s="55"/>
      <c r="XS14" s="56"/>
      <c r="XU14" s="24">
        <v>0</v>
      </c>
      <c r="XV14" s="6" t="s">
        <v>25</v>
      </c>
      <c r="XW14" s="54"/>
      <c r="XX14" s="55"/>
      <c r="XY14" s="55"/>
      <c r="XZ14" s="55"/>
      <c r="YA14" s="55"/>
      <c r="YB14" s="55"/>
      <c r="YC14" s="56"/>
      <c r="YE14" s="24">
        <v>0</v>
      </c>
      <c r="YF14" s="6" t="s">
        <v>25</v>
      </c>
      <c r="YG14" s="54"/>
      <c r="YH14" s="55"/>
      <c r="YI14" s="55"/>
      <c r="YJ14" s="55"/>
      <c r="YK14" s="55"/>
      <c r="YL14" s="55"/>
      <c r="YM14" s="56"/>
      <c r="YO14" s="24">
        <v>0</v>
      </c>
      <c r="YP14" s="6" t="s">
        <v>25</v>
      </c>
      <c r="YQ14" s="54"/>
      <c r="YR14" s="55"/>
      <c r="YS14" s="55"/>
      <c r="YT14" s="55"/>
      <c r="YU14" s="55"/>
      <c r="YV14" s="55"/>
      <c r="YW14" s="56"/>
      <c r="YY14" s="2">
        <v>0</v>
      </c>
      <c r="YZ14" s="6" t="s">
        <v>25</v>
      </c>
      <c r="ZA14" s="54"/>
      <c r="ZB14" s="55"/>
      <c r="ZC14" s="55"/>
      <c r="ZD14" s="55"/>
      <c r="ZE14" s="55"/>
      <c r="ZF14" s="55"/>
      <c r="ZG14" s="56"/>
      <c r="ZI14" s="24">
        <v>2</v>
      </c>
      <c r="ZJ14" s="6" t="s">
        <v>25</v>
      </c>
      <c r="ZK14" s="54"/>
      <c r="ZL14" s="55"/>
      <c r="ZM14" s="55"/>
      <c r="ZN14" s="55"/>
      <c r="ZO14" s="55"/>
      <c r="ZP14" s="55"/>
      <c r="ZQ14" s="56"/>
      <c r="ZR14" s="21"/>
      <c r="ZS14" s="24">
        <v>0</v>
      </c>
      <c r="ZT14" s="6" t="s">
        <v>25</v>
      </c>
      <c r="ZU14" s="54"/>
      <c r="ZV14" s="55"/>
      <c r="ZW14" s="55"/>
      <c r="ZX14" s="55"/>
      <c r="ZY14" s="55"/>
      <c r="ZZ14" s="55"/>
      <c r="AAA14" s="56"/>
      <c r="AAB14" s="21"/>
      <c r="AAC14" s="24">
        <v>2</v>
      </c>
      <c r="AAD14" s="6" t="s">
        <v>25</v>
      </c>
      <c r="AAE14" s="54"/>
      <c r="AAF14" s="55"/>
      <c r="AAG14" s="55"/>
      <c r="AAH14" s="55"/>
      <c r="AAI14" s="55"/>
      <c r="AAJ14" s="55"/>
      <c r="AAK14" s="56"/>
      <c r="AAL14" s="21"/>
      <c r="AAM14" s="24">
        <v>0</v>
      </c>
      <c r="AAN14" s="6" t="s">
        <v>25</v>
      </c>
      <c r="AAO14" s="54"/>
      <c r="AAP14" s="55"/>
      <c r="AAQ14" s="55"/>
      <c r="AAR14" s="55"/>
      <c r="AAS14" s="55"/>
      <c r="AAT14" s="55"/>
      <c r="AAU14" s="56"/>
      <c r="AAV14" s="21"/>
      <c r="AAW14" s="2">
        <v>3</v>
      </c>
      <c r="AAX14" s="6" t="s">
        <v>25</v>
      </c>
      <c r="AAY14" s="54"/>
      <c r="AAZ14" s="55"/>
      <c r="ABA14" s="55"/>
      <c r="ABB14" s="55"/>
      <c r="ABC14" s="55"/>
      <c r="ABD14" s="55"/>
      <c r="ABE14" s="56"/>
      <c r="ABF14" s="21"/>
      <c r="ABG14" s="24">
        <v>0</v>
      </c>
      <c r="ABH14" s="6" t="s">
        <v>25</v>
      </c>
      <c r="ABI14" s="54"/>
      <c r="ABJ14" s="55"/>
      <c r="ABK14" s="55"/>
      <c r="ABL14" s="55"/>
      <c r="ABM14" s="55"/>
      <c r="ABN14" s="55"/>
      <c r="ABO14" s="56"/>
      <c r="ABP14" s="21"/>
      <c r="ABQ14" s="24">
        <v>0</v>
      </c>
      <c r="ABR14" s="6" t="s">
        <v>25</v>
      </c>
      <c r="ABS14" s="54"/>
      <c r="ABT14" s="55"/>
      <c r="ABU14" s="55"/>
      <c r="ABV14" s="55"/>
      <c r="ABW14" s="55"/>
      <c r="ABX14" s="55"/>
      <c r="ABY14" s="56"/>
      <c r="ABZ14" s="21"/>
      <c r="ACA14" s="24">
        <v>0</v>
      </c>
      <c r="ACB14" s="6" t="s">
        <v>25</v>
      </c>
      <c r="ACC14" s="54"/>
      <c r="ACD14" s="55"/>
      <c r="ACE14" s="55"/>
      <c r="ACF14" s="55"/>
      <c r="ACG14" s="55"/>
      <c r="ACH14" s="55"/>
      <c r="ACI14" s="56"/>
      <c r="ACJ14" s="21"/>
      <c r="ACK14" s="2">
        <v>0</v>
      </c>
      <c r="ACL14" s="6" t="s">
        <v>25</v>
      </c>
      <c r="ACM14" s="54"/>
      <c r="ACN14" s="55"/>
      <c r="ACO14" s="55"/>
      <c r="ACP14" s="55"/>
      <c r="ACQ14" s="55"/>
      <c r="ACR14" s="55"/>
      <c r="ACS14" s="56"/>
      <c r="ACT14" s="21"/>
      <c r="ACU14" s="2">
        <v>0</v>
      </c>
      <c r="ACV14" s="6" t="s">
        <v>25</v>
      </c>
      <c r="ACW14" s="54"/>
      <c r="ACX14" s="55"/>
      <c r="ACY14" s="55"/>
      <c r="ACZ14" s="55"/>
      <c r="ADA14" s="55"/>
      <c r="ADB14" s="55"/>
      <c r="ADC14" s="56"/>
      <c r="ADD14" s="21"/>
      <c r="ADE14" s="24">
        <v>0</v>
      </c>
      <c r="ADF14" s="6" t="s">
        <v>25</v>
      </c>
      <c r="ADG14" s="54"/>
      <c r="ADH14" s="55"/>
      <c r="ADI14" s="55"/>
      <c r="ADJ14" s="55"/>
      <c r="ADK14" s="55"/>
      <c r="ADL14" s="55"/>
      <c r="ADM14" s="56"/>
      <c r="ADN14" s="21"/>
      <c r="ADO14" s="24">
        <v>0</v>
      </c>
      <c r="ADP14" s="6" t="s">
        <v>25</v>
      </c>
      <c r="ADQ14" s="54"/>
      <c r="ADR14" s="55"/>
      <c r="ADS14" s="55"/>
      <c r="ADT14" s="55"/>
      <c r="ADU14" s="55"/>
      <c r="ADV14" s="55"/>
      <c r="ADW14" s="56"/>
      <c r="ADX14" s="21"/>
      <c r="ADY14" s="24">
        <v>2</v>
      </c>
      <c r="ADZ14" s="6" t="s">
        <v>25</v>
      </c>
      <c r="AEA14" s="54"/>
      <c r="AEB14" s="55"/>
      <c r="AEC14" s="55"/>
      <c r="AED14" s="55"/>
      <c r="AEE14" s="55"/>
      <c r="AEF14" s="55"/>
      <c r="AEG14" s="56"/>
      <c r="AEH14" s="21"/>
      <c r="AEI14" s="2">
        <v>0</v>
      </c>
      <c r="AEJ14" s="6" t="s">
        <v>25</v>
      </c>
      <c r="AEK14" s="54"/>
      <c r="AEL14" s="55"/>
      <c r="AEM14" s="55"/>
      <c r="AEN14" s="55"/>
      <c r="AEO14" s="55"/>
      <c r="AEP14" s="55"/>
      <c r="AEQ14" s="56"/>
      <c r="AER14" s="21"/>
      <c r="AES14" s="24">
        <v>0</v>
      </c>
      <c r="AET14" s="6" t="s">
        <v>25</v>
      </c>
      <c r="AEU14" s="54"/>
      <c r="AEV14" s="55"/>
      <c r="AEW14" s="55"/>
      <c r="AEX14" s="55"/>
      <c r="AEY14" s="55"/>
      <c r="AEZ14" s="55"/>
      <c r="AFA14" s="56"/>
      <c r="AFB14" s="21"/>
      <c r="AFC14" s="24">
        <v>0</v>
      </c>
      <c r="AFD14" s="6" t="s">
        <v>25</v>
      </c>
      <c r="AFE14" s="54"/>
      <c r="AFF14" s="55"/>
      <c r="AFG14" s="55"/>
      <c r="AFH14" s="55"/>
      <c r="AFI14" s="55"/>
      <c r="AFJ14" s="55"/>
      <c r="AFK14" s="56"/>
      <c r="AFL14" s="21"/>
      <c r="AFM14" s="2">
        <v>1</v>
      </c>
      <c r="AFN14" s="6" t="s">
        <v>25</v>
      </c>
      <c r="AFO14" s="54"/>
      <c r="AFP14" s="55"/>
      <c r="AFQ14" s="55"/>
      <c r="AFR14" s="55"/>
      <c r="AFS14" s="55"/>
      <c r="AFT14" s="55"/>
      <c r="AFU14" s="56"/>
      <c r="AFV14" s="21"/>
      <c r="AFW14" s="2">
        <v>0</v>
      </c>
      <c r="AFX14" s="6" t="s">
        <v>25</v>
      </c>
      <c r="AFY14" s="54"/>
      <c r="AFZ14" s="55"/>
      <c r="AGA14" s="55"/>
      <c r="AGB14" s="55"/>
      <c r="AGC14" s="55"/>
      <c r="AGD14" s="55"/>
      <c r="AGE14" s="56"/>
      <c r="AGF14" s="21"/>
      <c r="AGG14" s="2">
        <v>0</v>
      </c>
      <c r="AGH14" s="6" t="s">
        <v>25</v>
      </c>
      <c r="AGI14" s="54"/>
      <c r="AGJ14" s="55"/>
      <c r="AGK14" s="55"/>
      <c r="AGL14" s="55"/>
      <c r="AGM14" s="55"/>
      <c r="AGN14" s="55"/>
      <c r="AGO14" s="56"/>
      <c r="AGP14" s="21"/>
      <c r="AGQ14" s="24">
        <v>0</v>
      </c>
      <c r="AGR14" s="6" t="s">
        <v>25</v>
      </c>
      <c r="AGS14" s="54"/>
      <c r="AGT14" s="55"/>
      <c r="AGU14" s="55"/>
      <c r="AGV14" s="55"/>
      <c r="AGW14" s="55"/>
      <c r="AGX14" s="55"/>
      <c r="AGY14" s="56"/>
      <c r="AGZ14" s="21"/>
      <c r="AHA14" s="24">
        <v>2</v>
      </c>
      <c r="AHB14" s="6" t="s">
        <v>25</v>
      </c>
      <c r="AHC14" s="54"/>
      <c r="AHD14" s="55"/>
      <c r="AHE14" s="55"/>
      <c r="AHF14" s="55"/>
      <c r="AHG14" s="55"/>
      <c r="AHH14" s="55"/>
      <c r="AHI14" s="56"/>
      <c r="AHJ14" s="21"/>
      <c r="AHK14" s="24">
        <v>0</v>
      </c>
      <c r="AHL14" s="6" t="s">
        <v>25</v>
      </c>
      <c r="AHM14" s="54"/>
      <c r="AHN14" s="55"/>
      <c r="AHO14" s="55"/>
      <c r="AHP14" s="55"/>
      <c r="AHQ14" s="55"/>
      <c r="AHR14" s="55"/>
      <c r="AHS14" s="56"/>
      <c r="AHT14" s="21"/>
      <c r="AHU14" s="2">
        <v>0</v>
      </c>
      <c r="AHV14" s="6" t="s">
        <v>25</v>
      </c>
      <c r="AHW14" s="54"/>
      <c r="AHX14" s="55"/>
      <c r="AHY14" s="55"/>
      <c r="AHZ14" s="55"/>
      <c r="AIA14" s="55"/>
      <c r="AIB14" s="55"/>
      <c r="AIC14" s="56"/>
      <c r="AID14" s="21"/>
      <c r="AIE14" s="24">
        <v>0</v>
      </c>
      <c r="AIF14" s="6" t="s">
        <v>25</v>
      </c>
      <c r="AIG14" s="54"/>
      <c r="AIH14" s="55"/>
      <c r="AII14" s="55"/>
      <c r="AIJ14" s="55"/>
      <c r="AIK14" s="55"/>
      <c r="AIL14" s="55"/>
      <c r="AIM14" s="56"/>
      <c r="AIN14" s="21"/>
      <c r="AIO14" s="24">
        <v>1</v>
      </c>
      <c r="AIP14" s="6" t="s">
        <v>25</v>
      </c>
      <c r="AIQ14" s="54"/>
      <c r="AIR14" s="55"/>
      <c r="AIS14" s="55"/>
      <c r="AIT14" s="55"/>
      <c r="AIU14" s="55"/>
      <c r="AIV14" s="55"/>
      <c r="AIW14" s="56"/>
      <c r="AIX14" s="21"/>
      <c r="AIY14" s="2">
        <v>1</v>
      </c>
      <c r="AIZ14" s="6" t="s">
        <v>25</v>
      </c>
      <c r="AJA14" s="54"/>
      <c r="AJB14" s="55"/>
      <c r="AJC14" s="55"/>
      <c r="AJD14" s="55"/>
      <c r="AJE14" s="55"/>
      <c r="AJF14" s="55"/>
      <c r="AJG14" s="56"/>
      <c r="AJH14" s="21"/>
      <c r="AJI14" s="24">
        <v>0</v>
      </c>
      <c r="AJJ14" s="6" t="s">
        <v>25</v>
      </c>
      <c r="AJK14" s="54"/>
      <c r="AJL14" s="55"/>
      <c r="AJM14" s="55"/>
      <c r="AJN14" s="55"/>
      <c r="AJO14" s="55"/>
      <c r="AJP14" s="55"/>
      <c r="AJQ14" s="56"/>
      <c r="AJR14" s="21"/>
      <c r="AJS14" s="2">
        <v>1</v>
      </c>
      <c r="AJT14" s="6" t="s">
        <v>25</v>
      </c>
      <c r="AJU14" s="54"/>
      <c r="AJV14" s="55"/>
      <c r="AJW14" s="55"/>
      <c r="AJX14" s="55"/>
      <c r="AJY14" s="55"/>
      <c r="AJZ14" s="55"/>
      <c r="AKA14" s="56"/>
      <c r="AKB14" s="21"/>
      <c r="AKC14" s="24">
        <v>0</v>
      </c>
      <c r="AKD14" s="6" t="s">
        <v>25</v>
      </c>
      <c r="AKE14" s="54"/>
      <c r="AKF14" s="55"/>
      <c r="AKG14" s="55"/>
      <c r="AKH14" s="55"/>
      <c r="AKI14" s="55"/>
      <c r="AKJ14" s="55"/>
      <c r="AKK14" s="56"/>
      <c r="AKL14" s="21"/>
      <c r="AKM14" s="2">
        <v>0</v>
      </c>
      <c r="AKN14" s="6" t="s">
        <v>25</v>
      </c>
      <c r="AKO14" s="54"/>
      <c r="AKP14" s="55"/>
      <c r="AKQ14" s="55"/>
      <c r="AKR14" s="55"/>
      <c r="AKS14" s="55"/>
      <c r="AKT14" s="55"/>
      <c r="AKU14" s="56"/>
      <c r="AKV14" s="21"/>
      <c r="AKW14" s="2">
        <v>0</v>
      </c>
      <c r="AKX14" s="6" t="s">
        <v>25</v>
      </c>
      <c r="AKY14" s="54"/>
      <c r="AKZ14" s="55"/>
      <c r="ALA14" s="55"/>
      <c r="ALB14" s="55"/>
      <c r="ALC14" s="55"/>
      <c r="ALD14" s="55"/>
      <c r="ALE14" s="56"/>
      <c r="ALF14" s="21"/>
      <c r="ALG14" s="2">
        <v>0</v>
      </c>
      <c r="ALH14" s="6" t="s">
        <v>25</v>
      </c>
      <c r="ALI14" s="54"/>
      <c r="ALJ14" s="55"/>
      <c r="ALK14" s="55"/>
      <c r="ALL14" s="55"/>
      <c r="ALM14" s="55"/>
      <c r="ALN14" s="55"/>
      <c r="ALO14" s="56"/>
      <c r="ALP14" s="21"/>
      <c r="ALQ14" s="2">
        <v>1</v>
      </c>
      <c r="ALR14" s="6" t="s">
        <v>25</v>
      </c>
      <c r="ALS14" s="54"/>
      <c r="ALT14" s="55"/>
      <c r="ALU14" s="55"/>
      <c r="ALV14" s="55"/>
      <c r="ALW14" s="55"/>
      <c r="ALX14" s="55"/>
      <c r="ALY14" s="56"/>
      <c r="ALZ14" s="21"/>
      <c r="AMA14" s="24">
        <v>1</v>
      </c>
      <c r="AMB14" s="6" t="s">
        <v>25</v>
      </c>
      <c r="AMC14" s="54"/>
      <c r="AMD14" s="55"/>
      <c r="AME14" s="55"/>
      <c r="AMF14" s="55"/>
      <c r="AMG14" s="55"/>
      <c r="AMH14" s="55"/>
      <c r="AMI14" s="56"/>
      <c r="AMJ14" s="21"/>
      <c r="AMK14" s="24">
        <v>2</v>
      </c>
      <c r="AML14" s="6" t="s">
        <v>25</v>
      </c>
      <c r="AMM14" s="54"/>
      <c r="AMN14" s="55"/>
      <c r="AMO14" s="55"/>
      <c r="AMP14" s="55"/>
      <c r="AMQ14" s="55"/>
      <c r="AMR14" s="55"/>
      <c r="AMS14" s="56"/>
      <c r="AMT14" s="21"/>
      <c r="AMU14" s="24">
        <v>0</v>
      </c>
      <c r="AMV14" s="6" t="s">
        <v>25</v>
      </c>
      <c r="AMW14" s="54"/>
      <c r="AMX14" s="55"/>
      <c r="AMY14" s="55"/>
      <c r="AMZ14" s="55"/>
      <c r="ANA14" s="55"/>
      <c r="ANB14" s="55"/>
      <c r="ANC14" s="56"/>
      <c r="AND14" s="21"/>
      <c r="ANE14" s="24">
        <v>1</v>
      </c>
      <c r="ANF14" s="6" t="s">
        <v>25</v>
      </c>
      <c r="ANG14" s="54"/>
      <c r="ANH14" s="55"/>
      <c r="ANI14" s="55"/>
      <c r="ANJ14" s="55"/>
      <c r="ANK14" s="55"/>
      <c r="ANL14" s="55"/>
      <c r="ANM14" s="56"/>
      <c r="ANN14" s="21"/>
      <c r="ANO14" s="24">
        <v>0</v>
      </c>
      <c r="ANP14" s="6" t="s">
        <v>25</v>
      </c>
      <c r="ANQ14" s="54"/>
      <c r="ANR14" s="55"/>
      <c r="ANS14" s="55"/>
      <c r="ANT14" s="55"/>
      <c r="ANU14" s="55"/>
      <c r="ANV14" s="55"/>
      <c r="ANW14" s="56"/>
      <c r="ANX14" s="21"/>
      <c r="ANY14" s="24">
        <v>0</v>
      </c>
      <c r="ANZ14" s="6" t="s">
        <v>25</v>
      </c>
      <c r="AOA14" s="54"/>
      <c r="AOB14" s="55"/>
      <c r="AOC14" s="55"/>
      <c r="AOD14" s="55"/>
      <c r="AOE14" s="55"/>
      <c r="AOF14" s="55"/>
      <c r="AOG14" s="56"/>
      <c r="AOH14" s="21"/>
      <c r="AOI14" s="24">
        <v>0</v>
      </c>
      <c r="AOJ14" s="6" t="s">
        <v>25</v>
      </c>
      <c r="AOK14" s="54"/>
      <c r="AOL14" s="55"/>
      <c r="AOM14" s="55"/>
      <c r="AON14" s="55"/>
      <c r="AOO14" s="55"/>
      <c r="AOP14" s="55"/>
      <c r="AOQ14" s="56"/>
      <c r="AOR14" s="21"/>
      <c r="AOS14" s="24">
        <v>0</v>
      </c>
      <c r="AOT14" s="6" t="s">
        <v>25</v>
      </c>
      <c r="AOU14" s="54"/>
      <c r="AOV14" s="55"/>
      <c r="AOW14" s="55"/>
      <c r="AOX14" s="55"/>
      <c r="AOY14" s="55"/>
      <c r="AOZ14" s="55"/>
      <c r="APA14" s="56"/>
      <c r="APB14" s="21"/>
      <c r="APC14" s="24">
        <v>0</v>
      </c>
      <c r="APD14" s="6" t="s">
        <v>25</v>
      </c>
      <c r="APE14" s="54"/>
      <c r="APF14" s="55"/>
      <c r="APG14" s="55"/>
      <c r="APH14" s="55"/>
      <c r="API14" s="55"/>
      <c r="APJ14" s="55"/>
      <c r="APK14" s="56"/>
      <c r="APL14" s="21"/>
      <c r="APM14" s="24">
        <v>2</v>
      </c>
      <c r="APN14" s="6" t="s">
        <v>25</v>
      </c>
      <c r="APO14" s="54"/>
      <c r="APP14" s="55"/>
      <c r="APQ14" s="55"/>
      <c r="APR14" s="55"/>
      <c r="APS14" s="55"/>
      <c r="APT14" s="55"/>
      <c r="APU14" s="56"/>
      <c r="APV14" s="21"/>
      <c r="APW14" s="95">
        <v>0</v>
      </c>
      <c r="APX14" s="96" t="s">
        <v>25</v>
      </c>
      <c r="APY14" s="106"/>
      <c r="APZ14" s="107"/>
      <c r="AQA14" s="107"/>
      <c r="AQB14" s="107"/>
      <c r="AQC14" s="107"/>
      <c r="AQD14" s="107"/>
      <c r="AQE14" s="108"/>
      <c r="AQF14" s="21"/>
      <c r="AQG14" s="2"/>
      <c r="AQH14" s="6" t="s">
        <v>25</v>
      </c>
      <c r="AQI14" s="54"/>
      <c r="AQJ14" s="55"/>
      <c r="AQK14" s="55"/>
      <c r="AQL14" s="55"/>
      <c r="AQM14" s="55"/>
      <c r="AQN14" s="55"/>
      <c r="AQO14" s="56"/>
    </row>
    <row r="15" spans="1:1133" ht="11.25" x14ac:dyDescent="0.2">
      <c r="B15" s="15"/>
      <c r="C15" s="8"/>
      <c r="E15" s="18"/>
      <c r="F15" s="17"/>
      <c r="G15" s="18"/>
      <c r="H15" s="17"/>
      <c r="J15" s="18"/>
      <c r="K15" s="19"/>
      <c r="M15" s="19"/>
      <c r="O15" s="18"/>
      <c r="P15" s="17"/>
      <c r="Q15" s="18"/>
      <c r="R15" s="17"/>
      <c r="T15" s="18"/>
      <c r="U15" s="19"/>
      <c r="W15" s="19"/>
      <c r="Y15" s="18"/>
      <c r="Z15" s="17"/>
      <c r="AA15" s="18"/>
      <c r="AB15" s="17"/>
      <c r="AD15" s="18"/>
      <c r="AE15" s="19"/>
      <c r="AG15" s="19"/>
      <c r="AI15" s="18"/>
      <c r="AJ15" s="17"/>
      <c r="AK15" s="18"/>
      <c r="AL15" s="17"/>
      <c r="AN15" s="18"/>
      <c r="AO15" s="19"/>
      <c r="AQ15" s="19"/>
      <c r="AS15" s="18"/>
      <c r="AT15" s="17"/>
      <c r="AU15" s="18"/>
      <c r="AV15" s="17"/>
      <c r="AX15" s="18"/>
      <c r="AY15" s="19"/>
      <c r="BA15" s="19"/>
      <c r="BC15" s="18"/>
      <c r="BD15" s="17"/>
      <c r="BE15" s="18"/>
      <c r="BF15" s="17"/>
      <c r="BH15" s="18"/>
      <c r="BI15" s="19"/>
      <c r="BK15" s="19"/>
      <c r="BM15" s="18"/>
      <c r="BN15" s="17"/>
      <c r="BO15" s="18"/>
      <c r="BP15" s="17"/>
      <c r="BR15" s="18"/>
      <c r="BS15" s="19"/>
      <c r="BU15" s="19"/>
      <c r="BW15" s="18"/>
      <c r="BX15" s="17"/>
      <c r="BY15" s="18"/>
      <c r="BZ15" s="17"/>
      <c r="CB15" s="18"/>
      <c r="CC15" s="19"/>
      <c r="CE15" s="19"/>
      <c r="CG15" s="18"/>
      <c r="CH15" s="17"/>
      <c r="CI15" s="18"/>
      <c r="CJ15" s="17"/>
      <c r="CL15" s="18"/>
      <c r="CM15" s="19"/>
      <c r="CO15" s="19"/>
      <c r="CQ15" s="18"/>
      <c r="CR15" s="17"/>
      <c r="CS15" s="18"/>
      <c r="CT15" s="17"/>
      <c r="CV15" s="18"/>
      <c r="CW15" s="19"/>
      <c r="CY15" s="19"/>
      <c r="DA15" s="18"/>
      <c r="DB15" s="17"/>
      <c r="DC15" s="18"/>
      <c r="DD15" s="17"/>
      <c r="DF15" s="18"/>
      <c r="DG15" s="19"/>
      <c r="DI15" s="19"/>
      <c r="DK15" s="18"/>
      <c r="DL15" s="17"/>
      <c r="DM15" s="18"/>
      <c r="DN15" s="17"/>
      <c r="DP15" s="18"/>
      <c r="DQ15" s="19"/>
      <c r="DS15" s="19"/>
      <c r="DU15" s="18"/>
      <c r="DV15" s="17"/>
      <c r="DW15" s="18"/>
      <c r="DX15" s="17"/>
      <c r="DZ15" s="18"/>
      <c r="EA15" s="19"/>
      <c r="EC15" s="19"/>
      <c r="EE15" s="18"/>
      <c r="EF15" s="17"/>
      <c r="EG15" s="18"/>
      <c r="EH15" s="17"/>
      <c r="EJ15" s="18"/>
      <c r="EK15" s="19"/>
      <c r="EM15" s="19"/>
      <c r="EO15" s="18"/>
      <c r="EP15" s="17"/>
      <c r="EQ15" s="18"/>
      <c r="ER15" s="17"/>
      <c r="ET15" s="18"/>
      <c r="EU15" s="19"/>
      <c r="EW15" s="19"/>
      <c r="EY15" s="16"/>
      <c r="EZ15" s="17"/>
      <c r="FA15" s="16"/>
      <c r="FB15" s="17"/>
      <c r="FD15" s="18"/>
      <c r="FE15" s="19"/>
      <c r="FG15" s="19"/>
      <c r="FI15" s="18"/>
      <c r="FJ15" s="17"/>
      <c r="FK15" s="18"/>
      <c r="FL15" s="17"/>
      <c r="FN15" s="18"/>
      <c r="FO15" s="19"/>
      <c r="FQ15" s="19"/>
      <c r="FS15" s="18"/>
      <c r="FT15" s="17"/>
      <c r="FU15" s="18"/>
      <c r="FV15" s="17"/>
      <c r="FX15" s="18"/>
      <c r="FY15" s="19"/>
      <c r="GA15" s="19"/>
      <c r="GC15" s="18"/>
      <c r="GD15" s="17"/>
      <c r="GE15" s="18"/>
      <c r="GF15" s="17"/>
      <c r="GH15" s="18"/>
      <c r="GI15" s="19"/>
      <c r="GK15" s="19"/>
      <c r="GM15" s="18"/>
      <c r="GN15" s="17"/>
      <c r="GO15" s="18"/>
      <c r="GP15" s="17"/>
      <c r="GR15" s="18"/>
      <c r="GS15" s="19"/>
      <c r="GU15" s="19"/>
      <c r="GW15" s="18"/>
      <c r="GX15" s="17"/>
      <c r="GY15" s="18"/>
      <c r="GZ15" s="17"/>
      <c r="HB15" s="18"/>
      <c r="HC15" s="19"/>
      <c r="HE15" s="19"/>
      <c r="HG15" s="16"/>
      <c r="HH15" s="17"/>
      <c r="HI15" s="16"/>
      <c r="HJ15" s="17"/>
      <c r="HL15" s="18"/>
      <c r="HM15" s="19"/>
      <c r="HO15" s="19"/>
      <c r="HQ15" s="18"/>
      <c r="HR15" s="17"/>
      <c r="HS15" s="18"/>
      <c r="HT15" s="17"/>
      <c r="HV15" s="18"/>
      <c r="HW15" s="19"/>
      <c r="HY15" s="19"/>
      <c r="IA15" s="18"/>
      <c r="IB15" s="17"/>
      <c r="IC15" s="18"/>
      <c r="ID15" s="17"/>
      <c r="IF15" s="18"/>
      <c r="IG15" s="19"/>
      <c r="II15" s="19"/>
      <c r="IK15" s="18"/>
      <c r="IL15" s="17"/>
      <c r="IM15" s="18"/>
      <c r="IN15" s="17"/>
      <c r="IP15" s="18"/>
      <c r="IQ15" s="19"/>
      <c r="IS15" s="19"/>
      <c r="IU15" s="18"/>
      <c r="IV15" s="17"/>
      <c r="IW15" s="18"/>
      <c r="IX15" s="17"/>
      <c r="IZ15" s="18"/>
      <c r="JA15" s="19"/>
      <c r="JC15" s="19"/>
      <c r="JE15" s="18"/>
      <c r="JF15" s="17"/>
      <c r="JG15" s="18"/>
      <c r="JH15" s="17"/>
      <c r="JJ15" s="18"/>
      <c r="JK15" s="19"/>
      <c r="JM15" s="19"/>
      <c r="JO15" s="18"/>
      <c r="JP15" s="17"/>
      <c r="JQ15" s="18"/>
      <c r="JR15" s="17"/>
      <c r="JT15" s="18"/>
      <c r="JU15" s="19"/>
      <c r="JW15" s="19"/>
      <c r="JY15" s="18"/>
      <c r="JZ15" s="17"/>
      <c r="KA15" s="18"/>
      <c r="KB15" s="17"/>
      <c r="KD15" s="18"/>
      <c r="KE15" s="19"/>
      <c r="KG15" s="19"/>
      <c r="KI15" s="18"/>
      <c r="KJ15" s="17"/>
      <c r="KK15" s="18"/>
      <c r="KL15" s="17"/>
      <c r="KN15" s="18"/>
      <c r="KO15" s="19"/>
      <c r="KQ15" s="19"/>
      <c r="KS15" s="18"/>
      <c r="KT15" s="17"/>
      <c r="KU15" s="18"/>
      <c r="KV15" s="17"/>
      <c r="KX15" s="18"/>
      <c r="KY15" s="19"/>
      <c r="LA15" s="19"/>
      <c r="LC15" s="18"/>
      <c r="LD15" s="17"/>
      <c r="LE15" s="18"/>
      <c r="LF15" s="17"/>
      <c r="LH15" s="18"/>
      <c r="LI15" s="19"/>
      <c r="LK15" s="19"/>
      <c r="LM15" s="18"/>
      <c r="LN15" s="17"/>
      <c r="LO15" s="18"/>
      <c r="LP15" s="17"/>
      <c r="LR15" s="18"/>
      <c r="LS15" s="19"/>
      <c r="LU15" s="19"/>
      <c r="LW15" s="18"/>
      <c r="LX15" s="17"/>
      <c r="LY15" s="18"/>
      <c r="LZ15" s="17"/>
      <c r="MB15" s="18"/>
      <c r="MC15" s="19"/>
      <c r="ME15" s="19"/>
      <c r="MG15" s="18"/>
      <c r="MH15" s="17"/>
      <c r="MI15" s="18"/>
      <c r="MJ15" s="17"/>
      <c r="ML15" s="18"/>
      <c r="MM15" s="19"/>
      <c r="MO15" s="19"/>
      <c r="MQ15" s="18"/>
      <c r="MR15" s="17"/>
      <c r="MS15" s="18"/>
      <c r="MT15" s="17"/>
      <c r="MV15" s="18"/>
      <c r="MW15" s="19"/>
      <c r="MY15" s="19"/>
      <c r="NA15" s="18"/>
      <c r="NB15" s="17"/>
      <c r="NC15" s="18"/>
      <c r="ND15" s="17"/>
      <c r="NF15" s="18"/>
      <c r="NG15" s="19"/>
      <c r="NI15" s="19"/>
      <c r="NK15" s="18"/>
      <c r="NL15" s="17"/>
      <c r="NM15" s="18"/>
      <c r="NN15" s="17"/>
      <c r="NP15" s="18"/>
      <c r="NQ15" s="19"/>
      <c r="NS15" s="19"/>
      <c r="NU15" s="18"/>
      <c r="NV15" s="17"/>
      <c r="NW15" s="18"/>
      <c r="NX15" s="17"/>
      <c r="NZ15" s="18"/>
      <c r="OA15" s="19"/>
      <c r="OC15" s="19"/>
      <c r="OE15" s="16"/>
      <c r="OF15" s="17"/>
      <c r="OG15" s="16"/>
      <c r="OH15" s="17"/>
      <c r="OJ15" s="18"/>
      <c r="OK15" s="19"/>
      <c r="OM15" s="19"/>
      <c r="OO15" s="18"/>
      <c r="OP15" s="17"/>
      <c r="OQ15" s="18"/>
      <c r="OR15" s="17"/>
      <c r="OT15" s="18"/>
      <c r="OU15" s="19"/>
      <c r="OW15" s="19"/>
      <c r="OY15" s="18"/>
      <c r="OZ15" s="17"/>
      <c r="PA15" s="18"/>
      <c r="PB15" s="17"/>
      <c r="PD15" s="18"/>
      <c r="PE15" s="19"/>
      <c r="PG15" s="19"/>
      <c r="PI15" s="18"/>
      <c r="PJ15" s="17"/>
      <c r="PK15" s="18"/>
      <c r="PL15" s="17"/>
      <c r="PN15" s="18"/>
      <c r="PO15" s="19"/>
      <c r="PQ15" s="19"/>
      <c r="PS15" s="16"/>
      <c r="PT15" s="17"/>
      <c r="PU15" s="16"/>
      <c r="PV15" s="17"/>
      <c r="PX15" s="18"/>
      <c r="PY15" s="19"/>
      <c r="QA15" s="19"/>
      <c r="QC15" s="16"/>
      <c r="QD15" s="17"/>
      <c r="QE15" s="16"/>
      <c r="QF15" s="17"/>
      <c r="QH15" s="18"/>
      <c r="QI15" s="19"/>
      <c r="QK15" s="19"/>
      <c r="QM15" s="18"/>
      <c r="QN15" s="17"/>
      <c r="QO15" s="18"/>
      <c r="QP15" s="17"/>
      <c r="QR15" s="18"/>
      <c r="QS15" s="19"/>
      <c r="QU15" s="19"/>
      <c r="QW15" s="18"/>
      <c r="QX15" s="17"/>
      <c r="QY15" s="18"/>
      <c r="QZ15" s="17"/>
      <c r="RB15" s="18"/>
      <c r="RC15" s="19"/>
      <c r="RE15" s="19"/>
      <c r="RG15" s="18"/>
      <c r="RH15" s="17"/>
      <c r="RI15" s="18"/>
      <c r="RJ15" s="17"/>
      <c r="RL15" s="18"/>
      <c r="RM15" s="19"/>
      <c r="RO15" s="19"/>
      <c r="RQ15" s="18"/>
      <c r="RR15" s="17"/>
      <c r="RS15" s="18"/>
      <c r="RT15" s="17"/>
      <c r="RV15" s="18"/>
      <c r="RW15" s="19"/>
      <c r="RY15" s="19"/>
      <c r="SA15" s="16"/>
      <c r="SB15" s="17"/>
      <c r="SC15" s="16"/>
      <c r="SD15" s="17"/>
      <c r="SF15" s="18"/>
      <c r="SG15" s="19"/>
      <c r="SI15" s="19"/>
      <c r="SK15" s="18"/>
      <c r="SL15" s="17"/>
      <c r="SM15" s="18"/>
      <c r="SN15" s="17"/>
      <c r="SP15" s="18"/>
      <c r="SQ15" s="19"/>
      <c r="SS15" s="19"/>
      <c r="SU15" s="18"/>
      <c r="SV15" s="17"/>
      <c r="SW15" s="18"/>
      <c r="SX15" s="17"/>
      <c r="SZ15" s="18"/>
      <c r="TA15" s="19"/>
      <c r="TC15" s="19"/>
      <c r="TE15" s="18"/>
      <c r="TF15" s="17"/>
      <c r="TG15" s="18"/>
      <c r="TH15" s="17"/>
      <c r="TJ15" s="18"/>
      <c r="TK15" s="19"/>
      <c r="TM15" s="19"/>
      <c r="TO15" s="16"/>
      <c r="TP15" s="17"/>
      <c r="TQ15" s="16"/>
      <c r="TR15" s="17"/>
      <c r="TT15" s="18"/>
      <c r="TU15" s="19"/>
      <c r="TW15" s="19"/>
      <c r="TY15" s="18"/>
      <c r="TZ15" s="17"/>
      <c r="UA15" s="18"/>
      <c r="UB15" s="17"/>
      <c r="UD15" s="18"/>
      <c r="UE15" s="19"/>
      <c r="UG15" s="19"/>
      <c r="UI15" s="16"/>
      <c r="UJ15" s="17"/>
      <c r="UK15" s="16"/>
      <c r="UL15" s="17"/>
      <c r="UN15" s="18"/>
      <c r="UO15" s="19"/>
      <c r="UQ15" s="19"/>
      <c r="US15" s="16"/>
      <c r="UT15" s="17"/>
      <c r="UU15" s="16"/>
      <c r="UV15" s="17"/>
      <c r="UX15" s="18"/>
      <c r="UY15" s="19"/>
      <c r="VA15" s="19"/>
      <c r="VC15" s="18"/>
      <c r="VD15" s="17"/>
      <c r="VE15" s="18"/>
      <c r="VF15" s="17"/>
      <c r="VH15" s="18"/>
      <c r="VI15" s="19"/>
      <c r="VK15" s="19"/>
      <c r="VM15" s="18"/>
      <c r="VN15" s="17"/>
      <c r="VO15" s="18"/>
      <c r="VP15" s="17"/>
      <c r="VR15" s="18"/>
      <c r="VS15" s="19"/>
      <c r="VU15" s="19"/>
      <c r="VW15" s="16"/>
      <c r="VX15" s="17"/>
      <c r="VY15" s="16"/>
      <c r="VZ15" s="17"/>
      <c r="WB15" s="18"/>
      <c r="WC15" s="19"/>
      <c r="WE15" s="19"/>
      <c r="WG15" s="18"/>
      <c r="WH15" s="17"/>
      <c r="WI15" s="18"/>
      <c r="WJ15" s="17"/>
      <c r="WL15" s="18"/>
      <c r="WM15" s="19"/>
      <c r="WO15" s="19"/>
      <c r="WQ15" s="18"/>
      <c r="WR15" s="17"/>
      <c r="WS15" s="18"/>
      <c r="WT15" s="17"/>
      <c r="WV15" s="18"/>
      <c r="WW15" s="19"/>
      <c r="WY15" s="19"/>
      <c r="XA15" s="18"/>
      <c r="XB15" s="17"/>
      <c r="XC15" s="18"/>
      <c r="XD15" s="17"/>
      <c r="XF15" s="18"/>
      <c r="XG15" s="19"/>
      <c r="XI15" s="19"/>
      <c r="XK15" s="18"/>
      <c r="XL15" s="17"/>
      <c r="XM15" s="18"/>
      <c r="XN15" s="17"/>
      <c r="XP15" s="18"/>
      <c r="XQ15" s="19"/>
      <c r="XS15" s="19"/>
      <c r="XU15" s="18"/>
      <c r="XV15" s="17"/>
      <c r="XW15" s="18"/>
      <c r="XX15" s="17"/>
      <c r="XZ15" s="18"/>
      <c r="YA15" s="19"/>
      <c r="YC15" s="19"/>
      <c r="YE15" s="18"/>
      <c r="YF15" s="17"/>
      <c r="YG15" s="18"/>
      <c r="YH15" s="17"/>
      <c r="YJ15" s="18"/>
      <c r="YK15" s="19"/>
      <c r="YM15" s="19"/>
      <c r="YO15" s="18"/>
      <c r="YP15" s="17"/>
      <c r="YQ15" s="18"/>
      <c r="YR15" s="17"/>
      <c r="YT15" s="18"/>
      <c r="YU15" s="19"/>
      <c r="YW15" s="19"/>
      <c r="YY15" s="16"/>
      <c r="YZ15" s="17"/>
      <c r="ZA15" s="16"/>
      <c r="ZB15" s="17"/>
      <c r="ZD15" s="18"/>
      <c r="ZE15" s="19"/>
      <c r="ZG15" s="19"/>
      <c r="ZI15" s="18"/>
      <c r="ZJ15" s="17"/>
      <c r="ZK15" s="18"/>
      <c r="ZL15" s="17"/>
      <c r="ZN15" s="18"/>
      <c r="ZO15" s="19"/>
      <c r="ZQ15" s="19"/>
      <c r="ZS15" s="18"/>
      <c r="ZT15" s="17"/>
      <c r="ZU15" s="18"/>
      <c r="ZV15" s="17"/>
      <c r="ZX15" s="18"/>
      <c r="ZY15" s="19"/>
      <c r="AAA15" s="19"/>
      <c r="AAC15" s="18"/>
      <c r="AAD15" s="17"/>
      <c r="AAE15" s="18"/>
      <c r="AAF15" s="17"/>
      <c r="AAH15" s="18"/>
      <c r="AAI15" s="19"/>
      <c r="AAK15" s="19"/>
      <c r="AAM15" s="18"/>
      <c r="AAN15" s="17"/>
      <c r="AAO15" s="18"/>
      <c r="AAP15" s="17"/>
      <c r="AAR15" s="18"/>
      <c r="AAS15" s="19"/>
      <c r="AAU15" s="19"/>
      <c r="AAW15" s="16"/>
      <c r="AAX15" s="17"/>
      <c r="AAY15" s="16"/>
      <c r="AAZ15" s="17"/>
      <c r="ABB15" s="18"/>
      <c r="ABC15" s="19"/>
      <c r="ABE15" s="19"/>
      <c r="ABG15" s="18"/>
      <c r="ABH15" s="17"/>
      <c r="ABI15" s="18"/>
      <c r="ABJ15" s="17"/>
      <c r="ABL15" s="18"/>
      <c r="ABM15" s="19"/>
      <c r="ABO15" s="19"/>
      <c r="ABQ15" s="18"/>
      <c r="ABR15" s="17"/>
      <c r="ABS15" s="18"/>
      <c r="ABT15" s="17"/>
      <c r="ABV15" s="18"/>
      <c r="ABW15" s="19"/>
      <c r="ABY15" s="19"/>
      <c r="ACA15" s="18"/>
      <c r="ACB15" s="17"/>
      <c r="ACC15" s="18"/>
      <c r="ACD15" s="17"/>
      <c r="ACF15" s="18"/>
      <c r="ACG15" s="19"/>
      <c r="ACI15" s="19"/>
      <c r="ACK15" s="16"/>
      <c r="ACL15" s="17"/>
      <c r="ACM15" s="16"/>
      <c r="ACN15" s="17"/>
      <c r="ACP15" s="18"/>
      <c r="ACQ15" s="19"/>
      <c r="ACS15" s="19"/>
      <c r="ACU15" s="16"/>
      <c r="ACV15" s="17"/>
      <c r="ACW15" s="16"/>
      <c r="ACX15" s="17"/>
      <c r="ACZ15" s="18"/>
      <c r="ADA15" s="19"/>
      <c r="ADC15" s="19"/>
      <c r="ADE15" s="18"/>
      <c r="ADF15" s="17"/>
      <c r="ADG15" s="18"/>
      <c r="ADH15" s="17"/>
      <c r="ADJ15" s="18"/>
      <c r="ADK15" s="19"/>
      <c r="ADM15" s="19"/>
      <c r="ADO15" s="18"/>
      <c r="ADP15" s="17"/>
      <c r="ADQ15" s="18"/>
      <c r="ADR15" s="17"/>
      <c r="ADT15" s="18"/>
      <c r="ADU15" s="19"/>
      <c r="ADW15" s="19"/>
      <c r="ADY15" s="18"/>
      <c r="ADZ15" s="17"/>
      <c r="AEA15" s="18"/>
      <c r="AEB15" s="17"/>
      <c r="AED15" s="18"/>
      <c r="AEE15" s="19"/>
      <c r="AEG15" s="19"/>
      <c r="AEI15" s="16"/>
      <c r="AEJ15" s="17"/>
      <c r="AEK15" s="16"/>
      <c r="AEL15" s="17"/>
      <c r="AEN15" s="18"/>
      <c r="AEO15" s="19"/>
      <c r="AEQ15" s="19"/>
      <c r="AES15" s="18"/>
      <c r="AET15" s="17"/>
      <c r="AEU15" s="18"/>
      <c r="AEV15" s="17"/>
      <c r="AEX15" s="18"/>
      <c r="AEY15" s="19"/>
      <c r="AFA15" s="19"/>
      <c r="AFC15" s="18"/>
      <c r="AFD15" s="17"/>
      <c r="AFE15" s="18"/>
      <c r="AFF15" s="17"/>
      <c r="AFH15" s="18"/>
      <c r="AFI15" s="19"/>
      <c r="AFK15" s="19"/>
      <c r="AFM15" s="16"/>
      <c r="AFN15" s="17"/>
      <c r="AFO15" s="16"/>
      <c r="AFP15" s="17"/>
      <c r="AFR15" s="18"/>
      <c r="AFS15" s="19"/>
      <c r="AFU15" s="19"/>
      <c r="AFW15" s="16"/>
      <c r="AFX15" s="17"/>
      <c r="AFY15" s="16"/>
      <c r="AFZ15" s="17"/>
      <c r="AGB15" s="18"/>
      <c r="AGC15" s="19"/>
      <c r="AGE15" s="19"/>
      <c r="AGG15" s="16"/>
      <c r="AGH15" s="17"/>
      <c r="AGI15" s="16"/>
      <c r="AGJ15" s="17"/>
      <c r="AGL15" s="18"/>
      <c r="AGM15" s="19"/>
      <c r="AGO15" s="19"/>
      <c r="AGQ15" s="18"/>
      <c r="AGR15" s="17"/>
      <c r="AGS15" s="18"/>
      <c r="AGT15" s="17"/>
      <c r="AGV15" s="18"/>
      <c r="AGW15" s="19"/>
      <c r="AGY15" s="19"/>
      <c r="AHA15" s="18"/>
      <c r="AHB15" s="17"/>
      <c r="AHC15" s="18"/>
      <c r="AHD15" s="17"/>
      <c r="AHF15" s="18"/>
      <c r="AHG15" s="19"/>
      <c r="AHI15" s="19"/>
      <c r="AHK15" s="18"/>
      <c r="AHL15" s="17"/>
      <c r="AHM15" s="18"/>
      <c r="AHN15" s="17"/>
      <c r="AHP15" s="18"/>
      <c r="AHQ15" s="19"/>
      <c r="AHS15" s="19"/>
      <c r="AHU15" s="16"/>
      <c r="AHV15" s="17"/>
      <c r="AHW15" s="16"/>
      <c r="AHX15" s="17"/>
      <c r="AHZ15" s="18"/>
      <c r="AIA15" s="19"/>
      <c r="AIC15" s="19"/>
      <c r="AIE15" s="18"/>
      <c r="AIF15" s="17"/>
      <c r="AIG15" s="18"/>
      <c r="AIH15" s="17"/>
      <c r="AIJ15" s="18"/>
      <c r="AIK15" s="19"/>
      <c r="AIM15" s="19"/>
      <c r="AIO15" s="18"/>
      <c r="AIP15" s="17"/>
      <c r="AIQ15" s="18"/>
      <c r="AIR15" s="17"/>
      <c r="AIT15" s="18"/>
      <c r="AIU15" s="19"/>
      <c r="AIW15" s="19"/>
      <c r="AIY15" s="16"/>
      <c r="AIZ15" s="17"/>
      <c r="AJA15" s="16"/>
      <c r="AJB15" s="17"/>
      <c r="AJD15" s="18"/>
      <c r="AJE15" s="19"/>
      <c r="AJG15" s="19"/>
      <c r="AJI15" s="18"/>
      <c r="AJJ15" s="17"/>
      <c r="AJK15" s="18"/>
      <c r="AJL15" s="17"/>
      <c r="AJN15" s="18"/>
      <c r="AJO15" s="19"/>
      <c r="AJQ15" s="19"/>
      <c r="AJS15" s="16"/>
      <c r="AJT15" s="17"/>
      <c r="AJU15" s="16"/>
      <c r="AJV15" s="17"/>
      <c r="AJX15" s="18"/>
      <c r="AJY15" s="19"/>
      <c r="AKA15" s="19"/>
      <c r="AKC15" s="18"/>
      <c r="AKD15" s="17"/>
      <c r="AKE15" s="18"/>
      <c r="AKF15" s="17"/>
      <c r="AKH15" s="18"/>
      <c r="AKI15" s="19"/>
      <c r="AKK15" s="19"/>
      <c r="AKM15" s="16"/>
      <c r="AKN15" s="17"/>
      <c r="AKO15" s="16"/>
      <c r="AKP15" s="17"/>
      <c r="AKR15" s="18"/>
      <c r="AKS15" s="19"/>
      <c r="AKU15" s="19"/>
      <c r="AKW15" s="16"/>
      <c r="AKX15" s="17"/>
      <c r="AKY15" s="16"/>
      <c r="AKZ15" s="17"/>
      <c r="ALB15" s="18"/>
      <c r="ALC15" s="19"/>
      <c r="ALE15" s="19"/>
      <c r="ALG15" s="16"/>
      <c r="ALH15" s="17"/>
      <c r="ALI15" s="16"/>
      <c r="ALJ15" s="17"/>
      <c r="ALL15" s="18"/>
      <c r="ALM15" s="19"/>
      <c r="ALO15" s="19"/>
      <c r="ALQ15" s="16"/>
      <c r="ALR15" s="17"/>
      <c r="ALS15" s="16"/>
      <c r="ALT15" s="17"/>
      <c r="ALV15" s="18"/>
      <c r="ALW15" s="19"/>
      <c r="ALY15" s="19"/>
      <c r="AMA15" s="18"/>
      <c r="AMB15" s="17"/>
      <c r="AMC15" s="18"/>
      <c r="AMD15" s="17"/>
      <c r="AMF15" s="18"/>
      <c r="AMG15" s="19"/>
      <c r="AMI15" s="19"/>
      <c r="AMK15" s="18"/>
      <c r="AML15" s="17"/>
      <c r="AMM15" s="18"/>
      <c r="AMN15" s="17"/>
      <c r="AMP15" s="18"/>
      <c r="AMQ15" s="19"/>
      <c r="AMS15" s="19"/>
      <c r="AMU15" s="18"/>
      <c r="AMV15" s="17"/>
      <c r="AMW15" s="18"/>
      <c r="AMX15" s="17"/>
      <c r="AMZ15" s="18"/>
      <c r="ANA15" s="19"/>
      <c r="ANC15" s="19"/>
      <c r="ANE15" s="18"/>
      <c r="ANF15" s="17"/>
      <c r="ANG15" s="18"/>
      <c r="ANH15" s="17"/>
      <c r="ANJ15" s="18"/>
      <c r="ANK15" s="19"/>
      <c r="ANM15" s="19"/>
      <c r="ANO15" s="18"/>
      <c r="ANP15" s="17"/>
      <c r="ANQ15" s="18"/>
      <c r="ANR15" s="17"/>
      <c r="ANT15" s="18"/>
      <c r="ANU15" s="19"/>
      <c r="ANW15" s="19"/>
      <c r="ANY15" s="18"/>
      <c r="ANZ15" s="17"/>
      <c r="AOA15" s="18"/>
      <c r="AOB15" s="17"/>
      <c r="AOD15" s="18"/>
      <c r="AOE15" s="19"/>
      <c r="AOG15" s="19"/>
      <c r="AOI15" s="18"/>
      <c r="AOJ15" s="17"/>
      <c r="AOK15" s="18"/>
      <c r="AOL15" s="17"/>
      <c r="AON15" s="18"/>
      <c r="AOO15" s="19"/>
      <c r="AOQ15" s="19"/>
      <c r="AOS15" s="18"/>
      <c r="AOT15" s="17"/>
      <c r="AOU15" s="18"/>
      <c r="AOV15" s="17"/>
      <c r="AOX15" s="18"/>
      <c r="AOY15" s="19"/>
      <c r="APA15" s="19"/>
      <c r="APC15" s="18"/>
      <c r="APD15" s="17"/>
      <c r="APE15" s="18"/>
      <c r="APF15" s="17"/>
      <c r="APH15" s="18"/>
      <c r="API15" s="19"/>
      <c r="APK15" s="19"/>
      <c r="APM15" s="18"/>
      <c r="APN15" s="17"/>
      <c r="APO15" s="18"/>
      <c r="APP15" s="17"/>
      <c r="APR15" s="18"/>
      <c r="APS15" s="19"/>
      <c r="APU15" s="19"/>
      <c r="APW15" s="109"/>
      <c r="APX15" s="110"/>
      <c r="APY15" s="109"/>
      <c r="APZ15" s="110"/>
      <c r="AQA15" s="100"/>
      <c r="AQB15" s="109"/>
      <c r="AQC15" s="111"/>
      <c r="AQD15" s="100"/>
      <c r="AQE15" s="111"/>
      <c r="AQG15" s="16"/>
      <c r="AQH15" s="17"/>
      <c r="AQI15" s="16"/>
      <c r="AQJ15" s="17"/>
      <c r="AQL15" s="18"/>
      <c r="AQM15" s="19"/>
      <c r="AQO15" s="19"/>
    </row>
    <row r="16" spans="1:1133" s="21" customFormat="1" ht="11.25" x14ac:dyDescent="0.2">
      <c r="A16" s="20" t="s">
        <v>38</v>
      </c>
      <c r="B16" s="4" t="s">
        <v>14</v>
      </c>
      <c r="C16" s="4" t="s">
        <v>15</v>
      </c>
      <c r="E16" s="74" t="s">
        <v>39</v>
      </c>
      <c r="F16" s="75"/>
      <c r="G16" s="74" t="s">
        <v>40</v>
      </c>
      <c r="H16" s="75"/>
      <c r="I16" s="4" t="s">
        <v>18</v>
      </c>
      <c r="J16" s="4" t="s">
        <v>19</v>
      </c>
      <c r="K16" s="4" t="s">
        <v>20</v>
      </c>
      <c r="L16" s="15"/>
      <c r="M16" s="15"/>
      <c r="O16" s="74" t="s">
        <v>39</v>
      </c>
      <c r="P16" s="75"/>
      <c r="Q16" s="74" t="s">
        <v>40</v>
      </c>
      <c r="R16" s="75"/>
      <c r="S16" s="4" t="s">
        <v>18</v>
      </c>
      <c r="T16" s="4" t="s">
        <v>19</v>
      </c>
      <c r="U16" s="4" t="s">
        <v>20</v>
      </c>
      <c r="V16" s="15"/>
      <c r="W16" s="15"/>
      <c r="Y16" s="74" t="s">
        <v>39</v>
      </c>
      <c r="Z16" s="75"/>
      <c r="AA16" s="74" t="s">
        <v>40</v>
      </c>
      <c r="AB16" s="75"/>
      <c r="AC16" s="4" t="s">
        <v>18</v>
      </c>
      <c r="AD16" s="4" t="s">
        <v>19</v>
      </c>
      <c r="AE16" s="4" t="s">
        <v>20</v>
      </c>
      <c r="AF16" s="15"/>
      <c r="AG16" s="15"/>
      <c r="AI16" s="74" t="s">
        <v>39</v>
      </c>
      <c r="AJ16" s="75"/>
      <c r="AK16" s="74" t="s">
        <v>40</v>
      </c>
      <c r="AL16" s="75"/>
      <c r="AM16" s="4" t="s">
        <v>18</v>
      </c>
      <c r="AN16" s="4" t="s">
        <v>19</v>
      </c>
      <c r="AO16" s="4" t="s">
        <v>20</v>
      </c>
      <c r="AP16" s="15"/>
      <c r="AQ16" s="15"/>
      <c r="AS16" s="74" t="s">
        <v>39</v>
      </c>
      <c r="AT16" s="75"/>
      <c r="AU16" s="74" t="s">
        <v>40</v>
      </c>
      <c r="AV16" s="75"/>
      <c r="AW16" s="4" t="s">
        <v>18</v>
      </c>
      <c r="AX16" s="4" t="s">
        <v>19</v>
      </c>
      <c r="AY16" s="4" t="s">
        <v>20</v>
      </c>
      <c r="AZ16" s="15"/>
      <c r="BA16" s="15"/>
      <c r="BC16" s="74" t="s">
        <v>39</v>
      </c>
      <c r="BD16" s="75"/>
      <c r="BE16" s="74" t="s">
        <v>40</v>
      </c>
      <c r="BF16" s="75"/>
      <c r="BG16" s="4" t="s">
        <v>18</v>
      </c>
      <c r="BH16" s="4" t="s">
        <v>19</v>
      </c>
      <c r="BI16" s="4" t="s">
        <v>20</v>
      </c>
      <c r="BJ16" s="15"/>
      <c r="BK16" s="15"/>
      <c r="BM16" s="74" t="s">
        <v>39</v>
      </c>
      <c r="BN16" s="75"/>
      <c r="BO16" s="74" t="s">
        <v>40</v>
      </c>
      <c r="BP16" s="75"/>
      <c r="BQ16" s="4" t="s">
        <v>18</v>
      </c>
      <c r="BR16" s="4" t="s">
        <v>19</v>
      </c>
      <c r="BS16" s="4" t="s">
        <v>20</v>
      </c>
      <c r="BT16" s="15"/>
      <c r="BU16" s="15"/>
      <c r="BW16" s="74" t="s">
        <v>39</v>
      </c>
      <c r="BX16" s="75"/>
      <c r="BY16" s="74" t="s">
        <v>40</v>
      </c>
      <c r="BZ16" s="75"/>
      <c r="CA16" s="4" t="s">
        <v>18</v>
      </c>
      <c r="CB16" s="4" t="s">
        <v>19</v>
      </c>
      <c r="CC16" s="4" t="s">
        <v>20</v>
      </c>
      <c r="CD16" s="15"/>
      <c r="CE16" s="15"/>
      <c r="CG16" s="74" t="s">
        <v>39</v>
      </c>
      <c r="CH16" s="75"/>
      <c r="CI16" s="74" t="s">
        <v>40</v>
      </c>
      <c r="CJ16" s="75"/>
      <c r="CK16" s="4" t="s">
        <v>18</v>
      </c>
      <c r="CL16" s="4" t="s">
        <v>19</v>
      </c>
      <c r="CM16" s="4" t="s">
        <v>20</v>
      </c>
      <c r="CN16" s="15"/>
      <c r="CO16" s="15"/>
      <c r="CQ16" s="74" t="s">
        <v>39</v>
      </c>
      <c r="CR16" s="75"/>
      <c r="CS16" s="74" t="s">
        <v>40</v>
      </c>
      <c r="CT16" s="75"/>
      <c r="CU16" s="4" t="s">
        <v>18</v>
      </c>
      <c r="CV16" s="4" t="s">
        <v>19</v>
      </c>
      <c r="CW16" s="4" t="s">
        <v>20</v>
      </c>
      <c r="CX16" s="15"/>
      <c r="CY16" s="15"/>
      <c r="DA16" s="74" t="s">
        <v>39</v>
      </c>
      <c r="DB16" s="75"/>
      <c r="DC16" s="74" t="s">
        <v>40</v>
      </c>
      <c r="DD16" s="75"/>
      <c r="DE16" s="4" t="s">
        <v>18</v>
      </c>
      <c r="DF16" s="4" t="s">
        <v>19</v>
      </c>
      <c r="DG16" s="4" t="s">
        <v>20</v>
      </c>
      <c r="DH16" s="15"/>
      <c r="DI16" s="15"/>
      <c r="DK16" s="74" t="s">
        <v>39</v>
      </c>
      <c r="DL16" s="75"/>
      <c r="DM16" s="74" t="s">
        <v>40</v>
      </c>
      <c r="DN16" s="75"/>
      <c r="DO16" s="4" t="s">
        <v>18</v>
      </c>
      <c r="DP16" s="4" t="s">
        <v>19</v>
      </c>
      <c r="DQ16" s="4" t="s">
        <v>20</v>
      </c>
      <c r="DR16" s="15"/>
      <c r="DS16" s="15"/>
      <c r="DU16" s="74" t="s">
        <v>39</v>
      </c>
      <c r="DV16" s="75"/>
      <c r="DW16" s="74" t="s">
        <v>40</v>
      </c>
      <c r="DX16" s="75"/>
      <c r="DY16" s="4" t="s">
        <v>18</v>
      </c>
      <c r="DZ16" s="4" t="s">
        <v>19</v>
      </c>
      <c r="EA16" s="4" t="s">
        <v>20</v>
      </c>
      <c r="EB16" s="15"/>
      <c r="EC16" s="15"/>
      <c r="EE16" s="74" t="s">
        <v>39</v>
      </c>
      <c r="EF16" s="75"/>
      <c r="EG16" s="74" t="s">
        <v>40</v>
      </c>
      <c r="EH16" s="75"/>
      <c r="EI16" s="4" t="s">
        <v>18</v>
      </c>
      <c r="EJ16" s="4" t="s">
        <v>19</v>
      </c>
      <c r="EK16" s="4" t="s">
        <v>20</v>
      </c>
      <c r="EL16" s="15"/>
      <c r="EM16" s="15"/>
      <c r="EO16" s="74" t="s">
        <v>39</v>
      </c>
      <c r="EP16" s="75"/>
      <c r="EQ16" s="74" t="s">
        <v>40</v>
      </c>
      <c r="ER16" s="75"/>
      <c r="ES16" s="4" t="s">
        <v>18</v>
      </c>
      <c r="ET16" s="4" t="s">
        <v>19</v>
      </c>
      <c r="EU16" s="4" t="s">
        <v>20</v>
      </c>
      <c r="EV16" s="15"/>
      <c r="EW16" s="15"/>
      <c r="EY16" s="74" t="s">
        <v>39</v>
      </c>
      <c r="EZ16" s="75"/>
      <c r="FA16" s="74" t="s">
        <v>40</v>
      </c>
      <c r="FB16" s="75"/>
      <c r="FC16" s="4" t="s">
        <v>18</v>
      </c>
      <c r="FD16" s="4" t="s">
        <v>19</v>
      </c>
      <c r="FE16" s="4" t="s">
        <v>20</v>
      </c>
      <c r="FF16" s="15"/>
      <c r="FG16" s="15"/>
      <c r="FI16" s="74" t="s">
        <v>39</v>
      </c>
      <c r="FJ16" s="75"/>
      <c r="FK16" s="74" t="s">
        <v>40</v>
      </c>
      <c r="FL16" s="75"/>
      <c r="FM16" s="4" t="s">
        <v>18</v>
      </c>
      <c r="FN16" s="4" t="s">
        <v>19</v>
      </c>
      <c r="FO16" s="4" t="s">
        <v>20</v>
      </c>
      <c r="FP16" s="15"/>
      <c r="FQ16" s="15"/>
      <c r="FS16" s="74" t="s">
        <v>39</v>
      </c>
      <c r="FT16" s="75"/>
      <c r="FU16" s="74" t="s">
        <v>40</v>
      </c>
      <c r="FV16" s="75"/>
      <c r="FW16" s="4" t="s">
        <v>18</v>
      </c>
      <c r="FX16" s="4" t="s">
        <v>19</v>
      </c>
      <c r="FY16" s="4" t="s">
        <v>20</v>
      </c>
      <c r="FZ16" s="15"/>
      <c r="GA16" s="15"/>
      <c r="GC16" s="74" t="s">
        <v>39</v>
      </c>
      <c r="GD16" s="75"/>
      <c r="GE16" s="74" t="s">
        <v>40</v>
      </c>
      <c r="GF16" s="75"/>
      <c r="GG16" s="4" t="s">
        <v>18</v>
      </c>
      <c r="GH16" s="4" t="s">
        <v>19</v>
      </c>
      <c r="GI16" s="4" t="s">
        <v>20</v>
      </c>
      <c r="GJ16" s="15"/>
      <c r="GK16" s="15"/>
      <c r="GM16" s="74" t="s">
        <v>39</v>
      </c>
      <c r="GN16" s="75"/>
      <c r="GO16" s="74" t="s">
        <v>40</v>
      </c>
      <c r="GP16" s="75"/>
      <c r="GQ16" s="4" t="s">
        <v>18</v>
      </c>
      <c r="GR16" s="4" t="s">
        <v>19</v>
      </c>
      <c r="GS16" s="4" t="s">
        <v>20</v>
      </c>
      <c r="GT16" s="15"/>
      <c r="GU16" s="15"/>
      <c r="GW16" s="74" t="s">
        <v>39</v>
      </c>
      <c r="GX16" s="75"/>
      <c r="GY16" s="74" t="s">
        <v>40</v>
      </c>
      <c r="GZ16" s="75"/>
      <c r="HA16" s="4" t="s">
        <v>18</v>
      </c>
      <c r="HB16" s="4" t="s">
        <v>19</v>
      </c>
      <c r="HC16" s="4" t="s">
        <v>20</v>
      </c>
      <c r="HD16" s="15"/>
      <c r="HE16" s="15"/>
      <c r="HG16" s="74" t="s">
        <v>39</v>
      </c>
      <c r="HH16" s="75"/>
      <c r="HI16" s="74" t="s">
        <v>40</v>
      </c>
      <c r="HJ16" s="75"/>
      <c r="HK16" s="4" t="s">
        <v>18</v>
      </c>
      <c r="HL16" s="4" t="s">
        <v>19</v>
      </c>
      <c r="HM16" s="4" t="s">
        <v>20</v>
      </c>
      <c r="HN16" s="15"/>
      <c r="HO16" s="15"/>
      <c r="HQ16" s="74" t="s">
        <v>39</v>
      </c>
      <c r="HR16" s="75"/>
      <c r="HS16" s="74" t="s">
        <v>40</v>
      </c>
      <c r="HT16" s="75"/>
      <c r="HU16" s="4" t="s">
        <v>18</v>
      </c>
      <c r="HV16" s="4" t="s">
        <v>19</v>
      </c>
      <c r="HW16" s="4" t="s">
        <v>20</v>
      </c>
      <c r="HX16" s="15"/>
      <c r="HY16" s="15"/>
      <c r="IA16" s="74" t="s">
        <v>39</v>
      </c>
      <c r="IB16" s="75"/>
      <c r="IC16" s="74" t="s">
        <v>40</v>
      </c>
      <c r="ID16" s="75"/>
      <c r="IE16" s="4" t="s">
        <v>18</v>
      </c>
      <c r="IF16" s="4" t="s">
        <v>19</v>
      </c>
      <c r="IG16" s="4" t="s">
        <v>20</v>
      </c>
      <c r="IH16" s="15"/>
      <c r="II16" s="15"/>
      <c r="IK16" s="74" t="s">
        <v>39</v>
      </c>
      <c r="IL16" s="75"/>
      <c r="IM16" s="74" t="s">
        <v>40</v>
      </c>
      <c r="IN16" s="75"/>
      <c r="IO16" s="4" t="s">
        <v>18</v>
      </c>
      <c r="IP16" s="4" t="s">
        <v>19</v>
      </c>
      <c r="IQ16" s="4" t="s">
        <v>20</v>
      </c>
      <c r="IR16" s="15"/>
      <c r="IS16" s="15"/>
      <c r="IU16" s="74" t="s">
        <v>39</v>
      </c>
      <c r="IV16" s="75"/>
      <c r="IW16" s="74" t="s">
        <v>40</v>
      </c>
      <c r="IX16" s="75"/>
      <c r="IY16" s="4" t="s">
        <v>18</v>
      </c>
      <c r="IZ16" s="4" t="s">
        <v>19</v>
      </c>
      <c r="JA16" s="4" t="s">
        <v>20</v>
      </c>
      <c r="JB16" s="15"/>
      <c r="JC16" s="15"/>
      <c r="JE16" s="74" t="s">
        <v>39</v>
      </c>
      <c r="JF16" s="75"/>
      <c r="JG16" s="74" t="s">
        <v>40</v>
      </c>
      <c r="JH16" s="75"/>
      <c r="JI16" s="4" t="s">
        <v>18</v>
      </c>
      <c r="JJ16" s="4" t="s">
        <v>19</v>
      </c>
      <c r="JK16" s="4" t="s">
        <v>20</v>
      </c>
      <c r="JL16" s="15"/>
      <c r="JM16" s="15"/>
      <c r="JO16" s="74" t="s">
        <v>39</v>
      </c>
      <c r="JP16" s="75"/>
      <c r="JQ16" s="74" t="s">
        <v>40</v>
      </c>
      <c r="JR16" s="75"/>
      <c r="JS16" s="4" t="s">
        <v>18</v>
      </c>
      <c r="JT16" s="4" t="s">
        <v>19</v>
      </c>
      <c r="JU16" s="4" t="s">
        <v>20</v>
      </c>
      <c r="JV16" s="15"/>
      <c r="JW16" s="15"/>
      <c r="JY16" s="74" t="s">
        <v>39</v>
      </c>
      <c r="JZ16" s="75"/>
      <c r="KA16" s="74" t="s">
        <v>40</v>
      </c>
      <c r="KB16" s="75"/>
      <c r="KC16" s="4" t="s">
        <v>18</v>
      </c>
      <c r="KD16" s="4" t="s">
        <v>19</v>
      </c>
      <c r="KE16" s="4" t="s">
        <v>20</v>
      </c>
      <c r="KF16" s="15"/>
      <c r="KG16" s="15"/>
      <c r="KI16" s="74" t="s">
        <v>39</v>
      </c>
      <c r="KJ16" s="75"/>
      <c r="KK16" s="74" t="s">
        <v>40</v>
      </c>
      <c r="KL16" s="75"/>
      <c r="KM16" s="4" t="s">
        <v>18</v>
      </c>
      <c r="KN16" s="4" t="s">
        <v>19</v>
      </c>
      <c r="KO16" s="4" t="s">
        <v>20</v>
      </c>
      <c r="KP16" s="15"/>
      <c r="KQ16" s="15"/>
      <c r="KS16" s="74" t="s">
        <v>39</v>
      </c>
      <c r="KT16" s="75"/>
      <c r="KU16" s="74" t="s">
        <v>40</v>
      </c>
      <c r="KV16" s="75"/>
      <c r="KW16" s="4" t="s">
        <v>18</v>
      </c>
      <c r="KX16" s="4" t="s">
        <v>19</v>
      </c>
      <c r="KY16" s="4" t="s">
        <v>20</v>
      </c>
      <c r="KZ16" s="15"/>
      <c r="LA16" s="15"/>
      <c r="LC16" s="74" t="s">
        <v>39</v>
      </c>
      <c r="LD16" s="75"/>
      <c r="LE16" s="74" t="s">
        <v>40</v>
      </c>
      <c r="LF16" s="75"/>
      <c r="LG16" s="4" t="s">
        <v>18</v>
      </c>
      <c r="LH16" s="4" t="s">
        <v>19</v>
      </c>
      <c r="LI16" s="4" t="s">
        <v>20</v>
      </c>
      <c r="LJ16" s="15"/>
      <c r="LK16" s="15"/>
      <c r="LM16" s="74" t="s">
        <v>39</v>
      </c>
      <c r="LN16" s="75"/>
      <c r="LO16" s="74" t="s">
        <v>40</v>
      </c>
      <c r="LP16" s="75"/>
      <c r="LQ16" s="4" t="s">
        <v>18</v>
      </c>
      <c r="LR16" s="4" t="s">
        <v>19</v>
      </c>
      <c r="LS16" s="4" t="s">
        <v>20</v>
      </c>
      <c r="LT16" s="15"/>
      <c r="LU16" s="15"/>
      <c r="LW16" s="74" t="s">
        <v>39</v>
      </c>
      <c r="LX16" s="75"/>
      <c r="LY16" s="74" t="s">
        <v>40</v>
      </c>
      <c r="LZ16" s="75"/>
      <c r="MA16" s="4" t="s">
        <v>18</v>
      </c>
      <c r="MB16" s="4" t="s">
        <v>19</v>
      </c>
      <c r="MC16" s="4" t="s">
        <v>20</v>
      </c>
      <c r="MD16" s="15"/>
      <c r="ME16" s="15"/>
      <c r="MG16" s="74" t="s">
        <v>39</v>
      </c>
      <c r="MH16" s="75"/>
      <c r="MI16" s="74" t="s">
        <v>40</v>
      </c>
      <c r="MJ16" s="75"/>
      <c r="MK16" s="4" t="s">
        <v>18</v>
      </c>
      <c r="ML16" s="4" t="s">
        <v>19</v>
      </c>
      <c r="MM16" s="4" t="s">
        <v>20</v>
      </c>
      <c r="MN16" s="15"/>
      <c r="MO16" s="15"/>
      <c r="MQ16" s="74" t="s">
        <v>39</v>
      </c>
      <c r="MR16" s="75"/>
      <c r="MS16" s="74" t="s">
        <v>40</v>
      </c>
      <c r="MT16" s="75"/>
      <c r="MU16" s="4" t="s">
        <v>18</v>
      </c>
      <c r="MV16" s="4" t="s">
        <v>19</v>
      </c>
      <c r="MW16" s="4" t="s">
        <v>20</v>
      </c>
      <c r="MX16" s="15"/>
      <c r="MY16" s="15"/>
      <c r="NA16" s="74" t="s">
        <v>39</v>
      </c>
      <c r="NB16" s="75"/>
      <c r="NC16" s="74" t="s">
        <v>40</v>
      </c>
      <c r="ND16" s="75"/>
      <c r="NE16" s="4" t="s">
        <v>18</v>
      </c>
      <c r="NF16" s="4" t="s">
        <v>19</v>
      </c>
      <c r="NG16" s="4" t="s">
        <v>20</v>
      </c>
      <c r="NH16" s="15"/>
      <c r="NI16" s="15"/>
      <c r="NK16" s="74" t="s">
        <v>39</v>
      </c>
      <c r="NL16" s="75"/>
      <c r="NM16" s="74" t="s">
        <v>40</v>
      </c>
      <c r="NN16" s="75"/>
      <c r="NO16" s="4" t="s">
        <v>18</v>
      </c>
      <c r="NP16" s="4" t="s">
        <v>19</v>
      </c>
      <c r="NQ16" s="4" t="s">
        <v>20</v>
      </c>
      <c r="NR16" s="15"/>
      <c r="NS16" s="15"/>
      <c r="NU16" s="74" t="s">
        <v>39</v>
      </c>
      <c r="NV16" s="75"/>
      <c r="NW16" s="74" t="s">
        <v>40</v>
      </c>
      <c r="NX16" s="75"/>
      <c r="NY16" s="4" t="s">
        <v>18</v>
      </c>
      <c r="NZ16" s="4" t="s">
        <v>19</v>
      </c>
      <c r="OA16" s="4" t="s">
        <v>20</v>
      </c>
      <c r="OB16" s="15"/>
      <c r="OC16" s="15"/>
      <c r="OE16" s="74" t="s">
        <v>39</v>
      </c>
      <c r="OF16" s="75"/>
      <c r="OG16" s="74" t="s">
        <v>40</v>
      </c>
      <c r="OH16" s="75"/>
      <c r="OI16" s="4" t="s">
        <v>18</v>
      </c>
      <c r="OJ16" s="4" t="s">
        <v>19</v>
      </c>
      <c r="OK16" s="4" t="s">
        <v>20</v>
      </c>
      <c r="OL16" s="15"/>
      <c r="OM16" s="15"/>
      <c r="OO16" s="74" t="s">
        <v>39</v>
      </c>
      <c r="OP16" s="75"/>
      <c r="OQ16" s="74" t="s">
        <v>40</v>
      </c>
      <c r="OR16" s="75"/>
      <c r="OS16" s="4" t="s">
        <v>18</v>
      </c>
      <c r="OT16" s="4" t="s">
        <v>19</v>
      </c>
      <c r="OU16" s="4" t="s">
        <v>20</v>
      </c>
      <c r="OV16" s="15"/>
      <c r="OW16" s="15"/>
      <c r="OY16" s="74" t="s">
        <v>39</v>
      </c>
      <c r="OZ16" s="75"/>
      <c r="PA16" s="74" t="s">
        <v>40</v>
      </c>
      <c r="PB16" s="75"/>
      <c r="PC16" s="4" t="s">
        <v>18</v>
      </c>
      <c r="PD16" s="4" t="s">
        <v>19</v>
      </c>
      <c r="PE16" s="4" t="s">
        <v>20</v>
      </c>
      <c r="PF16" s="15"/>
      <c r="PG16" s="15"/>
      <c r="PI16" s="74" t="s">
        <v>39</v>
      </c>
      <c r="PJ16" s="75"/>
      <c r="PK16" s="74" t="s">
        <v>40</v>
      </c>
      <c r="PL16" s="75"/>
      <c r="PM16" s="4" t="s">
        <v>18</v>
      </c>
      <c r="PN16" s="4" t="s">
        <v>19</v>
      </c>
      <c r="PO16" s="4" t="s">
        <v>20</v>
      </c>
      <c r="PP16" s="15"/>
      <c r="PQ16" s="15"/>
      <c r="PS16" s="74" t="s">
        <v>39</v>
      </c>
      <c r="PT16" s="75"/>
      <c r="PU16" s="74" t="s">
        <v>40</v>
      </c>
      <c r="PV16" s="75"/>
      <c r="PW16" s="4" t="s">
        <v>18</v>
      </c>
      <c r="PX16" s="4" t="s">
        <v>19</v>
      </c>
      <c r="PY16" s="4" t="s">
        <v>20</v>
      </c>
      <c r="PZ16" s="15"/>
      <c r="QA16" s="15"/>
      <c r="QC16" s="74" t="s">
        <v>39</v>
      </c>
      <c r="QD16" s="75"/>
      <c r="QE16" s="74" t="s">
        <v>40</v>
      </c>
      <c r="QF16" s="75"/>
      <c r="QG16" s="4" t="s">
        <v>18</v>
      </c>
      <c r="QH16" s="4" t="s">
        <v>19</v>
      </c>
      <c r="QI16" s="4" t="s">
        <v>20</v>
      </c>
      <c r="QJ16" s="15"/>
      <c r="QK16" s="15"/>
      <c r="QM16" s="74" t="s">
        <v>39</v>
      </c>
      <c r="QN16" s="75"/>
      <c r="QO16" s="74" t="s">
        <v>40</v>
      </c>
      <c r="QP16" s="75"/>
      <c r="QQ16" s="4" t="s">
        <v>18</v>
      </c>
      <c r="QR16" s="4" t="s">
        <v>19</v>
      </c>
      <c r="QS16" s="4" t="s">
        <v>20</v>
      </c>
      <c r="QT16" s="15"/>
      <c r="QU16" s="15"/>
      <c r="QW16" s="74" t="s">
        <v>39</v>
      </c>
      <c r="QX16" s="75"/>
      <c r="QY16" s="74" t="s">
        <v>40</v>
      </c>
      <c r="QZ16" s="75"/>
      <c r="RA16" s="4" t="s">
        <v>18</v>
      </c>
      <c r="RB16" s="4" t="s">
        <v>19</v>
      </c>
      <c r="RC16" s="4" t="s">
        <v>20</v>
      </c>
      <c r="RD16" s="15"/>
      <c r="RE16" s="15"/>
      <c r="RG16" s="74" t="s">
        <v>39</v>
      </c>
      <c r="RH16" s="75"/>
      <c r="RI16" s="74" t="s">
        <v>40</v>
      </c>
      <c r="RJ16" s="75"/>
      <c r="RK16" s="4" t="s">
        <v>18</v>
      </c>
      <c r="RL16" s="4" t="s">
        <v>19</v>
      </c>
      <c r="RM16" s="4" t="s">
        <v>20</v>
      </c>
      <c r="RN16" s="15"/>
      <c r="RO16" s="15"/>
      <c r="RQ16" s="74" t="s">
        <v>39</v>
      </c>
      <c r="RR16" s="75"/>
      <c r="RS16" s="74" t="s">
        <v>40</v>
      </c>
      <c r="RT16" s="75"/>
      <c r="RU16" s="4" t="s">
        <v>18</v>
      </c>
      <c r="RV16" s="4" t="s">
        <v>19</v>
      </c>
      <c r="RW16" s="4" t="s">
        <v>20</v>
      </c>
      <c r="RX16" s="15"/>
      <c r="RY16" s="15"/>
      <c r="SA16" s="74" t="s">
        <v>39</v>
      </c>
      <c r="SB16" s="75"/>
      <c r="SC16" s="74" t="s">
        <v>40</v>
      </c>
      <c r="SD16" s="75"/>
      <c r="SE16" s="4" t="s">
        <v>18</v>
      </c>
      <c r="SF16" s="4" t="s">
        <v>19</v>
      </c>
      <c r="SG16" s="4" t="s">
        <v>20</v>
      </c>
      <c r="SH16" s="15"/>
      <c r="SI16" s="15"/>
      <c r="SK16" s="74" t="s">
        <v>39</v>
      </c>
      <c r="SL16" s="75"/>
      <c r="SM16" s="74" t="s">
        <v>40</v>
      </c>
      <c r="SN16" s="75"/>
      <c r="SO16" s="4" t="s">
        <v>18</v>
      </c>
      <c r="SP16" s="4" t="s">
        <v>19</v>
      </c>
      <c r="SQ16" s="4" t="s">
        <v>20</v>
      </c>
      <c r="SR16" s="15"/>
      <c r="SS16" s="15"/>
      <c r="SU16" s="74" t="s">
        <v>39</v>
      </c>
      <c r="SV16" s="75"/>
      <c r="SW16" s="74" t="s">
        <v>40</v>
      </c>
      <c r="SX16" s="75"/>
      <c r="SY16" s="4" t="s">
        <v>18</v>
      </c>
      <c r="SZ16" s="4" t="s">
        <v>19</v>
      </c>
      <c r="TA16" s="4" t="s">
        <v>20</v>
      </c>
      <c r="TB16" s="15"/>
      <c r="TC16" s="15"/>
      <c r="TE16" s="74" t="s">
        <v>39</v>
      </c>
      <c r="TF16" s="75"/>
      <c r="TG16" s="74" t="s">
        <v>40</v>
      </c>
      <c r="TH16" s="75"/>
      <c r="TI16" s="4" t="s">
        <v>18</v>
      </c>
      <c r="TJ16" s="4" t="s">
        <v>19</v>
      </c>
      <c r="TK16" s="4" t="s">
        <v>20</v>
      </c>
      <c r="TL16" s="15"/>
      <c r="TM16" s="15"/>
      <c r="TO16" s="74" t="s">
        <v>39</v>
      </c>
      <c r="TP16" s="75"/>
      <c r="TQ16" s="74" t="s">
        <v>40</v>
      </c>
      <c r="TR16" s="75"/>
      <c r="TS16" s="4" t="s">
        <v>18</v>
      </c>
      <c r="TT16" s="4" t="s">
        <v>19</v>
      </c>
      <c r="TU16" s="4" t="s">
        <v>20</v>
      </c>
      <c r="TV16" s="15"/>
      <c r="TW16" s="15"/>
      <c r="TY16" s="74" t="s">
        <v>39</v>
      </c>
      <c r="TZ16" s="75"/>
      <c r="UA16" s="74" t="s">
        <v>40</v>
      </c>
      <c r="UB16" s="75"/>
      <c r="UC16" s="4" t="s">
        <v>18</v>
      </c>
      <c r="UD16" s="4" t="s">
        <v>19</v>
      </c>
      <c r="UE16" s="4" t="s">
        <v>20</v>
      </c>
      <c r="UF16" s="15"/>
      <c r="UG16" s="15"/>
      <c r="UI16" s="74" t="s">
        <v>39</v>
      </c>
      <c r="UJ16" s="75"/>
      <c r="UK16" s="74" t="s">
        <v>40</v>
      </c>
      <c r="UL16" s="75"/>
      <c r="UM16" s="4" t="s">
        <v>18</v>
      </c>
      <c r="UN16" s="4" t="s">
        <v>19</v>
      </c>
      <c r="UO16" s="4" t="s">
        <v>20</v>
      </c>
      <c r="UP16" s="15"/>
      <c r="UQ16" s="15"/>
      <c r="US16" s="74" t="s">
        <v>39</v>
      </c>
      <c r="UT16" s="75"/>
      <c r="UU16" s="74" t="s">
        <v>40</v>
      </c>
      <c r="UV16" s="75"/>
      <c r="UW16" s="4" t="s">
        <v>18</v>
      </c>
      <c r="UX16" s="4" t="s">
        <v>19</v>
      </c>
      <c r="UY16" s="4" t="s">
        <v>20</v>
      </c>
      <c r="UZ16" s="15"/>
      <c r="VA16" s="15"/>
      <c r="VC16" s="74" t="s">
        <v>39</v>
      </c>
      <c r="VD16" s="75"/>
      <c r="VE16" s="74" t="s">
        <v>40</v>
      </c>
      <c r="VF16" s="75"/>
      <c r="VG16" s="4" t="s">
        <v>18</v>
      </c>
      <c r="VH16" s="4" t="s">
        <v>19</v>
      </c>
      <c r="VI16" s="4" t="s">
        <v>20</v>
      </c>
      <c r="VJ16" s="15"/>
      <c r="VK16" s="15"/>
      <c r="VM16" s="74" t="s">
        <v>39</v>
      </c>
      <c r="VN16" s="75"/>
      <c r="VO16" s="74" t="s">
        <v>40</v>
      </c>
      <c r="VP16" s="75"/>
      <c r="VQ16" s="4" t="s">
        <v>18</v>
      </c>
      <c r="VR16" s="4" t="s">
        <v>19</v>
      </c>
      <c r="VS16" s="4" t="s">
        <v>20</v>
      </c>
      <c r="VT16" s="15"/>
      <c r="VU16" s="15"/>
      <c r="VW16" s="74" t="s">
        <v>39</v>
      </c>
      <c r="VX16" s="75"/>
      <c r="VY16" s="74" t="s">
        <v>40</v>
      </c>
      <c r="VZ16" s="75"/>
      <c r="WA16" s="4" t="s">
        <v>18</v>
      </c>
      <c r="WB16" s="4" t="s">
        <v>19</v>
      </c>
      <c r="WC16" s="4" t="s">
        <v>20</v>
      </c>
      <c r="WD16" s="15"/>
      <c r="WE16" s="15"/>
      <c r="WG16" s="74" t="s">
        <v>39</v>
      </c>
      <c r="WH16" s="75"/>
      <c r="WI16" s="74" t="s">
        <v>40</v>
      </c>
      <c r="WJ16" s="75"/>
      <c r="WK16" s="4" t="s">
        <v>18</v>
      </c>
      <c r="WL16" s="4" t="s">
        <v>19</v>
      </c>
      <c r="WM16" s="4" t="s">
        <v>20</v>
      </c>
      <c r="WN16" s="15"/>
      <c r="WO16" s="15"/>
      <c r="WQ16" s="74" t="s">
        <v>39</v>
      </c>
      <c r="WR16" s="75"/>
      <c r="WS16" s="74" t="s">
        <v>40</v>
      </c>
      <c r="WT16" s="75"/>
      <c r="WU16" s="4" t="s">
        <v>18</v>
      </c>
      <c r="WV16" s="4" t="s">
        <v>19</v>
      </c>
      <c r="WW16" s="4" t="s">
        <v>20</v>
      </c>
      <c r="WX16" s="15"/>
      <c r="WY16" s="15"/>
      <c r="XA16" s="74" t="s">
        <v>39</v>
      </c>
      <c r="XB16" s="75"/>
      <c r="XC16" s="74" t="s">
        <v>40</v>
      </c>
      <c r="XD16" s="75"/>
      <c r="XE16" s="4" t="s">
        <v>18</v>
      </c>
      <c r="XF16" s="4" t="s">
        <v>19</v>
      </c>
      <c r="XG16" s="4" t="s">
        <v>20</v>
      </c>
      <c r="XH16" s="15"/>
      <c r="XI16" s="15"/>
      <c r="XK16" s="74" t="s">
        <v>39</v>
      </c>
      <c r="XL16" s="75"/>
      <c r="XM16" s="74" t="s">
        <v>40</v>
      </c>
      <c r="XN16" s="75"/>
      <c r="XO16" s="4" t="s">
        <v>18</v>
      </c>
      <c r="XP16" s="4" t="s">
        <v>19</v>
      </c>
      <c r="XQ16" s="4" t="s">
        <v>20</v>
      </c>
      <c r="XR16" s="15"/>
      <c r="XS16" s="15"/>
      <c r="XU16" s="74" t="s">
        <v>39</v>
      </c>
      <c r="XV16" s="75"/>
      <c r="XW16" s="74" t="s">
        <v>40</v>
      </c>
      <c r="XX16" s="75"/>
      <c r="XY16" s="4" t="s">
        <v>18</v>
      </c>
      <c r="XZ16" s="4" t="s">
        <v>19</v>
      </c>
      <c r="YA16" s="4" t="s">
        <v>20</v>
      </c>
      <c r="YB16" s="15"/>
      <c r="YC16" s="15"/>
      <c r="YE16" s="74" t="s">
        <v>39</v>
      </c>
      <c r="YF16" s="75"/>
      <c r="YG16" s="74" t="s">
        <v>40</v>
      </c>
      <c r="YH16" s="75"/>
      <c r="YI16" s="74" t="s">
        <v>34</v>
      </c>
      <c r="YJ16" s="76"/>
      <c r="YK16" s="75"/>
      <c r="YL16" s="15"/>
      <c r="YM16" s="15"/>
      <c r="YO16" s="74" t="s">
        <v>39</v>
      </c>
      <c r="YP16" s="75"/>
      <c r="YQ16" s="74" t="s">
        <v>40</v>
      </c>
      <c r="YR16" s="75"/>
      <c r="YS16" s="74" t="s">
        <v>34</v>
      </c>
      <c r="YT16" s="76"/>
      <c r="YU16" s="75"/>
      <c r="YV16" s="15"/>
      <c r="YW16" s="15"/>
      <c r="YY16" s="74" t="s">
        <v>39</v>
      </c>
      <c r="YZ16" s="75"/>
      <c r="ZA16" s="74" t="s">
        <v>40</v>
      </c>
      <c r="ZB16" s="75"/>
      <c r="ZC16" s="74" t="s">
        <v>34</v>
      </c>
      <c r="ZD16" s="76"/>
      <c r="ZE16" s="75"/>
      <c r="ZF16" s="15"/>
      <c r="ZG16" s="15"/>
      <c r="ZI16" s="74" t="s">
        <v>39</v>
      </c>
      <c r="ZJ16" s="75"/>
      <c r="ZK16" s="74" t="s">
        <v>40</v>
      </c>
      <c r="ZL16" s="75"/>
      <c r="ZM16" s="74" t="s">
        <v>34</v>
      </c>
      <c r="ZN16" s="76"/>
      <c r="ZO16" s="75"/>
      <c r="ZP16" s="15"/>
      <c r="ZQ16" s="15"/>
      <c r="ZR16" s="1"/>
      <c r="ZS16" s="74" t="s">
        <v>39</v>
      </c>
      <c r="ZT16" s="75"/>
      <c r="ZU16" s="74" t="s">
        <v>40</v>
      </c>
      <c r="ZV16" s="75"/>
      <c r="ZW16" s="74" t="s">
        <v>34</v>
      </c>
      <c r="ZX16" s="76"/>
      <c r="ZY16" s="75"/>
      <c r="ZZ16" s="15"/>
      <c r="AAA16" s="15"/>
      <c r="AAB16" s="1"/>
      <c r="AAC16" s="74" t="s">
        <v>39</v>
      </c>
      <c r="AAD16" s="75"/>
      <c r="AAE16" s="74" t="s">
        <v>40</v>
      </c>
      <c r="AAF16" s="75"/>
      <c r="AAG16" s="74" t="s">
        <v>34</v>
      </c>
      <c r="AAH16" s="76"/>
      <c r="AAI16" s="75"/>
      <c r="AAJ16" s="15"/>
      <c r="AAK16" s="15"/>
      <c r="AAL16" s="1"/>
      <c r="AAM16" s="74" t="s">
        <v>39</v>
      </c>
      <c r="AAN16" s="75"/>
      <c r="AAO16" s="74" t="s">
        <v>40</v>
      </c>
      <c r="AAP16" s="75"/>
      <c r="AAQ16" s="74" t="s">
        <v>34</v>
      </c>
      <c r="AAR16" s="76"/>
      <c r="AAS16" s="75"/>
      <c r="AAT16" s="15"/>
      <c r="AAU16" s="15"/>
      <c r="AAV16" s="1"/>
      <c r="AAW16" s="74" t="s">
        <v>39</v>
      </c>
      <c r="AAX16" s="75"/>
      <c r="AAY16" s="74" t="s">
        <v>40</v>
      </c>
      <c r="AAZ16" s="75"/>
      <c r="ABA16" s="74" t="s">
        <v>34</v>
      </c>
      <c r="ABB16" s="76"/>
      <c r="ABC16" s="75"/>
      <c r="ABD16" s="15"/>
      <c r="ABE16" s="15"/>
      <c r="ABF16" s="1"/>
      <c r="ABG16" s="74" t="s">
        <v>39</v>
      </c>
      <c r="ABH16" s="75"/>
      <c r="ABI16" s="74" t="s">
        <v>40</v>
      </c>
      <c r="ABJ16" s="75"/>
      <c r="ABK16" s="74" t="s">
        <v>34</v>
      </c>
      <c r="ABL16" s="76"/>
      <c r="ABM16" s="75"/>
      <c r="ABN16" s="15"/>
      <c r="ABO16" s="15"/>
      <c r="ABP16" s="1"/>
      <c r="ABQ16" s="74" t="s">
        <v>39</v>
      </c>
      <c r="ABR16" s="75"/>
      <c r="ABS16" s="74" t="s">
        <v>40</v>
      </c>
      <c r="ABT16" s="75"/>
      <c r="ABU16" s="74" t="s">
        <v>34</v>
      </c>
      <c r="ABV16" s="76"/>
      <c r="ABW16" s="75"/>
      <c r="ABX16" s="15"/>
      <c r="ABY16" s="15"/>
      <c r="ABZ16" s="1"/>
      <c r="ACA16" s="74" t="s">
        <v>39</v>
      </c>
      <c r="ACB16" s="75"/>
      <c r="ACC16" s="74" t="s">
        <v>40</v>
      </c>
      <c r="ACD16" s="75"/>
      <c r="ACE16" s="74" t="s">
        <v>34</v>
      </c>
      <c r="ACF16" s="76"/>
      <c r="ACG16" s="75"/>
      <c r="ACH16" s="15"/>
      <c r="ACI16" s="15"/>
      <c r="ACJ16" s="1"/>
      <c r="ACK16" s="74" t="s">
        <v>39</v>
      </c>
      <c r="ACL16" s="75"/>
      <c r="ACM16" s="74" t="s">
        <v>40</v>
      </c>
      <c r="ACN16" s="75"/>
      <c r="ACO16" s="74" t="s">
        <v>34</v>
      </c>
      <c r="ACP16" s="76"/>
      <c r="ACQ16" s="75"/>
      <c r="ACR16" s="15"/>
      <c r="ACS16" s="15"/>
      <c r="ACT16" s="1"/>
      <c r="ACU16" s="74" t="s">
        <v>39</v>
      </c>
      <c r="ACV16" s="75"/>
      <c r="ACW16" s="74" t="s">
        <v>40</v>
      </c>
      <c r="ACX16" s="75"/>
      <c r="ACY16" s="74" t="s">
        <v>34</v>
      </c>
      <c r="ACZ16" s="76"/>
      <c r="ADA16" s="75"/>
      <c r="ADB16" s="15"/>
      <c r="ADC16" s="15"/>
      <c r="ADD16" s="1"/>
      <c r="ADE16" s="74" t="s">
        <v>39</v>
      </c>
      <c r="ADF16" s="75"/>
      <c r="ADG16" s="74" t="s">
        <v>40</v>
      </c>
      <c r="ADH16" s="75"/>
      <c r="ADI16" s="74" t="s">
        <v>34</v>
      </c>
      <c r="ADJ16" s="76"/>
      <c r="ADK16" s="75"/>
      <c r="ADL16" s="15"/>
      <c r="ADM16" s="15"/>
      <c r="ADN16" s="1"/>
      <c r="ADO16" s="74" t="s">
        <v>39</v>
      </c>
      <c r="ADP16" s="75"/>
      <c r="ADQ16" s="74" t="s">
        <v>40</v>
      </c>
      <c r="ADR16" s="75"/>
      <c r="ADS16" s="74" t="s">
        <v>34</v>
      </c>
      <c r="ADT16" s="76"/>
      <c r="ADU16" s="75"/>
      <c r="ADV16" s="15"/>
      <c r="ADW16" s="15"/>
      <c r="ADX16" s="1"/>
      <c r="ADY16" s="74" t="s">
        <v>39</v>
      </c>
      <c r="ADZ16" s="75"/>
      <c r="AEA16" s="74" t="s">
        <v>40</v>
      </c>
      <c r="AEB16" s="75"/>
      <c r="AEC16" s="74" t="s">
        <v>34</v>
      </c>
      <c r="AED16" s="76"/>
      <c r="AEE16" s="75"/>
      <c r="AEF16" s="15"/>
      <c r="AEG16" s="15"/>
      <c r="AEH16" s="1"/>
      <c r="AEI16" s="74" t="s">
        <v>39</v>
      </c>
      <c r="AEJ16" s="75"/>
      <c r="AEK16" s="74" t="s">
        <v>40</v>
      </c>
      <c r="AEL16" s="75"/>
      <c r="AEM16" s="74" t="s">
        <v>34</v>
      </c>
      <c r="AEN16" s="76"/>
      <c r="AEO16" s="75"/>
      <c r="AEP16" s="15"/>
      <c r="AEQ16" s="15"/>
      <c r="AER16" s="1"/>
      <c r="AES16" s="74" t="s">
        <v>39</v>
      </c>
      <c r="AET16" s="75"/>
      <c r="AEU16" s="74" t="s">
        <v>40</v>
      </c>
      <c r="AEV16" s="75"/>
      <c r="AEW16" s="74" t="s">
        <v>34</v>
      </c>
      <c r="AEX16" s="76"/>
      <c r="AEY16" s="75"/>
      <c r="AEZ16" s="15"/>
      <c r="AFA16" s="15"/>
      <c r="AFB16" s="1"/>
      <c r="AFC16" s="74" t="s">
        <v>39</v>
      </c>
      <c r="AFD16" s="75"/>
      <c r="AFE16" s="74" t="s">
        <v>40</v>
      </c>
      <c r="AFF16" s="75"/>
      <c r="AFG16" s="74" t="s">
        <v>34</v>
      </c>
      <c r="AFH16" s="76"/>
      <c r="AFI16" s="75"/>
      <c r="AFJ16" s="15"/>
      <c r="AFK16" s="15"/>
      <c r="AFL16" s="1"/>
      <c r="AFM16" s="74" t="s">
        <v>39</v>
      </c>
      <c r="AFN16" s="75"/>
      <c r="AFO16" s="74" t="s">
        <v>40</v>
      </c>
      <c r="AFP16" s="75"/>
      <c r="AFQ16" s="74" t="s">
        <v>34</v>
      </c>
      <c r="AFR16" s="76"/>
      <c r="AFS16" s="75"/>
      <c r="AFT16" s="15"/>
      <c r="AFU16" s="15"/>
      <c r="AFV16" s="1"/>
      <c r="AFW16" s="74" t="s">
        <v>39</v>
      </c>
      <c r="AFX16" s="75"/>
      <c r="AFY16" s="74" t="s">
        <v>40</v>
      </c>
      <c r="AFZ16" s="75"/>
      <c r="AGA16" s="74" t="s">
        <v>34</v>
      </c>
      <c r="AGB16" s="76"/>
      <c r="AGC16" s="75"/>
      <c r="AGD16" s="15"/>
      <c r="AGE16" s="15"/>
      <c r="AGF16" s="1"/>
      <c r="AGG16" s="74" t="s">
        <v>39</v>
      </c>
      <c r="AGH16" s="75"/>
      <c r="AGI16" s="74" t="s">
        <v>40</v>
      </c>
      <c r="AGJ16" s="75"/>
      <c r="AGK16" s="74" t="s">
        <v>34</v>
      </c>
      <c r="AGL16" s="76"/>
      <c r="AGM16" s="75"/>
      <c r="AGN16" s="15"/>
      <c r="AGO16" s="15"/>
      <c r="AGP16" s="1"/>
      <c r="AGQ16" s="74" t="s">
        <v>39</v>
      </c>
      <c r="AGR16" s="75"/>
      <c r="AGS16" s="74" t="s">
        <v>40</v>
      </c>
      <c r="AGT16" s="75"/>
      <c r="AGU16" s="74" t="s">
        <v>34</v>
      </c>
      <c r="AGV16" s="76"/>
      <c r="AGW16" s="75"/>
      <c r="AGX16" s="15"/>
      <c r="AGY16" s="15"/>
      <c r="AGZ16" s="1"/>
      <c r="AHA16" s="74" t="s">
        <v>39</v>
      </c>
      <c r="AHB16" s="75"/>
      <c r="AHC16" s="74" t="s">
        <v>40</v>
      </c>
      <c r="AHD16" s="75"/>
      <c r="AHE16" s="74" t="s">
        <v>34</v>
      </c>
      <c r="AHF16" s="76"/>
      <c r="AHG16" s="75"/>
      <c r="AHH16" s="15"/>
      <c r="AHI16" s="15"/>
      <c r="AHJ16" s="1"/>
      <c r="AHK16" s="74" t="s">
        <v>39</v>
      </c>
      <c r="AHL16" s="75"/>
      <c r="AHM16" s="74" t="s">
        <v>40</v>
      </c>
      <c r="AHN16" s="75"/>
      <c r="AHO16" s="74" t="s">
        <v>34</v>
      </c>
      <c r="AHP16" s="76"/>
      <c r="AHQ16" s="75"/>
      <c r="AHR16" s="15"/>
      <c r="AHS16" s="15"/>
      <c r="AHT16" s="1"/>
      <c r="AHU16" s="74" t="s">
        <v>39</v>
      </c>
      <c r="AHV16" s="75"/>
      <c r="AHW16" s="74" t="s">
        <v>40</v>
      </c>
      <c r="AHX16" s="75"/>
      <c r="AHY16" s="74" t="s">
        <v>34</v>
      </c>
      <c r="AHZ16" s="76"/>
      <c r="AIA16" s="75"/>
      <c r="AIB16" s="15"/>
      <c r="AIC16" s="15"/>
      <c r="AID16" s="1"/>
      <c r="AIE16" s="74" t="s">
        <v>39</v>
      </c>
      <c r="AIF16" s="75"/>
      <c r="AIG16" s="74" t="s">
        <v>40</v>
      </c>
      <c r="AIH16" s="75"/>
      <c r="AII16" s="74" t="s">
        <v>34</v>
      </c>
      <c r="AIJ16" s="76"/>
      <c r="AIK16" s="75"/>
      <c r="AIL16" s="15"/>
      <c r="AIM16" s="15"/>
      <c r="AIN16" s="1"/>
      <c r="AIO16" s="74" t="s">
        <v>39</v>
      </c>
      <c r="AIP16" s="75"/>
      <c r="AIQ16" s="74" t="s">
        <v>40</v>
      </c>
      <c r="AIR16" s="75"/>
      <c r="AIS16" s="74" t="s">
        <v>34</v>
      </c>
      <c r="AIT16" s="76"/>
      <c r="AIU16" s="75"/>
      <c r="AIV16" s="15"/>
      <c r="AIW16" s="15"/>
      <c r="AIX16" s="1"/>
      <c r="AIY16" s="74" t="s">
        <v>39</v>
      </c>
      <c r="AIZ16" s="75"/>
      <c r="AJA16" s="74" t="s">
        <v>40</v>
      </c>
      <c r="AJB16" s="75"/>
      <c r="AJC16" s="74" t="s">
        <v>34</v>
      </c>
      <c r="AJD16" s="76"/>
      <c r="AJE16" s="75"/>
      <c r="AJF16" s="15"/>
      <c r="AJG16" s="15"/>
      <c r="AJH16" s="1"/>
      <c r="AJI16" s="74" t="s">
        <v>39</v>
      </c>
      <c r="AJJ16" s="75"/>
      <c r="AJK16" s="74" t="s">
        <v>40</v>
      </c>
      <c r="AJL16" s="75"/>
      <c r="AJM16" s="74" t="s">
        <v>34</v>
      </c>
      <c r="AJN16" s="76"/>
      <c r="AJO16" s="75"/>
      <c r="AJP16" s="15"/>
      <c r="AJQ16" s="15"/>
      <c r="AJR16" s="1"/>
      <c r="AJS16" s="74" t="s">
        <v>39</v>
      </c>
      <c r="AJT16" s="75"/>
      <c r="AJU16" s="74" t="s">
        <v>40</v>
      </c>
      <c r="AJV16" s="75"/>
      <c r="AJW16" s="74" t="s">
        <v>34</v>
      </c>
      <c r="AJX16" s="76"/>
      <c r="AJY16" s="75"/>
      <c r="AJZ16" s="15"/>
      <c r="AKA16" s="15"/>
      <c r="AKB16" s="1"/>
      <c r="AKC16" s="74" t="s">
        <v>39</v>
      </c>
      <c r="AKD16" s="75"/>
      <c r="AKE16" s="74" t="s">
        <v>40</v>
      </c>
      <c r="AKF16" s="75"/>
      <c r="AKG16" s="74" t="s">
        <v>34</v>
      </c>
      <c r="AKH16" s="76"/>
      <c r="AKI16" s="75"/>
      <c r="AKJ16" s="15"/>
      <c r="AKK16" s="15"/>
      <c r="AKL16" s="1"/>
      <c r="AKM16" s="74" t="s">
        <v>39</v>
      </c>
      <c r="AKN16" s="75"/>
      <c r="AKO16" s="74" t="s">
        <v>40</v>
      </c>
      <c r="AKP16" s="75"/>
      <c r="AKQ16" s="74" t="s">
        <v>34</v>
      </c>
      <c r="AKR16" s="76"/>
      <c r="AKS16" s="75"/>
      <c r="AKT16" s="15"/>
      <c r="AKU16" s="15"/>
      <c r="AKV16" s="1"/>
      <c r="AKW16" s="74" t="s">
        <v>39</v>
      </c>
      <c r="AKX16" s="75"/>
      <c r="AKY16" s="74" t="s">
        <v>40</v>
      </c>
      <c r="AKZ16" s="75"/>
      <c r="ALA16" s="74" t="s">
        <v>34</v>
      </c>
      <c r="ALB16" s="76"/>
      <c r="ALC16" s="75"/>
      <c r="ALD16" s="15"/>
      <c r="ALE16" s="15"/>
      <c r="ALF16" s="1"/>
      <c r="ALG16" s="74" t="s">
        <v>39</v>
      </c>
      <c r="ALH16" s="75"/>
      <c r="ALI16" s="74" t="s">
        <v>40</v>
      </c>
      <c r="ALJ16" s="75"/>
      <c r="ALK16" s="74" t="s">
        <v>34</v>
      </c>
      <c r="ALL16" s="76"/>
      <c r="ALM16" s="75"/>
      <c r="ALN16" s="15"/>
      <c r="ALO16" s="15"/>
      <c r="ALP16" s="1"/>
      <c r="ALQ16" s="74" t="s">
        <v>39</v>
      </c>
      <c r="ALR16" s="75"/>
      <c r="ALS16" s="74" t="s">
        <v>40</v>
      </c>
      <c r="ALT16" s="75"/>
      <c r="ALU16" s="74" t="s">
        <v>34</v>
      </c>
      <c r="ALV16" s="76"/>
      <c r="ALW16" s="75"/>
      <c r="ALX16" s="15"/>
      <c r="ALY16" s="15"/>
      <c r="ALZ16" s="1"/>
      <c r="AMA16" s="74" t="s">
        <v>39</v>
      </c>
      <c r="AMB16" s="75"/>
      <c r="AMC16" s="74" t="s">
        <v>40</v>
      </c>
      <c r="AMD16" s="75"/>
      <c r="AME16" s="74" t="s">
        <v>34</v>
      </c>
      <c r="AMF16" s="76"/>
      <c r="AMG16" s="75"/>
      <c r="AMH16" s="15"/>
      <c r="AMI16" s="15"/>
      <c r="AMJ16" s="1"/>
      <c r="AMK16" s="74" t="s">
        <v>39</v>
      </c>
      <c r="AML16" s="75"/>
      <c r="AMM16" s="74" t="s">
        <v>40</v>
      </c>
      <c r="AMN16" s="75"/>
      <c r="AMO16" s="74" t="s">
        <v>34</v>
      </c>
      <c r="AMP16" s="76"/>
      <c r="AMQ16" s="75"/>
      <c r="AMR16" s="15"/>
      <c r="AMS16" s="15"/>
      <c r="AMT16" s="1"/>
      <c r="AMU16" s="74" t="s">
        <v>39</v>
      </c>
      <c r="AMV16" s="75"/>
      <c r="AMW16" s="74" t="s">
        <v>40</v>
      </c>
      <c r="AMX16" s="75"/>
      <c r="AMY16" s="74" t="s">
        <v>34</v>
      </c>
      <c r="AMZ16" s="76"/>
      <c r="ANA16" s="75"/>
      <c r="ANB16" s="15"/>
      <c r="ANC16" s="15"/>
      <c r="AND16" s="1"/>
      <c r="ANE16" s="74" t="s">
        <v>39</v>
      </c>
      <c r="ANF16" s="75"/>
      <c r="ANG16" s="74" t="s">
        <v>40</v>
      </c>
      <c r="ANH16" s="75"/>
      <c r="ANI16" s="74" t="s">
        <v>34</v>
      </c>
      <c r="ANJ16" s="76"/>
      <c r="ANK16" s="75"/>
      <c r="ANL16" s="15"/>
      <c r="ANM16" s="15"/>
      <c r="ANN16" s="1"/>
      <c r="ANO16" s="74" t="s">
        <v>39</v>
      </c>
      <c r="ANP16" s="75"/>
      <c r="ANQ16" s="74" t="s">
        <v>40</v>
      </c>
      <c r="ANR16" s="75"/>
      <c r="ANS16" s="74" t="s">
        <v>34</v>
      </c>
      <c r="ANT16" s="76"/>
      <c r="ANU16" s="75"/>
      <c r="ANV16" s="15"/>
      <c r="ANW16" s="15"/>
      <c r="ANX16" s="1"/>
      <c r="ANY16" s="74" t="s">
        <v>39</v>
      </c>
      <c r="ANZ16" s="75"/>
      <c r="AOA16" s="74" t="s">
        <v>40</v>
      </c>
      <c r="AOB16" s="75"/>
      <c r="AOC16" s="74" t="s">
        <v>34</v>
      </c>
      <c r="AOD16" s="76"/>
      <c r="AOE16" s="75"/>
      <c r="AOF16" s="15"/>
      <c r="AOG16" s="15"/>
      <c r="AOH16" s="1"/>
      <c r="AOI16" s="74" t="s">
        <v>39</v>
      </c>
      <c r="AOJ16" s="75"/>
      <c r="AOK16" s="74" t="s">
        <v>40</v>
      </c>
      <c r="AOL16" s="75"/>
      <c r="AOM16" s="74" t="s">
        <v>34</v>
      </c>
      <c r="AON16" s="76"/>
      <c r="AOO16" s="75"/>
      <c r="AOP16" s="15"/>
      <c r="AOQ16" s="15"/>
      <c r="AOR16" s="1"/>
      <c r="AOS16" s="74" t="s">
        <v>39</v>
      </c>
      <c r="AOT16" s="75"/>
      <c r="AOU16" s="74" t="s">
        <v>40</v>
      </c>
      <c r="AOV16" s="75"/>
      <c r="AOW16" s="74" t="s">
        <v>34</v>
      </c>
      <c r="AOX16" s="76"/>
      <c r="AOY16" s="75"/>
      <c r="AOZ16" s="15"/>
      <c r="APA16" s="15"/>
      <c r="APB16" s="1"/>
      <c r="APC16" s="74" t="s">
        <v>39</v>
      </c>
      <c r="APD16" s="75"/>
      <c r="APE16" s="74" t="s">
        <v>40</v>
      </c>
      <c r="APF16" s="75"/>
      <c r="APG16" s="74" t="s">
        <v>34</v>
      </c>
      <c r="APH16" s="76"/>
      <c r="API16" s="75"/>
      <c r="APJ16" s="15"/>
      <c r="APK16" s="15"/>
      <c r="APL16" s="1"/>
      <c r="APM16" s="74" t="s">
        <v>39</v>
      </c>
      <c r="APN16" s="75"/>
      <c r="APO16" s="74" t="s">
        <v>40</v>
      </c>
      <c r="APP16" s="75"/>
      <c r="APQ16" s="74" t="s">
        <v>34</v>
      </c>
      <c r="APR16" s="76"/>
      <c r="APS16" s="75"/>
      <c r="APT16" s="15"/>
      <c r="APU16" s="15"/>
      <c r="APV16" s="1"/>
      <c r="APW16" s="92" t="s">
        <v>39</v>
      </c>
      <c r="APX16" s="93"/>
      <c r="APY16" s="92" t="s">
        <v>40</v>
      </c>
      <c r="APZ16" s="93"/>
      <c r="AQA16" s="92" t="s">
        <v>34</v>
      </c>
      <c r="AQB16" s="112"/>
      <c r="AQC16" s="93"/>
      <c r="AQD16" s="113"/>
      <c r="AQE16" s="113"/>
      <c r="AQF16" s="1"/>
      <c r="AQG16" s="49" t="s">
        <v>39</v>
      </c>
      <c r="AQH16" s="50"/>
      <c r="AQI16" s="49" t="s">
        <v>40</v>
      </c>
      <c r="AQJ16" s="50"/>
      <c r="AQK16" s="49" t="s">
        <v>34</v>
      </c>
      <c r="AQL16" s="57"/>
      <c r="AQM16" s="50"/>
      <c r="AQN16" s="15"/>
      <c r="AQO16" s="15"/>
    </row>
    <row r="17" spans="1:1133" ht="11.25" x14ac:dyDescent="0.2">
      <c r="A17" s="22" t="s">
        <v>41</v>
      </c>
      <c r="B17" s="13" t="s">
        <v>42</v>
      </c>
      <c r="C17" s="13">
        <v>1.5</v>
      </c>
      <c r="E17" s="24"/>
      <c r="F17" s="6" t="s">
        <v>25</v>
      </c>
      <c r="G17" s="24"/>
      <c r="H17" s="6" t="s">
        <v>25</v>
      </c>
      <c r="I17" s="5" t="str">
        <f t="shared" ref="I17" si="638">IF(OR(ISNUMBER(E17), ISNUMBER(G17)), IF(ISNUMBER(E17), E17, 0) + IF(ISNUMBER(G17), G17, 0), "")</f>
        <v/>
      </c>
      <c r="J17" s="3"/>
      <c r="K17" s="10"/>
      <c r="O17" s="24"/>
      <c r="P17" s="6" t="s">
        <v>25</v>
      </c>
      <c r="Q17" s="24"/>
      <c r="R17" s="6" t="s">
        <v>25</v>
      </c>
      <c r="S17" s="5" t="str">
        <f t="shared" ref="S17" si="639">IF(OR(ISNUMBER(O17), ISNUMBER(Q17)), IF(ISNUMBER(O17), O17, 0) + IF(ISNUMBER(Q17), Q17, 0), "")</f>
        <v/>
      </c>
      <c r="T17" s="3"/>
      <c r="U17" s="10" t="str">
        <f t="shared" ref="U17" si="640">IF(ISNUMBER(S17), (I17+J17)-S17, "")</f>
        <v/>
      </c>
      <c r="Y17" s="24"/>
      <c r="Z17" s="6" t="s">
        <v>25</v>
      </c>
      <c r="AA17" s="24"/>
      <c r="AB17" s="6" t="s">
        <v>25</v>
      </c>
      <c r="AC17" s="5" t="str">
        <f t="shared" ref="AC17" si="641">IF(OR(ISNUMBER(Y17), ISNUMBER(AA17)), IF(ISNUMBER(Y17), Y17, 0) + IF(ISNUMBER(AA17), AA17, 0), "")</f>
        <v/>
      </c>
      <c r="AD17" s="3"/>
      <c r="AE17" s="10" t="str">
        <f t="shared" ref="AE17" si="642">IF(ISNUMBER(AC17), (S17+T17)-AC17, "")</f>
        <v/>
      </c>
      <c r="AI17" s="24"/>
      <c r="AJ17" s="6" t="s">
        <v>25</v>
      </c>
      <c r="AK17" s="24">
        <v>0.7</v>
      </c>
      <c r="AL17" s="6" t="s">
        <v>25</v>
      </c>
      <c r="AM17" s="5">
        <f t="shared" ref="AM17" si="643">IF(OR(ISNUMBER(AI17), ISNUMBER(AK17)), IF(ISNUMBER(AI17), AI17, 0) + IF(ISNUMBER(AK17), AK17, 0), "")</f>
        <v>0.7</v>
      </c>
      <c r="AN17" s="3"/>
      <c r="AO17" s="10" t="e">
        <f t="shared" ref="AO17" si="644">IF(ISNUMBER(AM17), (AC17+AD17)-AM17, "")</f>
        <v>#VALUE!</v>
      </c>
      <c r="AS17" s="24">
        <v>0</v>
      </c>
      <c r="AT17" s="6" t="s">
        <v>25</v>
      </c>
      <c r="AU17" s="24">
        <v>0.7</v>
      </c>
      <c r="AV17" s="6" t="s">
        <v>25</v>
      </c>
      <c r="AW17" s="5">
        <f t="shared" ref="AW17" si="645">IF(OR(ISNUMBER(AS17), ISNUMBER(AU17)), IF(ISNUMBER(AS17), AS17, 0) + IF(ISNUMBER(AU17), AU17, 0), "")</f>
        <v>0.7</v>
      </c>
      <c r="AX17" s="3"/>
      <c r="AY17" s="10">
        <f t="shared" ref="AY17" si="646">IF(ISNUMBER(AW17), (AM17+AN17)-AW17, "")</f>
        <v>0</v>
      </c>
      <c r="BC17" s="24">
        <v>0</v>
      </c>
      <c r="BD17" s="6" t="s">
        <v>25</v>
      </c>
      <c r="BE17" s="24">
        <v>0.7</v>
      </c>
      <c r="BF17" s="6" t="s">
        <v>25</v>
      </c>
      <c r="BG17" s="5">
        <f t="shared" ref="BG17" si="647">IF(OR(ISNUMBER(BC17), ISNUMBER(BE17)), IF(ISNUMBER(BC17), BC17, 0) + IF(ISNUMBER(BE17), BE17, 0), "")</f>
        <v>0.7</v>
      </c>
      <c r="BH17" s="3"/>
      <c r="BI17" s="10">
        <f t="shared" ref="BI17" si="648">IF(ISNUMBER(BG17), (AW17+AX17)-BG17, "")</f>
        <v>0</v>
      </c>
      <c r="BM17" s="24">
        <v>0</v>
      </c>
      <c r="BN17" s="6" t="s">
        <v>25</v>
      </c>
      <c r="BO17" s="24">
        <v>0.7</v>
      </c>
      <c r="BP17" s="6" t="s">
        <v>25</v>
      </c>
      <c r="BQ17" s="5">
        <f t="shared" ref="BQ17" si="649">IF(OR(ISNUMBER(BM17), ISNUMBER(BO17)), IF(ISNUMBER(BM17), BM17, 0) + IF(ISNUMBER(BO17), BO17, 0), "")</f>
        <v>0.7</v>
      </c>
      <c r="BR17" s="3"/>
      <c r="BS17" s="10">
        <f t="shared" ref="BS17" si="650">IF(ISNUMBER(BQ17), (BG17+BH17)-BQ17, "")</f>
        <v>0</v>
      </c>
      <c r="BW17" s="24">
        <v>0</v>
      </c>
      <c r="BX17" s="6" t="s">
        <v>25</v>
      </c>
      <c r="BY17" s="24">
        <v>0.6</v>
      </c>
      <c r="BZ17" s="6" t="s">
        <v>25</v>
      </c>
      <c r="CA17" s="5">
        <f t="shared" ref="CA17" si="651">IF(OR(ISNUMBER(BW17), ISNUMBER(BY17)), IF(ISNUMBER(BW17), BW17, 0) + IF(ISNUMBER(BY17), BY17, 0), "")</f>
        <v>0.6</v>
      </c>
      <c r="CB17" s="3"/>
      <c r="CC17" s="10">
        <f t="shared" ref="CC17" si="652">IF(ISNUMBER(CA17), (BQ17+BR17)-CA17, "")</f>
        <v>9.9999999999999978E-2</v>
      </c>
      <c r="CG17" s="24">
        <v>0</v>
      </c>
      <c r="CH17" s="6" t="s">
        <v>25</v>
      </c>
      <c r="CI17" s="24">
        <v>0.5</v>
      </c>
      <c r="CJ17" s="6" t="s">
        <v>25</v>
      </c>
      <c r="CK17" s="5">
        <f t="shared" ref="CK17" si="653">IF(OR(ISNUMBER(CG17), ISNUMBER(CI17)), IF(ISNUMBER(CG17), CG17, 0) + IF(ISNUMBER(CI17), CI17, 0), "")</f>
        <v>0.5</v>
      </c>
      <c r="CL17" s="3"/>
      <c r="CM17" s="10">
        <f t="shared" ref="CM17" si="654">IF(ISNUMBER(CK17), (CA17+CB17)-CK17, "")</f>
        <v>9.9999999999999978E-2</v>
      </c>
      <c r="CQ17" s="24">
        <v>0</v>
      </c>
      <c r="CR17" s="6" t="s">
        <v>25</v>
      </c>
      <c r="CS17" s="24">
        <v>0.5</v>
      </c>
      <c r="CT17" s="6" t="s">
        <v>25</v>
      </c>
      <c r="CU17" s="5">
        <f t="shared" ref="CU17" si="655">IF(OR(ISNUMBER(CQ17), ISNUMBER(CS17)), IF(ISNUMBER(CQ17), CQ17, 0) + IF(ISNUMBER(CS17), CS17, 0), "")</f>
        <v>0.5</v>
      </c>
      <c r="CV17" s="3"/>
      <c r="CW17" s="10">
        <f t="shared" ref="CW17" si="656">IF(ISNUMBER(CU17), (CK17+CL17)-CU17, "")</f>
        <v>0</v>
      </c>
      <c r="DA17" s="24">
        <v>0</v>
      </c>
      <c r="DB17" s="6" t="s">
        <v>25</v>
      </c>
      <c r="DC17" s="24">
        <v>0.5</v>
      </c>
      <c r="DD17" s="6" t="s">
        <v>25</v>
      </c>
      <c r="DE17" s="5">
        <f t="shared" ref="DE17" si="657">IF(OR(ISNUMBER(DA17), ISNUMBER(DC17)), IF(ISNUMBER(DA17), DA17, 0) + IF(ISNUMBER(DC17), DC17, 0), "")</f>
        <v>0.5</v>
      </c>
      <c r="DF17" s="3"/>
      <c r="DG17" s="10">
        <f t="shared" ref="DG17" si="658">IF(ISNUMBER(DE17), (CU17+CV17)-DE17, "")</f>
        <v>0</v>
      </c>
      <c r="DK17" s="24">
        <v>0</v>
      </c>
      <c r="DL17" s="6" t="s">
        <v>25</v>
      </c>
      <c r="DM17" s="24"/>
      <c r="DN17" s="6" t="s">
        <v>25</v>
      </c>
      <c r="DO17" s="5">
        <f t="shared" ref="DO17" si="659">IF(OR(ISNUMBER(DK17), ISNUMBER(DM17)), IF(ISNUMBER(DK17), DK17, 0) + IF(ISNUMBER(DM17), DM17, 0), "")</f>
        <v>0</v>
      </c>
      <c r="DP17" s="3"/>
      <c r="DQ17" s="10">
        <f t="shared" ref="DQ17" si="660">IF(ISNUMBER(DO17), (DE17+DF17)-DO17, "")</f>
        <v>0.5</v>
      </c>
      <c r="DU17" s="24">
        <v>0</v>
      </c>
      <c r="DV17" s="6" t="s">
        <v>25</v>
      </c>
      <c r="DW17" s="24">
        <v>0.5</v>
      </c>
      <c r="DX17" s="6" t="s">
        <v>25</v>
      </c>
      <c r="DY17" s="5">
        <f t="shared" ref="DY17" si="661">IF(OR(ISNUMBER(DU17), ISNUMBER(DW17)), IF(ISNUMBER(DU17), DU17, 0) + IF(ISNUMBER(DW17), DW17, 0), "")</f>
        <v>0.5</v>
      </c>
      <c r="DZ17" s="3"/>
      <c r="EA17" s="10">
        <f t="shared" ref="EA17" si="662">IF(ISNUMBER(DY17), (DO17+DP17)-DY17, "")</f>
        <v>-0.5</v>
      </c>
      <c r="EE17" s="24">
        <v>0</v>
      </c>
      <c r="EF17" s="6" t="s">
        <v>25</v>
      </c>
      <c r="EG17" s="24">
        <v>0.7</v>
      </c>
      <c r="EH17" s="6" t="s">
        <v>25</v>
      </c>
      <c r="EI17" s="5">
        <f t="shared" ref="EI17" si="663">IF(OR(ISNUMBER(EE17), ISNUMBER(EG17)), IF(ISNUMBER(EE17), EE17, 0) + IF(ISNUMBER(EG17), EG17, 0), "")</f>
        <v>0.7</v>
      </c>
      <c r="EJ17" s="3"/>
      <c r="EK17" s="10">
        <f t="shared" ref="EK17" si="664">IF(ISNUMBER(EI17), (DY17+DZ17)-EI17, "")</f>
        <v>-0.19999999999999996</v>
      </c>
      <c r="EO17" s="24"/>
      <c r="EP17" s="6" t="s">
        <v>25</v>
      </c>
      <c r="EQ17" s="24">
        <v>0.7</v>
      </c>
      <c r="ER17" s="6" t="s">
        <v>25</v>
      </c>
      <c r="ES17" s="5">
        <f t="shared" ref="ES17" si="665">IF(OR(ISNUMBER(EO17), ISNUMBER(EQ17)), IF(ISNUMBER(EO17), EO17, 0) + IF(ISNUMBER(EQ17), EQ17, 0), "")</f>
        <v>0.7</v>
      </c>
      <c r="ET17" s="3"/>
      <c r="EU17" s="10">
        <f t="shared" ref="EU17" si="666">IF(ISNUMBER(ES17), (EI17+EJ17)-ES17, "")</f>
        <v>0</v>
      </c>
      <c r="EY17" s="2">
        <v>0</v>
      </c>
      <c r="EZ17" s="6" t="s">
        <v>25</v>
      </c>
      <c r="FA17" s="2">
        <v>0.7</v>
      </c>
      <c r="FB17" s="6" t="s">
        <v>25</v>
      </c>
      <c r="FC17" s="5">
        <f t="shared" ref="FC17" si="667">IF(OR(ISNUMBER(EY17), ISNUMBER(FA17)), IF(ISNUMBER(EY17), EY17, 0) + IF(ISNUMBER(FA17), FA17, 0), "")</f>
        <v>0.7</v>
      </c>
      <c r="FD17" s="3"/>
      <c r="FE17" s="10">
        <f t="shared" ref="FE17" si="668">IF(ISNUMBER(FC17), (ES17+ET17)-FC17, "")</f>
        <v>0</v>
      </c>
      <c r="FI17" s="24">
        <v>0</v>
      </c>
      <c r="FJ17" s="6" t="s">
        <v>25</v>
      </c>
      <c r="FK17" s="24">
        <v>0.7</v>
      </c>
      <c r="FL17" s="6" t="s">
        <v>25</v>
      </c>
      <c r="FM17" s="5">
        <f t="shared" ref="FM17" si="669">IF(OR(ISNUMBER(FI17), ISNUMBER(FK17)), IF(ISNUMBER(FI17), FI17, 0) + IF(ISNUMBER(FK17), FK17, 0), "")</f>
        <v>0.7</v>
      </c>
      <c r="FN17" s="3"/>
      <c r="FO17" s="10">
        <f t="shared" ref="FO17" si="670">IF(ISNUMBER(FM17), (FC17+FD17)-FM17, "")</f>
        <v>0</v>
      </c>
      <c r="FS17" s="24">
        <v>0</v>
      </c>
      <c r="FT17" s="6" t="s">
        <v>25</v>
      </c>
      <c r="FU17" s="24">
        <v>7</v>
      </c>
      <c r="FV17" s="6" t="s">
        <v>25</v>
      </c>
      <c r="FW17" s="5">
        <f t="shared" ref="FW17" si="671">IF(OR(ISNUMBER(FS17), ISNUMBER(FU17)), IF(ISNUMBER(FS17), FS17, 0) + IF(ISNUMBER(FU17), FU17, 0), "")</f>
        <v>7</v>
      </c>
      <c r="FX17" s="3"/>
      <c r="FY17" s="10">
        <f t="shared" ref="FY17" si="672">IF(ISNUMBER(FW17), (FM17+FN17)-FW17, "")</f>
        <v>-6.3</v>
      </c>
      <c r="GC17" s="24">
        <v>0</v>
      </c>
      <c r="GD17" s="6" t="s">
        <v>25</v>
      </c>
      <c r="GE17" s="24">
        <v>7</v>
      </c>
      <c r="GF17" s="6" t="s">
        <v>25</v>
      </c>
      <c r="GG17" s="5">
        <f t="shared" ref="GG17" si="673">IF(OR(ISNUMBER(GC17), ISNUMBER(GE17)), IF(ISNUMBER(GC17), GC17, 0) + IF(ISNUMBER(GE17), GE17, 0), "")</f>
        <v>7</v>
      </c>
      <c r="GH17" s="3"/>
      <c r="GI17" s="10">
        <f t="shared" ref="GI17" si="674">IF(ISNUMBER(GG17), (FW17+FX17)-GG17, "")</f>
        <v>0</v>
      </c>
      <c r="GM17" s="24">
        <v>0</v>
      </c>
      <c r="GN17" s="6" t="s">
        <v>25</v>
      </c>
      <c r="GO17" s="24">
        <v>7</v>
      </c>
      <c r="GP17" s="6" t="s">
        <v>25</v>
      </c>
      <c r="GQ17" s="5">
        <f t="shared" ref="GQ17" si="675">IF(OR(ISNUMBER(GM17), ISNUMBER(GO17)), IF(ISNUMBER(GM17), GM17, 0) + IF(ISNUMBER(GO17), GO17, 0), "")</f>
        <v>7</v>
      </c>
      <c r="GR17" s="3"/>
      <c r="GS17" s="10">
        <f t="shared" ref="GS17" si="676">IF(ISNUMBER(GQ17), (GG17+GH17)-GQ17, "")</f>
        <v>0</v>
      </c>
      <c r="GW17" s="24">
        <v>0</v>
      </c>
      <c r="GX17" s="6" t="s">
        <v>25</v>
      </c>
      <c r="GY17" s="24">
        <v>7</v>
      </c>
      <c r="GZ17" s="6" t="s">
        <v>25</v>
      </c>
      <c r="HA17" s="5">
        <f t="shared" ref="HA17" si="677">IF(OR(ISNUMBER(GW17), ISNUMBER(GY17)), IF(ISNUMBER(GW17), GW17, 0) + IF(ISNUMBER(GY17), GY17, 0), "")</f>
        <v>7</v>
      </c>
      <c r="HB17" s="3"/>
      <c r="HC17" s="10">
        <f t="shared" ref="HC17" si="678">IF(ISNUMBER(HA17), (GQ17+GR17)-HA17, "")</f>
        <v>0</v>
      </c>
      <c r="HG17" s="2"/>
      <c r="HH17" s="6" t="s">
        <v>25</v>
      </c>
      <c r="HI17" s="2">
        <v>0.7</v>
      </c>
      <c r="HJ17" s="6" t="s">
        <v>25</v>
      </c>
      <c r="HK17" s="5">
        <f t="shared" ref="HK17" si="679">IF(OR(ISNUMBER(HG17), ISNUMBER(HI17)), IF(ISNUMBER(HG17), HG17, 0) + IF(ISNUMBER(HI17), HI17, 0), "")</f>
        <v>0.7</v>
      </c>
      <c r="HL17" s="3"/>
      <c r="HM17" s="10">
        <f>IF(ISNUMBER(HK17), (HA17+HB17)-HK17, "")</f>
        <v>6.3</v>
      </c>
      <c r="HQ17" s="24">
        <v>0</v>
      </c>
      <c r="HR17" s="6" t="s">
        <v>25</v>
      </c>
      <c r="HS17" s="24">
        <v>0.7</v>
      </c>
      <c r="HT17" s="6" t="s">
        <v>25</v>
      </c>
      <c r="HU17" s="5">
        <f t="shared" ref="HU17" si="680">IF(OR(ISNUMBER(HQ17), ISNUMBER(HS17)), IF(ISNUMBER(HQ17), HQ17, 0) + IF(ISNUMBER(HS17), HS17, 0), "")</f>
        <v>0.7</v>
      </c>
      <c r="HV17" s="3"/>
      <c r="HW17" s="10">
        <f t="shared" ref="HW17" si="681">IF(ISNUMBER(HU17), (HK17+HL17)-HU17, "")</f>
        <v>0</v>
      </c>
      <c r="IA17" s="24">
        <v>0.7</v>
      </c>
      <c r="IB17" s="6" t="s">
        <v>25</v>
      </c>
      <c r="IC17" s="24"/>
      <c r="ID17" s="6" t="s">
        <v>25</v>
      </c>
      <c r="IE17" s="5">
        <f t="shared" ref="IE17" si="682">IF(OR(ISNUMBER(IA17), ISNUMBER(IC17)), IF(ISNUMBER(IA17), IA17, 0) + IF(ISNUMBER(IC17), IC17, 0), "")</f>
        <v>0.7</v>
      </c>
      <c r="IF17" s="3"/>
      <c r="IG17" s="10">
        <f t="shared" ref="IG17" si="683">IF(ISNUMBER(IE17), (HU17+HV17)-IE17, "")</f>
        <v>0</v>
      </c>
      <c r="IK17" s="24">
        <v>0.7</v>
      </c>
      <c r="IL17" s="6" t="s">
        <v>25</v>
      </c>
      <c r="IM17" s="24"/>
      <c r="IN17" s="6" t="s">
        <v>25</v>
      </c>
      <c r="IO17" s="5">
        <f t="shared" ref="IO17" si="684">IF(OR(ISNUMBER(IK17), ISNUMBER(IM17)), IF(ISNUMBER(IK17), IK17, 0) + IF(ISNUMBER(IM17), IM17, 0), "")</f>
        <v>0.7</v>
      </c>
      <c r="IP17" s="3"/>
      <c r="IQ17" s="10">
        <f t="shared" ref="IQ17" si="685">IF(ISNUMBER(IO17), (IE17+IF17)-IO17, "")</f>
        <v>0</v>
      </c>
      <c r="IU17" s="24">
        <v>0.7</v>
      </c>
      <c r="IV17" s="6" t="s">
        <v>25</v>
      </c>
      <c r="IW17" s="24"/>
      <c r="IX17" s="6" t="s">
        <v>25</v>
      </c>
      <c r="IY17" s="5">
        <f t="shared" ref="IY17" si="686">IF(OR(ISNUMBER(IU17), ISNUMBER(IW17)), IF(ISNUMBER(IU17), IU17, 0) + IF(ISNUMBER(IW17), IW17, 0), "")</f>
        <v>0.7</v>
      </c>
      <c r="IZ17" s="3"/>
      <c r="JA17" s="10">
        <f t="shared" ref="JA17" si="687">IF(ISNUMBER(IY17), (IO17+IP17)-IY17, "")</f>
        <v>0</v>
      </c>
      <c r="JE17" s="24">
        <v>0.7</v>
      </c>
      <c r="JF17" s="6" t="s">
        <v>25</v>
      </c>
      <c r="JG17" s="24"/>
      <c r="JH17" s="6" t="s">
        <v>25</v>
      </c>
      <c r="JI17" s="5">
        <f t="shared" ref="JI17" si="688">IF(OR(ISNUMBER(JE17), ISNUMBER(JG17)), IF(ISNUMBER(JE17), JE17, 0) + IF(ISNUMBER(JG17), JG17, 0), "")</f>
        <v>0.7</v>
      </c>
      <c r="JJ17" s="3"/>
      <c r="JK17" s="10">
        <f t="shared" ref="JK17" si="689">IF(ISNUMBER(JI17), (IY17+IZ17)-JI17, "")</f>
        <v>0</v>
      </c>
      <c r="JO17" s="24">
        <v>0.7</v>
      </c>
      <c r="JP17" s="6" t="s">
        <v>25</v>
      </c>
      <c r="JQ17" s="24"/>
      <c r="JR17" s="6" t="s">
        <v>25</v>
      </c>
      <c r="JS17" s="5">
        <f t="shared" ref="JS17" si="690">IF(OR(ISNUMBER(JO17), ISNUMBER(JQ17)), IF(ISNUMBER(JO17), JO17, 0) + IF(ISNUMBER(JQ17), JQ17, 0), "")</f>
        <v>0.7</v>
      </c>
      <c r="JT17" s="3"/>
      <c r="JU17" s="10">
        <f t="shared" ref="JU17" si="691">IF(ISNUMBER(JS17), (JI17+JJ17)-JS17, "")</f>
        <v>0</v>
      </c>
      <c r="JY17" s="24">
        <v>0.7</v>
      </c>
      <c r="JZ17" s="6" t="s">
        <v>25</v>
      </c>
      <c r="KA17" s="24"/>
      <c r="KB17" s="6" t="s">
        <v>25</v>
      </c>
      <c r="KC17" s="5">
        <f t="shared" ref="KC17" si="692">IF(OR(ISNUMBER(JY17), ISNUMBER(KA17)), IF(ISNUMBER(JY17), JY17, 0) + IF(ISNUMBER(KA17), KA17, 0), "")</f>
        <v>0.7</v>
      </c>
      <c r="KD17" s="3"/>
      <c r="KE17" s="10">
        <f t="shared" ref="KE17" si="693">IF(ISNUMBER(KC17), (JS17+JT17)-KC17, "")</f>
        <v>0</v>
      </c>
      <c r="KI17" s="24">
        <v>0.7</v>
      </c>
      <c r="KJ17" s="6" t="s">
        <v>25</v>
      </c>
      <c r="KK17" s="24"/>
      <c r="KL17" s="6" t="s">
        <v>25</v>
      </c>
      <c r="KM17" s="5">
        <f t="shared" ref="KM17" si="694">IF(OR(ISNUMBER(KI17), ISNUMBER(KK17)), IF(ISNUMBER(KI17), KI17, 0) + IF(ISNUMBER(KK17), KK17, 0), "")</f>
        <v>0.7</v>
      </c>
      <c r="KN17" s="3"/>
      <c r="KO17" s="10">
        <f t="shared" ref="KO17" si="695">IF(ISNUMBER(KM17), (KC17+KD17)-KM17, "")</f>
        <v>0</v>
      </c>
      <c r="KS17" s="24">
        <v>0.7</v>
      </c>
      <c r="KT17" s="6" t="s">
        <v>25</v>
      </c>
      <c r="KU17" s="24"/>
      <c r="KV17" s="6" t="s">
        <v>25</v>
      </c>
      <c r="KW17" s="5">
        <f t="shared" ref="KW17" si="696">IF(OR(ISNUMBER(KS17), ISNUMBER(KU17)), IF(ISNUMBER(KS17), KS17, 0) + IF(ISNUMBER(KU17), KU17, 0), "")</f>
        <v>0.7</v>
      </c>
      <c r="KX17" s="3"/>
      <c r="KY17" s="10">
        <f t="shared" ref="KY17" si="697">IF(ISNUMBER(KW17), (KM17+KN17)-KW17, "")</f>
        <v>0</v>
      </c>
      <c r="LC17" s="24">
        <v>0.7</v>
      </c>
      <c r="LD17" s="6" t="s">
        <v>25</v>
      </c>
      <c r="LE17" s="24"/>
      <c r="LF17" s="6" t="s">
        <v>25</v>
      </c>
      <c r="LG17" s="5">
        <f t="shared" ref="LG17" si="698">IF(OR(ISNUMBER(LC17), ISNUMBER(LE17)), IF(ISNUMBER(LC17), LC17, 0) + IF(ISNUMBER(LE17), LE17, 0), "")</f>
        <v>0.7</v>
      </c>
      <c r="LH17" s="3"/>
      <c r="LI17" s="10">
        <f t="shared" ref="LI17" si="699">IF(ISNUMBER(LG17), (KW17+KX17)-LG17, "")</f>
        <v>0</v>
      </c>
      <c r="LM17" s="24">
        <v>0.7</v>
      </c>
      <c r="LN17" s="6" t="s">
        <v>25</v>
      </c>
      <c r="LO17" s="24"/>
      <c r="LP17" s="6" t="s">
        <v>25</v>
      </c>
      <c r="LQ17" s="5">
        <f t="shared" ref="LQ17" si="700">IF(OR(ISNUMBER(LM17), ISNUMBER(LO17)), IF(ISNUMBER(LM17), LM17, 0) + IF(ISNUMBER(LO17), LO17, 0), "")</f>
        <v>0.7</v>
      </c>
      <c r="LR17" s="3"/>
      <c r="LS17" s="10">
        <f t="shared" ref="LS17" si="701">IF(ISNUMBER(LQ17), (LG17+LH17)-LQ17, "")</f>
        <v>0</v>
      </c>
      <c r="LW17" s="24">
        <v>0.7</v>
      </c>
      <c r="LX17" s="6" t="s">
        <v>25</v>
      </c>
      <c r="LY17" s="24"/>
      <c r="LZ17" s="6" t="s">
        <v>25</v>
      </c>
      <c r="MA17" s="5">
        <f t="shared" ref="MA17" si="702">IF(OR(ISNUMBER(LW17), ISNUMBER(LY17)), IF(ISNUMBER(LW17), LW17, 0) + IF(ISNUMBER(LY17), LY17, 0), "")</f>
        <v>0.7</v>
      </c>
      <c r="MB17" s="3"/>
      <c r="MC17" s="10">
        <f t="shared" ref="MC17" si="703">IF(ISNUMBER(MA17), (LQ17+LR17)-MA17, "")</f>
        <v>0</v>
      </c>
      <c r="MG17" s="24">
        <v>0.7</v>
      </c>
      <c r="MH17" s="6" t="s">
        <v>25</v>
      </c>
      <c r="MI17" s="24"/>
      <c r="MJ17" s="6" t="s">
        <v>25</v>
      </c>
      <c r="MK17" s="5">
        <f t="shared" ref="MK17" si="704">IF(OR(ISNUMBER(MG17), ISNUMBER(MI17)), IF(ISNUMBER(MG17), MG17, 0) + IF(ISNUMBER(MI17), MI17, 0), "")</f>
        <v>0.7</v>
      </c>
      <c r="ML17" s="3"/>
      <c r="MM17" s="10">
        <f t="shared" ref="MM17" si="705">IF(ISNUMBER(MK17), (MA17+MB17)-MK17, "")</f>
        <v>0</v>
      </c>
      <c r="MQ17" s="24">
        <v>0.7</v>
      </c>
      <c r="MR17" s="6" t="s">
        <v>25</v>
      </c>
      <c r="MS17" s="24"/>
      <c r="MT17" s="6" t="s">
        <v>25</v>
      </c>
      <c r="MU17" s="5">
        <f t="shared" ref="MU17" si="706">IF(OR(ISNUMBER(MQ17), ISNUMBER(MS17)), IF(ISNUMBER(MQ17), MQ17, 0) + IF(ISNUMBER(MS17), MS17, 0), "")</f>
        <v>0.7</v>
      </c>
      <c r="MV17" s="3"/>
      <c r="MW17" s="10">
        <f t="shared" ref="MW17" si="707">IF(ISNUMBER(MU17), (MK17+ML17)-MU17, "")</f>
        <v>0</v>
      </c>
      <c r="NA17" s="24">
        <v>0.7</v>
      </c>
      <c r="NB17" s="6" t="s">
        <v>25</v>
      </c>
      <c r="NC17" s="24"/>
      <c r="ND17" s="6" t="s">
        <v>25</v>
      </c>
      <c r="NE17" s="5">
        <f t="shared" ref="NE17" si="708">IF(OR(ISNUMBER(NA17), ISNUMBER(NC17)), IF(ISNUMBER(NA17), NA17, 0) + IF(ISNUMBER(NC17), NC17, 0), "")</f>
        <v>0.7</v>
      </c>
      <c r="NF17" s="3"/>
      <c r="NG17" s="10">
        <f t="shared" ref="NG17" si="709">IF(ISNUMBER(NE17), (MU17+MV17)-NE17, "")</f>
        <v>0</v>
      </c>
      <c r="NK17" s="24">
        <v>0.7</v>
      </c>
      <c r="NL17" s="6" t="s">
        <v>25</v>
      </c>
      <c r="NM17" s="24"/>
      <c r="NN17" s="6" t="s">
        <v>25</v>
      </c>
      <c r="NO17" s="5">
        <f t="shared" ref="NO17" si="710">IF(OR(ISNUMBER(NK17), ISNUMBER(NM17)), IF(ISNUMBER(NK17), NK17, 0) + IF(ISNUMBER(NM17), NM17, 0), "")</f>
        <v>0.7</v>
      </c>
      <c r="NP17" s="3"/>
      <c r="NQ17" s="10">
        <f t="shared" ref="NQ17" si="711">IF(ISNUMBER(NO17), (NE17+NF17)-NO17, "")</f>
        <v>0</v>
      </c>
      <c r="NU17" s="24">
        <v>0.7</v>
      </c>
      <c r="NV17" s="6" t="s">
        <v>25</v>
      </c>
      <c r="NW17" s="24"/>
      <c r="NX17" s="6" t="s">
        <v>25</v>
      </c>
      <c r="NY17" s="5">
        <f t="shared" ref="NY17" si="712">IF(OR(ISNUMBER(NU17), ISNUMBER(NW17)), IF(ISNUMBER(NU17), NU17, 0) + IF(ISNUMBER(NW17), NW17, 0), "")</f>
        <v>0.7</v>
      </c>
      <c r="NZ17" s="3"/>
      <c r="OA17" s="10">
        <f t="shared" ref="OA17" si="713">IF(ISNUMBER(NY17), (NO17+NP17)-NY17, "")</f>
        <v>0</v>
      </c>
      <c r="OE17" s="2">
        <v>0.7</v>
      </c>
      <c r="OF17" s="6" t="s">
        <v>25</v>
      </c>
      <c r="OG17" s="2"/>
      <c r="OH17" s="6" t="s">
        <v>25</v>
      </c>
      <c r="OI17" s="5">
        <f t="shared" ref="OI17" si="714">IF(OR(ISNUMBER(OE17), ISNUMBER(OG17)), IF(ISNUMBER(OE17), OE17, 0) + IF(ISNUMBER(OG17), OG17, 0), "")</f>
        <v>0.7</v>
      </c>
      <c r="OJ17" s="3"/>
      <c r="OK17" s="10">
        <f t="shared" ref="OK17" si="715">IF(ISNUMBER(OI17), (NY17+NZ17)-OI17, "")</f>
        <v>0</v>
      </c>
      <c r="OO17" s="24">
        <v>0.7</v>
      </c>
      <c r="OP17" s="6" t="s">
        <v>25</v>
      </c>
      <c r="OQ17" s="24"/>
      <c r="OR17" s="6" t="s">
        <v>25</v>
      </c>
      <c r="OS17" s="5">
        <f t="shared" ref="OS17" si="716">IF(OR(ISNUMBER(OO17), ISNUMBER(OQ17)), IF(ISNUMBER(OO17), OO17, 0) + IF(ISNUMBER(OQ17), OQ17, 0), "")</f>
        <v>0.7</v>
      </c>
      <c r="OT17" s="3"/>
      <c r="OU17" s="10">
        <f t="shared" ref="OU17" si="717">IF(ISNUMBER(OS17), (OI17+OJ17)-OS17, "")</f>
        <v>0</v>
      </c>
      <c r="OY17" s="24">
        <v>0.7</v>
      </c>
      <c r="OZ17" s="6" t="s">
        <v>25</v>
      </c>
      <c r="PA17" s="24"/>
      <c r="PB17" s="6" t="s">
        <v>25</v>
      </c>
      <c r="PC17" s="5">
        <f t="shared" ref="PC17" si="718">IF(OR(ISNUMBER(OY17), ISNUMBER(PA17)), IF(ISNUMBER(OY17), OY17, 0) + IF(ISNUMBER(PA17), PA17, 0), "")</f>
        <v>0.7</v>
      </c>
      <c r="PD17" s="3"/>
      <c r="PE17" s="10">
        <f t="shared" ref="PE17" si="719">IF(ISNUMBER(PC17), (OS17+OT17)-PC17, "")</f>
        <v>0</v>
      </c>
      <c r="PI17" s="24">
        <v>0.7</v>
      </c>
      <c r="PJ17" s="6" t="s">
        <v>25</v>
      </c>
      <c r="PK17" s="24"/>
      <c r="PL17" s="6" t="s">
        <v>25</v>
      </c>
      <c r="PM17" s="5">
        <f t="shared" ref="PM17" si="720">IF(OR(ISNUMBER(PI17), ISNUMBER(PK17)), IF(ISNUMBER(PI17), PI17, 0) + IF(ISNUMBER(PK17), PK17, 0), "")</f>
        <v>0.7</v>
      </c>
      <c r="PN17" s="3"/>
      <c r="PO17" s="10">
        <f t="shared" ref="PO17" si="721">IF(ISNUMBER(PM17), (PC17+PD17)-PM17, "")</f>
        <v>0</v>
      </c>
      <c r="PS17" s="2">
        <v>0.7</v>
      </c>
      <c r="PT17" s="6" t="s">
        <v>25</v>
      </c>
      <c r="PU17" s="2"/>
      <c r="PV17" s="6" t="s">
        <v>25</v>
      </c>
      <c r="PW17" s="5">
        <f t="shared" ref="PW17" si="722">IF(OR(ISNUMBER(PS17), ISNUMBER(PU17)), IF(ISNUMBER(PS17), PS17, 0) + IF(ISNUMBER(PU17), PU17, 0), "")</f>
        <v>0.7</v>
      </c>
      <c r="PX17" s="3"/>
      <c r="PY17" s="10">
        <f t="shared" ref="PY17" si="723">IF(ISNUMBER(PW17), (PM17+PN17)-PW17, "")</f>
        <v>0</v>
      </c>
      <c r="QC17" s="2">
        <v>0.7</v>
      </c>
      <c r="QD17" s="6" t="s">
        <v>25</v>
      </c>
      <c r="QE17" s="2"/>
      <c r="QF17" s="6" t="s">
        <v>25</v>
      </c>
      <c r="QG17" s="5">
        <f t="shared" ref="QG17" si="724">IF(OR(ISNUMBER(QC17), ISNUMBER(QE17)), IF(ISNUMBER(QC17), QC17, 0) + IF(ISNUMBER(QE17), QE17, 0), "")</f>
        <v>0.7</v>
      </c>
      <c r="QH17" s="3"/>
      <c r="QI17" s="10">
        <f t="shared" ref="QI17" si="725">IF(ISNUMBER(QG17), (PW17+PX17)-QG17, "")</f>
        <v>0</v>
      </c>
      <c r="QM17" s="24">
        <v>0.7</v>
      </c>
      <c r="QN17" s="6" t="s">
        <v>25</v>
      </c>
      <c r="QO17" s="24"/>
      <c r="QP17" s="6" t="s">
        <v>25</v>
      </c>
      <c r="QQ17" s="5">
        <f t="shared" ref="QQ17" si="726">IF(OR(ISNUMBER(QM17), ISNUMBER(QO17)), IF(ISNUMBER(QM17), QM17, 0) + IF(ISNUMBER(QO17), QO17, 0), "")</f>
        <v>0.7</v>
      </c>
      <c r="QR17" s="3"/>
      <c r="QS17" s="10">
        <f t="shared" ref="QS17" si="727">IF(ISNUMBER(QQ17), (QG17+QH17)-QQ17, "")</f>
        <v>0</v>
      </c>
      <c r="QW17" s="24">
        <v>0.7</v>
      </c>
      <c r="QX17" s="6" t="s">
        <v>25</v>
      </c>
      <c r="QY17" s="24"/>
      <c r="QZ17" s="6" t="s">
        <v>25</v>
      </c>
      <c r="RA17" s="5">
        <f t="shared" ref="RA17" si="728">IF(OR(ISNUMBER(QW17), ISNUMBER(QY17)), IF(ISNUMBER(QW17), QW17, 0) + IF(ISNUMBER(QY17), QY17, 0), "")</f>
        <v>0.7</v>
      </c>
      <c r="RB17" s="3"/>
      <c r="RC17" s="10">
        <f t="shared" ref="RC17" si="729">IF(ISNUMBER(RA17), (QQ17+QR17)-RA17, "")</f>
        <v>0</v>
      </c>
      <c r="RG17" s="24">
        <v>0.7</v>
      </c>
      <c r="RH17" s="6" t="s">
        <v>25</v>
      </c>
      <c r="RI17" s="24"/>
      <c r="RJ17" s="6" t="s">
        <v>25</v>
      </c>
      <c r="RK17" s="5">
        <f t="shared" ref="RK17" si="730">IF(OR(ISNUMBER(RG17), ISNUMBER(RI17)), IF(ISNUMBER(RG17), RG17, 0) + IF(ISNUMBER(RI17), RI17, 0), "")</f>
        <v>0.7</v>
      </c>
      <c r="RL17" s="3"/>
      <c r="RM17" s="10">
        <f t="shared" ref="RM17" si="731">IF(ISNUMBER(RK17), (RA17+RB17)-RK17, "")</f>
        <v>0</v>
      </c>
      <c r="RQ17" s="24">
        <v>0.7</v>
      </c>
      <c r="RR17" s="6" t="s">
        <v>25</v>
      </c>
      <c r="RS17" s="24"/>
      <c r="RT17" s="6" t="s">
        <v>25</v>
      </c>
      <c r="RU17" s="5">
        <f t="shared" ref="RU17" si="732">IF(OR(ISNUMBER(RQ17), ISNUMBER(RS17)), IF(ISNUMBER(RQ17), RQ17, 0) + IF(ISNUMBER(RS17), RS17, 0), "")</f>
        <v>0.7</v>
      </c>
      <c r="RV17" s="3"/>
      <c r="RW17" s="10">
        <f t="shared" ref="RW17" si="733">IF(ISNUMBER(RU17), (RK17+RL17)-RU17, "")</f>
        <v>0</v>
      </c>
      <c r="SA17" s="2">
        <v>0.7</v>
      </c>
      <c r="SB17" s="6" t="s">
        <v>25</v>
      </c>
      <c r="SC17" s="2"/>
      <c r="SD17" s="6" t="s">
        <v>25</v>
      </c>
      <c r="SE17" s="5">
        <f t="shared" ref="SE17" si="734">IF(OR(ISNUMBER(SA17), ISNUMBER(SC17)), IF(ISNUMBER(SA17), SA17, 0) + IF(ISNUMBER(SC17), SC17, 0), "")</f>
        <v>0.7</v>
      </c>
      <c r="SF17" s="3"/>
      <c r="SG17" s="10">
        <f t="shared" ref="SG17" si="735">IF(ISNUMBER(SE17), (RU17+RV17)-SE17, "")</f>
        <v>0</v>
      </c>
      <c r="SK17" s="24">
        <v>0.7</v>
      </c>
      <c r="SL17" s="6" t="s">
        <v>25</v>
      </c>
      <c r="SM17" s="24"/>
      <c r="SN17" s="6" t="s">
        <v>25</v>
      </c>
      <c r="SO17" s="5">
        <f t="shared" ref="SO17" si="736">IF(OR(ISNUMBER(SK17), ISNUMBER(SM17)), IF(ISNUMBER(SK17), SK17, 0) + IF(ISNUMBER(SM17), SM17, 0), "")</f>
        <v>0.7</v>
      </c>
      <c r="SP17" s="3"/>
      <c r="SQ17" s="10">
        <f t="shared" ref="SQ17" si="737">IF(ISNUMBER(SO17), (SE17+SF17)-SO17, "")</f>
        <v>0</v>
      </c>
      <c r="SU17" s="24">
        <v>1</v>
      </c>
      <c r="SV17" s="6" t="s">
        <v>25</v>
      </c>
      <c r="SW17" s="24">
        <v>0.5</v>
      </c>
      <c r="SX17" s="6" t="s">
        <v>25</v>
      </c>
      <c r="SY17" s="5">
        <f t="shared" ref="SY17" si="738">IF(OR(ISNUMBER(SU17), ISNUMBER(SW17)), IF(ISNUMBER(SU17), SU17, 0) + IF(ISNUMBER(SW17), SW17, 0), "")</f>
        <v>1.5</v>
      </c>
      <c r="SZ17" s="3"/>
      <c r="TA17" s="10">
        <f t="shared" ref="TA17" si="739">IF(ISNUMBER(SY17), (SO17+SP17)-SY17, "")</f>
        <v>-0.8</v>
      </c>
      <c r="TE17" s="24">
        <v>1</v>
      </c>
      <c r="TF17" s="6" t="s">
        <v>25</v>
      </c>
      <c r="TG17" s="24">
        <v>0.5</v>
      </c>
      <c r="TH17" s="6" t="s">
        <v>25</v>
      </c>
      <c r="TI17" s="5">
        <f t="shared" ref="TI17" si="740">IF(OR(ISNUMBER(TE17), ISNUMBER(TG17)), IF(ISNUMBER(TE17), TE17, 0) + IF(ISNUMBER(TG17), TG17, 0), "")</f>
        <v>1.5</v>
      </c>
      <c r="TJ17" s="3"/>
      <c r="TK17" s="10">
        <f t="shared" ref="TK17" si="741">IF(ISNUMBER(TI17), (SY17+SZ17)-TI17, "")</f>
        <v>0</v>
      </c>
      <c r="TO17" s="2">
        <v>1</v>
      </c>
      <c r="TP17" s="6" t="s">
        <v>25</v>
      </c>
      <c r="TQ17" s="2">
        <v>0.5</v>
      </c>
      <c r="TR17" s="6" t="s">
        <v>25</v>
      </c>
      <c r="TS17" s="5">
        <f t="shared" ref="TS17" si="742">IF(OR(ISNUMBER(TO17), ISNUMBER(TQ17)), IF(ISNUMBER(TO17), TO17, 0) + IF(ISNUMBER(TQ17), TQ17, 0), "")</f>
        <v>1.5</v>
      </c>
      <c r="TT17" s="3"/>
      <c r="TU17" s="10">
        <f t="shared" ref="TU17" si="743">IF(ISNUMBER(TS17), (TI17+TJ17)-TS17, "")</f>
        <v>0</v>
      </c>
      <c r="TY17" s="24">
        <v>1</v>
      </c>
      <c r="TZ17" s="6" t="s">
        <v>25</v>
      </c>
      <c r="UA17" s="24"/>
      <c r="UB17" s="6" t="s">
        <v>25</v>
      </c>
      <c r="UC17" s="5">
        <f t="shared" ref="UC17" si="744">IF(OR(ISNUMBER(TY17), ISNUMBER(UA17)), IF(ISNUMBER(TY17), TY17, 0) + IF(ISNUMBER(UA17), UA17, 0), "")</f>
        <v>1</v>
      </c>
      <c r="UD17" s="3"/>
      <c r="UE17" s="10">
        <f t="shared" ref="UE17" si="745">IF(ISNUMBER(UC17), (TS17+TT17)-UC17, "")</f>
        <v>0.5</v>
      </c>
      <c r="UI17" s="2">
        <v>1</v>
      </c>
      <c r="UJ17" s="6" t="s">
        <v>25</v>
      </c>
      <c r="UK17" s="2">
        <v>0.5</v>
      </c>
      <c r="UL17" s="6" t="s">
        <v>25</v>
      </c>
      <c r="UM17" s="5">
        <f t="shared" ref="UM17" si="746">IF(OR(ISNUMBER(UI17), ISNUMBER(UK17)), IF(ISNUMBER(UI17), UI17, 0) + IF(ISNUMBER(UK17), UK17, 0), "")</f>
        <v>1.5</v>
      </c>
      <c r="UN17" s="3"/>
      <c r="UO17" s="10">
        <f t="shared" ref="UO17" si="747">IF(ISNUMBER(UM17), (UC17+UD17)-UM17, "")</f>
        <v>-0.5</v>
      </c>
      <c r="US17" s="2">
        <v>1</v>
      </c>
      <c r="UT17" s="6" t="s">
        <v>25</v>
      </c>
      <c r="UU17" s="2">
        <v>0.5</v>
      </c>
      <c r="UV17" s="6" t="s">
        <v>25</v>
      </c>
      <c r="UW17" s="5">
        <f t="shared" ref="UW17" si="748">IF(OR(ISNUMBER(US17), ISNUMBER(UU17)), IF(ISNUMBER(US17), US17, 0) + IF(ISNUMBER(UU17), UU17, 0), "")</f>
        <v>1.5</v>
      </c>
      <c r="UX17" s="3"/>
      <c r="UY17" s="10">
        <f t="shared" ref="UY17" si="749">IF(ISNUMBER(UW17), (UM17+UN17)-UW17, "")</f>
        <v>0</v>
      </c>
      <c r="VC17" s="24">
        <v>1</v>
      </c>
      <c r="VD17" s="6" t="s">
        <v>25</v>
      </c>
      <c r="VE17" s="24">
        <v>0.3</v>
      </c>
      <c r="VF17" s="6" t="s">
        <v>25</v>
      </c>
      <c r="VG17" s="5">
        <f t="shared" ref="VG17" si="750">IF(OR(ISNUMBER(VC17), ISNUMBER(VE17)), IF(ISNUMBER(VC17), VC17, 0) + IF(ISNUMBER(VE17), VE17, 0), "")</f>
        <v>1.3</v>
      </c>
      <c r="VH17" s="3"/>
      <c r="VI17" s="10">
        <f t="shared" ref="VI17" si="751">IF(ISNUMBER(VG17), (UW17+UX17)-VG17, "")</f>
        <v>0.19999999999999996</v>
      </c>
      <c r="VM17" s="24">
        <v>1</v>
      </c>
      <c r="VN17" s="6" t="s">
        <v>25</v>
      </c>
      <c r="VO17" s="24">
        <v>0.3</v>
      </c>
      <c r="VP17" s="6" t="s">
        <v>25</v>
      </c>
      <c r="VQ17" s="5">
        <f t="shared" ref="VQ17" si="752">IF(OR(ISNUMBER(VM17), ISNUMBER(VO17)), IF(ISNUMBER(VM17), VM17, 0) + IF(ISNUMBER(VO17), VO17, 0), "")</f>
        <v>1.3</v>
      </c>
      <c r="VR17" s="3"/>
      <c r="VS17" s="10">
        <f t="shared" ref="VS17" si="753">IF(ISNUMBER(VQ17), (VG17+VH17)-VQ17, "")</f>
        <v>0</v>
      </c>
      <c r="VW17" s="2">
        <v>1</v>
      </c>
      <c r="VX17" s="6" t="s">
        <v>25</v>
      </c>
      <c r="VY17" s="2">
        <v>0.3</v>
      </c>
      <c r="VZ17" s="6" t="s">
        <v>25</v>
      </c>
      <c r="WA17" s="5">
        <f t="shared" ref="WA17" si="754">IF(OR(ISNUMBER(VW17), ISNUMBER(VY17)), IF(ISNUMBER(VW17), VW17, 0) + IF(ISNUMBER(VY17), VY17, 0), "")</f>
        <v>1.3</v>
      </c>
      <c r="WB17" s="3"/>
      <c r="WC17" s="10">
        <f t="shared" ref="WC17" si="755">IF(ISNUMBER(WA17), (VQ17+VR17)-WA17, "")</f>
        <v>0</v>
      </c>
      <c r="WG17" s="24">
        <v>1</v>
      </c>
      <c r="WH17" s="6" t="s">
        <v>25</v>
      </c>
      <c r="WI17" s="24">
        <v>0.3</v>
      </c>
      <c r="WJ17" s="6" t="s">
        <v>25</v>
      </c>
      <c r="WK17" s="5">
        <f t="shared" ref="WK17" si="756">IF(OR(ISNUMBER(WG17), ISNUMBER(WI17)), IF(ISNUMBER(WG17), WG17, 0) + IF(ISNUMBER(WI17), WI17, 0), "")</f>
        <v>1.3</v>
      </c>
      <c r="WL17" s="3"/>
      <c r="WM17" s="10">
        <f t="shared" ref="WM17" si="757">IF(ISNUMBER(WK17), (WA17+WB17)-WK17, "")</f>
        <v>0</v>
      </c>
      <c r="WQ17" s="24">
        <v>1</v>
      </c>
      <c r="WR17" s="6" t="s">
        <v>25</v>
      </c>
      <c r="WS17" s="24">
        <v>0.3</v>
      </c>
      <c r="WT17" s="6" t="s">
        <v>25</v>
      </c>
      <c r="WU17" s="5">
        <f t="shared" ref="WU17" si="758">IF(OR(ISNUMBER(WQ17), ISNUMBER(WS17)), IF(ISNUMBER(WQ17), WQ17, 0) + IF(ISNUMBER(WS17), WS17, 0), "")</f>
        <v>1.3</v>
      </c>
      <c r="WV17" s="3"/>
      <c r="WW17" s="10">
        <f t="shared" ref="WW17" si="759">IF(ISNUMBER(WU17), (WK17+WL17)-WU17, "")</f>
        <v>0</v>
      </c>
      <c r="XA17" s="24">
        <v>1</v>
      </c>
      <c r="XB17" s="6" t="s">
        <v>25</v>
      </c>
      <c r="XC17" s="24">
        <v>0.3</v>
      </c>
      <c r="XD17" s="6" t="s">
        <v>25</v>
      </c>
      <c r="XE17" s="5">
        <f t="shared" ref="XE17" si="760">IF(OR(ISNUMBER(XA17), ISNUMBER(XC17)), IF(ISNUMBER(XA17), XA17, 0) + IF(ISNUMBER(XC17), XC17, 0), "")</f>
        <v>1.3</v>
      </c>
      <c r="XF17" s="3"/>
      <c r="XG17" s="10">
        <f t="shared" ref="XG17" si="761">IF(ISNUMBER(XE17), (WU17+WV17)-XE17, "")</f>
        <v>0</v>
      </c>
      <c r="XK17" s="24">
        <v>1</v>
      </c>
      <c r="XL17" s="6" t="s">
        <v>25</v>
      </c>
      <c r="XM17" s="24">
        <v>0.3</v>
      </c>
      <c r="XN17" s="6" t="s">
        <v>25</v>
      </c>
      <c r="XO17" s="5">
        <f t="shared" ref="XO17" si="762">IF(OR(ISNUMBER(XK17), ISNUMBER(XM17)), IF(ISNUMBER(XK17), XK17, 0) + IF(ISNUMBER(XM17), XM17, 0), "")</f>
        <v>1.3</v>
      </c>
      <c r="XP17" s="3"/>
      <c r="XQ17" s="10">
        <f t="shared" ref="XQ17" si="763">IF(ISNUMBER(XO17), (XE17+XF17)-XO17, "")</f>
        <v>0</v>
      </c>
      <c r="XU17" s="24">
        <v>1</v>
      </c>
      <c r="XV17" s="6" t="s">
        <v>25</v>
      </c>
      <c r="XW17" s="24">
        <v>0.3</v>
      </c>
      <c r="XX17" s="6" t="s">
        <v>25</v>
      </c>
      <c r="XY17" s="5">
        <f t="shared" ref="XY17" si="764">IF(OR(ISNUMBER(XU17), ISNUMBER(XW17)), IF(ISNUMBER(XU17), XU17, 0) + IF(ISNUMBER(XW17), XW17, 0), "")</f>
        <v>1.3</v>
      </c>
      <c r="XZ17" s="3"/>
      <c r="YA17" s="10">
        <f t="shared" ref="YA17" si="765">IF(ISNUMBER(XY17), (XO17+XP17)-XY17, "")</f>
        <v>0</v>
      </c>
      <c r="YE17" s="24">
        <v>0.2</v>
      </c>
      <c r="YF17" s="6" t="s">
        <v>25</v>
      </c>
      <c r="YG17" s="24">
        <v>0.1</v>
      </c>
      <c r="YH17" s="6" t="s">
        <v>25</v>
      </c>
      <c r="YI17" s="74"/>
      <c r="YJ17" s="76"/>
      <c r="YK17" s="75"/>
      <c r="YO17" s="24">
        <v>0.1</v>
      </c>
      <c r="YP17" s="6" t="s">
        <v>25</v>
      </c>
      <c r="YQ17" s="24">
        <v>0.1</v>
      </c>
      <c r="YR17" s="6" t="s">
        <v>25</v>
      </c>
      <c r="YS17" s="74"/>
      <c r="YT17" s="76"/>
      <c r="YU17" s="75"/>
      <c r="YY17" s="2">
        <v>1</v>
      </c>
      <c r="YZ17" s="6" t="s">
        <v>25</v>
      </c>
      <c r="ZA17" s="2">
        <v>0.1</v>
      </c>
      <c r="ZB17" s="6" t="s">
        <v>25</v>
      </c>
      <c r="ZC17" s="74"/>
      <c r="ZD17" s="76"/>
      <c r="ZE17" s="75"/>
      <c r="ZI17" s="24">
        <v>0</v>
      </c>
      <c r="ZJ17" s="6" t="s">
        <v>25</v>
      </c>
      <c r="ZK17" s="24">
        <v>1</v>
      </c>
      <c r="ZL17" s="6" t="s">
        <v>25</v>
      </c>
      <c r="ZM17" s="74"/>
      <c r="ZN17" s="76"/>
      <c r="ZO17" s="75"/>
      <c r="ZR17" s="21"/>
      <c r="ZS17" s="24">
        <v>0</v>
      </c>
      <c r="ZT17" s="6" t="s">
        <v>25</v>
      </c>
      <c r="ZU17" s="24">
        <v>1</v>
      </c>
      <c r="ZV17" s="6" t="s">
        <v>25</v>
      </c>
      <c r="ZW17" s="74"/>
      <c r="ZX17" s="76"/>
      <c r="ZY17" s="75"/>
      <c r="AAB17" s="21"/>
      <c r="AAC17" s="24">
        <v>0</v>
      </c>
      <c r="AAD17" s="6" t="s">
        <v>25</v>
      </c>
      <c r="AAE17" s="24">
        <v>0.7</v>
      </c>
      <c r="AAF17" s="6" t="s">
        <v>25</v>
      </c>
      <c r="AAG17" s="74"/>
      <c r="AAH17" s="76"/>
      <c r="AAI17" s="75"/>
      <c r="AAL17" s="21"/>
      <c r="AAM17" s="24">
        <v>0</v>
      </c>
      <c r="AAN17" s="6" t="s">
        <v>25</v>
      </c>
      <c r="AAO17" s="24">
        <v>0.7</v>
      </c>
      <c r="AAP17" s="6" t="s">
        <v>25</v>
      </c>
      <c r="AAQ17" s="74"/>
      <c r="AAR17" s="76"/>
      <c r="AAS17" s="75"/>
      <c r="AAV17" s="21"/>
      <c r="AAW17" s="2">
        <v>0.5</v>
      </c>
      <c r="AAX17" s="6" t="s">
        <v>25</v>
      </c>
      <c r="AAY17" s="2"/>
      <c r="AAZ17" s="6" t="s">
        <v>25</v>
      </c>
      <c r="ABA17" s="74"/>
      <c r="ABB17" s="76"/>
      <c r="ABC17" s="75"/>
      <c r="ABF17" s="21"/>
      <c r="ABG17" s="24">
        <v>0.5</v>
      </c>
      <c r="ABH17" s="6" t="s">
        <v>25</v>
      </c>
      <c r="ABI17" s="24"/>
      <c r="ABJ17" s="6" t="s">
        <v>25</v>
      </c>
      <c r="ABK17" s="74"/>
      <c r="ABL17" s="76"/>
      <c r="ABM17" s="75"/>
      <c r="ABP17" s="21"/>
      <c r="ABQ17" s="24">
        <v>0.5</v>
      </c>
      <c r="ABR17" s="6" t="s">
        <v>25</v>
      </c>
      <c r="ABS17" s="24"/>
      <c r="ABT17" s="6" t="s">
        <v>25</v>
      </c>
      <c r="ABU17" s="74"/>
      <c r="ABV17" s="76"/>
      <c r="ABW17" s="75"/>
      <c r="ABZ17" s="21"/>
      <c r="ACA17" s="24">
        <v>0.5</v>
      </c>
      <c r="ACB17" s="6" t="s">
        <v>25</v>
      </c>
      <c r="ACC17" s="24"/>
      <c r="ACD17" s="6" t="s">
        <v>25</v>
      </c>
      <c r="ACE17" s="74"/>
      <c r="ACF17" s="76"/>
      <c r="ACG17" s="75"/>
      <c r="ACJ17" s="21"/>
      <c r="ACK17" s="2">
        <v>0.4</v>
      </c>
      <c r="ACL17" s="6" t="s">
        <v>25</v>
      </c>
      <c r="ACM17" s="2"/>
      <c r="ACN17" s="6" t="s">
        <v>25</v>
      </c>
      <c r="ACO17" s="74"/>
      <c r="ACP17" s="76"/>
      <c r="ACQ17" s="75"/>
      <c r="ACT17" s="21"/>
      <c r="ACU17" s="2">
        <v>0.4</v>
      </c>
      <c r="ACV17" s="6" t="s">
        <v>25</v>
      </c>
      <c r="ACW17" s="2"/>
      <c r="ACX17" s="6" t="s">
        <v>25</v>
      </c>
      <c r="ACY17" s="74"/>
      <c r="ACZ17" s="76"/>
      <c r="ADA17" s="75"/>
      <c r="ADD17" s="21"/>
      <c r="ADE17" s="24">
        <v>1</v>
      </c>
      <c r="ADF17" s="6" t="s">
        <v>25</v>
      </c>
      <c r="ADG17" s="24">
        <v>0.4</v>
      </c>
      <c r="ADH17" s="6" t="s">
        <v>25</v>
      </c>
      <c r="ADI17" s="74"/>
      <c r="ADJ17" s="76"/>
      <c r="ADK17" s="75"/>
      <c r="ADN17" s="21"/>
      <c r="ADO17" s="24">
        <v>1</v>
      </c>
      <c r="ADP17" s="6" t="s">
        <v>25</v>
      </c>
      <c r="ADQ17" s="24">
        <v>0.4</v>
      </c>
      <c r="ADR17" s="6" t="s">
        <v>25</v>
      </c>
      <c r="ADS17" s="74"/>
      <c r="ADT17" s="76"/>
      <c r="ADU17" s="75"/>
      <c r="ADX17" s="21"/>
      <c r="ADY17" s="24">
        <v>1</v>
      </c>
      <c r="ADZ17" s="6" t="s">
        <v>25</v>
      </c>
      <c r="AEA17" s="24">
        <v>0.4</v>
      </c>
      <c r="AEB17" s="6" t="s">
        <v>25</v>
      </c>
      <c r="AEC17" s="74"/>
      <c r="AED17" s="76"/>
      <c r="AEE17" s="75"/>
      <c r="AEH17" s="21"/>
      <c r="AEI17" s="2">
        <v>1</v>
      </c>
      <c r="AEJ17" s="6" t="s">
        <v>25</v>
      </c>
      <c r="AEK17" s="2">
        <v>0</v>
      </c>
      <c r="AEL17" s="6" t="s">
        <v>25</v>
      </c>
      <c r="AEM17" s="58"/>
      <c r="AEN17" s="59"/>
      <c r="AEO17" s="60"/>
      <c r="AER17" s="21"/>
      <c r="AES17" s="24">
        <v>1</v>
      </c>
      <c r="AET17" s="6" t="s">
        <v>25</v>
      </c>
      <c r="AEU17" s="24">
        <v>0.4</v>
      </c>
      <c r="AEV17" s="6" t="s">
        <v>25</v>
      </c>
      <c r="AEW17" s="74"/>
      <c r="AEX17" s="76"/>
      <c r="AEY17" s="75"/>
      <c r="AFB17" s="21"/>
      <c r="AFC17" s="24">
        <v>1</v>
      </c>
      <c r="AFD17" s="6" t="s">
        <v>25</v>
      </c>
      <c r="AFE17" s="24">
        <v>0.4</v>
      </c>
      <c r="AFF17" s="6" t="s">
        <v>25</v>
      </c>
      <c r="AFG17" s="74"/>
      <c r="AFH17" s="76"/>
      <c r="AFI17" s="75"/>
      <c r="AFL17" s="21"/>
      <c r="AFM17" s="2">
        <v>1</v>
      </c>
      <c r="AFN17" s="6" t="s">
        <v>25</v>
      </c>
      <c r="AFO17" s="2">
        <v>0.4</v>
      </c>
      <c r="AFP17" s="6" t="s">
        <v>25</v>
      </c>
      <c r="AFQ17" s="58"/>
      <c r="AFR17" s="59"/>
      <c r="AFS17" s="60"/>
      <c r="AFV17" s="21"/>
      <c r="AFW17" s="2">
        <v>1</v>
      </c>
      <c r="AFX17" s="6" t="s">
        <v>25</v>
      </c>
      <c r="AFY17" s="2">
        <v>0.4</v>
      </c>
      <c r="AFZ17" s="6" t="s">
        <v>25</v>
      </c>
      <c r="AGA17" s="58"/>
      <c r="AGB17" s="59"/>
      <c r="AGC17" s="60"/>
      <c r="AGF17" s="21"/>
      <c r="AGG17" s="2">
        <v>1</v>
      </c>
      <c r="AGH17" s="6" t="s">
        <v>25</v>
      </c>
      <c r="AGI17" s="2">
        <v>0.1</v>
      </c>
      <c r="AGJ17" s="6" t="s">
        <v>25</v>
      </c>
      <c r="AGK17" s="58"/>
      <c r="AGL17" s="59"/>
      <c r="AGM17" s="60"/>
      <c r="AGP17" s="21"/>
      <c r="AGQ17" s="24">
        <v>1</v>
      </c>
      <c r="AGR17" s="6" t="s">
        <v>25</v>
      </c>
      <c r="AGS17" s="24">
        <v>0.1</v>
      </c>
      <c r="AGT17" s="6" t="s">
        <v>25</v>
      </c>
      <c r="AGU17" s="74"/>
      <c r="AGV17" s="76"/>
      <c r="AGW17" s="75"/>
      <c r="AGZ17" s="21"/>
      <c r="AHA17" s="24">
        <v>1</v>
      </c>
      <c r="AHB17" s="6" t="s">
        <v>25</v>
      </c>
      <c r="AHC17" s="24">
        <v>0.1</v>
      </c>
      <c r="AHD17" s="6" t="s">
        <v>25</v>
      </c>
      <c r="AHE17" s="74"/>
      <c r="AHF17" s="76"/>
      <c r="AHG17" s="75"/>
      <c r="AHJ17" s="21"/>
      <c r="AHK17" s="24">
        <v>1</v>
      </c>
      <c r="AHL17" s="6" t="s">
        <v>25</v>
      </c>
      <c r="AHM17" s="24">
        <v>0.1</v>
      </c>
      <c r="AHN17" s="6" t="s">
        <v>25</v>
      </c>
      <c r="AHO17" s="74"/>
      <c r="AHP17" s="76"/>
      <c r="AHQ17" s="75"/>
      <c r="AHT17" s="21"/>
      <c r="AHU17" s="2">
        <v>1</v>
      </c>
      <c r="AHV17" s="6" t="s">
        <v>25</v>
      </c>
      <c r="AHW17" s="2">
        <v>0.06</v>
      </c>
      <c r="AHX17" s="6" t="s">
        <v>25</v>
      </c>
      <c r="AHY17" s="58"/>
      <c r="AHZ17" s="59"/>
      <c r="AIA17" s="60"/>
      <c r="AID17" s="21"/>
      <c r="AIE17" s="24">
        <v>0.7</v>
      </c>
      <c r="AIF17" s="6" t="s">
        <v>25</v>
      </c>
      <c r="AIG17" s="24">
        <v>0.1</v>
      </c>
      <c r="AIH17" s="6" t="s">
        <v>25</v>
      </c>
      <c r="AII17" s="74"/>
      <c r="AIJ17" s="76"/>
      <c r="AIK17" s="75"/>
      <c r="AIN17" s="21"/>
      <c r="AIO17" s="2">
        <v>0.7</v>
      </c>
      <c r="AIP17" s="6" t="s">
        <v>25</v>
      </c>
      <c r="AIQ17" s="2">
        <v>0.1</v>
      </c>
      <c r="AIR17" s="6" t="s">
        <v>25</v>
      </c>
      <c r="AIS17" s="58"/>
      <c r="AIT17" s="59"/>
      <c r="AIU17" s="60"/>
      <c r="AIX17" s="21"/>
      <c r="AIY17" s="2">
        <v>0.7</v>
      </c>
      <c r="AIZ17" s="6" t="s">
        <v>25</v>
      </c>
      <c r="AJA17" s="2">
        <v>0.1</v>
      </c>
      <c r="AJB17" s="6" t="s">
        <v>25</v>
      </c>
      <c r="AJC17" s="58"/>
      <c r="AJD17" s="59"/>
      <c r="AJE17" s="60"/>
      <c r="AJH17" s="21"/>
      <c r="AJI17" s="24">
        <v>0.7</v>
      </c>
      <c r="AJJ17" s="6" t="s">
        <v>25</v>
      </c>
      <c r="AJK17" s="24">
        <v>0.1</v>
      </c>
      <c r="AJL17" s="6" t="s">
        <v>25</v>
      </c>
      <c r="AJM17" s="74"/>
      <c r="AJN17" s="76"/>
      <c r="AJO17" s="75"/>
      <c r="AJR17" s="21"/>
      <c r="AJS17" s="2">
        <v>1</v>
      </c>
      <c r="AJT17" s="6" t="s">
        <v>25</v>
      </c>
      <c r="AJU17" s="2">
        <v>0.5</v>
      </c>
      <c r="AJV17" s="6" t="s">
        <v>25</v>
      </c>
      <c r="AJW17" s="58"/>
      <c r="AJX17" s="59"/>
      <c r="AJY17" s="60"/>
      <c r="AKB17" s="21"/>
      <c r="AKC17" s="24">
        <v>1</v>
      </c>
      <c r="AKD17" s="6" t="s">
        <v>25</v>
      </c>
      <c r="AKE17" s="24">
        <v>0.5</v>
      </c>
      <c r="AKF17" s="6" t="s">
        <v>25</v>
      </c>
      <c r="AKG17" s="74"/>
      <c r="AKH17" s="76"/>
      <c r="AKI17" s="75"/>
      <c r="AKL17" s="21"/>
      <c r="AKM17" s="2">
        <v>1</v>
      </c>
      <c r="AKN17" s="6" t="s">
        <v>25</v>
      </c>
      <c r="AKO17" s="2">
        <v>0.5</v>
      </c>
      <c r="AKP17" s="6" t="s">
        <v>25</v>
      </c>
      <c r="AKQ17" s="58"/>
      <c r="AKR17" s="59"/>
      <c r="AKS17" s="60"/>
      <c r="AKV17" s="21"/>
      <c r="AKW17" s="2">
        <v>1</v>
      </c>
      <c r="AKX17" s="6" t="s">
        <v>25</v>
      </c>
      <c r="AKY17" s="2">
        <v>0.5</v>
      </c>
      <c r="AKZ17" s="6" t="s">
        <v>25</v>
      </c>
      <c r="ALA17" s="58"/>
      <c r="ALB17" s="59"/>
      <c r="ALC17" s="60"/>
      <c r="ALF17" s="21"/>
      <c r="ALG17" s="2">
        <v>1</v>
      </c>
      <c r="ALH17" s="6" t="s">
        <v>25</v>
      </c>
      <c r="ALI17" s="2">
        <v>0.5</v>
      </c>
      <c r="ALJ17" s="6" t="s">
        <v>25</v>
      </c>
      <c r="ALK17" s="58"/>
      <c r="ALL17" s="59"/>
      <c r="ALM17" s="60"/>
      <c r="ALP17" s="21"/>
      <c r="ALQ17" s="2">
        <v>1</v>
      </c>
      <c r="ALR17" s="6" t="s">
        <v>25</v>
      </c>
      <c r="ALS17" s="2">
        <v>0.5</v>
      </c>
      <c r="ALT17" s="6" t="s">
        <v>25</v>
      </c>
      <c r="ALU17" s="58"/>
      <c r="ALV17" s="59"/>
      <c r="ALW17" s="60"/>
      <c r="ALZ17" s="21"/>
      <c r="AMA17" s="24">
        <v>1</v>
      </c>
      <c r="AMB17" s="6" t="s">
        <v>25</v>
      </c>
      <c r="AMC17" s="24">
        <v>0.5</v>
      </c>
      <c r="AMD17" s="6" t="s">
        <v>25</v>
      </c>
      <c r="AME17" s="74"/>
      <c r="AMF17" s="76"/>
      <c r="AMG17" s="75"/>
      <c r="AMJ17" s="21"/>
      <c r="AMK17" s="24">
        <v>1</v>
      </c>
      <c r="AML17" s="6" t="s">
        <v>25</v>
      </c>
      <c r="AMM17" s="24">
        <v>0.5</v>
      </c>
      <c r="AMN17" s="6" t="s">
        <v>25</v>
      </c>
      <c r="AMO17" s="74"/>
      <c r="AMP17" s="76"/>
      <c r="AMQ17" s="75"/>
      <c r="AMT17" s="21"/>
      <c r="AMU17" s="24">
        <v>1</v>
      </c>
      <c r="AMV17" s="6" t="s">
        <v>25</v>
      </c>
      <c r="AMW17" s="24">
        <v>0.5</v>
      </c>
      <c r="AMX17" s="6" t="s">
        <v>25</v>
      </c>
      <c r="AMY17" s="74"/>
      <c r="AMZ17" s="76"/>
      <c r="ANA17" s="75"/>
      <c r="AND17" s="21"/>
      <c r="ANE17" s="24">
        <v>1</v>
      </c>
      <c r="ANF17" s="6" t="s">
        <v>25</v>
      </c>
      <c r="ANG17" s="24">
        <v>0.5</v>
      </c>
      <c r="ANH17" s="6" t="s">
        <v>25</v>
      </c>
      <c r="ANI17" s="74"/>
      <c r="ANJ17" s="76"/>
      <c r="ANK17" s="75"/>
      <c r="ANN17" s="21"/>
      <c r="ANO17" s="24">
        <v>1</v>
      </c>
      <c r="ANP17" s="6" t="s">
        <v>25</v>
      </c>
      <c r="ANQ17" s="24">
        <v>0.5</v>
      </c>
      <c r="ANR17" s="6" t="s">
        <v>25</v>
      </c>
      <c r="ANS17" s="74"/>
      <c r="ANT17" s="76"/>
      <c r="ANU17" s="75"/>
      <c r="ANX17" s="21"/>
      <c r="ANY17" s="24">
        <v>1</v>
      </c>
      <c r="ANZ17" s="6" t="s">
        <v>25</v>
      </c>
      <c r="AOA17" s="24">
        <v>0.5</v>
      </c>
      <c r="AOB17" s="6" t="s">
        <v>25</v>
      </c>
      <c r="AOC17" s="74"/>
      <c r="AOD17" s="76"/>
      <c r="AOE17" s="75"/>
      <c r="AOH17" s="21"/>
      <c r="AOI17" s="24">
        <v>1</v>
      </c>
      <c r="AOJ17" s="6" t="s">
        <v>25</v>
      </c>
      <c r="AOK17" s="24">
        <v>0.5</v>
      </c>
      <c r="AOL17" s="6" t="s">
        <v>25</v>
      </c>
      <c r="AOM17" s="74"/>
      <c r="AON17" s="76"/>
      <c r="AOO17" s="75"/>
      <c r="AOR17" s="21"/>
      <c r="AOS17" s="24">
        <v>1</v>
      </c>
      <c r="AOT17" s="6" t="s">
        <v>25</v>
      </c>
      <c r="AOU17" s="24">
        <v>0.5</v>
      </c>
      <c r="AOV17" s="6" t="s">
        <v>25</v>
      </c>
      <c r="AOW17" s="74"/>
      <c r="AOX17" s="76"/>
      <c r="AOY17" s="75"/>
      <c r="APB17" s="21"/>
      <c r="APC17" s="24">
        <v>1</v>
      </c>
      <c r="APD17" s="6" t="s">
        <v>25</v>
      </c>
      <c r="APE17" s="24">
        <v>0.5</v>
      </c>
      <c r="APF17" s="6" t="s">
        <v>25</v>
      </c>
      <c r="APG17" s="74"/>
      <c r="APH17" s="76"/>
      <c r="API17" s="75"/>
      <c r="APL17" s="21"/>
      <c r="APM17" s="24">
        <v>1</v>
      </c>
      <c r="APN17" s="6" t="s">
        <v>25</v>
      </c>
      <c r="APO17" s="24">
        <v>0.5</v>
      </c>
      <c r="APP17" s="6" t="s">
        <v>25</v>
      </c>
      <c r="APQ17" s="74"/>
      <c r="APR17" s="76"/>
      <c r="APS17" s="75"/>
      <c r="APV17" s="21"/>
      <c r="APW17" s="95">
        <v>1</v>
      </c>
      <c r="APX17" s="96" t="s">
        <v>25</v>
      </c>
      <c r="APY17" s="95">
        <v>0.5</v>
      </c>
      <c r="APZ17" s="96" t="s">
        <v>25</v>
      </c>
      <c r="AQA17" s="92"/>
      <c r="AQB17" s="112"/>
      <c r="AQC17" s="93"/>
      <c r="AQD17" s="100"/>
      <c r="AQE17" s="100"/>
      <c r="AQF17" s="21"/>
      <c r="AQG17" s="2"/>
      <c r="AQH17" s="6" t="s">
        <v>25</v>
      </c>
      <c r="AQI17" s="2"/>
      <c r="AQJ17" s="6" t="s">
        <v>25</v>
      </c>
      <c r="AQK17" s="58"/>
      <c r="AQL17" s="59"/>
      <c r="AQM17" s="60"/>
    </row>
    <row r="18" spans="1:1133" ht="11.25" x14ac:dyDescent="0.2">
      <c r="B18" s="15"/>
      <c r="C18" s="8"/>
      <c r="E18" s="18"/>
      <c r="F18" s="17"/>
      <c r="G18" s="18"/>
      <c r="H18" s="17"/>
      <c r="J18" s="18"/>
      <c r="K18" s="19"/>
      <c r="M18" s="19"/>
      <c r="O18" s="18"/>
      <c r="P18" s="17"/>
      <c r="Q18" s="18"/>
      <c r="R18" s="17"/>
      <c r="T18" s="18"/>
      <c r="U18" s="19"/>
      <c r="W18" s="19"/>
      <c r="Y18" s="18"/>
      <c r="Z18" s="17"/>
      <c r="AA18" s="18"/>
      <c r="AB18" s="17"/>
      <c r="AD18" s="18"/>
      <c r="AE18" s="19"/>
      <c r="AG18" s="19"/>
      <c r="AI18" s="18"/>
      <c r="AJ18" s="17"/>
      <c r="AK18" s="18"/>
      <c r="AL18" s="17"/>
      <c r="AN18" s="18"/>
      <c r="AO18" s="19"/>
      <c r="AQ18" s="19"/>
      <c r="AS18" s="18"/>
      <c r="AT18" s="17"/>
      <c r="AU18" s="18"/>
      <c r="AV18" s="17"/>
      <c r="AX18" s="18"/>
      <c r="AY18" s="19"/>
      <c r="BA18" s="19"/>
      <c r="BC18" s="18"/>
      <c r="BD18" s="17"/>
      <c r="BE18" s="18"/>
      <c r="BF18" s="17"/>
      <c r="BH18" s="18"/>
      <c r="BI18" s="19"/>
      <c r="BK18" s="19"/>
      <c r="BM18" s="18"/>
      <c r="BN18" s="17"/>
      <c r="BO18" s="18"/>
      <c r="BP18" s="17"/>
      <c r="BR18" s="18"/>
      <c r="BS18" s="19"/>
      <c r="BU18" s="19"/>
      <c r="BW18" s="18"/>
      <c r="BX18" s="17"/>
      <c r="BY18" s="18"/>
      <c r="BZ18" s="17"/>
      <c r="CB18" s="18"/>
      <c r="CC18" s="19"/>
      <c r="CE18" s="19"/>
      <c r="CG18" s="18"/>
      <c r="CH18" s="17"/>
      <c r="CI18" s="18"/>
      <c r="CJ18" s="17"/>
      <c r="CL18" s="18"/>
      <c r="CM18" s="19"/>
      <c r="CO18" s="19"/>
      <c r="CQ18" s="18"/>
      <c r="CR18" s="17"/>
      <c r="CS18" s="18"/>
      <c r="CT18" s="17"/>
      <c r="CV18" s="18"/>
      <c r="CW18" s="19"/>
      <c r="CY18" s="19"/>
      <c r="DA18" s="18"/>
      <c r="DB18" s="17"/>
      <c r="DC18" s="18"/>
      <c r="DD18" s="17"/>
      <c r="DF18" s="18"/>
      <c r="DG18" s="19"/>
      <c r="DI18" s="19"/>
      <c r="DK18" s="18"/>
      <c r="DL18" s="17"/>
      <c r="DM18" s="18"/>
      <c r="DN18" s="17"/>
      <c r="DP18" s="18"/>
      <c r="DQ18" s="19"/>
      <c r="DS18" s="19"/>
      <c r="DU18" s="18"/>
      <c r="DV18" s="17"/>
      <c r="DW18" s="18"/>
      <c r="DX18" s="17"/>
      <c r="DZ18" s="18"/>
      <c r="EA18" s="19"/>
      <c r="EC18" s="19"/>
      <c r="EE18" s="18"/>
      <c r="EF18" s="17"/>
      <c r="EG18" s="18"/>
      <c r="EH18" s="17"/>
      <c r="EJ18" s="18"/>
      <c r="EK18" s="19"/>
      <c r="EM18" s="19"/>
      <c r="EO18" s="18"/>
      <c r="EP18" s="17"/>
      <c r="EQ18" s="18"/>
      <c r="ER18" s="17"/>
      <c r="ET18" s="18"/>
      <c r="EU18" s="19"/>
      <c r="EW18" s="19"/>
      <c r="EY18" s="16"/>
      <c r="EZ18" s="17"/>
      <c r="FA18" s="16"/>
      <c r="FB18" s="17"/>
      <c r="FD18" s="18"/>
      <c r="FE18" s="19"/>
      <c r="FG18" s="19"/>
      <c r="FI18" s="18"/>
      <c r="FJ18" s="17"/>
      <c r="FK18" s="18"/>
      <c r="FL18" s="17"/>
      <c r="FN18" s="18"/>
      <c r="FO18" s="19"/>
      <c r="FQ18" s="19"/>
      <c r="FS18" s="18"/>
      <c r="FT18" s="17"/>
      <c r="FU18" s="18"/>
      <c r="FV18" s="17"/>
      <c r="FX18" s="18"/>
      <c r="FY18" s="19"/>
      <c r="GA18" s="19"/>
      <c r="GC18" s="18"/>
      <c r="GD18" s="17"/>
      <c r="GE18" s="18"/>
      <c r="GF18" s="17"/>
      <c r="GH18" s="18"/>
      <c r="GI18" s="19"/>
      <c r="GK18" s="19"/>
      <c r="GM18" s="18"/>
      <c r="GN18" s="17"/>
      <c r="GO18" s="18"/>
      <c r="GP18" s="17"/>
      <c r="GR18" s="18"/>
      <c r="GS18" s="19"/>
      <c r="GU18" s="19"/>
      <c r="GW18" s="18"/>
      <c r="GX18" s="17"/>
      <c r="GY18" s="18"/>
      <c r="GZ18" s="17"/>
      <c r="HB18" s="18"/>
      <c r="HC18" s="19"/>
      <c r="HE18" s="19"/>
      <c r="HG18" s="16"/>
      <c r="HH18" s="17"/>
      <c r="HI18" s="16"/>
      <c r="HJ18" s="17"/>
      <c r="HL18" s="18"/>
      <c r="HM18" s="19"/>
      <c r="HO18" s="19"/>
      <c r="HQ18" s="18"/>
      <c r="HR18" s="17"/>
      <c r="HS18" s="18"/>
      <c r="HT18" s="17"/>
      <c r="HV18" s="18"/>
      <c r="HW18" s="19"/>
      <c r="HY18" s="19"/>
      <c r="IA18" s="18"/>
      <c r="IB18" s="17"/>
      <c r="IC18" s="18"/>
      <c r="ID18" s="17"/>
      <c r="IF18" s="18"/>
      <c r="IG18" s="19"/>
      <c r="II18" s="19"/>
      <c r="IK18" s="18"/>
      <c r="IL18" s="17"/>
      <c r="IM18" s="18"/>
      <c r="IN18" s="17"/>
      <c r="IP18" s="18"/>
      <c r="IQ18" s="19"/>
      <c r="IS18" s="19"/>
      <c r="IU18" s="18"/>
      <c r="IV18" s="17"/>
      <c r="IW18" s="18"/>
      <c r="IX18" s="17"/>
      <c r="IZ18" s="18"/>
      <c r="JA18" s="19"/>
      <c r="JC18" s="19"/>
      <c r="JE18" s="18"/>
      <c r="JF18" s="17"/>
      <c r="JG18" s="18"/>
      <c r="JH18" s="17"/>
      <c r="JJ18" s="18"/>
      <c r="JK18" s="19"/>
      <c r="JM18" s="19"/>
      <c r="JO18" s="18"/>
      <c r="JP18" s="17"/>
      <c r="JQ18" s="18"/>
      <c r="JR18" s="17"/>
      <c r="JT18" s="18"/>
      <c r="JU18" s="19"/>
      <c r="JW18" s="19"/>
      <c r="JY18" s="18"/>
      <c r="JZ18" s="17"/>
      <c r="KA18" s="18"/>
      <c r="KB18" s="17"/>
      <c r="KD18" s="18"/>
      <c r="KE18" s="19"/>
      <c r="KG18" s="19"/>
      <c r="KI18" s="18"/>
      <c r="KJ18" s="17"/>
      <c r="KK18" s="18"/>
      <c r="KL18" s="17"/>
      <c r="KN18" s="18"/>
      <c r="KO18" s="19"/>
      <c r="KQ18" s="19"/>
      <c r="KS18" s="18"/>
      <c r="KT18" s="17"/>
      <c r="KU18" s="18"/>
      <c r="KV18" s="17"/>
      <c r="KX18" s="18"/>
      <c r="KY18" s="19"/>
      <c r="LA18" s="19"/>
      <c r="LC18" s="18"/>
      <c r="LD18" s="17"/>
      <c r="LE18" s="18"/>
      <c r="LF18" s="17"/>
      <c r="LH18" s="18"/>
      <c r="LI18" s="19"/>
      <c r="LK18" s="19"/>
      <c r="LM18" s="18"/>
      <c r="LN18" s="17"/>
      <c r="LO18" s="18"/>
      <c r="LP18" s="17"/>
      <c r="LR18" s="18"/>
      <c r="LS18" s="19"/>
      <c r="LU18" s="19"/>
      <c r="LW18" s="18"/>
      <c r="LX18" s="17"/>
      <c r="LY18" s="18"/>
      <c r="LZ18" s="17"/>
      <c r="MB18" s="18"/>
      <c r="MC18" s="19"/>
      <c r="ME18" s="19"/>
      <c r="MG18" s="18"/>
      <c r="MH18" s="17"/>
      <c r="MI18" s="18"/>
      <c r="MJ18" s="17"/>
      <c r="ML18" s="18"/>
      <c r="MM18" s="19"/>
      <c r="MO18" s="19"/>
      <c r="MQ18" s="18"/>
      <c r="MR18" s="17"/>
      <c r="MS18" s="18"/>
      <c r="MT18" s="17"/>
      <c r="MV18" s="18"/>
      <c r="MW18" s="19"/>
      <c r="MY18" s="19"/>
      <c r="NA18" s="18"/>
      <c r="NB18" s="17"/>
      <c r="NC18" s="18"/>
      <c r="ND18" s="17"/>
      <c r="NF18" s="18"/>
      <c r="NG18" s="19"/>
      <c r="NI18" s="19"/>
      <c r="NK18" s="18"/>
      <c r="NL18" s="17"/>
      <c r="NM18" s="18"/>
      <c r="NN18" s="17"/>
      <c r="NP18" s="18"/>
      <c r="NQ18" s="19"/>
      <c r="NS18" s="19"/>
      <c r="NU18" s="18"/>
      <c r="NV18" s="17"/>
      <c r="NW18" s="18"/>
      <c r="NX18" s="17"/>
      <c r="NZ18" s="18"/>
      <c r="OA18" s="19"/>
      <c r="OC18" s="19"/>
      <c r="OE18" s="16"/>
      <c r="OF18" s="17"/>
      <c r="OG18" s="16"/>
      <c r="OH18" s="17"/>
      <c r="OJ18" s="18"/>
      <c r="OK18" s="19"/>
      <c r="OM18" s="19"/>
      <c r="OO18" s="18"/>
      <c r="OP18" s="17"/>
      <c r="OQ18" s="18"/>
      <c r="OR18" s="17"/>
      <c r="OT18" s="18"/>
      <c r="OU18" s="19"/>
      <c r="OW18" s="19"/>
      <c r="OY18" s="18"/>
      <c r="OZ18" s="17"/>
      <c r="PA18" s="18"/>
      <c r="PB18" s="17"/>
      <c r="PD18" s="18"/>
      <c r="PE18" s="19"/>
      <c r="PG18" s="19"/>
      <c r="PI18" s="18"/>
      <c r="PJ18" s="17"/>
      <c r="PK18" s="18"/>
      <c r="PL18" s="17"/>
      <c r="PN18" s="18"/>
      <c r="PO18" s="19"/>
      <c r="PQ18" s="19"/>
      <c r="PS18" s="16"/>
      <c r="PT18" s="17"/>
      <c r="PU18" s="16"/>
      <c r="PV18" s="17"/>
      <c r="PX18" s="18"/>
      <c r="PY18" s="19"/>
      <c r="QA18" s="19"/>
      <c r="QC18" s="16"/>
      <c r="QD18" s="17"/>
      <c r="QE18" s="16"/>
      <c r="QF18" s="17"/>
      <c r="QH18" s="18"/>
      <c r="QI18" s="19"/>
      <c r="QK18" s="19"/>
      <c r="QM18" s="18"/>
      <c r="QN18" s="17"/>
      <c r="QO18" s="18"/>
      <c r="QP18" s="17"/>
      <c r="QR18" s="18"/>
      <c r="QS18" s="19"/>
      <c r="QU18" s="19"/>
      <c r="QW18" s="18"/>
      <c r="QX18" s="17"/>
      <c r="QY18" s="18"/>
      <c r="QZ18" s="17"/>
      <c r="RB18" s="18"/>
      <c r="RC18" s="19"/>
      <c r="RE18" s="19"/>
      <c r="RG18" s="18"/>
      <c r="RH18" s="17"/>
      <c r="RI18" s="18"/>
      <c r="RJ18" s="17"/>
      <c r="RL18" s="18"/>
      <c r="RM18" s="19"/>
      <c r="RO18" s="19"/>
      <c r="RQ18" s="18"/>
      <c r="RR18" s="17"/>
      <c r="RS18" s="18"/>
      <c r="RT18" s="17"/>
      <c r="RV18" s="18"/>
      <c r="RW18" s="19"/>
      <c r="RY18" s="19"/>
      <c r="SA18" s="16"/>
      <c r="SB18" s="17"/>
      <c r="SC18" s="16"/>
      <c r="SD18" s="17"/>
      <c r="SF18" s="18"/>
      <c r="SG18" s="19"/>
      <c r="SI18" s="19"/>
      <c r="SK18" s="18"/>
      <c r="SL18" s="17"/>
      <c r="SM18" s="18"/>
      <c r="SN18" s="17"/>
      <c r="SP18" s="18"/>
      <c r="SQ18" s="19"/>
      <c r="SS18" s="19"/>
      <c r="SU18" s="18"/>
      <c r="SV18" s="17"/>
      <c r="SW18" s="18"/>
      <c r="SX18" s="17"/>
      <c r="SZ18" s="18"/>
      <c r="TA18" s="19"/>
      <c r="TC18" s="19"/>
      <c r="TE18" s="18"/>
      <c r="TF18" s="17"/>
      <c r="TG18" s="18"/>
      <c r="TH18" s="17"/>
      <c r="TJ18" s="18"/>
      <c r="TK18" s="19"/>
      <c r="TM18" s="19"/>
      <c r="TO18" s="16"/>
      <c r="TP18" s="17"/>
      <c r="TQ18" s="16"/>
      <c r="TR18" s="17"/>
      <c r="TT18" s="18"/>
      <c r="TU18" s="19"/>
      <c r="TW18" s="19"/>
      <c r="TY18" s="18"/>
      <c r="TZ18" s="17"/>
      <c r="UA18" s="18"/>
      <c r="UB18" s="17"/>
      <c r="UD18" s="18"/>
      <c r="UE18" s="19"/>
      <c r="UG18" s="19"/>
      <c r="UI18" s="16"/>
      <c r="UJ18" s="17"/>
      <c r="UK18" s="16"/>
      <c r="UL18" s="17"/>
      <c r="UN18" s="18"/>
      <c r="UO18" s="19"/>
      <c r="UQ18" s="19"/>
      <c r="US18" s="16"/>
      <c r="UT18" s="17"/>
      <c r="UU18" s="16"/>
      <c r="UV18" s="17"/>
      <c r="UX18" s="18"/>
      <c r="UY18" s="19"/>
      <c r="VA18" s="19"/>
      <c r="VC18" s="18"/>
      <c r="VD18" s="17"/>
      <c r="VE18" s="18"/>
      <c r="VF18" s="17"/>
      <c r="VH18" s="18"/>
      <c r="VI18" s="19"/>
      <c r="VK18" s="19"/>
      <c r="VM18" s="18"/>
      <c r="VN18" s="17"/>
      <c r="VO18" s="18"/>
      <c r="VP18" s="17"/>
      <c r="VR18" s="18"/>
      <c r="VS18" s="19"/>
      <c r="VU18" s="19"/>
      <c r="VW18" s="16"/>
      <c r="VX18" s="17"/>
      <c r="VY18" s="16"/>
      <c r="VZ18" s="17"/>
      <c r="WB18" s="18"/>
      <c r="WC18" s="19"/>
      <c r="WE18" s="19"/>
      <c r="WG18" s="18"/>
      <c r="WH18" s="17"/>
      <c r="WI18" s="18"/>
      <c r="WJ18" s="17"/>
      <c r="WL18" s="18"/>
      <c r="WM18" s="19"/>
      <c r="WO18" s="19"/>
      <c r="WQ18" s="18"/>
      <c r="WR18" s="17"/>
      <c r="WS18" s="18"/>
      <c r="WT18" s="17"/>
      <c r="WV18" s="18"/>
      <c r="WW18" s="19"/>
      <c r="WY18" s="19"/>
      <c r="XA18" s="18"/>
      <c r="XB18" s="17"/>
      <c r="XC18" s="18"/>
      <c r="XD18" s="17"/>
      <c r="XF18" s="18"/>
      <c r="XG18" s="19"/>
      <c r="XI18" s="19"/>
      <c r="XK18" s="18"/>
      <c r="XL18" s="17"/>
      <c r="XM18" s="18"/>
      <c r="XN18" s="17"/>
      <c r="XP18" s="18"/>
      <c r="XQ18" s="19"/>
      <c r="XS18" s="19"/>
      <c r="XU18" s="18"/>
      <c r="XV18" s="17"/>
      <c r="XW18" s="18"/>
      <c r="XX18" s="17"/>
      <c r="XZ18" s="18"/>
      <c r="YA18" s="19"/>
      <c r="YC18" s="19"/>
      <c r="YE18" s="18"/>
      <c r="YF18" s="17"/>
      <c r="YG18" s="18"/>
      <c r="YH18" s="17"/>
      <c r="YJ18" s="18"/>
      <c r="YK18" s="19"/>
      <c r="YM18" s="19"/>
      <c r="YO18" s="18"/>
      <c r="YP18" s="17"/>
      <c r="YQ18" s="18"/>
      <c r="YR18" s="17"/>
      <c r="YT18" s="18"/>
      <c r="YU18" s="19"/>
      <c r="YW18" s="19"/>
      <c r="YY18" s="16"/>
      <c r="YZ18" s="17"/>
      <c r="ZA18" s="16"/>
      <c r="ZB18" s="17"/>
      <c r="ZD18" s="18"/>
      <c r="ZE18" s="19"/>
      <c r="ZG18" s="19"/>
      <c r="ZI18" s="18"/>
      <c r="ZJ18" s="17"/>
      <c r="ZK18" s="18"/>
      <c r="ZL18" s="17"/>
      <c r="ZN18" s="18"/>
      <c r="ZO18" s="19"/>
      <c r="ZQ18" s="19"/>
      <c r="ZS18" s="18"/>
      <c r="ZT18" s="17"/>
      <c r="ZU18" s="18"/>
      <c r="ZV18" s="17"/>
      <c r="ZX18" s="18"/>
      <c r="ZY18" s="19"/>
      <c r="AAA18" s="19"/>
      <c r="AAC18" s="18"/>
      <c r="AAD18" s="17"/>
      <c r="AAE18" s="18"/>
      <c r="AAF18" s="17"/>
      <c r="AAH18" s="18"/>
      <c r="AAI18" s="19"/>
      <c r="AAK18" s="19"/>
      <c r="AAM18" s="18"/>
      <c r="AAN18" s="17"/>
      <c r="AAO18" s="18"/>
      <c r="AAP18" s="17"/>
      <c r="AAR18" s="18"/>
      <c r="AAS18" s="19"/>
      <c r="AAU18" s="19"/>
      <c r="AAW18" s="16"/>
      <c r="AAX18" s="17"/>
      <c r="AAY18" s="16"/>
      <c r="AAZ18" s="17"/>
      <c r="ABB18" s="18"/>
      <c r="ABC18" s="19"/>
      <c r="ABE18" s="19"/>
      <c r="ABG18" s="18"/>
      <c r="ABH18" s="17"/>
      <c r="ABI18" s="18"/>
      <c r="ABJ18" s="17"/>
      <c r="ABL18" s="18"/>
      <c r="ABM18" s="19"/>
      <c r="ABO18" s="19"/>
      <c r="ABQ18" s="18"/>
      <c r="ABR18" s="17"/>
      <c r="ABS18" s="18"/>
      <c r="ABT18" s="17"/>
      <c r="ABV18" s="18"/>
      <c r="ABW18" s="19"/>
      <c r="ABY18" s="19"/>
      <c r="ACA18" s="18"/>
      <c r="ACB18" s="17"/>
      <c r="ACC18" s="18"/>
      <c r="ACD18" s="17"/>
      <c r="ACF18" s="18"/>
      <c r="ACG18" s="19"/>
      <c r="ACI18" s="19"/>
      <c r="ACK18" s="16"/>
      <c r="ACL18" s="17"/>
      <c r="ACM18" s="16"/>
      <c r="ACN18" s="17"/>
      <c r="ACP18" s="18"/>
      <c r="ACQ18" s="19"/>
      <c r="ACS18" s="19"/>
      <c r="ACU18" s="16"/>
      <c r="ACV18" s="17"/>
      <c r="ACW18" s="16"/>
      <c r="ACX18" s="17"/>
      <c r="ACZ18" s="18"/>
      <c r="ADA18" s="19"/>
      <c r="ADC18" s="19"/>
      <c r="ADE18" s="18"/>
      <c r="ADF18" s="17"/>
      <c r="ADG18" s="18"/>
      <c r="ADH18" s="17"/>
      <c r="ADJ18" s="18"/>
      <c r="ADK18" s="19"/>
      <c r="ADM18" s="19"/>
      <c r="ADO18" s="18"/>
      <c r="ADP18" s="17"/>
      <c r="ADQ18" s="18"/>
      <c r="ADR18" s="17"/>
      <c r="ADT18" s="18"/>
      <c r="ADU18" s="19"/>
      <c r="ADW18" s="19"/>
      <c r="ADY18" s="18"/>
      <c r="ADZ18" s="17"/>
      <c r="AEA18" s="18"/>
      <c r="AEB18" s="17"/>
      <c r="AED18" s="18"/>
      <c r="AEE18" s="19"/>
      <c r="AEG18" s="19"/>
      <c r="AEI18" s="16"/>
      <c r="AEJ18" s="17"/>
      <c r="AEK18" s="16"/>
      <c r="AEL18" s="17"/>
      <c r="AEN18" s="18"/>
      <c r="AEO18" s="19"/>
      <c r="AEQ18" s="19"/>
      <c r="AES18" s="18"/>
      <c r="AET18" s="17"/>
      <c r="AEU18" s="18"/>
      <c r="AEV18" s="17"/>
      <c r="AEX18" s="18"/>
      <c r="AEY18" s="19"/>
      <c r="AFA18" s="19"/>
      <c r="AFC18" s="18"/>
      <c r="AFD18" s="17"/>
      <c r="AFE18" s="18"/>
      <c r="AFF18" s="17"/>
      <c r="AFH18" s="18"/>
      <c r="AFI18" s="19"/>
      <c r="AFK18" s="19"/>
      <c r="AFM18" s="16"/>
      <c r="AFN18" s="17"/>
      <c r="AFO18" s="16"/>
      <c r="AFP18" s="17"/>
      <c r="AFR18" s="18"/>
      <c r="AFS18" s="19"/>
      <c r="AFU18" s="19"/>
      <c r="AFW18" s="16"/>
      <c r="AFX18" s="17"/>
      <c r="AFY18" s="16"/>
      <c r="AFZ18" s="17"/>
      <c r="AGB18" s="18"/>
      <c r="AGC18" s="19"/>
      <c r="AGE18" s="19"/>
      <c r="AGG18" s="16"/>
      <c r="AGH18" s="17"/>
      <c r="AGI18" s="16"/>
      <c r="AGJ18" s="17"/>
      <c r="AGL18" s="18"/>
      <c r="AGM18" s="19"/>
      <c r="AGO18" s="19"/>
      <c r="AGQ18" s="18"/>
      <c r="AGR18" s="17"/>
      <c r="AGS18" s="18"/>
      <c r="AGT18" s="17"/>
      <c r="AGV18" s="18"/>
      <c r="AGW18" s="19"/>
      <c r="AGY18" s="19"/>
      <c r="AHA18" s="18"/>
      <c r="AHB18" s="17"/>
      <c r="AHC18" s="18"/>
      <c r="AHD18" s="17"/>
      <c r="AHF18" s="18"/>
      <c r="AHG18" s="19"/>
      <c r="AHI18" s="19"/>
      <c r="AHK18" s="18"/>
      <c r="AHL18" s="17"/>
      <c r="AHM18" s="18"/>
      <c r="AHN18" s="17"/>
      <c r="AHP18" s="18"/>
      <c r="AHQ18" s="19"/>
      <c r="AHS18" s="19"/>
      <c r="AHU18" s="16"/>
      <c r="AHV18" s="17"/>
      <c r="AHW18" s="16"/>
      <c r="AHX18" s="17"/>
      <c r="AHZ18" s="18"/>
      <c r="AIA18" s="19"/>
      <c r="AIC18" s="19"/>
      <c r="AIE18" s="18"/>
      <c r="AIF18" s="17"/>
      <c r="AIG18" s="18"/>
      <c r="AIH18" s="17"/>
      <c r="AIJ18" s="18"/>
      <c r="AIK18" s="19"/>
      <c r="AIM18" s="19"/>
      <c r="AIO18" s="18"/>
      <c r="AIP18" s="17"/>
      <c r="AIQ18" s="18"/>
      <c r="AIR18" s="17"/>
      <c r="AIT18" s="18"/>
      <c r="AIU18" s="19"/>
      <c r="AIW18" s="19"/>
      <c r="AIY18" s="16"/>
      <c r="AIZ18" s="17"/>
      <c r="AJA18" s="16"/>
      <c r="AJB18" s="17"/>
      <c r="AJD18" s="18"/>
      <c r="AJE18" s="19"/>
      <c r="AJG18" s="19"/>
      <c r="AJI18" s="18"/>
      <c r="AJJ18" s="17"/>
      <c r="AJK18" s="18"/>
      <c r="AJL18" s="17"/>
      <c r="AJN18" s="18"/>
      <c r="AJO18" s="19"/>
      <c r="AJQ18" s="19"/>
      <c r="AJS18" s="16"/>
      <c r="AJT18" s="17"/>
      <c r="AJU18" s="16"/>
      <c r="AJV18" s="17"/>
      <c r="AJX18" s="18"/>
      <c r="AJY18" s="19"/>
      <c r="AKA18" s="19"/>
      <c r="AKC18" s="18"/>
      <c r="AKD18" s="17"/>
      <c r="AKE18" s="18"/>
      <c r="AKF18" s="17"/>
      <c r="AKH18" s="18"/>
      <c r="AKI18" s="19"/>
      <c r="AKK18" s="19"/>
      <c r="AKM18" s="16"/>
      <c r="AKN18" s="17"/>
      <c r="AKO18" s="16"/>
      <c r="AKP18" s="17"/>
      <c r="AKR18" s="18"/>
      <c r="AKS18" s="19"/>
      <c r="AKU18" s="19"/>
      <c r="AKW18" s="16"/>
      <c r="AKX18" s="17"/>
      <c r="AKY18" s="16"/>
      <c r="AKZ18" s="17"/>
      <c r="ALB18" s="18"/>
      <c r="ALC18" s="19"/>
      <c r="ALE18" s="19"/>
      <c r="ALG18" s="16"/>
      <c r="ALH18" s="17"/>
      <c r="ALI18" s="16"/>
      <c r="ALJ18" s="17"/>
      <c r="ALL18" s="18"/>
      <c r="ALM18" s="19"/>
      <c r="ALO18" s="19"/>
      <c r="ALQ18" s="16"/>
      <c r="ALR18" s="17"/>
      <c r="ALS18" s="16"/>
      <c r="ALT18" s="17"/>
      <c r="ALV18" s="18"/>
      <c r="ALW18" s="19"/>
      <c r="ALY18" s="19"/>
      <c r="AMA18" s="18"/>
      <c r="AMB18" s="17"/>
      <c r="AMC18" s="18"/>
      <c r="AMD18" s="17"/>
      <c r="AMF18" s="18"/>
      <c r="AMG18" s="19"/>
      <c r="AMI18" s="19"/>
      <c r="AMK18" s="18"/>
      <c r="AML18" s="17"/>
      <c r="AMM18" s="18"/>
      <c r="AMN18" s="17"/>
      <c r="AMP18" s="18"/>
      <c r="AMQ18" s="19"/>
      <c r="AMS18" s="19"/>
      <c r="AMU18" s="18"/>
      <c r="AMV18" s="17"/>
      <c r="AMW18" s="18"/>
      <c r="AMX18" s="17"/>
      <c r="AMZ18" s="18"/>
      <c r="ANA18" s="19"/>
      <c r="ANC18" s="19"/>
      <c r="ANE18" s="18"/>
      <c r="ANF18" s="17"/>
      <c r="ANG18" s="18"/>
      <c r="ANH18" s="17"/>
      <c r="ANJ18" s="18"/>
      <c r="ANK18" s="19"/>
      <c r="ANM18" s="19"/>
      <c r="ANO18" s="18"/>
      <c r="ANP18" s="17"/>
      <c r="ANQ18" s="18"/>
      <c r="ANR18" s="17"/>
      <c r="ANT18" s="18"/>
      <c r="ANU18" s="19"/>
      <c r="ANW18" s="19"/>
      <c r="ANY18" s="18"/>
      <c r="ANZ18" s="17"/>
      <c r="AOA18" s="18"/>
      <c r="AOB18" s="17"/>
      <c r="AOD18" s="18"/>
      <c r="AOE18" s="19"/>
      <c r="AOG18" s="19"/>
      <c r="AOI18" s="18"/>
      <c r="AOJ18" s="17"/>
      <c r="AOK18" s="18"/>
      <c r="AOL18" s="17"/>
      <c r="AON18" s="18"/>
      <c r="AOO18" s="19"/>
      <c r="AOQ18" s="19"/>
      <c r="AOS18" s="18"/>
      <c r="AOT18" s="17"/>
      <c r="AOU18" s="18"/>
      <c r="AOV18" s="17"/>
      <c r="AOX18" s="18"/>
      <c r="AOY18" s="19"/>
      <c r="APA18" s="19"/>
      <c r="APC18" s="18"/>
      <c r="APD18" s="17"/>
      <c r="APE18" s="18"/>
      <c r="APF18" s="17"/>
      <c r="APH18" s="18"/>
      <c r="API18" s="19"/>
      <c r="APK18" s="19"/>
      <c r="APM18" s="18"/>
      <c r="APN18" s="17"/>
      <c r="APO18" s="18"/>
      <c r="APP18" s="17"/>
      <c r="APR18" s="18"/>
      <c r="APS18" s="19"/>
      <c r="APU18" s="19"/>
      <c r="APW18" s="109"/>
      <c r="APX18" s="110"/>
      <c r="APY18" s="109"/>
      <c r="APZ18" s="110"/>
      <c r="AQA18" s="100"/>
      <c r="AQB18" s="109"/>
      <c r="AQC18" s="111"/>
      <c r="AQD18" s="100"/>
      <c r="AQE18" s="111"/>
      <c r="AQG18" s="16"/>
      <c r="AQH18" s="17"/>
      <c r="AQI18" s="16"/>
      <c r="AQJ18" s="17"/>
      <c r="AQL18" s="18"/>
      <c r="AQM18" s="19"/>
      <c r="AQO18" s="19"/>
    </row>
    <row r="19" spans="1:1133" s="21" customFormat="1" ht="11.25" x14ac:dyDescent="0.2">
      <c r="A19" s="20" t="s">
        <v>43</v>
      </c>
      <c r="B19" s="4" t="s">
        <v>14</v>
      </c>
      <c r="C19" s="4" t="s">
        <v>15</v>
      </c>
      <c r="E19" s="74" t="s">
        <v>40</v>
      </c>
      <c r="F19" s="75"/>
      <c r="G19" s="61" t="s">
        <v>44</v>
      </c>
      <c r="H19" s="62"/>
      <c r="I19" s="62"/>
      <c r="J19" s="62"/>
      <c r="K19" s="62"/>
      <c r="L19" s="62"/>
      <c r="M19" s="63"/>
      <c r="O19" s="74" t="s">
        <v>40</v>
      </c>
      <c r="P19" s="75"/>
      <c r="Q19" s="61" t="s">
        <v>44</v>
      </c>
      <c r="R19" s="62"/>
      <c r="S19" s="62"/>
      <c r="T19" s="62"/>
      <c r="U19" s="62"/>
      <c r="V19" s="62"/>
      <c r="W19" s="63"/>
      <c r="Y19" s="74" t="s">
        <v>40</v>
      </c>
      <c r="Z19" s="75"/>
      <c r="AA19" s="61" t="s">
        <v>44</v>
      </c>
      <c r="AB19" s="62"/>
      <c r="AC19" s="62"/>
      <c r="AD19" s="62"/>
      <c r="AE19" s="62"/>
      <c r="AF19" s="62"/>
      <c r="AG19" s="63"/>
      <c r="AI19" s="74" t="s">
        <v>40</v>
      </c>
      <c r="AJ19" s="75"/>
      <c r="AK19" s="61" t="s">
        <v>44</v>
      </c>
      <c r="AL19" s="62"/>
      <c r="AM19" s="62"/>
      <c r="AN19" s="62"/>
      <c r="AO19" s="62"/>
      <c r="AP19" s="62"/>
      <c r="AQ19" s="63"/>
      <c r="AS19" s="74" t="s">
        <v>40</v>
      </c>
      <c r="AT19" s="75"/>
      <c r="AU19" s="61" t="s">
        <v>44</v>
      </c>
      <c r="AV19" s="62"/>
      <c r="AW19" s="62"/>
      <c r="AX19" s="62"/>
      <c r="AY19" s="62"/>
      <c r="AZ19" s="62"/>
      <c r="BA19" s="63"/>
      <c r="BC19" s="74" t="s">
        <v>40</v>
      </c>
      <c r="BD19" s="75"/>
      <c r="BE19" s="61" t="s">
        <v>44</v>
      </c>
      <c r="BF19" s="62"/>
      <c r="BG19" s="62"/>
      <c r="BH19" s="62"/>
      <c r="BI19" s="62"/>
      <c r="BJ19" s="62"/>
      <c r="BK19" s="63"/>
      <c r="BM19" s="74" t="s">
        <v>40</v>
      </c>
      <c r="BN19" s="75"/>
      <c r="BO19" s="61" t="s">
        <v>44</v>
      </c>
      <c r="BP19" s="62"/>
      <c r="BQ19" s="62"/>
      <c r="BR19" s="62"/>
      <c r="BS19" s="62"/>
      <c r="BT19" s="62"/>
      <c r="BU19" s="63"/>
      <c r="BW19" s="74" t="s">
        <v>40</v>
      </c>
      <c r="BX19" s="75"/>
      <c r="BY19" s="61" t="s">
        <v>44</v>
      </c>
      <c r="BZ19" s="62"/>
      <c r="CA19" s="62"/>
      <c r="CB19" s="62"/>
      <c r="CC19" s="62"/>
      <c r="CD19" s="62"/>
      <c r="CE19" s="63"/>
      <c r="CG19" s="74" t="s">
        <v>40</v>
      </c>
      <c r="CH19" s="75"/>
      <c r="CI19" s="61" t="s">
        <v>44</v>
      </c>
      <c r="CJ19" s="62"/>
      <c r="CK19" s="62"/>
      <c r="CL19" s="62"/>
      <c r="CM19" s="62"/>
      <c r="CN19" s="62"/>
      <c r="CO19" s="63"/>
      <c r="CQ19" s="74" t="s">
        <v>40</v>
      </c>
      <c r="CR19" s="75"/>
      <c r="CS19" s="61" t="s">
        <v>44</v>
      </c>
      <c r="CT19" s="62"/>
      <c r="CU19" s="62"/>
      <c r="CV19" s="62"/>
      <c r="CW19" s="62"/>
      <c r="CX19" s="62"/>
      <c r="CY19" s="63"/>
      <c r="DA19" s="74" t="s">
        <v>40</v>
      </c>
      <c r="DB19" s="75"/>
      <c r="DC19" s="61" t="s">
        <v>44</v>
      </c>
      <c r="DD19" s="62"/>
      <c r="DE19" s="62"/>
      <c r="DF19" s="62"/>
      <c r="DG19" s="62"/>
      <c r="DH19" s="62"/>
      <c r="DI19" s="63"/>
      <c r="DK19" s="74" t="s">
        <v>40</v>
      </c>
      <c r="DL19" s="75"/>
      <c r="DM19" s="61" t="s">
        <v>44</v>
      </c>
      <c r="DN19" s="62"/>
      <c r="DO19" s="62"/>
      <c r="DP19" s="62"/>
      <c r="DQ19" s="62"/>
      <c r="DR19" s="62"/>
      <c r="DS19" s="63"/>
      <c r="DU19" s="74" t="s">
        <v>40</v>
      </c>
      <c r="DV19" s="75"/>
      <c r="DW19" s="61" t="s">
        <v>44</v>
      </c>
      <c r="DX19" s="62"/>
      <c r="DY19" s="62"/>
      <c r="DZ19" s="62"/>
      <c r="EA19" s="62"/>
      <c r="EB19" s="62"/>
      <c r="EC19" s="63"/>
      <c r="EE19" s="74" t="s">
        <v>40</v>
      </c>
      <c r="EF19" s="75"/>
      <c r="EG19" s="61" t="s">
        <v>44</v>
      </c>
      <c r="EH19" s="62"/>
      <c r="EI19" s="62"/>
      <c r="EJ19" s="62"/>
      <c r="EK19" s="62"/>
      <c r="EL19" s="62"/>
      <c r="EM19" s="63"/>
      <c r="EO19" s="74" t="s">
        <v>40</v>
      </c>
      <c r="EP19" s="75"/>
      <c r="EQ19" s="61" t="s">
        <v>44</v>
      </c>
      <c r="ER19" s="62"/>
      <c r="ES19" s="62"/>
      <c r="ET19" s="62"/>
      <c r="EU19" s="62"/>
      <c r="EV19" s="62"/>
      <c r="EW19" s="63"/>
      <c r="EY19" s="74" t="s">
        <v>40</v>
      </c>
      <c r="EZ19" s="75"/>
      <c r="FA19" s="61" t="s">
        <v>44</v>
      </c>
      <c r="FB19" s="62"/>
      <c r="FC19" s="62"/>
      <c r="FD19" s="62"/>
      <c r="FE19" s="62"/>
      <c r="FF19" s="62"/>
      <c r="FG19" s="63"/>
      <c r="FI19" s="74" t="s">
        <v>40</v>
      </c>
      <c r="FJ19" s="75"/>
      <c r="FK19" s="61" t="s">
        <v>44</v>
      </c>
      <c r="FL19" s="62"/>
      <c r="FM19" s="62"/>
      <c r="FN19" s="62"/>
      <c r="FO19" s="62"/>
      <c r="FP19" s="62"/>
      <c r="FQ19" s="63"/>
      <c r="FS19" s="74" t="s">
        <v>40</v>
      </c>
      <c r="FT19" s="75"/>
      <c r="FU19" s="61" t="s">
        <v>44</v>
      </c>
      <c r="FV19" s="62"/>
      <c r="FW19" s="62"/>
      <c r="FX19" s="62"/>
      <c r="FY19" s="62"/>
      <c r="FZ19" s="62"/>
      <c r="GA19" s="63"/>
      <c r="GC19" s="74" t="s">
        <v>40</v>
      </c>
      <c r="GD19" s="75"/>
      <c r="GE19" s="61" t="s">
        <v>44</v>
      </c>
      <c r="GF19" s="62"/>
      <c r="GG19" s="62"/>
      <c r="GH19" s="62"/>
      <c r="GI19" s="62"/>
      <c r="GJ19" s="62"/>
      <c r="GK19" s="63"/>
      <c r="GM19" s="74" t="s">
        <v>40</v>
      </c>
      <c r="GN19" s="75"/>
      <c r="GO19" s="61" t="s">
        <v>44</v>
      </c>
      <c r="GP19" s="62"/>
      <c r="GQ19" s="62"/>
      <c r="GR19" s="62"/>
      <c r="GS19" s="62"/>
      <c r="GT19" s="62"/>
      <c r="GU19" s="63"/>
      <c r="GW19" s="74" t="s">
        <v>40</v>
      </c>
      <c r="GX19" s="75"/>
      <c r="GY19" s="61" t="s">
        <v>44</v>
      </c>
      <c r="GZ19" s="62"/>
      <c r="HA19" s="62"/>
      <c r="HB19" s="62"/>
      <c r="HC19" s="62"/>
      <c r="HD19" s="62"/>
      <c r="HE19" s="63"/>
      <c r="HG19" s="74" t="s">
        <v>40</v>
      </c>
      <c r="HH19" s="75"/>
      <c r="HI19" s="61" t="s">
        <v>44</v>
      </c>
      <c r="HJ19" s="62"/>
      <c r="HK19" s="62"/>
      <c r="HL19" s="62"/>
      <c r="HM19" s="62"/>
      <c r="HN19" s="62"/>
      <c r="HO19" s="63"/>
      <c r="HQ19" s="74" t="s">
        <v>40</v>
      </c>
      <c r="HR19" s="75"/>
      <c r="HS19" s="61" t="s">
        <v>44</v>
      </c>
      <c r="HT19" s="62"/>
      <c r="HU19" s="62"/>
      <c r="HV19" s="62"/>
      <c r="HW19" s="62"/>
      <c r="HX19" s="62"/>
      <c r="HY19" s="63"/>
      <c r="IA19" s="74" t="s">
        <v>40</v>
      </c>
      <c r="IB19" s="75"/>
      <c r="IC19" s="61" t="s">
        <v>44</v>
      </c>
      <c r="ID19" s="62"/>
      <c r="IE19" s="62"/>
      <c r="IF19" s="62"/>
      <c r="IG19" s="62"/>
      <c r="IH19" s="62"/>
      <c r="II19" s="63"/>
      <c r="IK19" s="74" t="s">
        <v>40</v>
      </c>
      <c r="IL19" s="75"/>
      <c r="IM19" s="61" t="s">
        <v>44</v>
      </c>
      <c r="IN19" s="62"/>
      <c r="IO19" s="62"/>
      <c r="IP19" s="62"/>
      <c r="IQ19" s="62"/>
      <c r="IR19" s="62"/>
      <c r="IS19" s="63"/>
      <c r="IU19" s="74" t="s">
        <v>40</v>
      </c>
      <c r="IV19" s="75"/>
      <c r="IW19" s="61" t="s">
        <v>44</v>
      </c>
      <c r="IX19" s="62"/>
      <c r="IY19" s="62"/>
      <c r="IZ19" s="62"/>
      <c r="JA19" s="62"/>
      <c r="JB19" s="62"/>
      <c r="JC19" s="63"/>
      <c r="JE19" s="74" t="s">
        <v>40</v>
      </c>
      <c r="JF19" s="75"/>
      <c r="JG19" s="61" t="s">
        <v>44</v>
      </c>
      <c r="JH19" s="62"/>
      <c r="JI19" s="62"/>
      <c r="JJ19" s="62"/>
      <c r="JK19" s="62"/>
      <c r="JL19" s="62"/>
      <c r="JM19" s="63"/>
      <c r="JO19" s="74" t="s">
        <v>40</v>
      </c>
      <c r="JP19" s="75"/>
      <c r="JQ19" s="61" t="s">
        <v>44</v>
      </c>
      <c r="JR19" s="62"/>
      <c r="JS19" s="62"/>
      <c r="JT19" s="62"/>
      <c r="JU19" s="62"/>
      <c r="JV19" s="62"/>
      <c r="JW19" s="63"/>
      <c r="JY19" s="74" t="s">
        <v>40</v>
      </c>
      <c r="JZ19" s="75"/>
      <c r="KA19" s="61" t="s">
        <v>44</v>
      </c>
      <c r="KB19" s="62"/>
      <c r="KC19" s="62"/>
      <c r="KD19" s="62"/>
      <c r="KE19" s="62"/>
      <c r="KF19" s="62"/>
      <c r="KG19" s="63"/>
      <c r="KI19" s="74" t="s">
        <v>40</v>
      </c>
      <c r="KJ19" s="75"/>
      <c r="KK19" s="61" t="s">
        <v>44</v>
      </c>
      <c r="KL19" s="62"/>
      <c r="KM19" s="62"/>
      <c r="KN19" s="62"/>
      <c r="KO19" s="62"/>
      <c r="KP19" s="62"/>
      <c r="KQ19" s="63"/>
      <c r="KS19" s="74" t="s">
        <v>40</v>
      </c>
      <c r="KT19" s="75"/>
      <c r="KU19" s="61" t="s">
        <v>44</v>
      </c>
      <c r="KV19" s="62"/>
      <c r="KW19" s="62"/>
      <c r="KX19" s="62"/>
      <c r="KY19" s="62"/>
      <c r="KZ19" s="62"/>
      <c r="LA19" s="63"/>
      <c r="LC19" s="74" t="s">
        <v>40</v>
      </c>
      <c r="LD19" s="75"/>
      <c r="LE19" s="61" t="s">
        <v>44</v>
      </c>
      <c r="LF19" s="62"/>
      <c r="LG19" s="62"/>
      <c r="LH19" s="62"/>
      <c r="LI19" s="62"/>
      <c r="LJ19" s="62"/>
      <c r="LK19" s="63"/>
      <c r="LM19" s="74" t="s">
        <v>40</v>
      </c>
      <c r="LN19" s="75"/>
      <c r="LO19" s="61" t="s">
        <v>44</v>
      </c>
      <c r="LP19" s="62"/>
      <c r="LQ19" s="62"/>
      <c r="LR19" s="62"/>
      <c r="LS19" s="62"/>
      <c r="LT19" s="62"/>
      <c r="LU19" s="63"/>
      <c r="LW19" s="74" t="s">
        <v>40</v>
      </c>
      <c r="LX19" s="75"/>
      <c r="LY19" s="61" t="s">
        <v>44</v>
      </c>
      <c r="LZ19" s="62"/>
      <c r="MA19" s="62"/>
      <c r="MB19" s="62"/>
      <c r="MC19" s="62"/>
      <c r="MD19" s="62"/>
      <c r="ME19" s="63"/>
      <c r="MG19" s="74" t="s">
        <v>40</v>
      </c>
      <c r="MH19" s="75"/>
      <c r="MI19" s="61" t="s">
        <v>44</v>
      </c>
      <c r="MJ19" s="62"/>
      <c r="MK19" s="62"/>
      <c r="ML19" s="62"/>
      <c r="MM19" s="62"/>
      <c r="MN19" s="62"/>
      <c r="MO19" s="63"/>
      <c r="MQ19" s="74" t="s">
        <v>40</v>
      </c>
      <c r="MR19" s="75"/>
      <c r="MS19" s="61" t="s">
        <v>44</v>
      </c>
      <c r="MT19" s="62"/>
      <c r="MU19" s="62"/>
      <c r="MV19" s="62"/>
      <c r="MW19" s="62"/>
      <c r="MX19" s="62"/>
      <c r="MY19" s="63"/>
      <c r="NA19" s="74" t="s">
        <v>40</v>
      </c>
      <c r="NB19" s="75"/>
      <c r="NC19" s="61" t="s">
        <v>44</v>
      </c>
      <c r="ND19" s="62"/>
      <c r="NE19" s="62"/>
      <c r="NF19" s="62"/>
      <c r="NG19" s="62"/>
      <c r="NH19" s="62"/>
      <c r="NI19" s="63"/>
      <c r="NK19" s="74" t="s">
        <v>40</v>
      </c>
      <c r="NL19" s="75"/>
      <c r="NM19" s="61" t="s">
        <v>44</v>
      </c>
      <c r="NN19" s="62"/>
      <c r="NO19" s="62"/>
      <c r="NP19" s="62"/>
      <c r="NQ19" s="62"/>
      <c r="NR19" s="62"/>
      <c r="NS19" s="63"/>
      <c r="NU19" s="74" t="s">
        <v>40</v>
      </c>
      <c r="NV19" s="75"/>
      <c r="NW19" s="61" t="s">
        <v>44</v>
      </c>
      <c r="NX19" s="62"/>
      <c r="NY19" s="62"/>
      <c r="NZ19" s="62"/>
      <c r="OA19" s="62"/>
      <c r="OB19" s="62"/>
      <c r="OC19" s="63"/>
      <c r="OE19" s="74" t="s">
        <v>40</v>
      </c>
      <c r="OF19" s="75"/>
      <c r="OG19" s="61" t="s">
        <v>44</v>
      </c>
      <c r="OH19" s="62"/>
      <c r="OI19" s="62"/>
      <c r="OJ19" s="62"/>
      <c r="OK19" s="62"/>
      <c r="OL19" s="62"/>
      <c r="OM19" s="63"/>
      <c r="OO19" s="74" t="s">
        <v>40</v>
      </c>
      <c r="OP19" s="75"/>
      <c r="OQ19" s="61" t="s">
        <v>44</v>
      </c>
      <c r="OR19" s="62"/>
      <c r="OS19" s="62"/>
      <c r="OT19" s="62"/>
      <c r="OU19" s="62"/>
      <c r="OV19" s="62"/>
      <c r="OW19" s="63"/>
      <c r="OY19" s="74" t="s">
        <v>40</v>
      </c>
      <c r="OZ19" s="75"/>
      <c r="PA19" s="61" t="s">
        <v>44</v>
      </c>
      <c r="PB19" s="62"/>
      <c r="PC19" s="62"/>
      <c r="PD19" s="62"/>
      <c r="PE19" s="62"/>
      <c r="PF19" s="62"/>
      <c r="PG19" s="63"/>
      <c r="PI19" s="74" t="s">
        <v>40</v>
      </c>
      <c r="PJ19" s="75"/>
      <c r="PK19" s="61" t="s">
        <v>44</v>
      </c>
      <c r="PL19" s="62"/>
      <c r="PM19" s="62"/>
      <c r="PN19" s="62"/>
      <c r="PO19" s="62"/>
      <c r="PP19" s="62"/>
      <c r="PQ19" s="63"/>
      <c r="PS19" s="74" t="s">
        <v>40</v>
      </c>
      <c r="PT19" s="75"/>
      <c r="PU19" s="61" t="s">
        <v>44</v>
      </c>
      <c r="PV19" s="62"/>
      <c r="PW19" s="62"/>
      <c r="PX19" s="62"/>
      <c r="PY19" s="62"/>
      <c r="PZ19" s="62"/>
      <c r="QA19" s="63"/>
      <c r="QC19" s="74" t="s">
        <v>40</v>
      </c>
      <c r="QD19" s="75"/>
      <c r="QE19" s="61" t="s">
        <v>44</v>
      </c>
      <c r="QF19" s="62"/>
      <c r="QG19" s="62"/>
      <c r="QH19" s="62"/>
      <c r="QI19" s="62"/>
      <c r="QJ19" s="62"/>
      <c r="QK19" s="63"/>
      <c r="QM19" s="74" t="s">
        <v>40</v>
      </c>
      <c r="QN19" s="75"/>
      <c r="QO19" s="61" t="s">
        <v>44</v>
      </c>
      <c r="QP19" s="62"/>
      <c r="QQ19" s="62"/>
      <c r="QR19" s="62"/>
      <c r="QS19" s="62"/>
      <c r="QT19" s="62"/>
      <c r="QU19" s="63"/>
      <c r="QW19" s="74" t="s">
        <v>40</v>
      </c>
      <c r="QX19" s="75"/>
      <c r="QY19" s="61" t="s">
        <v>44</v>
      </c>
      <c r="QZ19" s="62"/>
      <c r="RA19" s="62"/>
      <c r="RB19" s="62"/>
      <c r="RC19" s="62"/>
      <c r="RD19" s="62"/>
      <c r="RE19" s="63"/>
      <c r="RG19" s="74" t="s">
        <v>40</v>
      </c>
      <c r="RH19" s="75"/>
      <c r="RI19" s="61" t="s">
        <v>44</v>
      </c>
      <c r="RJ19" s="62"/>
      <c r="RK19" s="62"/>
      <c r="RL19" s="62"/>
      <c r="RM19" s="62"/>
      <c r="RN19" s="62"/>
      <c r="RO19" s="63"/>
      <c r="RQ19" s="74" t="s">
        <v>40</v>
      </c>
      <c r="RR19" s="75"/>
      <c r="RS19" s="61" t="s">
        <v>44</v>
      </c>
      <c r="RT19" s="62"/>
      <c r="RU19" s="62"/>
      <c r="RV19" s="62"/>
      <c r="RW19" s="62"/>
      <c r="RX19" s="62"/>
      <c r="RY19" s="63"/>
      <c r="SA19" s="74" t="s">
        <v>40</v>
      </c>
      <c r="SB19" s="75"/>
      <c r="SC19" s="61" t="s">
        <v>44</v>
      </c>
      <c r="SD19" s="62"/>
      <c r="SE19" s="62"/>
      <c r="SF19" s="62"/>
      <c r="SG19" s="62"/>
      <c r="SH19" s="62"/>
      <c r="SI19" s="63"/>
      <c r="SK19" s="74" t="s">
        <v>40</v>
      </c>
      <c r="SL19" s="75"/>
      <c r="SM19" s="61" t="s">
        <v>44</v>
      </c>
      <c r="SN19" s="62"/>
      <c r="SO19" s="62"/>
      <c r="SP19" s="62"/>
      <c r="SQ19" s="62"/>
      <c r="SR19" s="62"/>
      <c r="SS19" s="63"/>
      <c r="SU19" s="74" t="s">
        <v>40</v>
      </c>
      <c r="SV19" s="75"/>
      <c r="SW19" s="61" t="s">
        <v>44</v>
      </c>
      <c r="SX19" s="62"/>
      <c r="SY19" s="62"/>
      <c r="SZ19" s="62"/>
      <c r="TA19" s="62"/>
      <c r="TB19" s="62"/>
      <c r="TC19" s="63"/>
      <c r="TE19" s="74" t="s">
        <v>40</v>
      </c>
      <c r="TF19" s="75"/>
      <c r="TG19" s="61" t="s">
        <v>44</v>
      </c>
      <c r="TH19" s="62"/>
      <c r="TI19" s="62"/>
      <c r="TJ19" s="62"/>
      <c r="TK19" s="62"/>
      <c r="TL19" s="62"/>
      <c r="TM19" s="63"/>
      <c r="TO19" s="74" t="s">
        <v>40</v>
      </c>
      <c r="TP19" s="75"/>
      <c r="TQ19" s="61" t="s">
        <v>44</v>
      </c>
      <c r="TR19" s="62"/>
      <c r="TS19" s="62"/>
      <c r="TT19" s="62"/>
      <c r="TU19" s="62"/>
      <c r="TV19" s="62"/>
      <c r="TW19" s="63"/>
      <c r="TY19" s="74" t="s">
        <v>40</v>
      </c>
      <c r="TZ19" s="75"/>
      <c r="UA19" s="61" t="s">
        <v>44</v>
      </c>
      <c r="UB19" s="62"/>
      <c r="UC19" s="62"/>
      <c r="UD19" s="62"/>
      <c r="UE19" s="62"/>
      <c r="UF19" s="62"/>
      <c r="UG19" s="63"/>
      <c r="UI19" s="74" t="s">
        <v>40</v>
      </c>
      <c r="UJ19" s="75"/>
      <c r="UK19" s="61" t="s">
        <v>44</v>
      </c>
      <c r="UL19" s="62"/>
      <c r="UM19" s="62"/>
      <c r="UN19" s="62"/>
      <c r="UO19" s="62"/>
      <c r="UP19" s="62"/>
      <c r="UQ19" s="63"/>
      <c r="US19" s="74" t="s">
        <v>40</v>
      </c>
      <c r="UT19" s="75"/>
      <c r="UU19" s="61" t="s">
        <v>44</v>
      </c>
      <c r="UV19" s="62"/>
      <c r="UW19" s="62"/>
      <c r="UX19" s="62"/>
      <c r="UY19" s="62"/>
      <c r="UZ19" s="62"/>
      <c r="VA19" s="63"/>
      <c r="VC19" s="74" t="s">
        <v>40</v>
      </c>
      <c r="VD19" s="75"/>
      <c r="VE19" s="61" t="s">
        <v>44</v>
      </c>
      <c r="VF19" s="62"/>
      <c r="VG19" s="62"/>
      <c r="VH19" s="62"/>
      <c r="VI19" s="62"/>
      <c r="VJ19" s="62"/>
      <c r="VK19" s="63"/>
      <c r="VM19" s="74" t="s">
        <v>40</v>
      </c>
      <c r="VN19" s="75"/>
      <c r="VO19" s="61" t="s">
        <v>44</v>
      </c>
      <c r="VP19" s="62"/>
      <c r="VQ19" s="62"/>
      <c r="VR19" s="62"/>
      <c r="VS19" s="62"/>
      <c r="VT19" s="62"/>
      <c r="VU19" s="63"/>
      <c r="VW19" s="74" t="s">
        <v>40</v>
      </c>
      <c r="VX19" s="75"/>
      <c r="VY19" s="61" t="s">
        <v>44</v>
      </c>
      <c r="VZ19" s="62"/>
      <c r="WA19" s="62"/>
      <c r="WB19" s="62"/>
      <c r="WC19" s="62"/>
      <c r="WD19" s="62"/>
      <c r="WE19" s="63"/>
      <c r="WG19" s="74" t="s">
        <v>40</v>
      </c>
      <c r="WH19" s="75"/>
      <c r="WI19" s="61" t="s">
        <v>44</v>
      </c>
      <c r="WJ19" s="62"/>
      <c r="WK19" s="62"/>
      <c r="WL19" s="62"/>
      <c r="WM19" s="62"/>
      <c r="WN19" s="62"/>
      <c r="WO19" s="63"/>
      <c r="WQ19" s="74" t="s">
        <v>40</v>
      </c>
      <c r="WR19" s="75"/>
      <c r="WS19" s="61" t="s">
        <v>44</v>
      </c>
      <c r="WT19" s="62"/>
      <c r="WU19" s="62"/>
      <c r="WV19" s="62"/>
      <c r="WW19" s="62"/>
      <c r="WX19" s="62"/>
      <c r="WY19" s="63"/>
      <c r="XA19" s="74" t="s">
        <v>40</v>
      </c>
      <c r="XB19" s="75"/>
      <c r="XC19" s="61" t="s">
        <v>44</v>
      </c>
      <c r="XD19" s="62"/>
      <c r="XE19" s="62"/>
      <c r="XF19" s="62"/>
      <c r="XG19" s="62"/>
      <c r="XH19" s="62"/>
      <c r="XI19" s="63"/>
      <c r="XK19" s="74" t="s">
        <v>40</v>
      </c>
      <c r="XL19" s="75"/>
      <c r="XM19" s="61" t="s">
        <v>44</v>
      </c>
      <c r="XN19" s="62"/>
      <c r="XO19" s="62"/>
      <c r="XP19" s="62"/>
      <c r="XQ19" s="62"/>
      <c r="XR19" s="62"/>
      <c r="XS19" s="63"/>
      <c r="XU19" s="74" t="s">
        <v>40</v>
      </c>
      <c r="XV19" s="75"/>
      <c r="XW19" s="61" t="s">
        <v>44</v>
      </c>
      <c r="XX19" s="62"/>
      <c r="XY19" s="62"/>
      <c r="XZ19" s="62"/>
      <c r="YA19" s="62"/>
      <c r="YB19" s="62"/>
      <c r="YC19" s="63"/>
      <c r="YE19" s="74" t="s">
        <v>40</v>
      </c>
      <c r="YF19" s="75"/>
      <c r="YG19" s="61" t="s">
        <v>44</v>
      </c>
      <c r="YH19" s="62"/>
      <c r="YI19" s="62"/>
      <c r="YJ19" s="62"/>
      <c r="YK19" s="62"/>
      <c r="YL19" s="62"/>
      <c r="YM19" s="63"/>
      <c r="YO19" s="74" t="s">
        <v>40</v>
      </c>
      <c r="YP19" s="75"/>
      <c r="YQ19" s="61" t="s">
        <v>44</v>
      </c>
      <c r="YR19" s="62"/>
      <c r="YS19" s="62"/>
      <c r="YT19" s="62"/>
      <c r="YU19" s="62"/>
      <c r="YV19" s="62"/>
      <c r="YW19" s="63"/>
      <c r="YY19" s="74" t="s">
        <v>40</v>
      </c>
      <c r="YZ19" s="75"/>
      <c r="ZA19" s="61" t="s">
        <v>44</v>
      </c>
      <c r="ZB19" s="62"/>
      <c r="ZC19" s="62"/>
      <c r="ZD19" s="62"/>
      <c r="ZE19" s="62"/>
      <c r="ZF19" s="62"/>
      <c r="ZG19" s="63"/>
      <c r="ZI19" s="74" t="s">
        <v>40</v>
      </c>
      <c r="ZJ19" s="75"/>
      <c r="ZK19" s="61" t="s">
        <v>44</v>
      </c>
      <c r="ZL19" s="62"/>
      <c r="ZM19" s="62"/>
      <c r="ZN19" s="62"/>
      <c r="ZO19" s="62"/>
      <c r="ZP19" s="62"/>
      <c r="ZQ19" s="63"/>
      <c r="ZR19" s="1"/>
      <c r="ZS19" s="74" t="s">
        <v>40</v>
      </c>
      <c r="ZT19" s="75"/>
      <c r="ZU19" s="61" t="s">
        <v>44</v>
      </c>
      <c r="ZV19" s="62"/>
      <c r="ZW19" s="62"/>
      <c r="ZX19" s="62"/>
      <c r="ZY19" s="62"/>
      <c r="ZZ19" s="62"/>
      <c r="AAA19" s="63"/>
      <c r="AAB19" s="1"/>
      <c r="AAC19" s="74" t="s">
        <v>40</v>
      </c>
      <c r="AAD19" s="75"/>
      <c r="AAE19" s="61" t="s">
        <v>44</v>
      </c>
      <c r="AAF19" s="62"/>
      <c r="AAG19" s="62"/>
      <c r="AAH19" s="62"/>
      <c r="AAI19" s="62"/>
      <c r="AAJ19" s="62"/>
      <c r="AAK19" s="63"/>
      <c r="AAL19" s="1"/>
      <c r="AAM19" s="74" t="s">
        <v>40</v>
      </c>
      <c r="AAN19" s="75"/>
      <c r="AAO19" s="61" t="s">
        <v>44</v>
      </c>
      <c r="AAP19" s="62"/>
      <c r="AAQ19" s="62"/>
      <c r="AAR19" s="62"/>
      <c r="AAS19" s="62"/>
      <c r="AAT19" s="62"/>
      <c r="AAU19" s="63"/>
      <c r="AAV19" s="1"/>
      <c r="AAW19" s="74" t="s">
        <v>40</v>
      </c>
      <c r="AAX19" s="75"/>
      <c r="AAY19" s="61" t="s">
        <v>44</v>
      </c>
      <c r="AAZ19" s="62"/>
      <c r="ABA19" s="62"/>
      <c r="ABB19" s="62"/>
      <c r="ABC19" s="62"/>
      <c r="ABD19" s="62"/>
      <c r="ABE19" s="63"/>
      <c r="ABF19" s="1"/>
      <c r="ABG19" s="74" t="s">
        <v>40</v>
      </c>
      <c r="ABH19" s="75"/>
      <c r="ABI19" s="61" t="s">
        <v>44</v>
      </c>
      <c r="ABJ19" s="62"/>
      <c r="ABK19" s="62"/>
      <c r="ABL19" s="62"/>
      <c r="ABM19" s="62"/>
      <c r="ABN19" s="62"/>
      <c r="ABO19" s="63"/>
      <c r="ABP19" s="1"/>
      <c r="ABQ19" s="74" t="s">
        <v>40</v>
      </c>
      <c r="ABR19" s="75"/>
      <c r="ABS19" s="61" t="s">
        <v>44</v>
      </c>
      <c r="ABT19" s="62"/>
      <c r="ABU19" s="62"/>
      <c r="ABV19" s="62"/>
      <c r="ABW19" s="62"/>
      <c r="ABX19" s="62"/>
      <c r="ABY19" s="63"/>
      <c r="ABZ19" s="1"/>
      <c r="ACA19" s="74" t="s">
        <v>40</v>
      </c>
      <c r="ACB19" s="75"/>
      <c r="ACC19" s="61" t="s">
        <v>44</v>
      </c>
      <c r="ACD19" s="62"/>
      <c r="ACE19" s="62"/>
      <c r="ACF19" s="62"/>
      <c r="ACG19" s="62"/>
      <c r="ACH19" s="62"/>
      <c r="ACI19" s="63"/>
      <c r="ACJ19" s="1"/>
      <c r="ACK19" s="74" t="s">
        <v>40</v>
      </c>
      <c r="ACL19" s="75"/>
      <c r="ACM19" s="61" t="s">
        <v>44</v>
      </c>
      <c r="ACN19" s="62"/>
      <c r="ACO19" s="62"/>
      <c r="ACP19" s="62"/>
      <c r="ACQ19" s="62"/>
      <c r="ACR19" s="62"/>
      <c r="ACS19" s="63"/>
      <c r="ACT19" s="1"/>
      <c r="ACU19" s="74" t="s">
        <v>40</v>
      </c>
      <c r="ACV19" s="75"/>
      <c r="ACW19" s="61" t="s">
        <v>44</v>
      </c>
      <c r="ACX19" s="62"/>
      <c r="ACY19" s="62"/>
      <c r="ACZ19" s="62"/>
      <c r="ADA19" s="62"/>
      <c r="ADB19" s="62"/>
      <c r="ADC19" s="63"/>
      <c r="ADD19" s="1"/>
      <c r="ADE19" s="74" t="s">
        <v>40</v>
      </c>
      <c r="ADF19" s="75"/>
      <c r="ADG19" s="61" t="s">
        <v>44</v>
      </c>
      <c r="ADH19" s="62"/>
      <c r="ADI19" s="62"/>
      <c r="ADJ19" s="62"/>
      <c r="ADK19" s="62"/>
      <c r="ADL19" s="62"/>
      <c r="ADM19" s="63"/>
      <c r="ADN19" s="1"/>
      <c r="ADO19" s="74" t="s">
        <v>40</v>
      </c>
      <c r="ADP19" s="75"/>
      <c r="ADQ19" s="61" t="s">
        <v>44</v>
      </c>
      <c r="ADR19" s="62"/>
      <c r="ADS19" s="62"/>
      <c r="ADT19" s="62"/>
      <c r="ADU19" s="62"/>
      <c r="ADV19" s="62"/>
      <c r="ADW19" s="63"/>
      <c r="ADX19" s="1"/>
      <c r="ADY19" s="74" t="s">
        <v>40</v>
      </c>
      <c r="ADZ19" s="75"/>
      <c r="AEA19" s="61" t="s">
        <v>44</v>
      </c>
      <c r="AEB19" s="62"/>
      <c r="AEC19" s="62"/>
      <c r="AED19" s="62"/>
      <c r="AEE19" s="62"/>
      <c r="AEF19" s="62"/>
      <c r="AEG19" s="63"/>
      <c r="AEH19" s="1"/>
      <c r="AEI19" s="74" t="s">
        <v>40</v>
      </c>
      <c r="AEJ19" s="75"/>
      <c r="AEK19" s="61" t="s">
        <v>44</v>
      </c>
      <c r="AEL19" s="62"/>
      <c r="AEM19" s="62"/>
      <c r="AEN19" s="62"/>
      <c r="AEO19" s="62"/>
      <c r="AEP19" s="62"/>
      <c r="AEQ19" s="63"/>
      <c r="AER19" s="1"/>
      <c r="AES19" s="74" t="s">
        <v>40</v>
      </c>
      <c r="AET19" s="75"/>
      <c r="AEU19" s="61" t="s">
        <v>44</v>
      </c>
      <c r="AEV19" s="62"/>
      <c r="AEW19" s="62"/>
      <c r="AEX19" s="62"/>
      <c r="AEY19" s="62"/>
      <c r="AEZ19" s="62"/>
      <c r="AFA19" s="63"/>
      <c r="AFB19" s="1"/>
      <c r="AFC19" s="74" t="s">
        <v>40</v>
      </c>
      <c r="AFD19" s="75"/>
      <c r="AFE19" s="61" t="s">
        <v>44</v>
      </c>
      <c r="AFF19" s="62"/>
      <c r="AFG19" s="62"/>
      <c r="AFH19" s="62"/>
      <c r="AFI19" s="62"/>
      <c r="AFJ19" s="62"/>
      <c r="AFK19" s="63"/>
      <c r="AFL19" s="1"/>
      <c r="AFM19" s="74" t="s">
        <v>40</v>
      </c>
      <c r="AFN19" s="75"/>
      <c r="AFO19" s="61" t="s">
        <v>44</v>
      </c>
      <c r="AFP19" s="62"/>
      <c r="AFQ19" s="62"/>
      <c r="AFR19" s="62"/>
      <c r="AFS19" s="62"/>
      <c r="AFT19" s="62"/>
      <c r="AFU19" s="63"/>
      <c r="AFV19" s="1"/>
      <c r="AFW19" s="74" t="s">
        <v>40</v>
      </c>
      <c r="AFX19" s="75"/>
      <c r="AFY19" s="61" t="s">
        <v>44</v>
      </c>
      <c r="AFZ19" s="62"/>
      <c r="AGA19" s="62"/>
      <c r="AGB19" s="62"/>
      <c r="AGC19" s="62"/>
      <c r="AGD19" s="62"/>
      <c r="AGE19" s="63"/>
      <c r="AGF19" s="1"/>
      <c r="AGG19" s="74" t="s">
        <v>40</v>
      </c>
      <c r="AGH19" s="75"/>
      <c r="AGI19" s="61" t="s">
        <v>44</v>
      </c>
      <c r="AGJ19" s="62"/>
      <c r="AGK19" s="62"/>
      <c r="AGL19" s="62"/>
      <c r="AGM19" s="62"/>
      <c r="AGN19" s="62"/>
      <c r="AGO19" s="63"/>
      <c r="AGP19" s="1"/>
      <c r="AGQ19" s="74" t="s">
        <v>40</v>
      </c>
      <c r="AGR19" s="75"/>
      <c r="AGS19" s="61" t="s">
        <v>44</v>
      </c>
      <c r="AGT19" s="62"/>
      <c r="AGU19" s="62"/>
      <c r="AGV19" s="62"/>
      <c r="AGW19" s="62"/>
      <c r="AGX19" s="62"/>
      <c r="AGY19" s="63"/>
      <c r="AGZ19" s="1"/>
      <c r="AHA19" s="74" t="s">
        <v>40</v>
      </c>
      <c r="AHB19" s="75"/>
      <c r="AHC19" s="61" t="s">
        <v>44</v>
      </c>
      <c r="AHD19" s="62"/>
      <c r="AHE19" s="62"/>
      <c r="AHF19" s="62"/>
      <c r="AHG19" s="62"/>
      <c r="AHH19" s="62"/>
      <c r="AHI19" s="63"/>
      <c r="AHJ19" s="1"/>
      <c r="AHK19" s="74" t="s">
        <v>40</v>
      </c>
      <c r="AHL19" s="75"/>
      <c r="AHM19" s="61" t="s">
        <v>44</v>
      </c>
      <c r="AHN19" s="62"/>
      <c r="AHO19" s="62"/>
      <c r="AHP19" s="62"/>
      <c r="AHQ19" s="62"/>
      <c r="AHR19" s="62"/>
      <c r="AHS19" s="63"/>
      <c r="AHT19" s="1"/>
      <c r="AHU19" s="74" t="s">
        <v>40</v>
      </c>
      <c r="AHV19" s="75"/>
      <c r="AHW19" s="61" t="s">
        <v>44</v>
      </c>
      <c r="AHX19" s="62"/>
      <c r="AHY19" s="62"/>
      <c r="AHZ19" s="62"/>
      <c r="AIA19" s="62"/>
      <c r="AIB19" s="62"/>
      <c r="AIC19" s="63"/>
      <c r="AID19" s="1"/>
      <c r="AIE19" s="74" t="s">
        <v>40</v>
      </c>
      <c r="AIF19" s="75"/>
      <c r="AIG19" s="61" t="s">
        <v>44</v>
      </c>
      <c r="AIH19" s="62"/>
      <c r="AII19" s="62"/>
      <c r="AIJ19" s="62"/>
      <c r="AIK19" s="62"/>
      <c r="AIL19" s="62"/>
      <c r="AIM19" s="63"/>
      <c r="AIN19" s="1"/>
      <c r="AIO19" s="74" t="s">
        <v>40</v>
      </c>
      <c r="AIP19" s="75"/>
      <c r="AIQ19" s="61" t="s">
        <v>44</v>
      </c>
      <c r="AIR19" s="62"/>
      <c r="AIS19" s="62"/>
      <c r="AIT19" s="62"/>
      <c r="AIU19" s="62"/>
      <c r="AIV19" s="62"/>
      <c r="AIW19" s="63"/>
      <c r="AIX19" s="1"/>
      <c r="AIY19" s="74" t="s">
        <v>40</v>
      </c>
      <c r="AIZ19" s="75"/>
      <c r="AJA19" s="61" t="s">
        <v>44</v>
      </c>
      <c r="AJB19" s="62"/>
      <c r="AJC19" s="62"/>
      <c r="AJD19" s="62"/>
      <c r="AJE19" s="62"/>
      <c r="AJF19" s="62"/>
      <c r="AJG19" s="63"/>
      <c r="AJH19" s="1"/>
      <c r="AJI19" s="74" t="s">
        <v>40</v>
      </c>
      <c r="AJJ19" s="75"/>
      <c r="AJK19" s="61" t="s">
        <v>44</v>
      </c>
      <c r="AJL19" s="62"/>
      <c r="AJM19" s="62"/>
      <c r="AJN19" s="62"/>
      <c r="AJO19" s="62"/>
      <c r="AJP19" s="62"/>
      <c r="AJQ19" s="63"/>
      <c r="AJR19" s="1"/>
      <c r="AJS19" s="74" t="s">
        <v>40</v>
      </c>
      <c r="AJT19" s="75"/>
      <c r="AJU19" s="61" t="s">
        <v>44</v>
      </c>
      <c r="AJV19" s="62"/>
      <c r="AJW19" s="62"/>
      <c r="AJX19" s="62"/>
      <c r="AJY19" s="62"/>
      <c r="AJZ19" s="62"/>
      <c r="AKA19" s="63"/>
      <c r="AKB19" s="1"/>
      <c r="AKC19" s="74" t="s">
        <v>40</v>
      </c>
      <c r="AKD19" s="75"/>
      <c r="AKE19" s="61" t="s">
        <v>44</v>
      </c>
      <c r="AKF19" s="62"/>
      <c r="AKG19" s="62"/>
      <c r="AKH19" s="62"/>
      <c r="AKI19" s="62"/>
      <c r="AKJ19" s="62"/>
      <c r="AKK19" s="63"/>
      <c r="AKL19" s="1"/>
      <c r="AKM19" s="74" t="s">
        <v>40</v>
      </c>
      <c r="AKN19" s="75"/>
      <c r="AKO19" s="61" t="s">
        <v>44</v>
      </c>
      <c r="AKP19" s="62"/>
      <c r="AKQ19" s="62"/>
      <c r="AKR19" s="62"/>
      <c r="AKS19" s="62"/>
      <c r="AKT19" s="62"/>
      <c r="AKU19" s="63"/>
      <c r="AKV19" s="1"/>
      <c r="AKW19" s="74" t="s">
        <v>40</v>
      </c>
      <c r="AKX19" s="75"/>
      <c r="AKY19" s="61" t="s">
        <v>44</v>
      </c>
      <c r="AKZ19" s="62"/>
      <c r="ALA19" s="62"/>
      <c r="ALB19" s="62"/>
      <c r="ALC19" s="62"/>
      <c r="ALD19" s="62"/>
      <c r="ALE19" s="63"/>
      <c r="ALF19" s="1"/>
      <c r="ALG19" s="74" t="s">
        <v>40</v>
      </c>
      <c r="ALH19" s="75"/>
      <c r="ALI19" s="61" t="s">
        <v>44</v>
      </c>
      <c r="ALJ19" s="62"/>
      <c r="ALK19" s="62"/>
      <c r="ALL19" s="62"/>
      <c r="ALM19" s="62"/>
      <c r="ALN19" s="62"/>
      <c r="ALO19" s="63"/>
      <c r="ALP19" s="1"/>
      <c r="ALQ19" s="74" t="s">
        <v>40</v>
      </c>
      <c r="ALR19" s="75"/>
      <c r="ALS19" s="61" t="s">
        <v>44</v>
      </c>
      <c r="ALT19" s="62"/>
      <c r="ALU19" s="62"/>
      <c r="ALV19" s="62"/>
      <c r="ALW19" s="62"/>
      <c r="ALX19" s="62"/>
      <c r="ALY19" s="63"/>
      <c r="ALZ19" s="1"/>
      <c r="AMA19" s="74" t="s">
        <v>40</v>
      </c>
      <c r="AMB19" s="75"/>
      <c r="AMC19" s="61" t="s">
        <v>44</v>
      </c>
      <c r="AMD19" s="62"/>
      <c r="AME19" s="62"/>
      <c r="AMF19" s="62"/>
      <c r="AMG19" s="62"/>
      <c r="AMH19" s="62"/>
      <c r="AMI19" s="63"/>
      <c r="AMJ19" s="1"/>
      <c r="AMK19" s="74" t="s">
        <v>40</v>
      </c>
      <c r="AML19" s="75"/>
      <c r="AMM19" s="61" t="s">
        <v>44</v>
      </c>
      <c r="AMN19" s="62"/>
      <c r="AMO19" s="62"/>
      <c r="AMP19" s="62"/>
      <c r="AMQ19" s="62"/>
      <c r="AMR19" s="62"/>
      <c r="AMS19" s="63"/>
      <c r="AMT19" s="1"/>
      <c r="AMU19" s="74" t="s">
        <v>40</v>
      </c>
      <c r="AMV19" s="75"/>
      <c r="AMW19" s="61" t="s">
        <v>44</v>
      </c>
      <c r="AMX19" s="62"/>
      <c r="AMY19" s="62"/>
      <c r="AMZ19" s="62"/>
      <c r="ANA19" s="62"/>
      <c r="ANB19" s="62"/>
      <c r="ANC19" s="63"/>
      <c r="AND19" s="1"/>
      <c r="ANE19" s="74" t="s">
        <v>40</v>
      </c>
      <c r="ANF19" s="75"/>
      <c r="ANG19" s="61" t="s">
        <v>44</v>
      </c>
      <c r="ANH19" s="62"/>
      <c r="ANI19" s="62"/>
      <c r="ANJ19" s="62"/>
      <c r="ANK19" s="62"/>
      <c r="ANL19" s="62"/>
      <c r="ANM19" s="63"/>
      <c r="ANN19" s="1"/>
      <c r="ANO19" s="74" t="s">
        <v>40</v>
      </c>
      <c r="ANP19" s="75"/>
      <c r="ANQ19" s="61" t="s">
        <v>44</v>
      </c>
      <c r="ANR19" s="62"/>
      <c r="ANS19" s="62"/>
      <c r="ANT19" s="62"/>
      <c r="ANU19" s="62"/>
      <c r="ANV19" s="62"/>
      <c r="ANW19" s="63"/>
      <c r="ANX19" s="1"/>
      <c r="ANY19" s="74" t="s">
        <v>40</v>
      </c>
      <c r="ANZ19" s="75"/>
      <c r="AOA19" s="61" t="s">
        <v>44</v>
      </c>
      <c r="AOB19" s="62"/>
      <c r="AOC19" s="62"/>
      <c r="AOD19" s="62"/>
      <c r="AOE19" s="62"/>
      <c r="AOF19" s="62"/>
      <c r="AOG19" s="63"/>
      <c r="AOH19" s="1"/>
      <c r="AOI19" s="74" t="s">
        <v>40</v>
      </c>
      <c r="AOJ19" s="75"/>
      <c r="AOK19" s="61" t="s">
        <v>44</v>
      </c>
      <c r="AOL19" s="62"/>
      <c r="AOM19" s="62"/>
      <c r="AON19" s="62"/>
      <c r="AOO19" s="62"/>
      <c r="AOP19" s="62"/>
      <c r="AOQ19" s="63"/>
      <c r="AOR19" s="1"/>
      <c r="AOS19" s="74" t="s">
        <v>40</v>
      </c>
      <c r="AOT19" s="75"/>
      <c r="AOU19" s="61" t="s">
        <v>44</v>
      </c>
      <c r="AOV19" s="62"/>
      <c r="AOW19" s="62"/>
      <c r="AOX19" s="62"/>
      <c r="AOY19" s="62"/>
      <c r="AOZ19" s="62"/>
      <c r="APA19" s="63"/>
      <c r="APB19" s="1"/>
      <c r="APC19" s="74" t="s">
        <v>40</v>
      </c>
      <c r="APD19" s="75"/>
      <c r="APE19" s="61" t="s">
        <v>44</v>
      </c>
      <c r="APF19" s="62"/>
      <c r="APG19" s="62"/>
      <c r="APH19" s="62"/>
      <c r="API19" s="62"/>
      <c r="APJ19" s="62"/>
      <c r="APK19" s="63"/>
      <c r="APL19" s="1"/>
      <c r="APM19" s="74" t="s">
        <v>40</v>
      </c>
      <c r="APN19" s="75"/>
      <c r="APO19" s="61" t="s">
        <v>44</v>
      </c>
      <c r="APP19" s="62"/>
      <c r="APQ19" s="62"/>
      <c r="APR19" s="62"/>
      <c r="APS19" s="62"/>
      <c r="APT19" s="62"/>
      <c r="APU19" s="63"/>
      <c r="APV19" s="1"/>
      <c r="APW19" s="92" t="s">
        <v>40</v>
      </c>
      <c r="APX19" s="93"/>
      <c r="APY19" s="114" t="s">
        <v>44</v>
      </c>
      <c r="APZ19" s="115"/>
      <c r="AQA19" s="115"/>
      <c r="AQB19" s="115"/>
      <c r="AQC19" s="115"/>
      <c r="AQD19" s="115"/>
      <c r="AQE19" s="116"/>
      <c r="AQF19" s="1"/>
      <c r="AQG19" s="49" t="s">
        <v>40</v>
      </c>
      <c r="AQH19" s="50"/>
      <c r="AQI19" s="61" t="s">
        <v>44</v>
      </c>
      <c r="AQJ19" s="62"/>
      <c r="AQK19" s="62"/>
      <c r="AQL19" s="62"/>
      <c r="AQM19" s="62"/>
      <c r="AQN19" s="62"/>
      <c r="AQO19" s="63"/>
    </row>
    <row r="20" spans="1:1133" ht="11.25" x14ac:dyDescent="0.2">
      <c r="A20" s="22" t="s">
        <v>45</v>
      </c>
      <c r="B20" s="13" t="s">
        <v>46</v>
      </c>
      <c r="C20" s="13">
        <v>20</v>
      </c>
      <c r="E20" s="24"/>
      <c r="F20" s="6" t="s">
        <v>46</v>
      </c>
      <c r="G20" s="64"/>
      <c r="H20" s="65"/>
      <c r="I20" s="65"/>
      <c r="J20" s="65"/>
      <c r="K20" s="65"/>
      <c r="L20" s="65"/>
      <c r="M20" s="66"/>
      <c r="O20" s="24"/>
      <c r="P20" s="6" t="s">
        <v>46</v>
      </c>
      <c r="Q20" s="64"/>
      <c r="R20" s="65"/>
      <c r="S20" s="65"/>
      <c r="T20" s="65"/>
      <c r="U20" s="65"/>
      <c r="V20" s="65"/>
      <c r="W20" s="66"/>
      <c r="Y20" s="24"/>
      <c r="Z20" s="6" t="s">
        <v>46</v>
      </c>
      <c r="AA20" s="64"/>
      <c r="AB20" s="65"/>
      <c r="AC20" s="65"/>
      <c r="AD20" s="65"/>
      <c r="AE20" s="65"/>
      <c r="AF20" s="65"/>
      <c r="AG20" s="66"/>
      <c r="AI20" s="24">
        <v>0.9</v>
      </c>
      <c r="AJ20" s="6" t="s">
        <v>46</v>
      </c>
      <c r="AK20" s="64"/>
      <c r="AL20" s="65"/>
      <c r="AM20" s="65"/>
      <c r="AN20" s="65"/>
      <c r="AO20" s="65"/>
      <c r="AP20" s="65"/>
      <c r="AQ20" s="66"/>
      <c r="AS20" s="24">
        <v>0.5</v>
      </c>
      <c r="AT20" s="6" t="s">
        <v>46</v>
      </c>
      <c r="AU20" s="64"/>
      <c r="AV20" s="65"/>
      <c r="AW20" s="65"/>
      <c r="AX20" s="65"/>
      <c r="AY20" s="65"/>
      <c r="AZ20" s="65"/>
      <c r="BA20" s="66"/>
      <c r="BC20" s="24">
        <v>0.7</v>
      </c>
      <c r="BD20" s="6" t="s">
        <v>46</v>
      </c>
      <c r="BE20" s="64"/>
      <c r="BF20" s="65"/>
      <c r="BG20" s="65"/>
      <c r="BH20" s="65"/>
      <c r="BI20" s="65"/>
      <c r="BJ20" s="65"/>
      <c r="BK20" s="66"/>
      <c r="BM20" s="24">
        <v>0.5</v>
      </c>
      <c r="BN20" s="6" t="s">
        <v>46</v>
      </c>
      <c r="BO20" s="64"/>
      <c r="BP20" s="65"/>
      <c r="BQ20" s="65"/>
      <c r="BR20" s="65"/>
      <c r="BS20" s="65"/>
      <c r="BT20" s="65"/>
      <c r="BU20" s="66"/>
      <c r="BW20" s="24">
        <v>0.7</v>
      </c>
      <c r="BX20" s="6" t="s">
        <v>46</v>
      </c>
      <c r="BY20" s="64"/>
      <c r="BZ20" s="65"/>
      <c r="CA20" s="65"/>
      <c r="CB20" s="65"/>
      <c r="CC20" s="65"/>
      <c r="CD20" s="65"/>
      <c r="CE20" s="66"/>
      <c r="CG20" s="24">
        <v>0.6</v>
      </c>
      <c r="CH20" s="6" t="s">
        <v>46</v>
      </c>
      <c r="CI20" s="64"/>
      <c r="CJ20" s="65"/>
      <c r="CK20" s="65"/>
      <c r="CL20" s="65"/>
      <c r="CM20" s="65"/>
      <c r="CN20" s="65"/>
      <c r="CO20" s="66"/>
      <c r="CQ20" s="24">
        <v>0.7</v>
      </c>
      <c r="CR20" s="6" t="s">
        <v>46</v>
      </c>
      <c r="CS20" s="64"/>
      <c r="CT20" s="65"/>
      <c r="CU20" s="65"/>
      <c r="CV20" s="65"/>
      <c r="CW20" s="65"/>
      <c r="CX20" s="65"/>
      <c r="CY20" s="66"/>
      <c r="DA20" s="24">
        <v>0.6</v>
      </c>
      <c r="DB20" s="6" t="s">
        <v>46</v>
      </c>
      <c r="DC20" s="64"/>
      <c r="DD20" s="65"/>
      <c r="DE20" s="65"/>
      <c r="DF20" s="65"/>
      <c r="DG20" s="65"/>
      <c r="DH20" s="65"/>
      <c r="DI20" s="66"/>
      <c r="DK20" s="24">
        <v>50</v>
      </c>
      <c r="DL20" s="6" t="s">
        <v>46</v>
      </c>
      <c r="DM20" s="64"/>
      <c r="DN20" s="65"/>
      <c r="DO20" s="65"/>
      <c r="DP20" s="65"/>
      <c r="DQ20" s="65"/>
      <c r="DR20" s="65"/>
      <c r="DS20" s="66"/>
      <c r="DU20" s="2">
        <v>0.5</v>
      </c>
      <c r="DV20" s="6" t="s">
        <v>46</v>
      </c>
      <c r="DW20" s="64"/>
      <c r="DX20" s="65"/>
      <c r="DY20" s="65"/>
      <c r="DZ20" s="65"/>
      <c r="EA20" s="65"/>
      <c r="EB20" s="65"/>
      <c r="EC20" s="66"/>
      <c r="EE20" s="24">
        <v>0.5</v>
      </c>
      <c r="EF20" s="6" t="s">
        <v>46</v>
      </c>
      <c r="EG20" s="64"/>
      <c r="EH20" s="65"/>
      <c r="EI20" s="65"/>
      <c r="EJ20" s="65"/>
      <c r="EK20" s="65"/>
      <c r="EL20" s="65"/>
      <c r="EM20" s="66"/>
      <c r="EO20" s="24"/>
      <c r="EP20" s="6" t="s">
        <v>46</v>
      </c>
      <c r="EQ20" s="64"/>
      <c r="ER20" s="65"/>
      <c r="ES20" s="65"/>
      <c r="ET20" s="65"/>
      <c r="EU20" s="65"/>
      <c r="EV20" s="65"/>
      <c r="EW20" s="66"/>
      <c r="EY20" s="2">
        <v>0.5</v>
      </c>
      <c r="EZ20" s="6" t="s">
        <v>46</v>
      </c>
      <c r="FA20" s="64"/>
      <c r="FB20" s="65"/>
      <c r="FC20" s="65"/>
      <c r="FD20" s="65"/>
      <c r="FE20" s="65"/>
      <c r="FF20" s="65"/>
      <c r="FG20" s="66"/>
      <c r="FI20" s="24">
        <v>0.5</v>
      </c>
      <c r="FJ20" s="6" t="s">
        <v>46</v>
      </c>
      <c r="FK20" s="64"/>
      <c r="FL20" s="65"/>
      <c r="FM20" s="65"/>
      <c r="FN20" s="65"/>
      <c r="FO20" s="65"/>
      <c r="FP20" s="65"/>
      <c r="FQ20" s="66"/>
      <c r="FS20" s="24">
        <v>0.5</v>
      </c>
      <c r="FT20" s="6" t="s">
        <v>46</v>
      </c>
      <c r="FU20" s="64"/>
      <c r="FV20" s="65"/>
      <c r="FW20" s="65"/>
      <c r="FX20" s="65"/>
      <c r="FY20" s="65"/>
      <c r="FZ20" s="65"/>
      <c r="GA20" s="66"/>
      <c r="GC20" s="24">
        <v>0.5</v>
      </c>
      <c r="GD20" s="6" t="s">
        <v>46</v>
      </c>
      <c r="GE20" s="64"/>
      <c r="GF20" s="65"/>
      <c r="GG20" s="65"/>
      <c r="GH20" s="65"/>
      <c r="GI20" s="65"/>
      <c r="GJ20" s="65"/>
      <c r="GK20" s="66"/>
      <c r="GM20" s="24">
        <v>0.5</v>
      </c>
      <c r="GN20" s="6" t="s">
        <v>46</v>
      </c>
      <c r="GO20" s="64"/>
      <c r="GP20" s="65"/>
      <c r="GQ20" s="65"/>
      <c r="GR20" s="65"/>
      <c r="GS20" s="65"/>
      <c r="GT20" s="65"/>
      <c r="GU20" s="66"/>
      <c r="GW20" s="24">
        <v>0.4</v>
      </c>
      <c r="GX20" s="6" t="s">
        <v>46</v>
      </c>
      <c r="GY20" s="64"/>
      <c r="GZ20" s="65"/>
      <c r="HA20" s="65"/>
      <c r="HB20" s="65"/>
      <c r="HC20" s="65"/>
      <c r="HD20" s="65"/>
      <c r="HE20" s="66"/>
      <c r="HG20" s="2">
        <v>100</v>
      </c>
      <c r="HH20" s="6" t="s">
        <v>46</v>
      </c>
      <c r="HI20" s="64"/>
      <c r="HJ20" s="65"/>
      <c r="HK20" s="65"/>
      <c r="HL20" s="65"/>
      <c r="HM20" s="65"/>
      <c r="HN20" s="65"/>
      <c r="HO20" s="66"/>
      <c r="HQ20" s="24">
        <v>0.5</v>
      </c>
      <c r="HR20" s="6" t="s">
        <v>46</v>
      </c>
      <c r="HS20" s="64"/>
      <c r="HT20" s="65"/>
      <c r="HU20" s="65"/>
      <c r="HV20" s="65"/>
      <c r="HW20" s="65"/>
      <c r="HX20" s="65"/>
      <c r="HY20" s="66"/>
      <c r="IA20" s="24">
        <v>0.5</v>
      </c>
      <c r="IB20" s="6" t="s">
        <v>46</v>
      </c>
      <c r="IC20" s="64"/>
      <c r="ID20" s="65"/>
      <c r="IE20" s="65"/>
      <c r="IF20" s="65"/>
      <c r="IG20" s="65"/>
      <c r="IH20" s="65"/>
      <c r="II20" s="66"/>
      <c r="IK20" s="24">
        <v>50</v>
      </c>
      <c r="IL20" s="6" t="s">
        <v>46</v>
      </c>
      <c r="IM20" s="64"/>
      <c r="IN20" s="65"/>
      <c r="IO20" s="65"/>
      <c r="IP20" s="65"/>
      <c r="IQ20" s="65"/>
      <c r="IR20" s="65"/>
      <c r="IS20" s="66"/>
      <c r="IU20" s="24">
        <v>50</v>
      </c>
      <c r="IV20" s="6" t="s">
        <v>46</v>
      </c>
      <c r="IW20" s="64"/>
      <c r="IX20" s="65"/>
      <c r="IY20" s="65"/>
      <c r="IZ20" s="65"/>
      <c r="JA20" s="65"/>
      <c r="JB20" s="65"/>
      <c r="JC20" s="66"/>
      <c r="JE20" s="24">
        <v>50</v>
      </c>
      <c r="JF20" s="6" t="s">
        <v>46</v>
      </c>
      <c r="JG20" s="64"/>
      <c r="JH20" s="65"/>
      <c r="JI20" s="65"/>
      <c r="JJ20" s="65"/>
      <c r="JK20" s="65"/>
      <c r="JL20" s="65"/>
      <c r="JM20" s="66"/>
      <c r="JO20" s="24">
        <v>50</v>
      </c>
      <c r="JP20" s="6" t="s">
        <v>46</v>
      </c>
      <c r="JQ20" s="64"/>
      <c r="JR20" s="65"/>
      <c r="JS20" s="65"/>
      <c r="JT20" s="65"/>
      <c r="JU20" s="65"/>
      <c r="JV20" s="65"/>
      <c r="JW20" s="66"/>
      <c r="JY20" s="24">
        <v>50</v>
      </c>
      <c r="JZ20" s="6" t="s">
        <v>46</v>
      </c>
      <c r="KA20" s="64"/>
      <c r="KB20" s="65"/>
      <c r="KC20" s="65"/>
      <c r="KD20" s="65"/>
      <c r="KE20" s="65"/>
      <c r="KF20" s="65"/>
      <c r="KG20" s="66"/>
      <c r="KI20" s="24">
        <v>50</v>
      </c>
      <c r="KJ20" s="6" t="s">
        <v>46</v>
      </c>
      <c r="KK20" s="64"/>
      <c r="KL20" s="65"/>
      <c r="KM20" s="65"/>
      <c r="KN20" s="65"/>
      <c r="KO20" s="65"/>
      <c r="KP20" s="65"/>
      <c r="KQ20" s="66"/>
      <c r="KS20" s="24">
        <v>50</v>
      </c>
      <c r="KT20" s="6" t="s">
        <v>46</v>
      </c>
      <c r="KU20" s="64"/>
      <c r="KV20" s="65"/>
      <c r="KW20" s="65"/>
      <c r="KX20" s="65"/>
      <c r="KY20" s="65"/>
      <c r="KZ20" s="65"/>
      <c r="LA20" s="66"/>
      <c r="LC20" s="24">
        <v>50</v>
      </c>
      <c r="LD20" s="6" t="s">
        <v>46</v>
      </c>
      <c r="LE20" s="64"/>
      <c r="LF20" s="65"/>
      <c r="LG20" s="65"/>
      <c r="LH20" s="65"/>
      <c r="LI20" s="65"/>
      <c r="LJ20" s="65"/>
      <c r="LK20" s="66"/>
      <c r="LM20" s="24">
        <v>50</v>
      </c>
      <c r="LN20" s="6" t="s">
        <v>46</v>
      </c>
      <c r="LO20" s="64"/>
      <c r="LP20" s="65"/>
      <c r="LQ20" s="65"/>
      <c r="LR20" s="65"/>
      <c r="LS20" s="65"/>
      <c r="LT20" s="65"/>
      <c r="LU20" s="66"/>
      <c r="LW20" s="24">
        <v>50</v>
      </c>
      <c r="LX20" s="6" t="s">
        <v>46</v>
      </c>
      <c r="LY20" s="64"/>
      <c r="LZ20" s="65"/>
      <c r="MA20" s="65"/>
      <c r="MB20" s="65"/>
      <c r="MC20" s="65"/>
      <c r="MD20" s="65"/>
      <c r="ME20" s="66"/>
      <c r="MG20" s="24">
        <v>50</v>
      </c>
      <c r="MH20" s="6" t="s">
        <v>46</v>
      </c>
      <c r="MI20" s="64"/>
      <c r="MJ20" s="65"/>
      <c r="MK20" s="65"/>
      <c r="ML20" s="65"/>
      <c r="MM20" s="65"/>
      <c r="MN20" s="65"/>
      <c r="MO20" s="66"/>
      <c r="MQ20" s="24">
        <v>50</v>
      </c>
      <c r="MR20" s="6" t="s">
        <v>46</v>
      </c>
      <c r="MS20" s="64"/>
      <c r="MT20" s="65"/>
      <c r="MU20" s="65"/>
      <c r="MV20" s="65"/>
      <c r="MW20" s="65"/>
      <c r="MX20" s="65"/>
      <c r="MY20" s="66"/>
      <c r="NA20" s="24">
        <v>50</v>
      </c>
      <c r="NB20" s="6" t="s">
        <v>46</v>
      </c>
      <c r="NC20" s="64"/>
      <c r="ND20" s="65"/>
      <c r="NE20" s="65"/>
      <c r="NF20" s="65"/>
      <c r="NG20" s="65"/>
      <c r="NH20" s="65"/>
      <c r="NI20" s="66"/>
      <c r="NK20" s="24">
        <v>50</v>
      </c>
      <c r="NL20" s="6" t="s">
        <v>46</v>
      </c>
      <c r="NM20" s="64"/>
      <c r="NN20" s="65"/>
      <c r="NO20" s="65"/>
      <c r="NP20" s="65"/>
      <c r="NQ20" s="65"/>
      <c r="NR20" s="65"/>
      <c r="NS20" s="66"/>
      <c r="NU20" s="24">
        <v>50</v>
      </c>
      <c r="NV20" s="6" t="s">
        <v>46</v>
      </c>
      <c r="NW20" s="64"/>
      <c r="NX20" s="65"/>
      <c r="NY20" s="65"/>
      <c r="NZ20" s="65"/>
      <c r="OA20" s="65"/>
      <c r="OB20" s="65"/>
      <c r="OC20" s="66"/>
      <c r="OE20" s="2">
        <v>50</v>
      </c>
      <c r="OF20" s="6" t="s">
        <v>46</v>
      </c>
      <c r="OG20" s="64"/>
      <c r="OH20" s="65"/>
      <c r="OI20" s="65"/>
      <c r="OJ20" s="65"/>
      <c r="OK20" s="65"/>
      <c r="OL20" s="65"/>
      <c r="OM20" s="66"/>
      <c r="OO20" s="24">
        <v>50</v>
      </c>
      <c r="OP20" s="6" t="s">
        <v>46</v>
      </c>
      <c r="OQ20" s="64"/>
      <c r="OR20" s="65"/>
      <c r="OS20" s="65"/>
      <c r="OT20" s="65"/>
      <c r="OU20" s="65"/>
      <c r="OV20" s="65"/>
      <c r="OW20" s="66"/>
      <c r="OY20" s="24">
        <v>50</v>
      </c>
      <c r="OZ20" s="6" t="s">
        <v>46</v>
      </c>
      <c r="PA20" s="64"/>
      <c r="PB20" s="65"/>
      <c r="PC20" s="65"/>
      <c r="PD20" s="65"/>
      <c r="PE20" s="65"/>
      <c r="PF20" s="65"/>
      <c r="PG20" s="66"/>
      <c r="PI20" s="24">
        <v>50</v>
      </c>
      <c r="PJ20" s="6" t="s">
        <v>46</v>
      </c>
      <c r="PK20" s="64"/>
      <c r="PL20" s="65"/>
      <c r="PM20" s="65"/>
      <c r="PN20" s="65"/>
      <c r="PO20" s="65"/>
      <c r="PP20" s="65"/>
      <c r="PQ20" s="66"/>
      <c r="PS20" s="2">
        <v>50</v>
      </c>
      <c r="PT20" s="6" t="s">
        <v>46</v>
      </c>
      <c r="PU20" s="64"/>
      <c r="PV20" s="65"/>
      <c r="PW20" s="65"/>
      <c r="PX20" s="65"/>
      <c r="PY20" s="65"/>
      <c r="PZ20" s="65"/>
      <c r="QA20" s="66"/>
      <c r="QC20" s="2">
        <v>50</v>
      </c>
      <c r="QD20" s="6" t="s">
        <v>46</v>
      </c>
      <c r="QE20" s="64"/>
      <c r="QF20" s="65"/>
      <c r="QG20" s="65"/>
      <c r="QH20" s="65"/>
      <c r="QI20" s="65"/>
      <c r="QJ20" s="65"/>
      <c r="QK20" s="66"/>
      <c r="QM20" s="24">
        <v>50</v>
      </c>
      <c r="QN20" s="6" t="s">
        <v>46</v>
      </c>
      <c r="QO20" s="64"/>
      <c r="QP20" s="65"/>
      <c r="QQ20" s="65"/>
      <c r="QR20" s="65"/>
      <c r="QS20" s="65"/>
      <c r="QT20" s="65"/>
      <c r="QU20" s="66"/>
      <c r="QW20" s="24">
        <v>50</v>
      </c>
      <c r="QX20" s="6" t="s">
        <v>46</v>
      </c>
      <c r="QY20" s="64"/>
      <c r="QZ20" s="65"/>
      <c r="RA20" s="65"/>
      <c r="RB20" s="65"/>
      <c r="RC20" s="65"/>
      <c r="RD20" s="65"/>
      <c r="RE20" s="66"/>
      <c r="RG20" s="24">
        <v>50</v>
      </c>
      <c r="RH20" s="6" t="s">
        <v>46</v>
      </c>
      <c r="RI20" s="64"/>
      <c r="RJ20" s="65"/>
      <c r="RK20" s="65"/>
      <c r="RL20" s="65"/>
      <c r="RM20" s="65"/>
      <c r="RN20" s="65"/>
      <c r="RO20" s="66"/>
      <c r="RQ20" s="24">
        <v>50</v>
      </c>
      <c r="RR20" s="6" t="s">
        <v>46</v>
      </c>
      <c r="RS20" s="64"/>
      <c r="RT20" s="65"/>
      <c r="RU20" s="65"/>
      <c r="RV20" s="65"/>
      <c r="RW20" s="65"/>
      <c r="RX20" s="65"/>
      <c r="RY20" s="66"/>
      <c r="SA20" s="2">
        <v>50</v>
      </c>
      <c r="SB20" s="6" t="s">
        <v>46</v>
      </c>
      <c r="SC20" s="64"/>
      <c r="SD20" s="65"/>
      <c r="SE20" s="65"/>
      <c r="SF20" s="65"/>
      <c r="SG20" s="65"/>
      <c r="SH20" s="65"/>
      <c r="SI20" s="66"/>
      <c r="SK20" s="24">
        <v>50</v>
      </c>
      <c r="SL20" s="6" t="s">
        <v>46</v>
      </c>
      <c r="SM20" s="64"/>
      <c r="SN20" s="65"/>
      <c r="SO20" s="65"/>
      <c r="SP20" s="65"/>
      <c r="SQ20" s="65"/>
      <c r="SR20" s="65"/>
      <c r="SS20" s="66"/>
      <c r="SU20" s="24">
        <v>70</v>
      </c>
      <c r="SV20" s="6" t="s">
        <v>46</v>
      </c>
      <c r="SW20" s="64"/>
      <c r="SX20" s="65"/>
      <c r="SY20" s="65"/>
      <c r="SZ20" s="65"/>
      <c r="TA20" s="65"/>
      <c r="TB20" s="65"/>
      <c r="TC20" s="66"/>
      <c r="TE20" s="24">
        <v>70</v>
      </c>
      <c r="TF20" s="6" t="s">
        <v>46</v>
      </c>
      <c r="TG20" s="64"/>
      <c r="TH20" s="65"/>
      <c r="TI20" s="65"/>
      <c r="TJ20" s="65"/>
      <c r="TK20" s="65"/>
      <c r="TL20" s="65"/>
      <c r="TM20" s="66"/>
      <c r="TO20" s="2">
        <v>55</v>
      </c>
      <c r="TP20" s="6" t="s">
        <v>46</v>
      </c>
      <c r="TQ20" s="64"/>
      <c r="TR20" s="65"/>
      <c r="TS20" s="65"/>
      <c r="TT20" s="65"/>
      <c r="TU20" s="65"/>
      <c r="TV20" s="65"/>
      <c r="TW20" s="66"/>
      <c r="TY20" s="24">
        <v>55</v>
      </c>
      <c r="TZ20" s="6" t="s">
        <v>46</v>
      </c>
      <c r="UA20" s="64"/>
      <c r="UB20" s="65"/>
      <c r="UC20" s="65"/>
      <c r="UD20" s="65"/>
      <c r="UE20" s="65"/>
      <c r="UF20" s="65"/>
      <c r="UG20" s="66"/>
      <c r="UI20" s="2">
        <v>35</v>
      </c>
      <c r="UJ20" s="6" t="s">
        <v>46</v>
      </c>
      <c r="UK20" s="64"/>
      <c r="UL20" s="65"/>
      <c r="UM20" s="65"/>
      <c r="UN20" s="65"/>
      <c r="UO20" s="65"/>
      <c r="UP20" s="65"/>
      <c r="UQ20" s="66"/>
      <c r="US20" s="2">
        <v>30</v>
      </c>
      <c r="UT20" s="6" t="s">
        <v>46</v>
      </c>
      <c r="UU20" s="64"/>
      <c r="UV20" s="65"/>
      <c r="UW20" s="65"/>
      <c r="UX20" s="65"/>
      <c r="UY20" s="65"/>
      <c r="UZ20" s="65"/>
      <c r="VA20" s="66"/>
      <c r="VC20" s="24">
        <v>90</v>
      </c>
      <c r="VD20" s="6" t="s">
        <v>46</v>
      </c>
      <c r="VE20" s="64"/>
      <c r="VF20" s="65"/>
      <c r="VG20" s="65"/>
      <c r="VH20" s="65"/>
      <c r="VI20" s="65"/>
      <c r="VJ20" s="65"/>
      <c r="VK20" s="66"/>
      <c r="VM20" s="24">
        <v>90</v>
      </c>
      <c r="VN20" s="6" t="s">
        <v>46</v>
      </c>
      <c r="VO20" s="64"/>
      <c r="VP20" s="65"/>
      <c r="VQ20" s="65"/>
      <c r="VR20" s="65"/>
      <c r="VS20" s="65"/>
      <c r="VT20" s="65"/>
      <c r="VU20" s="66"/>
      <c r="VW20" s="2">
        <v>90</v>
      </c>
      <c r="VX20" s="6" t="s">
        <v>46</v>
      </c>
      <c r="VY20" s="64"/>
      <c r="VZ20" s="65"/>
      <c r="WA20" s="65"/>
      <c r="WB20" s="65"/>
      <c r="WC20" s="65"/>
      <c r="WD20" s="65"/>
      <c r="WE20" s="66"/>
      <c r="WG20" s="24">
        <v>90</v>
      </c>
      <c r="WH20" s="6" t="s">
        <v>46</v>
      </c>
      <c r="WI20" s="64"/>
      <c r="WJ20" s="65"/>
      <c r="WK20" s="65"/>
      <c r="WL20" s="65"/>
      <c r="WM20" s="65"/>
      <c r="WN20" s="65"/>
      <c r="WO20" s="66"/>
      <c r="WQ20" s="24">
        <v>85</v>
      </c>
      <c r="WR20" s="6" t="s">
        <v>46</v>
      </c>
      <c r="WS20" s="64"/>
      <c r="WT20" s="65"/>
      <c r="WU20" s="65"/>
      <c r="WV20" s="65"/>
      <c r="WW20" s="65"/>
      <c r="WX20" s="65"/>
      <c r="WY20" s="66"/>
      <c r="XA20" s="24">
        <v>85</v>
      </c>
      <c r="XB20" s="6" t="s">
        <v>46</v>
      </c>
      <c r="XC20" s="64"/>
      <c r="XD20" s="65"/>
      <c r="XE20" s="65"/>
      <c r="XF20" s="65"/>
      <c r="XG20" s="65"/>
      <c r="XH20" s="65"/>
      <c r="XI20" s="66"/>
      <c r="XK20" s="24">
        <v>75</v>
      </c>
      <c r="XL20" s="6" t="s">
        <v>46</v>
      </c>
      <c r="XM20" s="64"/>
      <c r="XN20" s="65"/>
      <c r="XO20" s="65"/>
      <c r="XP20" s="65"/>
      <c r="XQ20" s="65"/>
      <c r="XR20" s="65"/>
      <c r="XS20" s="66"/>
      <c r="XU20" s="24">
        <v>75</v>
      </c>
      <c r="XV20" s="6" t="s">
        <v>46</v>
      </c>
      <c r="XW20" s="64"/>
      <c r="XX20" s="65"/>
      <c r="XY20" s="65"/>
      <c r="XZ20" s="65"/>
      <c r="YA20" s="65"/>
      <c r="YB20" s="65"/>
      <c r="YC20" s="66"/>
      <c r="YE20" s="24">
        <v>65</v>
      </c>
      <c r="YF20" s="6" t="s">
        <v>46</v>
      </c>
      <c r="YG20" s="64"/>
      <c r="YH20" s="65"/>
      <c r="YI20" s="65"/>
      <c r="YJ20" s="65"/>
      <c r="YK20" s="65"/>
      <c r="YL20" s="65"/>
      <c r="YM20" s="66"/>
      <c r="YO20" s="24">
        <v>62</v>
      </c>
      <c r="YP20" s="6" t="s">
        <v>46</v>
      </c>
      <c r="YQ20" s="64"/>
      <c r="YR20" s="65"/>
      <c r="YS20" s="65"/>
      <c r="YT20" s="65"/>
      <c r="YU20" s="65"/>
      <c r="YV20" s="65"/>
      <c r="YW20" s="66"/>
      <c r="YY20" s="2">
        <v>90</v>
      </c>
      <c r="YZ20" s="6" t="s">
        <v>46</v>
      </c>
      <c r="ZA20" s="64"/>
      <c r="ZB20" s="65"/>
      <c r="ZC20" s="65"/>
      <c r="ZD20" s="65"/>
      <c r="ZE20" s="65"/>
      <c r="ZF20" s="65"/>
      <c r="ZG20" s="66"/>
      <c r="ZI20" s="24">
        <v>85</v>
      </c>
      <c r="ZJ20" s="6" t="s">
        <v>46</v>
      </c>
      <c r="ZK20" s="64"/>
      <c r="ZL20" s="65"/>
      <c r="ZM20" s="65"/>
      <c r="ZN20" s="65"/>
      <c r="ZO20" s="65"/>
      <c r="ZP20" s="65"/>
      <c r="ZQ20" s="66"/>
      <c r="ZR20" s="21"/>
      <c r="ZS20" s="24">
        <v>85</v>
      </c>
      <c r="ZT20" s="6" t="s">
        <v>46</v>
      </c>
      <c r="ZU20" s="64"/>
      <c r="ZV20" s="65"/>
      <c r="ZW20" s="65"/>
      <c r="ZX20" s="65"/>
      <c r="ZY20" s="65"/>
      <c r="ZZ20" s="65"/>
      <c r="AAA20" s="66"/>
      <c r="AAB20" s="21"/>
      <c r="AAC20" s="24">
        <v>70</v>
      </c>
      <c r="AAD20" s="6" t="s">
        <v>46</v>
      </c>
      <c r="AAE20" s="64"/>
      <c r="AAF20" s="65"/>
      <c r="AAG20" s="65"/>
      <c r="AAH20" s="65"/>
      <c r="AAI20" s="65"/>
      <c r="AAJ20" s="65"/>
      <c r="AAK20" s="66"/>
      <c r="AAL20" s="21"/>
      <c r="AAM20" s="24">
        <v>70</v>
      </c>
      <c r="AAN20" s="6" t="s">
        <v>46</v>
      </c>
      <c r="AAO20" s="64"/>
      <c r="AAP20" s="65"/>
      <c r="AAQ20" s="65"/>
      <c r="AAR20" s="65"/>
      <c r="AAS20" s="65"/>
      <c r="AAT20" s="65"/>
      <c r="AAU20" s="66"/>
      <c r="AAV20" s="21"/>
      <c r="AAW20" s="2">
        <v>50</v>
      </c>
      <c r="AAX20" s="6" t="s">
        <v>46</v>
      </c>
      <c r="AAY20" s="64"/>
      <c r="AAZ20" s="65"/>
      <c r="ABA20" s="65"/>
      <c r="ABB20" s="65"/>
      <c r="ABC20" s="65"/>
      <c r="ABD20" s="65"/>
      <c r="ABE20" s="66"/>
      <c r="ABF20" s="21"/>
      <c r="ABG20" s="24">
        <v>50</v>
      </c>
      <c r="ABH20" s="6" t="s">
        <v>46</v>
      </c>
      <c r="ABI20" s="64"/>
      <c r="ABJ20" s="65"/>
      <c r="ABK20" s="65"/>
      <c r="ABL20" s="65"/>
      <c r="ABM20" s="65"/>
      <c r="ABN20" s="65"/>
      <c r="ABO20" s="66"/>
      <c r="ABP20" s="21"/>
      <c r="ABQ20" s="24">
        <v>50</v>
      </c>
      <c r="ABR20" s="6" t="s">
        <v>46</v>
      </c>
      <c r="ABS20" s="64"/>
      <c r="ABT20" s="65"/>
      <c r="ABU20" s="65"/>
      <c r="ABV20" s="65"/>
      <c r="ABW20" s="65"/>
      <c r="ABX20" s="65"/>
      <c r="ABY20" s="66"/>
      <c r="ABZ20" s="21"/>
      <c r="ACA20" s="24">
        <v>40</v>
      </c>
      <c r="ACB20" s="6" t="s">
        <v>46</v>
      </c>
      <c r="ACC20" s="64"/>
      <c r="ACD20" s="65"/>
      <c r="ACE20" s="65"/>
      <c r="ACF20" s="65"/>
      <c r="ACG20" s="65"/>
      <c r="ACH20" s="65"/>
      <c r="ACI20" s="66"/>
      <c r="ACJ20" s="21"/>
      <c r="ACK20" s="2">
        <v>100</v>
      </c>
      <c r="ACL20" s="6" t="s">
        <v>46</v>
      </c>
      <c r="ACM20" s="64"/>
      <c r="ACN20" s="65"/>
      <c r="ACO20" s="65"/>
      <c r="ACP20" s="65"/>
      <c r="ACQ20" s="65"/>
      <c r="ACR20" s="65"/>
      <c r="ACS20" s="66"/>
      <c r="ACT20" s="21"/>
      <c r="ACU20" s="2">
        <v>100</v>
      </c>
      <c r="ACV20" s="6" t="s">
        <v>46</v>
      </c>
      <c r="ACW20" s="64"/>
      <c r="ACX20" s="65"/>
      <c r="ACY20" s="65"/>
      <c r="ACZ20" s="65"/>
      <c r="ADA20" s="65"/>
      <c r="ADB20" s="65"/>
      <c r="ADC20" s="66"/>
      <c r="ADD20" s="21"/>
      <c r="ADE20" s="24">
        <v>100</v>
      </c>
      <c r="ADF20" s="6" t="s">
        <v>46</v>
      </c>
      <c r="ADG20" s="64"/>
      <c r="ADH20" s="65"/>
      <c r="ADI20" s="65"/>
      <c r="ADJ20" s="65"/>
      <c r="ADK20" s="65"/>
      <c r="ADL20" s="65"/>
      <c r="ADM20" s="66"/>
      <c r="ADN20" s="21"/>
      <c r="ADO20" s="24">
        <v>100</v>
      </c>
      <c r="ADP20" s="6" t="s">
        <v>46</v>
      </c>
      <c r="ADQ20" s="64"/>
      <c r="ADR20" s="65"/>
      <c r="ADS20" s="65"/>
      <c r="ADT20" s="65"/>
      <c r="ADU20" s="65"/>
      <c r="ADV20" s="65"/>
      <c r="ADW20" s="66"/>
      <c r="ADX20" s="21"/>
      <c r="ADY20" s="24">
        <v>100</v>
      </c>
      <c r="ADZ20" s="6" t="s">
        <v>46</v>
      </c>
      <c r="AEA20" s="64"/>
      <c r="AEB20" s="65"/>
      <c r="AEC20" s="65"/>
      <c r="AED20" s="65"/>
      <c r="AEE20" s="65"/>
      <c r="AEF20" s="65"/>
      <c r="AEG20" s="66"/>
      <c r="AEH20" s="21"/>
      <c r="AEI20" s="2">
        <v>90</v>
      </c>
      <c r="AEJ20" s="6" t="s">
        <v>46</v>
      </c>
      <c r="AEK20" s="64"/>
      <c r="AEL20" s="65"/>
      <c r="AEM20" s="65"/>
      <c r="AEN20" s="65"/>
      <c r="AEO20" s="65"/>
      <c r="AEP20" s="65"/>
      <c r="AEQ20" s="66"/>
      <c r="AER20" s="21"/>
      <c r="AES20" s="24">
        <v>90</v>
      </c>
      <c r="AET20" s="6" t="s">
        <v>46</v>
      </c>
      <c r="AEU20" s="64"/>
      <c r="AEV20" s="65"/>
      <c r="AEW20" s="65"/>
      <c r="AEX20" s="65"/>
      <c r="AEY20" s="65"/>
      <c r="AEZ20" s="65"/>
      <c r="AFA20" s="66"/>
      <c r="AFB20" s="21"/>
      <c r="AFC20" s="24">
        <v>90</v>
      </c>
      <c r="AFD20" s="6" t="s">
        <v>46</v>
      </c>
      <c r="AFE20" s="64"/>
      <c r="AFF20" s="65"/>
      <c r="AFG20" s="65"/>
      <c r="AFH20" s="65"/>
      <c r="AFI20" s="65"/>
      <c r="AFJ20" s="65"/>
      <c r="AFK20" s="66"/>
      <c r="AFL20" s="21"/>
      <c r="AFM20" s="2">
        <v>70</v>
      </c>
      <c r="AFN20" s="6" t="s">
        <v>46</v>
      </c>
      <c r="AFO20" s="64"/>
      <c r="AFP20" s="65"/>
      <c r="AFQ20" s="65"/>
      <c r="AFR20" s="65"/>
      <c r="AFS20" s="65"/>
      <c r="AFT20" s="65"/>
      <c r="AFU20" s="66"/>
      <c r="AFV20" s="21"/>
      <c r="AFW20" s="2">
        <v>70</v>
      </c>
      <c r="AFX20" s="6" t="s">
        <v>46</v>
      </c>
      <c r="AFY20" s="64"/>
      <c r="AFZ20" s="65"/>
      <c r="AGA20" s="65"/>
      <c r="AGB20" s="65"/>
      <c r="AGC20" s="65"/>
      <c r="AGD20" s="65"/>
      <c r="AGE20" s="66"/>
      <c r="AGF20" s="21"/>
      <c r="AGG20" s="2">
        <v>50</v>
      </c>
      <c r="AGH20" s="6" t="s">
        <v>46</v>
      </c>
      <c r="AGI20" s="64"/>
      <c r="AGJ20" s="65"/>
      <c r="AGK20" s="65"/>
      <c r="AGL20" s="65"/>
      <c r="AGM20" s="65"/>
      <c r="AGN20" s="65"/>
      <c r="AGO20" s="66"/>
      <c r="AGP20" s="21"/>
      <c r="AGQ20" s="24">
        <v>50</v>
      </c>
      <c r="AGR20" s="6" t="s">
        <v>46</v>
      </c>
      <c r="AGS20" s="64"/>
      <c r="AGT20" s="65"/>
      <c r="AGU20" s="65"/>
      <c r="AGV20" s="65"/>
      <c r="AGW20" s="65"/>
      <c r="AGX20" s="65"/>
      <c r="AGY20" s="66"/>
      <c r="AGZ20" s="21"/>
      <c r="AHA20" s="24">
        <v>40</v>
      </c>
      <c r="AHB20" s="6" t="s">
        <v>46</v>
      </c>
      <c r="AHC20" s="64"/>
      <c r="AHD20" s="65"/>
      <c r="AHE20" s="65"/>
      <c r="AHF20" s="65"/>
      <c r="AHG20" s="65"/>
      <c r="AHH20" s="65"/>
      <c r="AHI20" s="66"/>
      <c r="AHJ20" s="21"/>
      <c r="AHK20" s="24">
        <v>100</v>
      </c>
      <c r="AHL20" s="6" t="s">
        <v>46</v>
      </c>
      <c r="AHM20" s="64"/>
      <c r="AHN20" s="65"/>
      <c r="AHO20" s="65"/>
      <c r="AHP20" s="65"/>
      <c r="AHQ20" s="65"/>
      <c r="AHR20" s="65"/>
      <c r="AHS20" s="66"/>
      <c r="AHT20" s="21"/>
      <c r="AHU20" s="2">
        <v>100</v>
      </c>
      <c r="AHV20" s="6" t="s">
        <v>46</v>
      </c>
      <c r="AHW20" s="64"/>
      <c r="AHX20" s="65"/>
      <c r="AHY20" s="65"/>
      <c r="AHZ20" s="65"/>
      <c r="AIA20" s="65"/>
      <c r="AIB20" s="65"/>
      <c r="AIC20" s="66"/>
      <c r="AID20" s="21"/>
      <c r="AIE20" s="24">
        <v>100</v>
      </c>
      <c r="AIF20" s="6" t="s">
        <v>46</v>
      </c>
      <c r="AIG20" s="64"/>
      <c r="AIH20" s="65"/>
      <c r="AII20" s="65"/>
      <c r="AIJ20" s="65"/>
      <c r="AIK20" s="65"/>
      <c r="AIL20" s="65"/>
      <c r="AIM20" s="66"/>
      <c r="AIN20" s="21"/>
      <c r="AIO20" s="2">
        <v>100</v>
      </c>
      <c r="AIP20" s="6" t="s">
        <v>46</v>
      </c>
      <c r="AIQ20" s="64"/>
      <c r="AIR20" s="65"/>
      <c r="AIS20" s="65"/>
      <c r="AIT20" s="65"/>
      <c r="AIU20" s="65"/>
      <c r="AIV20" s="65"/>
      <c r="AIW20" s="66"/>
      <c r="AIX20" s="21"/>
      <c r="AIY20" s="2">
        <v>100</v>
      </c>
      <c r="AIZ20" s="6" t="s">
        <v>46</v>
      </c>
      <c r="AJA20" s="64"/>
      <c r="AJB20" s="65"/>
      <c r="AJC20" s="65"/>
      <c r="AJD20" s="65"/>
      <c r="AJE20" s="65"/>
      <c r="AJF20" s="65"/>
      <c r="AJG20" s="66"/>
      <c r="AJH20" s="21"/>
      <c r="AJI20" s="24">
        <v>100</v>
      </c>
      <c r="AJJ20" s="6" t="s">
        <v>46</v>
      </c>
      <c r="AJK20" s="64"/>
      <c r="AJL20" s="65"/>
      <c r="AJM20" s="65"/>
      <c r="AJN20" s="65"/>
      <c r="AJO20" s="65"/>
      <c r="AJP20" s="65"/>
      <c r="AJQ20" s="66"/>
      <c r="AJR20" s="21"/>
      <c r="AJS20" s="2">
        <v>85</v>
      </c>
      <c r="AJT20" s="6" t="s">
        <v>46</v>
      </c>
      <c r="AJU20" s="64"/>
      <c r="AJV20" s="65"/>
      <c r="AJW20" s="65"/>
      <c r="AJX20" s="65"/>
      <c r="AJY20" s="65"/>
      <c r="AJZ20" s="65"/>
      <c r="AKA20" s="66"/>
      <c r="AKB20" s="21"/>
      <c r="AKC20" s="24">
        <v>85</v>
      </c>
      <c r="AKD20" s="6" t="s">
        <v>46</v>
      </c>
      <c r="AKE20" s="64"/>
      <c r="AKF20" s="65"/>
      <c r="AKG20" s="65"/>
      <c r="AKH20" s="65"/>
      <c r="AKI20" s="65"/>
      <c r="AKJ20" s="65"/>
      <c r="AKK20" s="66"/>
      <c r="AKL20" s="21"/>
      <c r="AKM20" s="2">
        <v>80</v>
      </c>
      <c r="AKN20" s="6" t="s">
        <v>46</v>
      </c>
      <c r="AKO20" s="64"/>
      <c r="AKP20" s="65"/>
      <c r="AKQ20" s="65"/>
      <c r="AKR20" s="65"/>
      <c r="AKS20" s="65"/>
      <c r="AKT20" s="65"/>
      <c r="AKU20" s="66"/>
      <c r="AKV20" s="21"/>
      <c r="AKW20" s="2">
        <v>80</v>
      </c>
      <c r="AKX20" s="6" t="s">
        <v>46</v>
      </c>
      <c r="AKY20" s="64"/>
      <c r="AKZ20" s="65"/>
      <c r="ALA20" s="65"/>
      <c r="ALB20" s="65"/>
      <c r="ALC20" s="65"/>
      <c r="ALD20" s="65"/>
      <c r="ALE20" s="66"/>
      <c r="ALF20" s="21"/>
      <c r="ALG20" s="2">
        <v>80</v>
      </c>
      <c r="ALH20" s="6" t="s">
        <v>46</v>
      </c>
      <c r="ALI20" s="64"/>
      <c r="ALJ20" s="65"/>
      <c r="ALK20" s="65"/>
      <c r="ALL20" s="65"/>
      <c r="ALM20" s="65"/>
      <c r="ALN20" s="65"/>
      <c r="ALO20" s="66"/>
      <c r="ALP20" s="21"/>
      <c r="ALQ20" s="2">
        <v>70</v>
      </c>
      <c r="ALR20" s="6" t="s">
        <v>46</v>
      </c>
      <c r="ALS20" s="64"/>
      <c r="ALT20" s="65"/>
      <c r="ALU20" s="65"/>
      <c r="ALV20" s="65"/>
      <c r="ALW20" s="65"/>
      <c r="ALX20" s="65"/>
      <c r="ALY20" s="66"/>
      <c r="ALZ20" s="21"/>
      <c r="AMA20" s="24">
        <v>40</v>
      </c>
      <c r="AMB20" s="6" t="s">
        <v>46</v>
      </c>
      <c r="AMC20" s="64"/>
      <c r="AMD20" s="65"/>
      <c r="AME20" s="65"/>
      <c r="AMF20" s="65"/>
      <c r="AMG20" s="65"/>
      <c r="AMH20" s="65"/>
      <c r="AMI20" s="66"/>
      <c r="AMJ20" s="21"/>
      <c r="AMK20" s="24">
        <v>40</v>
      </c>
      <c r="AML20" s="6" t="s">
        <v>46</v>
      </c>
      <c r="AMM20" s="64"/>
      <c r="AMN20" s="65"/>
      <c r="AMO20" s="65"/>
      <c r="AMP20" s="65"/>
      <c r="AMQ20" s="65"/>
      <c r="AMR20" s="65"/>
      <c r="AMS20" s="66"/>
      <c r="AMT20" s="21"/>
      <c r="AMU20" s="24">
        <v>40</v>
      </c>
      <c r="AMV20" s="6" t="s">
        <v>46</v>
      </c>
      <c r="AMW20" s="64"/>
      <c r="AMX20" s="65"/>
      <c r="AMY20" s="65"/>
      <c r="AMZ20" s="65"/>
      <c r="ANA20" s="65"/>
      <c r="ANB20" s="65"/>
      <c r="ANC20" s="66"/>
      <c r="AND20" s="21"/>
      <c r="ANE20" s="24">
        <v>75</v>
      </c>
      <c r="ANF20" s="6" t="s">
        <v>46</v>
      </c>
      <c r="ANG20" s="64"/>
      <c r="ANH20" s="65"/>
      <c r="ANI20" s="65"/>
      <c r="ANJ20" s="65"/>
      <c r="ANK20" s="65"/>
      <c r="ANL20" s="65"/>
      <c r="ANM20" s="66"/>
      <c r="ANN20" s="21"/>
      <c r="ANO20" s="24">
        <v>75</v>
      </c>
      <c r="ANP20" s="6" t="s">
        <v>46</v>
      </c>
      <c r="ANQ20" s="64"/>
      <c r="ANR20" s="65"/>
      <c r="ANS20" s="65"/>
      <c r="ANT20" s="65"/>
      <c r="ANU20" s="65"/>
      <c r="ANV20" s="65"/>
      <c r="ANW20" s="66"/>
      <c r="ANX20" s="21"/>
      <c r="ANY20" s="24">
        <v>75</v>
      </c>
      <c r="ANZ20" s="6" t="s">
        <v>46</v>
      </c>
      <c r="AOA20" s="64"/>
      <c r="AOB20" s="65"/>
      <c r="AOC20" s="65"/>
      <c r="AOD20" s="65"/>
      <c r="AOE20" s="65"/>
      <c r="AOF20" s="65"/>
      <c r="AOG20" s="66"/>
      <c r="AOH20" s="21"/>
      <c r="AOI20" s="24">
        <v>75</v>
      </c>
      <c r="AOJ20" s="6" t="s">
        <v>46</v>
      </c>
      <c r="AOK20" s="64"/>
      <c r="AOL20" s="65"/>
      <c r="AOM20" s="65"/>
      <c r="AON20" s="65"/>
      <c r="AOO20" s="65"/>
      <c r="AOP20" s="65"/>
      <c r="AOQ20" s="66"/>
      <c r="AOR20" s="21"/>
      <c r="AOS20" s="24">
        <v>75</v>
      </c>
      <c r="AOT20" s="6" t="s">
        <v>46</v>
      </c>
      <c r="AOU20" s="64"/>
      <c r="AOV20" s="65"/>
      <c r="AOW20" s="65"/>
      <c r="AOX20" s="65"/>
      <c r="AOY20" s="65"/>
      <c r="AOZ20" s="65"/>
      <c r="APA20" s="66"/>
      <c r="APB20" s="21"/>
      <c r="APC20" s="24">
        <v>75</v>
      </c>
      <c r="APD20" s="6" t="s">
        <v>46</v>
      </c>
      <c r="APE20" s="64"/>
      <c r="APF20" s="65"/>
      <c r="APG20" s="65"/>
      <c r="APH20" s="65"/>
      <c r="API20" s="65"/>
      <c r="APJ20" s="65"/>
      <c r="APK20" s="66"/>
      <c r="APL20" s="21"/>
      <c r="APM20" s="24">
        <v>75</v>
      </c>
      <c r="APN20" s="6" t="s">
        <v>46</v>
      </c>
      <c r="APO20" s="64"/>
      <c r="APP20" s="65"/>
      <c r="APQ20" s="65"/>
      <c r="APR20" s="65"/>
      <c r="APS20" s="65"/>
      <c r="APT20" s="65"/>
      <c r="APU20" s="66"/>
      <c r="APV20" s="21"/>
      <c r="APW20" s="95">
        <v>75</v>
      </c>
      <c r="APX20" s="96" t="s">
        <v>46</v>
      </c>
      <c r="APY20" s="117"/>
      <c r="APZ20" s="118"/>
      <c r="AQA20" s="118"/>
      <c r="AQB20" s="118"/>
      <c r="AQC20" s="118"/>
      <c r="AQD20" s="118"/>
      <c r="AQE20" s="119"/>
      <c r="AQF20" s="21"/>
      <c r="AQG20" s="2"/>
      <c r="AQH20" s="6" t="s">
        <v>46</v>
      </c>
      <c r="AQI20" s="64"/>
      <c r="AQJ20" s="65"/>
      <c r="AQK20" s="65"/>
      <c r="AQL20" s="65"/>
      <c r="AQM20" s="65"/>
      <c r="AQN20" s="65"/>
      <c r="AQO20" s="66"/>
    </row>
    <row r="21" spans="1:1133" ht="11.25" x14ac:dyDescent="0.2">
      <c r="A21" s="11"/>
    </row>
    <row r="22" spans="1:1133" ht="12.75" customHeight="1" x14ac:dyDescent="0.2">
      <c r="A22" s="11" t="s">
        <v>47</v>
      </c>
    </row>
    <row r="23" spans="1:1133" ht="12.75" customHeight="1" x14ac:dyDescent="0.2">
      <c r="A23" s="12" t="s">
        <v>48</v>
      </c>
    </row>
    <row r="24" spans="1:1133" ht="12.75" customHeight="1" x14ac:dyDescent="0.2">
      <c r="A24" s="11" t="s">
        <v>49</v>
      </c>
    </row>
    <row r="25" spans="1:1133" ht="12.75" customHeight="1" x14ac:dyDescent="0.2">
      <c r="A25" s="12" t="s">
        <v>50</v>
      </c>
    </row>
    <row r="26" spans="1:1133" ht="12.75" customHeight="1" x14ac:dyDescent="0.2">
      <c r="A26" s="12" t="s">
        <v>51</v>
      </c>
    </row>
  </sheetData>
  <sheetProtection algorithmName="SHA-512" hashValue="G4oJCweFGbkL/ueYokrxA3XPwoutwdO/opEbLtpsRnY15+WOhQz7o57K7mWGNytkn0P18F8JQ1wVkOp5GRPMJg==" saltValue="1y9VnKXle30oUEokkcy+vw==" spinCount="100000" sheet="1" selectLockedCells="1"/>
  <mergeCells count="1679">
    <mergeCell ref="AQG1:AQH1"/>
    <mergeCell ref="AQI1:AQK1"/>
    <mergeCell ref="AQL1:AQM1"/>
    <mergeCell ref="AQN1:AQO1"/>
    <mergeCell ref="AQG2:AQH2"/>
    <mergeCell ref="AQI2:AQJ2"/>
    <mergeCell ref="AQG9:AQH9"/>
    <mergeCell ref="AQI9:AQJ9"/>
    <mergeCell ref="AQG13:AQH13"/>
    <mergeCell ref="AQI13:AQO14"/>
    <mergeCell ref="AQG16:AQH16"/>
    <mergeCell ref="AQI16:AQJ16"/>
    <mergeCell ref="AQK16:AQM16"/>
    <mergeCell ref="AQK17:AQM17"/>
    <mergeCell ref="AQG19:AQH19"/>
    <mergeCell ref="AQI19:AQO20"/>
    <mergeCell ref="AMA1:AMB1"/>
    <mergeCell ref="AMC1:AME1"/>
    <mergeCell ref="AMF1:AMG1"/>
    <mergeCell ref="AMH1:AMI1"/>
    <mergeCell ref="AMA2:AMB2"/>
    <mergeCell ref="AMC2:AMD2"/>
    <mergeCell ref="AMA9:AMB9"/>
    <mergeCell ref="AMC9:AMD9"/>
    <mergeCell ref="AMA13:AMB13"/>
    <mergeCell ref="AMC13:AMI14"/>
    <mergeCell ref="AMA16:AMB16"/>
    <mergeCell ref="AMC16:AMD16"/>
    <mergeCell ref="AME16:AMG16"/>
    <mergeCell ref="AME17:AMG17"/>
    <mergeCell ref="AMA19:AMB19"/>
    <mergeCell ref="AMC19:AMI20"/>
    <mergeCell ref="AKC1:AKD1"/>
    <mergeCell ref="AKE1:AKG1"/>
    <mergeCell ref="AKH1:AKI1"/>
    <mergeCell ref="AKJ1:AKK1"/>
    <mergeCell ref="AKC2:AKD2"/>
    <mergeCell ref="AKE2:AKF2"/>
    <mergeCell ref="AKC9:AKD9"/>
    <mergeCell ref="AKE9:AKF9"/>
    <mergeCell ref="AKC13:AKD13"/>
    <mergeCell ref="AKE13:AKK14"/>
    <mergeCell ref="AKC16:AKD16"/>
    <mergeCell ref="AKE16:AKF16"/>
    <mergeCell ref="AKG16:AKI16"/>
    <mergeCell ref="AKG17:AKI17"/>
    <mergeCell ref="AKC19:AKD19"/>
    <mergeCell ref="AKE19:AKK20"/>
    <mergeCell ref="AIL1:AIM1"/>
    <mergeCell ref="AIE2:AIF2"/>
    <mergeCell ref="AIG2:AIH2"/>
    <mergeCell ref="AIE9:AIF9"/>
    <mergeCell ref="AIG9:AIH9"/>
    <mergeCell ref="AIE13:AIF13"/>
    <mergeCell ref="AIG13:AIM14"/>
    <mergeCell ref="AIE16:AIF16"/>
    <mergeCell ref="AIG16:AIH16"/>
    <mergeCell ref="AII16:AIK16"/>
    <mergeCell ref="AII17:AIK17"/>
    <mergeCell ref="AIE19:AIF19"/>
    <mergeCell ref="AIG19:AIM20"/>
    <mergeCell ref="AIQ16:AIR16"/>
    <mergeCell ref="AIS16:AIU16"/>
    <mergeCell ref="AIS17:AIU17"/>
    <mergeCell ref="AIO1:AIP1"/>
    <mergeCell ref="AIE1:AIF1"/>
    <mergeCell ref="AIG1:AII1"/>
    <mergeCell ref="AIQ19:AIW20"/>
    <mergeCell ref="AIO19:AIP19"/>
    <mergeCell ref="AHA2:AHB2"/>
    <mergeCell ref="AHC2:AHD2"/>
    <mergeCell ref="AHA9:AHB9"/>
    <mergeCell ref="AGL1:AGM1"/>
    <mergeCell ref="AGN1:AGO1"/>
    <mergeCell ref="AJS1:AJT1"/>
    <mergeCell ref="AJU1:AJW1"/>
    <mergeCell ref="AJI19:AJJ19"/>
    <mergeCell ref="AJK19:AJQ20"/>
    <mergeCell ref="AIY19:AIZ19"/>
    <mergeCell ref="AJA19:AJG20"/>
    <mergeCell ref="AJZ1:AKA1"/>
    <mergeCell ref="AJS2:AJT2"/>
    <mergeCell ref="AJU2:AJV2"/>
    <mergeCell ref="AJS9:AJT9"/>
    <mergeCell ref="AJU9:AJV9"/>
    <mergeCell ref="AJS13:AJT13"/>
    <mergeCell ref="AJU13:AKA14"/>
    <mergeCell ref="AJS16:AJT16"/>
    <mergeCell ref="AJU16:AJV16"/>
    <mergeCell ref="AJW16:AJY16"/>
    <mergeCell ref="AJW17:AJY17"/>
    <mergeCell ref="AJS19:AJT19"/>
    <mergeCell ref="AJU19:AKA20"/>
    <mergeCell ref="AJX1:AJY1"/>
    <mergeCell ref="AIY1:AIZ1"/>
    <mergeCell ref="AJA1:AJC1"/>
    <mergeCell ref="AJD1:AJE1"/>
    <mergeCell ref="AJF1:AJG1"/>
    <mergeCell ref="AIY2:AIZ2"/>
    <mergeCell ref="AJA2:AJB2"/>
    <mergeCell ref="AIY9:AIZ9"/>
    <mergeCell ref="AEU1:AEW1"/>
    <mergeCell ref="AFE1:AFG1"/>
    <mergeCell ref="AFH1:AFI1"/>
    <mergeCell ref="AFJ1:AFK1"/>
    <mergeCell ref="AFE2:AFF2"/>
    <mergeCell ref="AFE9:AFF9"/>
    <mergeCell ref="AFO19:AFU20"/>
    <mergeCell ref="AEF1:AEG1"/>
    <mergeCell ref="AEU2:AEV2"/>
    <mergeCell ref="AHU1:AHV1"/>
    <mergeCell ref="AHW1:AHY1"/>
    <mergeCell ref="AHZ1:AIA1"/>
    <mergeCell ref="AIB1:AIC1"/>
    <mergeCell ref="AIQ1:AIS1"/>
    <mergeCell ref="AIT1:AIU1"/>
    <mergeCell ref="AIV1:AIW1"/>
    <mergeCell ref="AIO2:AIP2"/>
    <mergeCell ref="AIQ2:AIR2"/>
    <mergeCell ref="AIO9:AIP9"/>
    <mergeCell ref="AIQ9:AIR9"/>
    <mergeCell ref="AIO13:AIP13"/>
    <mergeCell ref="AIQ13:AIW14"/>
    <mergeCell ref="AIO16:AIP16"/>
    <mergeCell ref="AFR1:AFS1"/>
    <mergeCell ref="AGQ2:AGR2"/>
    <mergeCell ref="AGS2:AGT2"/>
    <mergeCell ref="AGI13:AGO14"/>
    <mergeCell ref="AHP1:AHQ1"/>
    <mergeCell ref="AHR1:AHS1"/>
    <mergeCell ref="AGQ9:AGR9"/>
    <mergeCell ref="AGS9:AGT9"/>
    <mergeCell ref="AGQ13:AGR13"/>
    <mergeCell ref="AEW17:AEY17"/>
    <mergeCell ref="AES19:AET19"/>
    <mergeCell ref="AEU19:AFA20"/>
    <mergeCell ref="AFM1:AFN1"/>
    <mergeCell ref="AFO1:AFQ1"/>
    <mergeCell ref="AFT1:AFU1"/>
    <mergeCell ref="AFM2:AFN2"/>
    <mergeCell ref="AEX1:AEY1"/>
    <mergeCell ref="AEZ1:AFA1"/>
    <mergeCell ref="AES2:AET2"/>
    <mergeCell ref="ADY19:ADZ19"/>
    <mergeCell ref="AEA19:AEG20"/>
    <mergeCell ref="AEK1:AEM1"/>
    <mergeCell ref="ADY2:ADZ2"/>
    <mergeCell ref="AEA2:AEB2"/>
    <mergeCell ref="ADY9:ADZ9"/>
    <mergeCell ref="AEA9:AEB9"/>
    <mergeCell ref="ADY13:ADZ13"/>
    <mergeCell ref="AEI13:AEJ13"/>
    <mergeCell ref="AEK13:AEQ14"/>
    <mergeCell ref="AEI16:AEJ16"/>
    <mergeCell ref="AEK16:AEL16"/>
    <mergeCell ref="AEM16:AEO16"/>
    <mergeCell ref="AFO2:AFP2"/>
    <mergeCell ref="AFM9:AFN9"/>
    <mergeCell ref="AFO9:AFP9"/>
    <mergeCell ref="AFC13:AFD13"/>
    <mergeCell ref="AFE13:AFK14"/>
    <mergeCell ref="AFC16:AFD16"/>
    <mergeCell ref="AFE16:AFF16"/>
    <mergeCell ref="AFC19:AFD19"/>
    <mergeCell ref="AFE19:AFK20"/>
    <mergeCell ref="AEN1:AEO1"/>
    <mergeCell ref="AEP1:AEQ1"/>
    <mergeCell ref="AEI2:AEJ2"/>
    <mergeCell ref="AEK2:AEL2"/>
    <mergeCell ref="AEI1:AEJ1"/>
    <mergeCell ref="AFM13:AFN13"/>
    <mergeCell ref="AFO13:AFU14"/>
    <mergeCell ref="AFM16:AFN16"/>
    <mergeCell ref="AFO16:AFP16"/>
    <mergeCell ref="AFQ16:AFS16"/>
    <mergeCell ref="ACK2:ACL2"/>
    <mergeCell ref="ACM2:ACN2"/>
    <mergeCell ref="ACK9:ACL9"/>
    <mergeCell ref="ACM9:ACN9"/>
    <mergeCell ref="ACK13:ACL13"/>
    <mergeCell ref="ACM13:ACS14"/>
    <mergeCell ref="ACK16:ACL16"/>
    <mergeCell ref="ACM16:ACN16"/>
    <mergeCell ref="ACO16:ACQ16"/>
    <mergeCell ref="ADO2:ADP2"/>
    <mergeCell ref="ADQ2:ADR2"/>
    <mergeCell ref="ADS16:ADU16"/>
    <mergeCell ref="ADO16:ADP16"/>
    <mergeCell ref="ADQ16:ADR16"/>
    <mergeCell ref="AES9:AET9"/>
    <mergeCell ref="AEU9:AEV9"/>
    <mergeCell ref="AES13:AET13"/>
    <mergeCell ref="AEU13:AFA14"/>
    <mergeCell ref="AES16:AET16"/>
    <mergeCell ref="AEU16:AEV16"/>
    <mergeCell ref="AEW16:AEY16"/>
    <mergeCell ref="AES1:AET1"/>
    <mergeCell ref="ADQ19:ADW20"/>
    <mergeCell ref="ACU1:ACV1"/>
    <mergeCell ref="ACW1:ACY1"/>
    <mergeCell ref="ACZ1:ADA1"/>
    <mergeCell ref="ADB1:ADC1"/>
    <mergeCell ref="ADE1:ADF1"/>
    <mergeCell ref="ADG1:ADI1"/>
    <mergeCell ref="ADJ1:ADK1"/>
    <mergeCell ref="ADL1:ADM1"/>
    <mergeCell ref="ADE2:ADF2"/>
    <mergeCell ref="ADG2:ADH2"/>
    <mergeCell ref="ADE9:ADF9"/>
    <mergeCell ref="ADG9:ADH9"/>
    <mergeCell ref="ACY16:ADA16"/>
    <mergeCell ref="ACY17:ADA17"/>
    <mergeCell ref="ADS17:ADU17"/>
    <mergeCell ref="ADO19:ADP19"/>
    <mergeCell ref="ADT1:ADU1"/>
    <mergeCell ref="ADV1:ADW1"/>
    <mergeCell ref="ADO1:ADP1"/>
    <mergeCell ref="YY19:YZ19"/>
    <mergeCell ref="ZW16:ZY16"/>
    <mergeCell ref="ZW17:ZY17"/>
    <mergeCell ref="ZA19:ZG20"/>
    <mergeCell ref="YY1:YZ1"/>
    <mergeCell ref="ZA1:ZC1"/>
    <mergeCell ref="ZD1:ZE1"/>
    <mergeCell ref="ZI19:ZJ19"/>
    <mergeCell ref="ZK19:ZQ20"/>
    <mergeCell ref="ZF1:ZG1"/>
    <mergeCell ref="ZI1:ZJ1"/>
    <mergeCell ref="ZK1:ZM1"/>
    <mergeCell ref="ZI2:ZJ2"/>
    <mergeCell ref="ZC17:ZE17"/>
    <mergeCell ref="ZP1:ZQ1"/>
    <mergeCell ref="ABS19:ABY20"/>
    <mergeCell ref="AAY19:ABE20"/>
    <mergeCell ref="AAM1:AAN1"/>
    <mergeCell ref="AAO1:AAQ1"/>
    <mergeCell ref="AAR1:AAS1"/>
    <mergeCell ref="AAT1:AAU1"/>
    <mergeCell ref="AAM2:AAN2"/>
    <mergeCell ref="AAO2:AAP2"/>
    <mergeCell ref="ZK2:ZL2"/>
    <mergeCell ref="ZI9:ZJ9"/>
    <mergeCell ref="ZK9:ZL9"/>
    <mergeCell ref="ZI13:ZJ13"/>
    <mergeCell ref="ABQ1:ABR1"/>
    <mergeCell ref="AAC13:AAD13"/>
    <mergeCell ref="AAE13:AAK14"/>
    <mergeCell ref="ZA16:ZB16"/>
    <mergeCell ref="ABS1:ABU1"/>
    <mergeCell ref="XU19:XV19"/>
    <mergeCell ref="XW19:YC20"/>
    <mergeCell ref="XU1:XV1"/>
    <mergeCell ref="XW1:XY1"/>
    <mergeCell ref="XZ1:YA1"/>
    <mergeCell ref="YB1:YC1"/>
    <mergeCell ref="YE19:YF19"/>
    <mergeCell ref="YG16:YH16"/>
    <mergeCell ref="YO19:YP19"/>
    <mergeCell ref="YQ19:YW20"/>
    <mergeCell ref="YG19:YM20"/>
    <mergeCell ref="YI16:YK16"/>
    <mergeCell ref="YI17:YK17"/>
    <mergeCell ref="YE1:YF1"/>
    <mergeCell ref="YG2:YH2"/>
    <mergeCell ref="YE9:YF9"/>
    <mergeCell ref="YG1:YI1"/>
    <mergeCell ref="YJ1:YK1"/>
    <mergeCell ref="YL1:YM1"/>
    <mergeCell ref="YE2:YF2"/>
    <mergeCell ref="XU16:XV16"/>
    <mergeCell ref="XW16:XX16"/>
    <mergeCell ref="VM16:VN16"/>
    <mergeCell ref="VO16:VP16"/>
    <mergeCell ref="VM19:VN19"/>
    <mergeCell ref="VO19:VU20"/>
    <mergeCell ref="VM1:VN1"/>
    <mergeCell ref="VO1:VQ1"/>
    <mergeCell ref="VR1:VS1"/>
    <mergeCell ref="VT1:VU1"/>
    <mergeCell ref="VM2:VN2"/>
    <mergeCell ref="VO2:VP2"/>
    <mergeCell ref="VM9:VN9"/>
    <mergeCell ref="VO9:VP9"/>
    <mergeCell ref="VM13:VN13"/>
    <mergeCell ref="VO13:VU14"/>
    <mergeCell ref="XA19:XB19"/>
    <mergeCell ref="XC19:XI20"/>
    <mergeCell ref="WQ16:WR16"/>
    <mergeCell ref="XA1:XB1"/>
    <mergeCell ref="XA2:XB2"/>
    <mergeCell ref="VY9:VZ9"/>
    <mergeCell ref="VW13:VX13"/>
    <mergeCell ref="VW16:VX16"/>
    <mergeCell ref="VY16:VZ16"/>
    <mergeCell ref="WS16:WT16"/>
    <mergeCell ref="WN1:WO1"/>
    <mergeCell ref="WG2:WH2"/>
    <mergeCell ref="WI2:WJ2"/>
    <mergeCell ref="WG9:WH9"/>
    <mergeCell ref="WI9:WJ9"/>
    <mergeCell ref="WG13:WH13"/>
    <mergeCell ref="WI13:WO14"/>
    <mergeCell ref="XC1:XE1"/>
    <mergeCell ref="UU19:VA20"/>
    <mergeCell ref="US1:UT1"/>
    <mergeCell ref="UU1:UW1"/>
    <mergeCell ref="UX1:UY1"/>
    <mergeCell ref="UZ1:VA1"/>
    <mergeCell ref="US2:UT2"/>
    <mergeCell ref="UU2:UV2"/>
    <mergeCell ref="US9:UT9"/>
    <mergeCell ref="UU9:UV9"/>
    <mergeCell ref="US13:UT13"/>
    <mergeCell ref="UU13:VA14"/>
    <mergeCell ref="VC16:VD16"/>
    <mergeCell ref="VE16:VF16"/>
    <mergeCell ref="VC19:VD19"/>
    <mergeCell ref="VE19:VK20"/>
    <mergeCell ref="VE1:VG1"/>
    <mergeCell ref="VH1:VI1"/>
    <mergeCell ref="VJ1:VK1"/>
    <mergeCell ref="VC2:VD2"/>
    <mergeCell ref="VE2:VF2"/>
    <mergeCell ref="VC9:VD9"/>
    <mergeCell ref="VE9:VF9"/>
    <mergeCell ref="VC13:VD13"/>
    <mergeCell ref="VE13:VK14"/>
    <mergeCell ref="TY16:TZ16"/>
    <mergeCell ref="VC1:VD1"/>
    <mergeCell ref="UA16:UB16"/>
    <mergeCell ref="TY19:TZ19"/>
    <mergeCell ref="UA19:UG20"/>
    <mergeCell ref="TY1:TZ1"/>
    <mergeCell ref="UA1:UC1"/>
    <mergeCell ref="UD1:UE1"/>
    <mergeCell ref="UF1:UG1"/>
    <mergeCell ref="TY2:TZ2"/>
    <mergeCell ref="UA2:UB2"/>
    <mergeCell ref="TY9:TZ9"/>
    <mergeCell ref="UA9:UB9"/>
    <mergeCell ref="TY13:TZ13"/>
    <mergeCell ref="UA13:UG14"/>
    <mergeCell ref="UI16:UJ16"/>
    <mergeCell ref="UK16:UL16"/>
    <mergeCell ref="UI19:UJ19"/>
    <mergeCell ref="UK19:UQ20"/>
    <mergeCell ref="UI1:UJ1"/>
    <mergeCell ref="UK1:UM1"/>
    <mergeCell ref="UN1:UO1"/>
    <mergeCell ref="UP1:UQ1"/>
    <mergeCell ref="UI2:UJ2"/>
    <mergeCell ref="UK2:UL2"/>
    <mergeCell ref="UI9:UJ9"/>
    <mergeCell ref="UK9:UL9"/>
    <mergeCell ref="UI13:UJ13"/>
    <mergeCell ref="UK13:UQ14"/>
    <mergeCell ref="US16:UT16"/>
    <mergeCell ref="UU16:UV16"/>
    <mergeCell ref="US19:UT19"/>
    <mergeCell ref="SK19:SL19"/>
    <mergeCell ref="SM19:SS20"/>
    <mergeCell ref="TO16:TP16"/>
    <mergeCell ref="TQ16:TR16"/>
    <mergeCell ref="TO19:TP19"/>
    <mergeCell ref="TQ19:TW20"/>
    <mergeCell ref="TO1:TP1"/>
    <mergeCell ref="TQ1:TS1"/>
    <mergeCell ref="TT1:TU1"/>
    <mergeCell ref="TV1:TW1"/>
    <mergeCell ref="TO2:TP2"/>
    <mergeCell ref="TQ2:TR2"/>
    <mergeCell ref="TO9:TP9"/>
    <mergeCell ref="TQ9:TR9"/>
    <mergeCell ref="TO13:TP13"/>
    <mergeCell ref="TQ13:TW14"/>
    <mergeCell ref="SK1:SL1"/>
    <mergeCell ref="SM1:SO1"/>
    <mergeCell ref="SP1:SQ1"/>
    <mergeCell ref="SR1:SS1"/>
    <mergeCell ref="SK2:SL2"/>
    <mergeCell ref="SM2:SN2"/>
    <mergeCell ref="SK9:SL9"/>
    <mergeCell ref="SM9:SN9"/>
    <mergeCell ref="SK13:SL13"/>
    <mergeCell ref="SM13:SS14"/>
    <mergeCell ref="TE16:TF16"/>
    <mergeCell ref="TG16:TH16"/>
    <mergeCell ref="TE19:TF19"/>
    <mergeCell ref="TG19:TM20"/>
    <mergeCell ref="TE1:TF1"/>
    <mergeCell ref="TG1:TI1"/>
    <mergeCell ref="PS16:PT16"/>
    <mergeCell ref="PU16:PV16"/>
    <mergeCell ref="PS19:PT19"/>
    <mergeCell ref="PU19:QA20"/>
    <mergeCell ref="PS1:PT1"/>
    <mergeCell ref="PU1:PW1"/>
    <mergeCell ref="PX1:PY1"/>
    <mergeCell ref="PZ1:QA1"/>
    <mergeCell ref="PS2:PT2"/>
    <mergeCell ref="PU2:PV2"/>
    <mergeCell ref="PS9:PT9"/>
    <mergeCell ref="PU9:PV9"/>
    <mergeCell ref="PS13:PT13"/>
    <mergeCell ref="PU13:QA14"/>
    <mergeCell ref="RQ16:RR16"/>
    <mergeCell ref="RS16:RT16"/>
    <mergeCell ref="RQ19:RR19"/>
    <mergeCell ref="RS19:RY20"/>
    <mergeCell ref="RQ1:RR1"/>
    <mergeCell ref="RS1:RU1"/>
    <mergeCell ref="RV1:RW1"/>
    <mergeCell ref="RX1:RY1"/>
    <mergeCell ref="RQ2:RR2"/>
    <mergeCell ref="RS2:RT2"/>
    <mergeCell ref="RQ9:RR9"/>
    <mergeCell ref="RS9:RT9"/>
    <mergeCell ref="RQ13:RR13"/>
    <mergeCell ref="RS13:RY14"/>
    <mergeCell ref="QM16:QN16"/>
    <mergeCell ref="QO16:QP16"/>
    <mergeCell ref="QM19:QN19"/>
    <mergeCell ref="QO19:QU20"/>
    <mergeCell ref="OY16:OZ16"/>
    <mergeCell ref="PA16:PB16"/>
    <mergeCell ref="OY19:OZ19"/>
    <mergeCell ref="PA19:PG20"/>
    <mergeCell ref="OY1:OZ1"/>
    <mergeCell ref="PA1:PC1"/>
    <mergeCell ref="PD1:PE1"/>
    <mergeCell ref="PF1:PG1"/>
    <mergeCell ref="OY2:OZ2"/>
    <mergeCell ref="PA2:PB2"/>
    <mergeCell ref="OY9:OZ9"/>
    <mergeCell ref="PA9:PB9"/>
    <mergeCell ref="OY13:OZ13"/>
    <mergeCell ref="PA13:PG14"/>
    <mergeCell ref="PI16:PJ16"/>
    <mergeCell ref="PK16:PL16"/>
    <mergeCell ref="PI19:PJ19"/>
    <mergeCell ref="PK19:PQ20"/>
    <mergeCell ref="PI1:PJ1"/>
    <mergeCell ref="PK1:PM1"/>
    <mergeCell ref="PN1:PO1"/>
    <mergeCell ref="PP1:PQ1"/>
    <mergeCell ref="PI2:PJ2"/>
    <mergeCell ref="PK2:PL2"/>
    <mergeCell ref="PI9:PJ9"/>
    <mergeCell ref="PK9:PL9"/>
    <mergeCell ref="PI13:PJ13"/>
    <mergeCell ref="PK13:PQ14"/>
    <mergeCell ref="NU16:NV16"/>
    <mergeCell ref="NW16:NX16"/>
    <mergeCell ref="NU19:NV19"/>
    <mergeCell ref="NW19:OC20"/>
    <mergeCell ref="NU1:NV1"/>
    <mergeCell ref="NW1:NY1"/>
    <mergeCell ref="NZ1:OA1"/>
    <mergeCell ref="OB1:OC1"/>
    <mergeCell ref="NU2:NV2"/>
    <mergeCell ref="NW2:NX2"/>
    <mergeCell ref="NU9:NV9"/>
    <mergeCell ref="NW9:NX9"/>
    <mergeCell ref="NU13:NV13"/>
    <mergeCell ref="NW13:OC14"/>
    <mergeCell ref="OE16:OF16"/>
    <mergeCell ref="OG16:OH16"/>
    <mergeCell ref="OE19:OF19"/>
    <mergeCell ref="OG19:OM20"/>
    <mergeCell ref="OE1:OF1"/>
    <mergeCell ref="OG1:OI1"/>
    <mergeCell ref="OJ1:OK1"/>
    <mergeCell ref="OL1:OM1"/>
    <mergeCell ref="OE2:OF2"/>
    <mergeCell ref="OG2:OH2"/>
    <mergeCell ref="OE9:OF9"/>
    <mergeCell ref="OG9:OH9"/>
    <mergeCell ref="OE13:OF13"/>
    <mergeCell ref="OG13:OM14"/>
    <mergeCell ref="NA16:NB16"/>
    <mergeCell ref="NC16:ND16"/>
    <mergeCell ref="NA19:NB19"/>
    <mergeCell ref="NC19:NI20"/>
    <mergeCell ref="NA1:NB1"/>
    <mergeCell ref="NC1:NE1"/>
    <mergeCell ref="NF1:NG1"/>
    <mergeCell ref="NH1:NI1"/>
    <mergeCell ref="NA2:NB2"/>
    <mergeCell ref="NC2:ND2"/>
    <mergeCell ref="NA9:NB9"/>
    <mergeCell ref="NC9:ND9"/>
    <mergeCell ref="NA13:NB13"/>
    <mergeCell ref="NC13:NI14"/>
    <mergeCell ref="NK16:NL16"/>
    <mergeCell ref="NM16:NN16"/>
    <mergeCell ref="NK19:NL19"/>
    <mergeCell ref="NM19:NS20"/>
    <mergeCell ref="NK1:NL1"/>
    <mergeCell ref="NM1:NO1"/>
    <mergeCell ref="NP1:NQ1"/>
    <mergeCell ref="NR1:NS1"/>
    <mergeCell ref="NK2:NL2"/>
    <mergeCell ref="NM2:NN2"/>
    <mergeCell ref="NK9:NL9"/>
    <mergeCell ref="NM9:NN9"/>
    <mergeCell ref="NK13:NL13"/>
    <mergeCell ref="NM13:NS14"/>
    <mergeCell ref="MG16:MH16"/>
    <mergeCell ref="MI16:MJ16"/>
    <mergeCell ref="MG19:MH19"/>
    <mergeCell ref="MI19:MO20"/>
    <mergeCell ref="MG1:MH1"/>
    <mergeCell ref="MI1:MK1"/>
    <mergeCell ref="ML1:MM1"/>
    <mergeCell ref="MN1:MO1"/>
    <mergeCell ref="MG2:MH2"/>
    <mergeCell ref="MI2:MJ2"/>
    <mergeCell ref="MG9:MH9"/>
    <mergeCell ref="MI9:MJ9"/>
    <mergeCell ref="MG13:MH13"/>
    <mergeCell ref="MI13:MO14"/>
    <mergeCell ref="MQ16:MR16"/>
    <mergeCell ref="MS16:MT16"/>
    <mergeCell ref="MQ19:MR19"/>
    <mergeCell ref="MS19:MY20"/>
    <mergeCell ref="MQ1:MR1"/>
    <mergeCell ref="MS1:MU1"/>
    <mergeCell ref="MV1:MW1"/>
    <mergeCell ref="MX1:MY1"/>
    <mergeCell ref="MQ2:MR2"/>
    <mergeCell ref="MS2:MT2"/>
    <mergeCell ref="MQ9:MR9"/>
    <mergeCell ref="MS9:MT9"/>
    <mergeCell ref="MQ13:MR13"/>
    <mergeCell ref="MS13:MY14"/>
    <mergeCell ref="LM1:LN1"/>
    <mergeCell ref="LO1:LQ1"/>
    <mergeCell ref="LR1:LS1"/>
    <mergeCell ref="LT1:LU1"/>
    <mergeCell ref="LM2:LN2"/>
    <mergeCell ref="LO2:LP2"/>
    <mergeCell ref="LM9:LN9"/>
    <mergeCell ref="LO9:LP9"/>
    <mergeCell ref="LM13:LN13"/>
    <mergeCell ref="LO13:LU14"/>
    <mergeCell ref="LW16:LX16"/>
    <mergeCell ref="LY16:LZ16"/>
    <mergeCell ref="LW19:LX19"/>
    <mergeCell ref="LY19:ME20"/>
    <mergeCell ref="LW1:LX1"/>
    <mergeCell ref="LY1:MA1"/>
    <mergeCell ref="MB1:MC1"/>
    <mergeCell ref="MD1:ME1"/>
    <mergeCell ref="LW2:LX2"/>
    <mergeCell ref="LY2:LZ2"/>
    <mergeCell ref="LW9:LX9"/>
    <mergeCell ref="LY9:LZ9"/>
    <mergeCell ref="LW13:LX13"/>
    <mergeCell ref="LY13:ME14"/>
    <mergeCell ref="LM19:LN19"/>
    <mergeCell ref="LO19:LU20"/>
    <mergeCell ref="HG16:HH16"/>
    <mergeCell ref="HI16:HJ16"/>
    <mergeCell ref="HG19:HH19"/>
    <mergeCell ref="HI19:HO20"/>
    <mergeCell ref="HG1:HH1"/>
    <mergeCell ref="HI1:HK1"/>
    <mergeCell ref="HL1:HM1"/>
    <mergeCell ref="HN1:HO1"/>
    <mergeCell ref="HG2:HH2"/>
    <mergeCell ref="HI2:HJ2"/>
    <mergeCell ref="HG9:HH9"/>
    <mergeCell ref="HI9:HJ9"/>
    <mergeCell ref="HG13:HH13"/>
    <mergeCell ref="HI13:HO14"/>
    <mergeCell ref="KS16:KT16"/>
    <mergeCell ref="KU16:KV16"/>
    <mergeCell ref="KS19:KT19"/>
    <mergeCell ref="KU19:LA20"/>
    <mergeCell ref="KS1:KT1"/>
    <mergeCell ref="KU1:KW1"/>
    <mergeCell ref="KX1:KY1"/>
    <mergeCell ref="KZ1:LA1"/>
    <mergeCell ref="KS2:KT2"/>
    <mergeCell ref="KU2:KV2"/>
    <mergeCell ref="KS9:KT9"/>
    <mergeCell ref="KU9:KV9"/>
    <mergeCell ref="KS13:KT13"/>
    <mergeCell ref="KU13:LA14"/>
    <mergeCell ref="IA16:IB16"/>
    <mergeCell ref="IC16:ID16"/>
    <mergeCell ref="IA19:IB19"/>
    <mergeCell ref="IC19:II20"/>
    <mergeCell ref="FS16:FT16"/>
    <mergeCell ref="FU16:FV16"/>
    <mergeCell ref="FS19:FT19"/>
    <mergeCell ref="FU19:GA20"/>
    <mergeCell ref="FS1:FT1"/>
    <mergeCell ref="FU1:FW1"/>
    <mergeCell ref="FX1:FY1"/>
    <mergeCell ref="FZ1:GA1"/>
    <mergeCell ref="FS2:FT2"/>
    <mergeCell ref="FU2:FV2"/>
    <mergeCell ref="FS9:FT9"/>
    <mergeCell ref="FU9:FV9"/>
    <mergeCell ref="FS13:FT13"/>
    <mergeCell ref="FU13:GA14"/>
    <mergeCell ref="GC16:GD16"/>
    <mergeCell ref="GE16:GF16"/>
    <mergeCell ref="GC19:GD19"/>
    <mergeCell ref="GE19:GK20"/>
    <mergeCell ref="GC1:GD1"/>
    <mergeCell ref="GE1:GG1"/>
    <mergeCell ref="GH1:GI1"/>
    <mergeCell ref="GJ1:GK1"/>
    <mergeCell ref="GC2:GD2"/>
    <mergeCell ref="GE2:GF2"/>
    <mergeCell ref="GC9:GD9"/>
    <mergeCell ref="GE9:GF9"/>
    <mergeCell ref="GC13:GD13"/>
    <mergeCell ref="GE13:GK14"/>
    <mergeCell ref="EY16:EZ16"/>
    <mergeCell ref="FA16:FB16"/>
    <mergeCell ref="EY19:EZ19"/>
    <mergeCell ref="FA19:FG20"/>
    <mergeCell ref="EY1:EZ1"/>
    <mergeCell ref="FA1:FC1"/>
    <mergeCell ref="FD1:FE1"/>
    <mergeCell ref="FF1:FG1"/>
    <mergeCell ref="EY2:EZ2"/>
    <mergeCell ref="FA2:FB2"/>
    <mergeCell ref="EY9:EZ9"/>
    <mergeCell ref="FA9:FB9"/>
    <mergeCell ref="EY13:EZ13"/>
    <mergeCell ref="FA13:FG14"/>
    <mergeCell ref="FI16:FJ16"/>
    <mergeCell ref="FK16:FL16"/>
    <mergeCell ref="FI19:FJ19"/>
    <mergeCell ref="FK19:FQ20"/>
    <mergeCell ref="FI1:FJ1"/>
    <mergeCell ref="FK1:FM1"/>
    <mergeCell ref="FN1:FO1"/>
    <mergeCell ref="FP1:FQ1"/>
    <mergeCell ref="FI2:FJ2"/>
    <mergeCell ref="FK2:FL2"/>
    <mergeCell ref="FI9:FJ9"/>
    <mergeCell ref="FK9:FL9"/>
    <mergeCell ref="FI13:FJ13"/>
    <mergeCell ref="FK13:FQ14"/>
    <mergeCell ref="EQ16:ER16"/>
    <mergeCell ref="EO19:EP19"/>
    <mergeCell ref="EQ19:EW20"/>
    <mergeCell ref="EO1:EP1"/>
    <mergeCell ref="EQ1:ES1"/>
    <mergeCell ref="ET1:EU1"/>
    <mergeCell ref="EV1:EW1"/>
    <mergeCell ref="EO2:EP2"/>
    <mergeCell ref="EQ2:ER2"/>
    <mergeCell ref="EO9:EP9"/>
    <mergeCell ref="EQ9:ER9"/>
    <mergeCell ref="EO13:EP13"/>
    <mergeCell ref="EQ13:EW14"/>
    <mergeCell ref="EE16:EF16"/>
    <mergeCell ref="EG16:EH16"/>
    <mergeCell ref="EE19:EF19"/>
    <mergeCell ref="EG19:EM20"/>
    <mergeCell ref="EE1:EF1"/>
    <mergeCell ref="EG1:EI1"/>
    <mergeCell ref="EJ1:EK1"/>
    <mergeCell ref="EL1:EM1"/>
    <mergeCell ref="EE2:EF2"/>
    <mergeCell ref="EG2:EH2"/>
    <mergeCell ref="EE9:EF9"/>
    <mergeCell ref="EG9:EH9"/>
    <mergeCell ref="EE13:EF13"/>
    <mergeCell ref="EG13:EM14"/>
    <mergeCell ref="DK19:DL19"/>
    <mergeCell ref="DM19:DS20"/>
    <mergeCell ref="DK1:DL1"/>
    <mergeCell ref="DM1:DO1"/>
    <mergeCell ref="DP1:DQ1"/>
    <mergeCell ref="DR1:DS1"/>
    <mergeCell ref="DK2:DL2"/>
    <mergeCell ref="DM2:DN2"/>
    <mergeCell ref="DK9:DL9"/>
    <mergeCell ref="DM9:DN9"/>
    <mergeCell ref="DK13:DL13"/>
    <mergeCell ref="DM13:DS14"/>
    <mergeCell ref="CG19:CH19"/>
    <mergeCell ref="CI19:CO20"/>
    <mergeCell ref="EO16:EP16"/>
    <mergeCell ref="DA16:DB16"/>
    <mergeCell ref="DC16:DD16"/>
    <mergeCell ref="DA19:DB19"/>
    <mergeCell ref="DC19:DI20"/>
    <mergeCell ref="DA1:DB1"/>
    <mergeCell ref="DC1:DE1"/>
    <mergeCell ref="DF1:DG1"/>
    <mergeCell ref="DH1:DI1"/>
    <mergeCell ref="DA2:DB2"/>
    <mergeCell ref="DC2:DD2"/>
    <mergeCell ref="DA9:DB9"/>
    <mergeCell ref="DC9:DD9"/>
    <mergeCell ref="DA13:DB13"/>
    <mergeCell ref="DC13:DI14"/>
    <mergeCell ref="CL1:CM1"/>
    <mergeCell ref="CN1:CO1"/>
    <mergeCell ref="CG2:CH2"/>
    <mergeCell ref="BW19:BX19"/>
    <mergeCell ref="BY19:CE20"/>
    <mergeCell ref="BW9:BX9"/>
    <mergeCell ref="BY9:BZ9"/>
    <mergeCell ref="BW13:BX13"/>
    <mergeCell ref="BY13:CE14"/>
    <mergeCell ref="BW16:BX16"/>
    <mergeCell ref="BY16:BZ16"/>
    <mergeCell ref="BW1:BX1"/>
    <mergeCell ref="BY1:CA1"/>
    <mergeCell ref="CB1:CC1"/>
    <mergeCell ref="CD1:CE1"/>
    <mergeCell ref="BW2:BX2"/>
    <mergeCell ref="BY2:BZ2"/>
    <mergeCell ref="CQ16:CR16"/>
    <mergeCell ref="CS16:CT16"/>
    <mergeCell ref="CQ19:CR19"/>
    <mergeCell ref="CS19:CY20"/>
    <mergeCell ref="CQ1:CR1"/>
    <mergeCell ref="CS1:CU1"/>
    <mergeCell ref="CV1:CW1"/>
    <mergeCell ref="CX1:CY1"/>
    <mergeCell ref="CQ2:CR2"/>
    <mergeCell ref="CS2:CT2"/>
    <mergeCell ref="CQ9:CR9"/>
    <mergeCell ref="CS9:CT9"/>
    <mergeCell ref="CQ13:CR13"/>
    <mergeCell ref="CS13:CY14"/>
    <mergeCell ref="CG16:CH16"/>
    <mergeCell ref="CI16:CJ16"/>
    <mergeCell ref="CG1:CH1"/>
    <mergeCell ref="CI1:CK1"/>
    <mergeCell ref="BC19:BD19"/>
    <mergeCell ref="BE19:BK20"/>
    <mergeCell ref="BC9:BD9"/>
    <mergeCell ref="BE9:BF9"/>
    <mergeCell ref="BC13:BD13"/>
    <mergeCell ref="BE13:BK14"/>
    <mergeCell ref="BC16:BD16"/>
    <mergeCell ref="BE16:BF16"/>
    <mergeCell ref="BM1:BN1"/>
    <mergeCell ref="BO1:BQ1"/>
    <mergeCell ref="BR1:BS1"/>
    <mergeCell ref="BT1:BU1"/>
    <mergeCell ref="BM2:BN2"/>
    <mergeCell ref="BO2:BP2"/>
    <mergeCell ref="BM19:BN19"/>
    <mergeCell ref="BO19:BU20"/>
    <mergeCell ref="BM9:BN9"/>
    <mergeCell ref="BO9:BP9"/>
    <mergeCell ref="BM13:BN13"/>
    <mergeCell ref="BO13:BU14"/>
    <mergeCell ref="BM16:BN16"/>
    <mergeCell ref="BO16:BP16"/>
    <mergeCell ref="AS19:AT19"/>
    <mergeCell ref="AU19:BA20"/>
    <mergeCell ref="AS9:AT9"/>
    <mergeCell ref="AU9:AV9"/>
    <mergeCell ref="AS13:AT13"/>
    <mergeCell ref="AU13:BA14"/>
    <mergeCell ref="AS16:AT16"/>
    <mergeCell ref="AU16:AV16"/>
    <mergeCell ref="AI19:AJ19"/>
    <mergeCell ref="AK19:AQ20"/>
    <mergeCell ref="AA19:AG20"/>
    <mergeCell ref="AA9:AB9"/>
    <mergeCell ref="E16:F16"/>
    <mergeCell ref="G16:H16"/>
    <mergeCell ref="O16:P16"/>
    <mergeCell ref="Q16:R16"/>
    <mergeCell ref="Y16:Z16"/>
    <mergeCell ref="AA16:AB16"/>
    <mergeCell ref="E13:F13"/>
    <mergeCell ref="E9:F9"/>
    <mergeCell ref="O9:P9"/>
    <mergeCell ref="E19:F19"/>
    <mergeCell ref="O19:P19"/>
    <mergeCell ref="Y19:Z19"/>
    <mergeCell ref="AI9:AJ9"/>
    <mergeCell ref="G19:M20"/>
    <mergeCell ref="Q19:W20"/>
    <mergeCell ref="Y2:Z2"/>
    <mergeCell ref="AA13:AG14"/>
    <mergeCell ref="Q9:R9"/>
    <mergeCell ref="Y9:Z9"/>
    <mergeCell ref="Y1:Z1"/>
    <mergeCell ref="AA1:AC1"/>
    <mergeCell ref="AA2:AB2"/>
    <mergeCell ref="Y13:Z13"/>
    <mergeCell ref="AD1:AE1"/>
    <mergeCell ref="AF1:AG1"/>
    <mergeCell ref="E1:F1"/>
    <mergeCell ref="AS1:AT1"/>
    <mergeCell ref="AU1:AW1"/>
    <mergeCell ref="AX1:AY1"/>
    <mergeCell ref="AZ1:BA1"/>
    <mergeCell ref="AS2:AT2"/>
    <mergeCell ref="AU2:AV2"/>
    <mergeCell ref="G1:I1"/>
    <mergeCell ref="O1:P1"/>
    <mergeCell ref="Q1:S1"/>
    <mergeCell ref="J1:K1"/>
    <mergeCell ref="E2:F2"/>
    <mergeCell ref="G2:H2"/>
    <mergeCell ref="O2:P2"/>
    <mergeCell ref="Q2:R2"/>
    <mergeCell ref="T1:U1"/>
    <mergeCell ref="V1:W1"/>
    <mergeCell ref="G13:M14"/>
    <mergeCell ref="Q13:W14"/>
    <mergeCell ref="L1:M1"/>
    <mergeCell ref="O13:P13"/>
    <mergeCell ref="G9:H9"/>
    <mergeCell ref="CI2:CJ2"/>
    <mergeCell ref="CG9:CH9"/>
    <mergeCell ref="CI9:CJ9"/>
    <mergeCell ref="CG13:CH13"/>
    <mergeCell ref="CI13:CO14"/>
    <mergeCell ref="AI1:AJ1"/>
    <mergeCell ref="AK1:AM1"/>
    <mergeCell ref="AN1:AO1"/>
    <mergeCell ref="AP1:AQ1"/>
    <mergeCell ref="AI2:AJ2"/>
    <mergeCell ref="AK2:AL2"/>
    <mergeCell ref="BC1:BD1"/>
    <mergeCell ref="BE1:BG1"/>
    <mergeCell ref="DU16:DV16"/>
    <mergeCell ref="DW16:DX16"/>
    <mergeCell ref="AK9:AL9"/>
    <mergeCell ref="AI13:AJ13"/>
    <mergeCell ref="AK13:AQ14"/>
    <mergeCell ref="AI16:AJ16"/>
    <mergeCell ref="AK16:AL16"/>
    <mergeCell ref="BH1:BI1"/>
    <mergeCell ref="BJ1:BK1"/>
    <mergeCell ref="BC2:BD2"/>
    <mergeCell ref="BE2:BF2"/>
    <mergeCell ref="DK16:DL16"/>
    <mergeCell ref="DM16:DN16"/>
    <mergeCell ref="DU19:DV19"/>
    <mergeCell ref="DW19:EC20"/>
    <mergeCell ref="DU1:DV1"/>
    <mergeCell ref="DW1:DY1"/>
    <mergeCell ref="DZ1:EA1"/>
    <mergeCell ref="EB1:EC1"/>
    <mergeCell ref="DU2:DV2"/>
    <mergeCell ref="DW2:DX2"/>
    <mergeCell ref="DU9:DV9"/>
    <mergeCell ref="DW9:DX9"/>
    <mergeCell ref="DU13:DV13"/>
    <mergeCell ref="DW13:EC14"/>
    <mergeCell ref="GW16:GX16"/>
    <mergeCell ref="GY16:GZ16"/>
    <mergeCell ref="GW19:GX19"/>
    <mergeCell ref="GY19:HE20"/>
    <mergeCell ref="GW1:GX1"/>
    <mergeCell ref="GY1:HA1"/>
    <mergeCell ref="HB1:HC1"/>
    <mergeCell ref="HD1:HE1"/>
    <mergeCell ref="GW2:GX2"/>
    <mergeCell ref="GY2:GZ2"/>
    <mergeCell ref="GW9:GX9"/>
    <mergeCell ref="GY9:GZ9"/>
    <mergeCell ref="GW13:GX13"/>
    <mergeCell ref="GY13:HE14"/>
    <mergeCell ref="GM16:GN16"/>
    <mergeCell ref="GO16:GP16"/>
    <mergeCell ref="GM19:GN19"/>
    <mergeCell ref="GO19:GU20"/>
    <mergeCell ref="GM1:GN1"/>
    <mergeCell ref="GO1:GQ1"/>
    <mergeCell ref="GR1:GS1"/>
    <mergeCell ref="GT1:GU1"/>
    <mergeCell ref="GM2:GN2"/>
    <mergeCell ref="GO2:GP2"/>
    <mergeCell ref="GM9:GN9"/>
    <mergeCell ref="GO9:GP9"/>
    <mergeCell ref="GM13:GN13"/>
    <mergeCell ref="GO13:GU14"/>
    <mergeCell ref="IA1:IB1"/>
    <mergeCell ref="IC1:IE1"/>
    <mergeCell ref="IF1:IG1"/>
    <mergeCell ref="IH1:II1"/>
    <mergeCell ref="IA2:IB2"/>
    <mergeCell ref="IC2:ID2"/>
    <mergeCell ref="IA9:IB9"/>
    <mergeCell ref="IC9:ID9"/>
    <mergeCell ref="IA13:IB13"/>
    <mergeCell ref="IC13:II14"/>
    <mergeCell ref="HQ16:HR16"/>
    <mergeCell ref="HS16:HT16"/>
    <mergeCell ref="HQ19:HR19"/>
    <mergeCell ref="HS19:HY20"/>
    <mergeCell ref="HQ1:HR1"/>
    <mergeCell ref="HS1:HU1"/>
    <mergeCell ref="HV1:HW1"/>
    <mergeCell ref="HX1:HY1"/>
    <mergeCell ref="HQ2:HR2"/>
    <mergeCell ref="HS2:HT2"/>
    <mergeCell ref="HQ9:HR9"/>
    <mergeCell ref="HS9:HT9"/>
    <mergeCell ref="HQ13:HR13"/>
    <mergeCell ref="HS13:HY14"/>
    <mergeCell ref="IU16:IV16"/>
    <mergeCell ref="IW16:IX16"/>
    <mergeCell ref="IU19:IV19"/>
    <mergeCell ref="IW19:JC20"/>
    <mergeCell ref="IU1:IV1"/>
    <mergeCell ref="IW1:IY1"/>
    <mergeCell ref="IZ1:JA1"/>
    <mergeCell ref="JB1:JC1"/>
    <mergeCell ref="IU2:IV2"/>
    <mergeCell ref="IW2:IX2"/>
    <mergeCell ref="IU9:IV9"/>
    <mergeCell ref="IW9:IX9"/>
    <mergeCell ref="IU13:IV13"/>
    <mergeCell ref="IW13:JC14"/>
    <mergeCell ref="IK16:IL16"/>
    <mergeCell ref="IM16:IN16"/>
    <mergeCell ref="IK19:IL19"/>
    <mergeCell ref="IM19:IS20"/>
    <mergeCell ref="IK1:IL1"/>
    <mergeCell ref="IM1:IO1"/>
    <mergeCell ref="IP1:IQ1"/>
    <mergeCell ref="IR1:IS1"/>
    <mergeCell ref="IK2:IL2"/>
    <mergeCell ref="IM2:IN2"/>
    <mergeCell ref="IK9:IL9"/>
    <mergeCell ref="IM9:IN9"/>
    <mergeCell ref="IK13:IL13"/>
    <mergeCell ref="IM13:IS14"/>
    <mergeCell ref="JO16:JP16"/>
    <mergeCell ref="JQ16:JR16"/>
    <mergeCell ref="JO19:JP19"/>
    <mergeCell ref="JQ19:JW20"/>
    <mergeCell ref="JO1:JP1"/>
    <mergeCell ref="JQ1:JS1"/>
    <mergeCell ref="JT1:JU1"/>
    <mergeCell ref="JV1:JW1"/>
    <mergeCell ref="JO2:JP2"/>
    <mergeCell ref="JQ2:JR2"/>
    <mergeCell ref="JO9:JP9"/>
    <mergeCell ref="JQ9:JR9"/>
    <mergeCell ref="JO13:JP13"/>
    <mergeCell ref="JQ13:JW14"/>
    <mergeCell ref="JE16:JF16"/>
    <mergeCell ref="JG16:JH16"/>
    <mergeCell ref="JE19:JF19"/>
    <mergeCell ref="JG19:JM20"/>
    <mergeCell ref="JE1:JF1"/>
    <mergeCell ref="JG1:JI1"/>
    <mergeCell ref="JJ1:JK1"/>
    <mergeCell ref="JL1:JM1"/>
    <mergeCell ref="JE2:JF2"/>
    <mergeCell ref="JG2:JH2"/>
    <mergeCell ref="JE9:JF9"/>
    <mergeCell ref="JG9:JH9"/>
    <mergeCell ref="JE13:JF13"/>
    <mergeCell ref="JG13:JM14"/>
    <mergeCell ref="KI16:KJ16"/>
    <mergeCell ref="KK16:KL16"/>
    <mergeCell ref="KI19:KJ19"/>
    <mergeCell ref="KK19:KQ20"/>
    <mergeCell ref="KI1:KJ1"/>
    <mergeCell ref="KK1:KM1"/>
    <mergeCell ref="KN1:KO1"/>
    <mergeCell ref="KP1:KQ1"/>
    <mergeCell ref="KI2:KJ2"/>
    <mergeCell ref="KK2:KL2"/>
    <mergeCell ref="KI9:KJ9"/>
    <mergeCell ref="KK9:KL9"/>
    <mergeCell ref="KI13:KJ13"/>
    <mergeCell ref="KK13:KQ14"/>
    <mergeCell ref="JY16:JZ16"/>
    <mergeCell ref="KA16:KB16"/>
    <mergeCell ref="JY19:JZ19"/>
    <mergeCell ref="KA19:KG20"/>
    <mergeCell ref="JY1:JZ1"/>
    <mergeCell ref="KA1:KC1"/>
    <mergeCell ref="KD1:KE1"/>
    <mergeCell ref="KF1:KG1"/>
    <mergeCell ref="JY2:JZ2"/>
    <mergeCell ref="KA2:KB2"/>
    <mergeCell ref="JY9:JZ9"/>
    <mergeCell ref="KA9:KB9"/>
    <mergeCell ref="JY13:JZ13"/>
    <mergeCell ref="KA13:KG14"/>
    <mergeCell ref="OO16:OP16"/>
    <mergeCell ref="OQ16:OR16"/>
    <mergeCell ref="OO19:OP19"/>
    <mergeCell ref="OQ19:OW20"/>
    <mergeCell ref="OO1:OP1"/>
    <mergeCell ref="OQ1:OS1"/>
    <mergeCell ref="OT1:OU1"/>
    <mergeCell ref="OV1:OW1"/>
    <mergeCell ref="OO2:OP2"/>
    <mergeCell ref="OQ2:OR2"/>
    <mergeCell ref="OO9:OP9"/>
    <mergeCell ref="OQ9:OR9"/>
    <mergeCell ref="OO13:OP13"/>
    <mergeCell ref="OQ13:OW14"/>
    <mergeCell ref="LC16:LD16"/>
    <mergeCell ref="LE16:LF16"/>
    <mergeCell ref="LC19:LD19"/>
    <mergeCell ref="LE19:LK20"/>
    <mergeCell ref="LC1:LD1"/>
    <mergeCell ref="LE1:LG1"/>
    <mergeCell ref="LH1:LI1"/>
    <mergeCell ref="LJ1:LK1"/>
    <mergeCell ref="LC2:LD2"/>
    <mergeCell ref="LE2:LF2"/>
    <mergeCell ref="LC9:LD9"/>
    <mergeCell ref="LE9:LF9"/>
    <mergeCell ref="LC13:LD13"/>
    <mergeCell ref="LE13:LK14"/>
    <mergeCell ref="LM16:LN16"/>
    <mergeCell ref="LO16:LP16"/>
    <mergeCell ref="QM1:QN1"/>
    <mergeCell ref="QO1:QQ1"/>
    <mergeCell ref="QR1:QS1"/>
    <mergeCell ref="QT1:QU1"/>
    <mergeCell ref="QM2:QN2"/>
    <mergeCell ref="QO2:QP2"/>
    <mergeCell ref="QM9:QN9"/>
    <mergeCell ref="QO9:QP9"/>
    <mergeCell ref="QM13:QN13"/>
    <mergeCell ref="QO13:QU14"/>
    <mergeCell ref="QC16:QD16"/>
    <mergeCell ref="QE16:QF16"/>
    <mergeCell ref="QC19:QD19"/>
    <mergeCell ref="QE19:QK20"/>
    <mergeCell ref="QC1:QD1"/>
    <mergeCell ref="QE1:QG1"/>
    <mergeCell ref="QH1:QI1"/>
    <mergeCell ref="QJ1:QK1"/>
    <mergeCell ref="QC2:QD2"/>
    <mergeCell ref="QE2:QF2"/>
    <mergeCell ref="QC9:QD9"/>
    <mergeCell ref="QE9:QF9"/>
    <mergeCell ref="QC13:QD13"/>
    <mergeCell ref="QE13:QK14"/>
    <mergeCell ref="SC9:SD9"/>
    <mergeCell ref="SA13:SB13"/>
    <mergeCell ref="SC13:SI14"/>
    <mergeCell ref="QW16:QX16"/>
    <mergeCell ref="QY16:QZ16"/>
    <mergeCell ref="QW19:QX19"/>
    <mergeCell ref="QY19:RE20"/>
    <mergeCell ref="QW1:QX1"/>
    <mergeCell ref="QY1:RA1"/>
    <mergeCell ref="RB1:RC1"/>
    <mergeCell ref="RD1:RE1"/>
    <mergeCell ref="QW2:QX2"/>
    <mergeCell ref="QY2:QZ2"/>
    <mergeCell ref="QW9:QX9"/>
    <mergeCell ref="QY9:QZ9"/>
    <mergeCell ref="QW13:QX13"/>
    <mergeCell ref="QY13:RE14"/>
    <mergeCell ref="TB1:TC1"/>
    <mergeCell ref="SU2:SV2"/>
    <mergeCell ref="SW2:SX2"/>
    <mergeCell ref="SU9:SV9"/>
    <mergeCell ref="SW9:SX9"/>
    <mergeCell ref="SU13:SV13"/>
    <mergeCell ref="SW13:TC14"/>
    <mergeCell ref="RG16:RH16"/>
    <mergeCell ref="RI16:RJ16"/>
    <mergeCell ref="RG19:RH19"/>
    <mergeCell ref="RI19:RO20"/>
    <mergeCell ref="RG1:RH1"/>
    <mergeCell ref="RI1:RK1"/>
    <mergeCell ref="RL1:RM1"/>
    <mergeCell ref="RN1:RO1"/>
    <mergeCell ref="RG2:RH2"/>
    <mergeCell ref="RI2:RJ2"/>
    <mergeCell ref="RG9:RH9"/>
    <mergeCell ref="RI9:RJ9"/>
    <mergeCell ref="RG13:RH13"/>
    <mergeCell ref="RI13:RO14"/>
    <mergeCell ref="SA16:SB16"/>
    <mergeCell ref="SC16:SD16"/>
    <mergeCell ref="SA19:SB19"/>
    <mergeCell ref="SC19:SI20"/>
    <mergeCell ref="SA1:SB1"/>
    <mergeCell ref="SC1:SE1"/>
    <mergeCell ref="SF1:SG1"/>
    <mergeCell ref="SH1:SI1"/>
    <mergeCell ref="SA2:SB2"/>
    <mergeCell ref="SC2:SD2"/>
    <mergeCell ref="SA9:SB9"/>
    <mergeCell ref="SK16:SL16"/>
    <mergeCell ref="SM16:SN16"/>
    <mergeCell ref="VW19:VX19"/>
    <mergeCell ref="VY19:WE20"/>
    <mergeCell ref="VW1:VX1"/>
    <mergeCell ref="VY1:WA1"/>
    <mergeCell ref="WB1:WC1"/>
    <mergeCell ref="WD1:WE1"/>
    <mergeCell ref="VW2:VX2"/>
    <mergeCell ref="VY13:WE14"/>
    <mergeCell ref="WG16:WH16"/>
    <mergeCell ref="WI16:WJ16"/>
    <mergeCell ref="WG19:WH19"/>
    <mergeCell ref="WI19:WO20"/>
    <mergeCell ref="WG1:WH1"/>
    <mergeCell ref="WI1:WK1"/>
    <mergeCell ref="WL1:WM1"/>
    <mergeCell ref="TJ1:TK1"/>
    <mergeCell ref="TL1:TM1"/>
    <mergeCell ref="TE2:TF2"/>
    <mergeCell ref="TG2:TH2"/>
    <mergeCell ref="TE9:TF9"/>
    <mergeCell ref="TG9:TH9"/>
    <mergeCell ref="TE13:TF13"/>
    <mergeCell ref="TG13:TM14"/>
    <mergeCell ref="SU16:SV16"/>
    <mergeCell ref="SW16:SX16"/>
    <mergeCell ref="SU19:SV19"/>
    <mergeCell ref="SW19:TC20"/>
    <mergeCell ref="SU1:SV1"/>
    <mergeCell ref="SW1:SY1"/>
    <mergeCell ref="SZ1:TA1"/>
    <mergeCell ref="VY2:VZ2"/>
    <mergeCell ref="VW9:VX9"/>
    <mergeCell ref="ZM17:ZO17"/>
    <mergeCell ref="YG9:YH9"/>
    <mergeCell ref="YE13:YF13"/>
    <mergeCell ref="YG13:YM14"/>
    <mergeCell ref="YY2:YZ2"/>
    <mergeCell ref="ZA2:ZB2"/>
    <mergeCell ref="YY9:YZ9"/>
    <mergeCell ref="ZA9:ZB9"/>
    <mergeCell ref="YY13:YZ13"/>
    <mergeCell ref="ZA13:ZG14"/>
    <mergeCell ref="YQ16:YR16"/>
    <mergeCell ref="YS16:YU16"/>
    <mergeCell ref="YS17:YU17"/>
    <mergeCell ref="YO16:YP16"/>
    <mergeCell ref="XK16:XL16"/>
    <mergeCell ref="XM16:XN16"/>
    <mergeCell ref="XU2:XV2"/>
    <mergeCell ref="XW2:XX2"/>
    <mergeCell ref="XU9:XV9"/>
    <mergeCell ref="XW9:XX9"/>
    <mergeCell ref="XU13:XV13"/>
    <mergeCell ref="XW13:YC14"/>
    <mergeCell ref="YE16:YF16"/>
    <mergeCell ref="XK2:XL2"/>
    <mergeCell ref="YY16:YZ16"/>
    <mergeCell ref="ZC16:ZE16"/>
    <mergeCell ref="YO2:YP2"/>
    <mergeCell ref="YQ2:YR2"/>
    <mergeCell ref="YO9:YP9"/>
    <mergeCell ref="YQ9:YR9"/>
    <mergeCell ref="AAH1:AAI1"/>
    <mergeCell ref="XF1:XG1"/>
    <mergeCell ref="XH1:XI1"/>
    <mergeCell ref="WQ19:WR19"/>
    <mergeCell ref="WS19:WY20"/>
    <mergeCell ref="WQ1:WR1"/>
    <mergeCell ref="WS1:WU1"/>
    <mergeCell ref="WV1:WW1"/>
    <mergeCell ref="WX1:WY1"/>
    <mergeCell ref="XK19:XL19"/>
    <mergeCell ref="XC2:XD2"/>
    <mergeCell ref="XA9:XB9"/>
    <mergeCell ref="XC9:XD9"/>
    <mergeCell ref="XA13:XB13"/>
    <mergeCell ref="XC13:XI14"/>
    <mergeCell ref="XK1:XL1"/>
    <mergeCell ref="XK9:XL9"/>
    <mergeCell ref="XK13:XL13"/>
    <mergeCell ref="WQ2:WR2"/>
    <mergeCell ref="WS2:WT2"/>
    <mergeCell ref="WQ9:WR9"/>
    <mergeCell ref="WS9:WT9"/>
    <mergeCell ref="WQ13:WR13"/>
    <mergeCell ref="XC16:XD16"/>
    <mergeCell ref="WS13:WY14"/>
    <mergeCell ref="XA16:XB16"/>
    <mergeCell ref="YO1:YP1"/>
    <mergeCell ref="YQ1:YS1"/>
    <mergeCell ref="YT1:YU1"/>
    <mergeCell ref="YV1:YW1"/>
    <mergeCell ref="YO13:YP13"/>
    <mergeCell ref="YQ13:YW14"/>
    <mergeCell ref="XM19:XS20"/>
    <mergeCell ref="XM1:XO1"/>
    <mergeCell ref="XP1:XQ1"/>
    <mergeCell ref="XR1:XS1"/>
    <mergeCell ref="XM2:XN2"/>
    <mergeCell ref="XM9:XN9"/>
    <mergeCell ref="XM13:XS14"/>
    <mergeCell ref="ZM16:ZO16"/>
    <mergeCell ref="ZS13:ZT13"/>
    <mergeCell ref="ZU13:AAA14"/>
    <mergeCell ref="AAW19:AAX19"/>
    <mergeCell ref="AAY9:AAZ9"/>
    <mergeCell ref="AAE2:AAF2"/>
    <mergeCell ref="ZN1:ZO1"/>
    <mergeCell ref="ZK13:ZQ14"/>
    <mergeCell ref="ZS16:ZT16"/>
    <mergeCell ref="ZI16:ZJ16"/>
    <mergeCell ref="ZS19:ZT19"/>
    <mergeCell ref="ZU19:AAA20"/>
    <mergeCell ref="ZS1:ZT1"/>
    <mergeCell ref="ZU16:ZV16"/>
    <mergeCell ref="ZU1:ZW1"/>
    <mergeCell ref="ZX1:ZY1"/>
    <mergeCell ref="ZZ1:AAA1"/>
    <mergeCell ref="ZS2:ZT2"/>
    <mergeCell ref="ZU2:ZV2"/>
    <mergeCell ref="ZS9:ZT9"/>
    <mergeCell ref="ZU9:ZV9"/>
    <mergeCell ref="AAG17:AAI17"/>
    <mergeCell ref="ZK16:ZL16"/>
    <mergeCell ref="AAC1:AAD1"/>
    <mergeCell ref="AAE1:AAG1"/>
    <mergeCell ref="ABV1:ABW1"/>
    <mergeCell ref="ACO17:ACQ17"/>
    <mergeCell ref="ACK19:ACL19"/>
    <mergeCell ref="ACM19:ACS20"/>
    <mergeCell ref="ADE16:ADF16"/>
    <mergeCell ref="ADG16:ADH16"/>
    <mergeCell ref="ACU2:ACV2"/>
    <mergeCell ref="ADG19:ADM20"/>
    <mergeCell ref="ACU19:ACV19"/>
    <mergeCell ref="ACW19:ADC20"/>
    <mergeCell ref="ACC9:ACD9"/>
    <mergeCell ref="ADE19:ADF19"/>
    <mergeCell ref="ACU9:ACV9"/>
    <mergeCell ref="ACW9:ACX9"/>
    <mergeCell ref="ACU13:ACV13"/>
    <mergeCell ref="ADI17:ADK17"/>
    <mergeCell ref="ACF1:ACG1"/>
    <mergeCell ref="ACH1:ACI1"/>
    <mergeCell ref="AEM17:AEO17"/>
    <mergeCell ref="ADY1:ADZ1"/>
    <mergeCell ref="AAE16:AAF16"/>
    <mergeCell ref="AAG16:AAI16"/>
    <mergeCell ref="ABG1:ABH1"/>
    <mergeCell ref="ABI1:ABK1"/>
    <mergeCell ref="ABL1:ABM1"/>
    <mergeCell ref="ABN1:ABO1"/>
    <mergeCell ref="ABG2:ABH2"/>
    <mergeCell ref="ABI2:ABJ2"/>
    <mergeCell ref="ABG9:ABH9"/>
    <mergeCell ref="ABI9:ABJ9"/>
    <mergeCell ref="ABG13:ABH13"/>
    <mergeCell ref="ABI13:ABO14"/>
    <mergeCell ref="AAW13:AAX13"/>
    <mergeCell ref="AAY13:ABE14"/>
    <mergeCell ref="ACP1:ACQ1"/>
    <mergeCell ref="ADQ1:ADS1"/>
    <mergeCell ref="AEA1:AEC1"/>
    <mergeCell ref="ABK17:ABM17"/>
    <mergeCell ref="ABU17:ABW17"/>
    <mergeCell ref="ABG16:ABH16"/>
    <mergeCell ref="ABI16:ABJ16"/>
    <mergeCell ref="ABK16:ABM16"/>
    <mergeCell ref="ACA9:ACB9"/>
    <mergeCell ref="AAW1:AAX1"/>
    <mergeCell ref="AAY1:ABA1"/>
    <mergeCell ref="ABB1:ABC1"/>
    <mergeCell ref="ABD1:ABE1"/>
    <mergeCell ref="AAW2:AAX2"/>
    <mergeCell ref="AAY2:AAZ2"/>
    <mergeCell ref="AAW9:AAX9"/>
    <mergeCell ref="AEA13:AEG14"/>
    <mergeCell ref="ADY16:ADZ16"/>
    <mergeCell ref="AEA16:AEB16"/>
    <mergeCell ref="AEC16:AEE16"/>
    <mergeCell ref="AEC17:AEE17"/>
    <mergeCell ref="ACE17:ACG17"/>
    <mergeCell ref="ADO9:ADP9"/>
    <mergeCell ref="ADQ9:ADR9"/>
    <mergeCell ref="ADO13:ADP13"/>
    <mergeCell ref="ADQ13:ADW14"/>
    <mergeCell ref="ADI16:ADK16"/>
    <mergeCell ref="ADE13:ADF13"/>
    <mergeCell ref="ADG13:ADM14"/>
    <mergeCell ref="ACW13:ADC14"/>
    <mergeCell ref="ACU16:ACV16"/>
    <mergeCell ref="ACW16:ACX16"/>
    <mergeCell ref="ACA13:ACB13"/>
    <mergeCell ref="ACC13:ACI14"/>
    <mergeCell ref="ACA16:ACB16"/>
    <mergeCell ref="AFC1:AFD1"/>
    <mergeCell ref="AFC2:AFD2"/>
    <mergeCell ref="AFC9:AFD9"/>
    <mergeCell ref="AAQ16:AAS16"/>
    <mergeCell ref="AAQ17:AAS17"/>
    <mergeCell ref="AAJ1:AAK1"/>
    <mergeCell ref="AAC2:AAD2"/>
    <mergeCell ref="AAC19:AAD19"/>
    <mergeCell ref="AAE19:AAK20"/>
    <mergeCell ref="AEI19:AEJ19"/>
    <mergeCell ref="AEK19:AEQ20"/>
    <mergeCell ref="AAC9:AAD9"/>
    <mergeCell ref="AAE9:AAF9"/>
    <mergeCell ref="AAM13:AAN13"/>
    <mergeCell ref="AAO13:AAU14"/>
    <mergeCell ref="AAM16:AAN16"/>
    <mergeCell ref="AAC16:AAD16"/>
    <mergeCell ref="AAM9:AAN9"/>
    <mergeCell ref="AAO9:AAP9"/>
    <mergeCell ref="AAO16:AAP16"/>
    <mergeCell ref="AAW16:AAX16"/>
    <mergeCell ref="AAY16:AAZ16"/>
    <mergeCell ref="ABA16:ABC16"/>
    <mergeCell ref="AEI9:AEJ9"/>
    <mergeCell ref="AEK9:AEL9"/>
    <mergeCell ref="ABQ9:ABR9"/>
    <mergeCell ref="ABS9:ABT9"/>
    <mergeCell ref="ABQ13:ABR13"/>
    <mergeCell ref="ABS13:ABY14"/>
    <mergeCell ref="ABQ16:ABR16"/>
    <mergeCell ref="ABS16:ABT16"/>
    <mergeCell ref="ABU16:ABW16"/>
    <mergeCell ref="AGU17:AGW17"/>
    <mergeCell ref="AGS13:AGY14"/>
    <mergeCell ref="AGQ16:AGR16"/>
    <mergeCell ref="AGS16:AGT16"/>
    <mergeCell ref="AGU16:AGW16"/>
    <mergeCell ref="AHA13:AHB13"/>
    <mergeCell ref="AFQ17:AFS17"/>
    <mergeCell ref="AFM19:AFN19"/>
    <mergeCell ref="AHK19:AHL19"/>
    <mergeCell ref="AHM19:AHS20"/>
    <mergeCell ref="ACR1:ACS1"/>
    <mergeCell ref="ACW2:ACX2"/>
    <mergeCell ref="ACK1:ACL1"/>
    <mergeCell ref="ACM1:ACO1"/>
    <mergeCell ref="AED1:AEE1"/>
    <mergeCell ref="AAM19:AAN19"/>
    <mergeCell ref="AAO19:AAU20"/>
    <mergeCell ref="ABA17:ABC17"/>
    <mergeCell ref="ABG19:ABH19"/>
    <mergeCell ref="ABI19:ABO20"/>
    <mergeCell ref="ACA19:ACB19"/>
    <mergeCell ref="ACC19:ACI20"/>
    <mergeCell ref="ABQ2:ABR2"/>
    <mergeCell ref="ABS2:ABT2"/>
    <mergeCell ref="ABQ19:ABR19"/>
    <mergeCell ref="ACA2:ACB2"/>
    <mergeCell ref="ACC2:ACD2"/>
    <mergeCell ref="ACC16:ACD16"/>
    <mergeCell ref="ACE16:ACG16"/>
    <mergeCell ref="ACC1:ACE1"/>
    <mergeCell ref="ABX1:ABY1"/>
    <mergeCell ref="ACA1:ACB1"/>
    <mergeCell ref="AHH1:AHI1"/>
    <mergeCell ref="AHF1:AHG1"/>
    <mergeCell ref="AGK16:AGM16"/>
    <mergeCell ref="AGK17:AGM17"/>
    <mergeCell ref="AGQ19:AGR19"/>
    <mergeCell ref="AFG16:AFI16"/>
    <mergeCell ref="AFG17:AFI17"/>
    <mergeCell ref="AHA16:AHB16"/>
    <mergeCell ref="AHC16:AHD16"/>
    <mergeCell ref="AHE16:AHG16"/>
    <mergeCell ref="AHE17:AHG17"/>
    <mergeCell ref="AHA19:AHB19"/>
    <mergeCell ref="AHC19:AHI20"/>
    <mergeCell ref="AGG16:AGH16"/>
    <mergeCell ref="AGS19:AGY20"/>
    <mergeCell ref="AGI16:AGJ16"/>
    <mergeCell ref="AGG1:AGH1"/>
    <mergeCell ref="AGI1:AGK1"/>
    <mergeCell ref="AGG2:AGH2"/>
    <mergeCell ref="AGI2:AGJ2"/>
    <mergeCell ref="AGG9:AGH9"/>
    <mergeCell ref="AGI9:AGJ9"/>
    <mergeCell ref="AGG13:AGH13"/>
    <mergeCell ref="AFW1:AFX1"/>
    <mergeCell ref="AFY1:AGA1"/>
    <mergeCell ref="AGB1:AGC1"/>
    <mergeCell ref="AGG19:AGH19"/>
    <mergeCell ref="AGI19:AGO20"/>
    <mergeCell ref="AGQ1:AGR1"/>
    <mergeCell ref="AGS1:AGU1"/>
    <mergeCell ref="AGV1:AGW1"/>
    <mergeCell ref="AGX1:AGY1"/>
    <mergeCell ref="AHY17:AIA17"/>
    <mergeCell ref="AHU9:AHV9"/>
    <mergeCell ref="AHW9:AHX9"/>
    <mergeCell ref="AHU13:AHV13"/>
    <mergeCell ref="AHW13:AIC14"/>
    <mergeCell ref="AHU16:AHV16"/>
    <mergeCell ref="AHW16:AHX16"/>
    <mergeCell ref="AHY16:AIA16"/>
    <mergeCell ref="AJA9:AJB9"/>
    <mergeCell ref="AIY13:AIZ13"/>
    <mergeCell ref="AJA13:AJG14"/>
    <mergeCell ref="AIY16:AIZ16"/>
    <mergeCell ref="AJA16:AJB16"/>
    <mergeCell ref="AIJ1:AIK1"/>
    <mergeCell ref="AHU19:AHV19"/>
    <mergeCell ref="AHW19:AIC20"/>
    <mergeCell ref="B1:D1"/>
    <mergeCell ref="AGD1:AGE1"/>
    <mergeCell ref="AFW2:AFX2"/>
    <mergeCell ref="AFY2:AFZ2"/>
    <mergeCell ref="AFW9:AFX9"/>
    <mergeCell ref="AFY9:AFZ9"/>
    <mergeCell ref="AFW13:AFX13"/>
    <mergeCell ref="AFY13:AGE14"/>
    <mergeCell ref="AFW16:AFX16"/>
    <mergeCell ref="AFY16:AFZ16"/>
    <mergeCell ref="AGA16:AGC16"/>
    <mergeCell ref="AGA17:AGC17"/>
    <mergeCell ref="AFW19:AFX19"/>
    <mergeCell ref="AFY19:AGE20"/>
    <mergeCell ref="AHA1:AHB1"/>
    <mergeCell ref="AHC1:AHE1"/>
    <mergeCell ref="AJI1:AJJ1"/>
    <mergeCell ref="AJK1:AJM1"/>
    <mergeCell ref="AJN1:AJO1"/>
    <mergeCell ref="AJP1:AJQ1"/>
    <mergeCell ref="AJI2:AJJ2"/>
    <mergeCell ref="AJK2:AJL2"/>
    <mergeCell ref="AJI9:AJJ9"/>
    <mergeCell ref="AJK9:AJL9"/>
    <mergeCell ref="AJI13:AJJ13"/>
    <mergeCell ref="AJK13:AJQ14"/>
    <mergeCell ref="AJI16:AJJ16"/>
    <mergeCell ref="AJK16:AJL16"/>
    <mergeCell ref="AJM16:AJO16"/>
    <mergeCell ref="AJM17:AJO17"/>
    <mergeCell ref="AJC16:AJE16"/>
    <mergeCell ref="AJC17:AJE17"/>
    <mergeCell ref="AHC9:AHD9"/>
    <mergeCell ref="AHC13:AHI14"/>
    <mergeCell ref="AHK1:AHL1"/>
    <mergeCell ref="AHM1:AHO1"/>
    <mergeCell ref="AHK2:AHL2"/>
    <mergeCell ref="AHM2:AHN2"/>
    <mergeCell ref="AHK9:AHL9"/>
    <mergeCell ref="AHM9:AHN9"/>
    <mergeCell ref="AHK13:AHL13"/>
    <mergeCell ref="AHM13:AHS14"/>
    <mergeCell ref="AHK16:AHL16"/>
    <mergeCell ref="AHM16:AHN16"/>
    <mergeCell ref="AHO16:AHQ16"/>
    <mergeCell ref="AHO17:AHQ17"/>
    <mergeCell ref="AHU2:AHV2"/>
    <mergeCell ref="AHW2:AHX2"/>
    <mergeCell ref="AKW1:AKX1"/>
    <mergeCell ref="AKY1:ALA1"/>
    <mergeCell ref="ALB1:ALC1"/>
    <mergeCell ref="ALD1:ALE1"/>
    <mergeCell ref="AKW2:AKX2"/>
    <mergeCell ref="AKY2:AKZ2"/>
    <mergeCell ref="AKW9:AKX9"/>
    <mergeCell ref="AKY9:AKZ9"/>
    <mergeCell ref="AKW13:AKX13"/>
    <mergeCell ref="AKY13:ALE14"/>
    <mergeCell ref="AKW16:AKX16"/>
    <mergeCell ref="AKY16:AKZ16"/>
    <mergeCell ref="ALA16:ALC16"/>
    <mergeCell ref="ALA17:ALC17"/>
    <mergeCell ref="AKW19:AKX19"/>
    <mergeCell ref="AKY19:ALE20"/>
    <mergeCell ref="AKM1:AKN1"/>
    <mergeCell ref="AKO1:AKQ1"/>
    <mergeCell ref="AKR1:AKS1"/>
    <mergeCell ref="AKT1:AKU1"/>
    <mergeCell ref="AKM2:AKN2"/>
    <mergeCell ref="AKO2:AKP2"/>
    <mergeCell ref="AKM9:AKN9"/>
    <mergeCell ref="AKO9:AKP9"/>
    <mergeCell ref="AKM13:AKN13"/>
    <mergeCell ref="AKO13:AKU14"/>
    <mergeCell ref="AKM16:AKN16"/>
    <mergeCell ref="AKO16:AKP16"/>
    <mergeCell ref="AKQ16:AKS16"/>
    <mergeCell ref="AKQ17:AKS17"/>
    <mergeCell ref="AKM19:AKN19"/>
    <mergeCell ref="AKO19:AKU20"/>
    <mergeCell ref="ALQ1:ALR1"/>
    <mergeCell ref="ALS1:ALU1"/>
    <mergeCell ref="ALV1:ALW1"/>
    <mergeCell ref="ALX1:ALY1"/>
    <mergeCell ref="ALQ2:ALR2"/>
    <mergeCell ref="ALS2:ALT2"/>
    <mergeCell ref="ALQ9:ALR9"/>
    <mergeCell ref="ALS9:ALT9"/>
    <mergeCell ref="ALQ13:ALR13"/>
    <mergeCell ref="ALS13:ALY14"/>
    <mergeCell ref="ALQ16:ALR16"/>
    <mergeCell ref="ALS16:ALT16"/>
    <mergeCell ref="ALU16:ALW16"/>
    <mergeCell ref="ALU17:ALW17"/>
    <mergeCell ref="ALQ19:ALR19"/>
    <mergeCell ref="ALS19:ALY20"/>
    <mergeCell ref="ALG1:ALH1"/>
    <mergeCell ref="ALI1:ALK1"/>
    <mergeCell ref="ALL1:ALM1"/>
    <mergeCell ref="ALN1:ALO1"/>
    <mergeCell ref="ALG2:ALH2"/>
    <mergeCell ref="ALI2:ALJ2"/>
    <mergeCell ref="ALG9:ALH9"/>
    <mergeCell ref="ALI9:ALJ9"/>
    <mergeCell ref="ALG13:ALH13"/>
    <mergeCell ref="ALI13:ALO14"/>
    <mergeCell ref="ALG16:ALH16"/>
    <mergeCell ref="ALI16:ALJ16"/>
    <mergeCell ref="ALK16:ALM16"/>
    <mergeCell ref="ALK17:ALM17"/>
    <mergeCell ref="ALG19:ALH19"/>
    <mergeCell ref="ALI19:ALO20"/>
    <mergeCell ref="AMU1:AMV1"/>
    <mergeCell ref="AMW1:AMY1"/>
    <mergeCell ref="AMZ1:ANA1"/>
    <mergeCell ref="ANB1:ANC1"/>
    <mergeCell ref="AMU2:AMV2"/>
    <mergeCell ref="AMW2:AMX2"/>
    <mergeCell ref="AMU9:AMV9"/>
    <mergeCell ref="AMW9:AMX9"/>
    <mergeCell ref="AMU13:AMV13"/>
    <mergeCell ref="AMW13:ANC14"/>
    <mergeCell ref="AMU16:AMV16"/>
    <mergeCell ref="AMW16:AMX16"/>
    <mergeCell ref="AMY16:ANA16"/>
    <mergeCell ref="AMY17:ANA17"/>
    <mergeCell ref="AMU19:AMV19"/>
    <mergeCell ref="AMW19:ANC20"/>
    <mergeCell ref="AMK1:AML1"/>
    <mergeCell ref="AMM1:AMO1"/>
    <mergeCell ref="AMP1:AMQ1"/>
    <mergeCell ref="AMR1:AMS1"/>
    <mergeCell ref="AMK2:AML2"/>
    <mergeCell ref="AMM2:AMN2"/>
    <mergeCell ref="AMK9:AML9"/>
    <mergeCell ref="AMM9:AMN9"/>
    <mergeCell ref="AMK13:AML13"/>
    <mergeCell ref="AMM13:AMS14"/>
    <mergeCell ref="AMK16:AML16"/>
    <mergeCell ref="AMM16:AMN16"/>
    <mergeCell ref="AMO16:AMQ16"/>
    <mergeCell ref="AMO17:AMQ17"/>
    <mergeCell ref="AMK19:AML19"/>
    <mergeCell ref="AMM19:AMS20"/>
    <mergeCell ref="ANO1:ANP1"/>
    <mergeCell ref="ANQ1:ANS1"/>
    <mergeCell ref="ANT1:ANU1"/>
    <mergeCell ref="ANV1:ANW1"/>
    <mergeCell ref="ANO2:ANP2"/>
    <mergeCell ref="ANQ2:ANR2"/>
    <mergeCell ref="ANO9:ANP9"/>
    <mergeCell ref="ANQ9:ANR9"/>
    <mergeCell ref="ANO13:ANP13"/>
    <mergeCell ref="ANQ13:ANW14"/>
    <mergeCell ref="ANO16:ANP16"/>
    <mergeCell ref="ANQ16:ANR16"/>
    <mergeCell ref="ANS16:ANU16"/>
    <mergeCell ref="ANS17:ANU17"/>
    <mergeCell ref="ANO19:ANP19"/>
    <mergeCell ref="ANQ19:ANW20"/>
    <mergeCell ref="ANE1:ANF1"/>
    <mergeCell ref="ANG1:ANI1"/>
    <mergeCell ref="ANJ1:ANK1"/>
    <mergeCell ref="ANL1:ANM1"/>
    <mergeCell ref="ANE2:ANF2"/>
    <mergeCell ref="ANG2:ANH2"/>
    <mergeCell ref="ANE9:ANF9"/>
    <mergeCell ref="ANG9:ANH9"/>
    <mergeCell ref="ANE13:ANF13"/>
    <mergeCell ref="ANG13:ANM14"/>
    <mergeCell ref="ANE16:ANF16"/>
    <mergeCell ref="ANG16:ANH16"/>
    <mergeCell ref="ANI16:ANK16"/>
    <mergeCell ref="ANI17:ANK17"/>
    <mergeCell ref="ANE19:ANF19"/>
    <mergeCell ref="ANG19:ANM20"/>
    <mergeCell ref="AOI1:AOJ1"/>
    <mergeCell ref="AOK1:AOM1"/>
    <mergeCell ref="AON1:AOO1"/>
    <mergeCell ref="AOP1:AOQ1"/>
    <mergeCell ref="AOI2:AOJ2"/>
    <mergeCell ref="AOK2:AOL2"/>
    <mergeCell ref="AOI9:AOJ9"/>
    <mergeCell ref="AOK9:AOL9"/>
    <mergeCell ref="AOI13:AOJ13"/>
    <mergeCell ref="AOK13:AOQ14"/>
    <mergeCell ref="AOI16:AOJ16"/>
    <mergeCell ref="AOK16:AOL16"/>
    <mergeCell ref="AOM16:AOO16"/>
    <mergeCell ref="AOM17:AOO17"/>
    <mergeCell ref="AOI19:AOJ19"/>
    <mergeCell ref="AOK19:AOQ20"/>
    <mergeCell ref="ANY1:ANZ1"/>
    <mergeCell ref="AOA1:AOC1"/>
    <mergeCell ref="AOD1:AOE1"/>
    <mergeCell ref="AOF1:AOG1"/>
    <mergeCell ref="ANY2:ANZ2"/>
    <mergeCell ref="AOA2:AOB2"/>
    <mergeCell ref="ANY9:ANZ9"/>
    <mergeCell ref="AOA9:AOB9"/>
    <mergeCell ref="ANY13:ANZ13"/>
    <mergeCell ref="AOA13:AOG14"/>
    <mergeCell ref="ANY16:ANZ16"/>
    <mergeCell ref="AOA16:AOB16"/>
    <mergeCell ref="AOC16:AOE16"/>
    <mergeCell ref="AOC17:AOE17"/>
    <mergeCell ref="ANY19:ANZ19"/>
    <mergeCell ref="AOA19:AOG20"/>
    <mergeCell ref="APC1:APD1"/>
    <mergeCell ref="APE1:APG1"/>
    <mergeCell ref="APH1:API1"/>
    <mergeCell ref="APJ1:APK1"/>
    <mergeCell ref="APC2:APD2"/>
    <mergeCell ref="APE2:APF2"/>
    <mergeCell ref="APC9:APD9"/>
    <mergeCell ref="APE9:APF9"/>
    <mergeCell ref="APC13:APD13"/>
    <mergeCell ref="APE13:APK14"/>
    <mergeCell ref="APC16:APD16"/>
    <mergeCell ref="APE16:APF16"/>
    <mergeCell ref="APG16:API16"/>
    <mergeCell ref="APG17:API17"/>
    <mergeCell ref="APC19:APD19"/>
    <mergeCell ref="APE19:APK20"/>
    <mergeCell ref="AOS1:AOT1"/>
    <mergeCell ref="AOU1:AOW1"/>
    <mergeCell ref="AOX1:AOY1"/>
    <mergeCell ref="AOZ1:APA1"/>
    <mergeCell ref="AOS2:AOT2"/>
    <mergeCell ref="AOU2:AOV2"/>
    <mergeCell ref="AOS9:AOT9"/>
    <mergeCell ref="AOU9:AOV9"/>
    <mergeCell ref="AOS13:AOT13"/>
    <mergeCell ref="AOU13:APA14"/>
    <mergeCell ref="AOS16:AOT16"/>
    <mergeCell ref="AOU16:AOV16"/>
    <mergeCell ref="AOW16:AOY16"/>
    <mergeCell ref="AOW17:AOY17"/>
    <mergeCell ref="AOS19:AOT19"/>
    <mergeCell ref="AOU19:APA20"/>
    <mergeCell ref="APW1:APX1"/>
    <mergeCell ref="APY1:AQA1"/>
    <mergeCell ref="AQB1:AQC1"/>
    <mergeCell ref="AQD1:AQE1"/>
    <mergeCell ref="APW2:APX2"/>
    <mergeCell ref="APY2:APZ2"/>
    <mergeCell ref="APW9:APX9"/>
    <mergeCell ref="APY9:APZ9"/>
    <mergeCell ref="APW13:APX13"/>
    <mergeCell ref="APY13:AQE14"/>
    <mergeCell ref="APW16:APX16"/>
    <mergeCell ref="APY16:APZ16"/>
    <mergeCell ref="AQA16:AQC16"/>
    <mergeCell ref="AQA17:AQC17"/>
    <mergeCell ref="APW19:APX19"/>
    <mergeCell ref="APY19:AQE20"/>
    <mergeCell ref="APM1:APN1"/>
    <mergeCell ref="APO1:APQ1"/>
    <mergeCell ref="APR1:APS1"/>
    <mergeCell ref="APT1:APU1"/>
    <mergeCell ref="APM2:APN2"/>
    <mergeCell ref="APO2:APP2"/>
    <mergeCell ref="APM9:APN9"/>
    <mergeCell ref="APO9:APP9"/>
    <mergeCell ref="APM13:APN13"/>
    <mergeCell ref="APO13:APU14"/>
    <mergeCell ref="APM16:APN16"/>
    <mergeCell ref="APO16:APP16"/>
    <mergeCell ref="APQ16:APS16"/>
    <mergeCell ref="APQ17:APS17"/>
    <mergeCell ref="APM19:APN19"/>
    <mergeCell ref="APO19:APU20"/>
  </mergeCells>
  <conditionalFormatting sqref="B1:D1">
    <cfRule type="containsText" dxfId="1362" priority="388" operator="containsText" text="DUE TODAY">
      <formula>NOT(ISERROR(SEARCH("DUE TODAY",B1)))</formula>
    </cfRule>
  </conditionalFormatting>
  <conditionalFormatting sqref="K3:K7 M3:M7 W3:W7 AG3:AG7 AQ3:AQ7 BA3:BA7 BK3:BK7 AHI3:AHI7 AHS3:AHS7">
    <cfRule type="cellIs" dxfId="1361" priority="2039" operator="greaterThan">
      <formula>0</formula>
    </cfRule>
    <cfRule type="cellIs" dxfId="1360" priority="2037" operator="equal">
      <formula>0</formula>
    </cfRule>
    <cfRule type="cellIs" dxfId="1359" priority="2038" operator="lessThan">
      <formula>0</formula>
    </cfRule>
  </conditionalFormatting>
  <conditionalFormatting sqref="M10:M11">
    <cfRule type="cellIs" dxfId="1358" priority="2014" operator="lessThan">
      <formula>0</formula>
    </cfRule>
    <cfRule type="cellIs" dxfId="1357" priority="2015" operator="greaterThan">
      <formula>0</formula>
    </cfRule>
    <cfRule type="cellIs" dxfId="1356" priority="2013" operator="equal">
      <formula>0</formula>
    </cfRule>
  </conditionalFormatting>
  <conditionalFormatting sqref="M15 M18">
    <cfRule type="cellIs" dxfId="1355" priority="1997" operator="equal">
      <formula>0</formula>
    </cfRule>
    <cfRule type="cellIs" dxfId="1354" priority="1999" operator="greaterThan">
      <formula>0</formula>
    </cfRule>
    <cfRule type="cellIs" dxfId="1353" priority="1998" operator="lessThan">
      <formula>0</formula>
    </cfRule>
  </conditionalFormatting>
  <conditionalFormatting sqref="U3:U7 AE3:AE7 AO3:AO7 AY3:AY7 BI3:BI7 BS3:BS7 CC3:CC7 CM3:CM7 CW3:CW7 DG3:DG7 DQ3:DQ7 EA3:EA7 EK3:EK7 EU3:EU7 FE3:FE7 FO3:FO7 FY3:FY7 GI3:GI7 GS3:GS7 HC3:HC7 HM3:HM7 HW3:HW7 IG3:IG7 IQ3:IQ7 JA3:JA7 JK3:JK7 JU3:JU7 KE3:KE7 KO3:KO7 KY3:KY7 LI3:LI7 LS3:LS7 MC3:MC7 MM3:MM7 MW3:MW7 NG3:NG7 NQ3:NQ7 OA3:OA7 OK3:OK7 OU3:OU7 PE3:PE7 PO3:PO7 PY3:PY7 QI3:QI7 QS3:QS7 RC3:RC7 RM3:RM7 RW3:RW7 SG3:SG7 SQ3:SQ7 TA3:TA7 TK3:TK7 TU3:TU7 UE3:UE7 UO3:UO7 UY3:UY7 VI3:VI7 VS3:VS7 WC3:WC7 WM3:WM7 WW3:WW7 XG3:XG7 YA3:YA7 YK3:YK7 YU3:YU7 ZE3:ZE7 ZO3:ZO7 ZY3:ZY7 AAI3:AAI7 AAS3:AAS7 ABC3:ABC7 ABM3:ABM7 ABW3:ABW7 ACG3:ACG7 ACQ3:ACQ7 ADA3:ADA7 ADK3:ADK7 ADU3:ADU7 AEE3:AEE7 AEO3:AEO7 AEY3:AEY7 AFI3:AFI7 AFS3:AFS7 AGC3:AGC7 AGM3:AGM7 AHG3:AHG7 AHQ3:AHQ7 K15 K17:K18">
    <cfRule type="cellIs" dxfId="1352" priority="1996" operator="lessThan">
      <formula>0</formula>
    </cfRule>
    <cfRule type="cellIs" dxfId="1351" priority="1995" operator="equal">
      <formula>0</formula>
    </cfRule>
  </conditionalFormatting>
  <conditionalFormatting sqref="U10:U11">
    <cfRule type="cellIs" dxfId="1350" priority="2025" operator="lessThan">
      <formula>0</formula>
    </cfRule>
    <cfRule type="cellIs" dxfId="1349" priority="2024" operator="equal">
      <formula>0</formula>
    </cfRule>
  </conditionalFormatting>
  <conditionalFormatting sqref="U15 U17:U18">
    <cfRule type="cellIs" dxfId="1348" priority="2001" operator="lessThan">
      <formula>0</formula>
    </cfRule>
    <cfRule type="cellIs" dxfId="1347" priority="2000" operator="equal">
      <formula>0</formula>
    </cfRule>
  </conditionalFormatting>
  <conditionalFormatting sqref="W10:W11 AG10:AG11 AQ10:AQ11">
    <cfRule type="cellIs" dxfId="1346" priority="2029" operator="equal">
      <formula>0</formula>
    </cfRule>
    <cfRule type="cellIs" dxfId="1345" priority="2030" operator="lessThan">
      <formula>0</formula>
    </cfRule>
    <cfRule type="cellIs" dxfId="1344" priority="2031" operator="greaterThan">
      <formula>0</formula>
    </cfRule>
  </conditionalFormatting>
  <conditionalFormatting sqref="W15 AG15 AQ15 W18 AG18 AQ18">
    <cfRule type="cellIs" dxfId="1343" priority="2004" operator="greaterThan">
      <formula>0</formula>
    </cfRule>
    <cfRule type="cellIs" dxfId="1342" priority="2003" operator="lessThan">
      <formula>0</formula>
    </cfRule>
    <cfRule type="cellIs" dxfId="1341" priority="2002" operator="equal">
      <formula>0</formula>
    </cfRule>
  </conditionalFormatting>
  <conditionalFormatting sqref="AE10:AE11">
    <cfRule type="cellIs" dxfId="1340" priority="2010" operator="lessThan">
      <formula>0</formula>
    </cfRule>
    <cfRule type="cellIs" dxfId="1339" priority="2009" operator="equal">
      <formula>0</formula>
    </cfRule>
  </conditionalFormatting>
  <conditionalFormatting sqref="AE15 AE17:AE18">
    <cfRule type="cellIs" dxfId="1338" priority="1994" operator="lessThan">
      <formula>0</formula>
    </cfRule>
    <cfRule type="cellIs" dxfId="1337" priority="1993" operator="equal">
      <formula>0</formula>
    </cfRule>
  </conditionalFormatting>
  <conditionalFormatting sqref="AO10:AO11">
    <cfRule type="cellIs" dxfId="1336" priority="1984" operator="equal">
      <formula>0</formula>
    </cfRule>
    <cfRule type="cellIs" dxfId="1335" priority="1985" operator="lessThan">
      <formula>0</formula>
    </cfRule>
  </conditionalFormatting>
  <conditionalFormatting sqref="AO15">
    <cfRule type="cellIs" dxfId="1334" priority="1982" operator="equal">
      <formula>0</formula>
    </cfRule>
    <cfRule type="cellIs" dxfId="1333" priority="1983" operator="lessThan">
      <formula>0</formula>
    </cfRule>
  </conditionalFormatting>
  <conditionalFormatting sqref="AO17:AO18">
    <cfRule type="cellIs" dxfId="1332" priority="1948" operator="lessThan">
      <formula>0</formula>
    </cfRule>
    <cfRule type="cellIs" dxfId="1331" priority="1947" operator="equal">
      <formula>0</formula>
    </cfRule>
  </conditionalFormatting>
  <conditionalFormatting sqref="AY10:AY11">
    <cfRule type="cellIs" dxfId="1330" priority="1952" operator="lessThan">
      <formula>0</formula>
    </cfRule>
    <cfRule type="cellIs" dxfId="1329" priority="1951" operator="equal">
      <formula>0</formula>
    </cfRule>
  </conditionalFormatting>
  <conditionalFormatting sqref="AY15">
    <cfRule type="cellIs" dxfId="1328" priority="1958" operator="lessThan">
      <formula>0</formula>
    </cfRule>
    <cfRule type="cellIs" dxfId="1327" priority="1957" operator="equal">
      <formula>0</formula>
    </cfRule>
  </conditionalFormatting>
  <conditionalFormatting sqref="AY17:AY18">
    <cfRule type="cellIs" dxfId="1326" priority="1949" operator="equal">
      <formula>0</formula>
    </cfRule>
    <cfRule type="cellIs" dxfId="1325" priority="1950" operator="lessThan">
      <formula>0</formula>
    </cfRule>
  </conditionalFormatting>
  <conditionalFormatting sqref="BA10:BA11">
    <cfRule type="cellIs" dxfId="1324" priority="1966" operator="greaterThan">
      <formula>0</formula>
    </cfRule>
    <cfRule type="cellIs" dxfId="1323" priority="1965" operator="lessThan">
      <formula>0</formula>
    </cfRule>
    <cfRule type="cellIs" dxfId="1322" priority="1964" operator="equal">
      <formula>0</formula>
    </cfRule>
  </conditionalFormatting>
  <conditionalFormatting sqref="BA15 BA18">
    <cfRule type="cellIs" dxfId="1321" priority="1963" operator="greaterThan">
      <formula>0</formula>
    </cfRule>
    <cfRule type="cellIs" dxfId="1320" priority="1962" operator="lessThan">
      <formula>0</formula>
    </cfRule>
    <cfRule type="cellIs" dxfId="1319" priority="1961" operator="equal">
      <formula>0</formula>
    </cfRule>
  </conditionalFormatting>
  <conditionalFormatting sqref="BI10:BI11">
    <cfRule type="cellIs" dxfId="1318" priority="1928" operator="equal">
      <formula>0</formula>
    </cfRule>
    <cfRule type="cellIs" dxfId="1317" priority="1929" operator="lessThan">
      <formula>0</formula>
    </cfRule>
  </conditionalFormatting>
  <conditionalFormatting sqref="BI15">
    <cfRule type="cellIs" dxfId="1316" priority="1934" operator="equal">
      <formula>0</formula>
    </cfRule>
    <cfRule type="cellIs" dxfId="1315" priority="1935" operator="lessThan">
      <formula>0</formula>
    </cfRule>
  </conditionalFormatting>
  <conditionalFormatting sqref="BI17:BI18">
    <cfRule type="cellIs" dxfId="1314" priority="1912" operator="lessThan">
      <formula>0</formula>
    </cfRule>
    <cfRule type="cellIs" dxfId="1313" priority="1911" operator="equal">
      <formula>0</formula>
    </cfRule>
  </conditionalFormatting>
  <conditionalFormatting sqref="BK10:BK11">
    <cfRule type="cellIs" dxfId="1312" priority="1941" operator="equal">
      <formula>0</formula>
    </cfRule>
    <cfRule type="cellIs" dxfId="1311" priority="1942" operator="lessThan">
      <formula>0</formula>
    </cfRule>
    <cfRule type="cellIs" dxfId="1310" priority="1943" operator="greaterThan">
      <formula>0</formula>
    </cfRule>
  </conditionalFormatting>
  <conditionalFormatting sqref="BK15 BK18">
    <cfRule type="cellIs" dxfId="1309" priority="1939" operator="lessThan">
      <formula>0</formula>
    </cfRule>
    <cfRule type="cellIs" dxfId="1308" priority="1940" operator="greaterThan">
      <formula>0</formula>
    </cfRule>
    <cfRule type="cellIs" dxfId="1307" priority="1938" operator="equal">
      <formula>0</formula>
    </cfRule>
  </conditionalFormatting>
  <conditionalFormatting sqref="BS10:BS11">
    <cfRule type="cellIs" dxfId="1306" priority="1914" operator="lessThan">
      <formula>0</formula>
    </cfRule>
    <cfRule type="cellIs" dxfId="1305" priority="1913" operator="equal">
      <formula>0</formula>
    </cfRule>
  </conditionalFormatting>
  <conditionalFormatting sqref="BS15">
    <cfRule type="cellIs" dxfId="1304" priority="1924" operator="equal">
      <formula>0</formula>
    </cfRule>
  </conditionalFormatting>
  <conditionalFormatting sqref="BS17">
    <cfRule type="cellIs" dxfId="1303" priority="1910" operator="lessThan">
      <formula>0</formula>
    </cfRule>
  </conditionalFormatting>
  <conditionalFormatting sqref="BS17:BS18">
    <cfRule type="cellIs" dxfId="1302" priority="1909" operator="equal">
      <formula>0</formula>
    </cfRule>
  </conditionalFormatting>
  <conditionalFormatting sqref="BU3:BU7 CE3:CE7 CO3:CO7 CY3:CY7 DI3:DI7 DS3:DS7 EC3:EC7 EM3:EM7 EW3:EW7 FG3:FG7 FQ3:FQ7 GA3:GA7 GK3:GK7 GU3:GU7 HE3:HE7 HO3:HO7 HY3:HY7 II3:II7 IS3:IS7 JC3:JC7 JM3:JM7 JW3:JW7 KG3:KG7 KQ3:KQ7 LA3:LA7 LK3:LK7 LU3:LU7 ME3:ME7 MO3:MO7 MY3:MY7 NI3:NI7 NS3:NS7 OC3:OC7 OM3:OM7 OW3:OW7 PG3:PG7 PQ3:PQ7 QA3:QA7 QK3:QK7 QU3:QU7 RE3:RE7 RO3:RO7 RY3:RY7 SI3:SI7 SS3:SS7 TC3:TC7 TM3:TM7 TW3:TW7 UG3:UG7 UQ3:UQ7 VA3:VA7 VK3:VK7 VU3:VU7 WE3:WE7 WO3:WO7 WY3:WY7 XI3:XI7 XS3:XS7 YC3:YC7">
    <cfRule type="cellIs" dxfId="1301" priority="1926" operator="lessThan">
      <formula>0</formula>
    </cfRule>
    <cfRule type="cellIs" dxfId="1300" priority="1925" operator="greaterThan">
      <formula>0</formula>
    </cfRule>
    <cfRule type="cellIs" dxfId="1299" priority="1923" operator="equal">
      <formula>0</formula>
    </cfRule>
  </conditionalFormatting>
  <conditionalFormatting sqref="BU10:BU11">
    <cfRule type="cellIs" dxfId="1298" priority="1922" operator="greaterThan">
      <formula>0</formula>
    </cfRule>
    <cfRule type="cellIs" dxfId="1297" priority="1921" operator="lessThan">
      <formula>0</formula>
    </cfRule>
    <cfRule type="cellIs" dxfId="1296" priority="1920" operator="equal">
      <formula>0</formula>
    </cfRule>
  </conditionalFormatting>
  <conditionalFormatting sqref="BU15 BU18">
    <cfRule type="cellIs" dxfId="1295" priority="1919" operator="greaterThan">
      <formula>0</formula>
    </cfRule>
    <cfRule type="cellIs" dxfId="1294" priority="1918" operator="lessThan">
      <formula>0</formula>
    </cfRule>
    <cfRule type="cellIs" dxfId="1293" priority="1917" operator="equal">
      <formula>0</formula>
    </cfRule>
  </conditionalFormatting>
  <conditionalFormatting sqref="CC10:CC11">
    <cfRule type="cellIs" dxfId="1292" priority="1894" operator="equal">
      <formula>0</formula>
    </cfRule>
    <cfRule type="cellIs" dxfId="1291" priority="1895" operator="lessThan">
      <formula>0</formula>
    </cfRule>
  </conditionalFormatting>
  <conditionalFormatting sqref="CC15">
    <cfRule type="cellIs" dxfId="1290" priority="1905" operator="equal">
      <formula>0</formula>
    </cfRule>
  </conditionalFormatting>
  <conditionalFormatting sqref="CC17:CC18">
    <cfRule type="cellIs" dxfId="1289" priority="1893" operator="lessThan">
      <formula>0</formula>
    </cfRule>
    <cfRule type="cellIs" dxfId="1288" priority="1892" operator="equal">
      <formula>0</formula>
    </cfRule>
  </conditionalFormatting>
  <conditionalFormatting sqref="CE10:CE11">
    <cfRule type="cellIs" dxfId="1287" priority="1903" operator="greaterThan">
      <formula>0</formula>
    </cfRule>
    <cfRule type="cellIs" dxfId="1286" priority="1901" operator="equal">
      <formula>0</formula>
    </cfRule>
    <cfRule type="cellIs" dxfId="1285" priority="1902" operator="lessThan">
      <formula>0</formula>
    </cfRule>
  </conditionalFormatting>
  <conditionalFormatting sqref="CE15 CE18">
    <cfRule type="cellIs" dxfId="1284" priority="1899" operator="lessThan">
      <formula>0</formula>
    </cfRule>
    <cfRule type="cellIs" dxfId="1283" priority="1900" operator="greaterThan">
      <formula>0</formula>
    </cfRule>
    <cfRule type="cellIs" dxfId="1282" priority="1898" operator="equal">
      <formula>0</formula>
    </cfRule>
  </conditionalFormatting>
  <conditionalFormatting sqref="CM10:CM11">
    <cfRule type="cellIs" dxfId="1281" priority="1878" operator="lessThan">
      <formula>0</formula>
    </cfRule>
    <cfRule type="cellIs" dxfId="1280" priority="1877" operator="equal">
      <formula>0</formula>
    </cfRule>
  </conditionalFormatting>
  <conditionalFormatting sqref="CM15">
    <cfRule type="cellIs" dxfId="1279" priority="1888" operator="equal">
      <formula>0</formula>
    </cfRule>
  </conditionalFormatting>
  <conditionalFormatting sqref="CM17:CM18">
    <cfRule type="cellIs" dxfId="1278" priority="1875" operator="equal">
      <formula>0</formula>
    </cfRule>
    <cfRule type="cellIs" dxfId="1277" priority="1876" operator="lessThan">
      <formula>0</formula>
    </cfRule>
  </conditionalFormatting>
  <conditionalFormatting sqref="CO10:CO11">
    <cfRule type="cellIs" dxfId="1276" priority="1886" operator="greaterThan">
      <formula>0</formula>
    </cfRule>
    <cfRule type="cellIs" dxfId="1275" priority="1885" operator="lessThan">
      <formula>0</formula>
    </cfRule>
    <cfRule type="cellIs" dxfId="1274" priority="1884" operator="equal">
      <formula>0</formula>
    </cfRule>
  </conditionalFormatting>
  <conditionalFormatting sqref="CO15 CO18">
    <cfRule type="cellIs" dxfId="1273" priority="1881" operator="equal">
      <formula>0</formula>
    </cfRule>
    <cfRule type="cellIs" dxfId="1272" priority="1882" operator="lessThan">
      <formula>0</formula>
    </cfRule>
    <cfRule type="cellIs" dxfId="1271" priority="1883" operator="greaterThan">
      <formula>0</formula>
    </cfRule>
  </conditionalFormatting>
  <conditionalFormatting sqref="CW10:CW11">
    <cfRule type="cellIs" dxfId="1270" priority="1861" operator="lessThan">
      <formula>0</formula>
    </cfRule>
    <cfRule type="cellIs" dxfId="1269" priority="1860" operator="equal">
      <formula>0</formula>
    </cfRule>
  </conditionalFormatting>
  <conditionalFormatting sqref="CW15">
    <cfRule type="cellIs" dxfId="1268" priority="1871" operator="equal">
      <formula>0</formula>
    </cfRule>
  </conditionalFormatting>
  <conditionalFormatting sqref="CW17:CW18">
    <cfRule type="cellIs" dxfId="1267" priority="1859" operator="lessThan">
      <formula>0</formula>
    </cfRule>
    <cfRule type="cellIs" dxfId="1266" priority="1858" operator="equal">
      <formula>0</formula>
    </cfRule>
  </conditionalFormatting>
  <conditionalFormatting sqref="CY10:CY11">
    <cfRule type="cellIs" dxfId="1265" priority="1869" operator="greaterThan">
      <formula>0</formula>
    </cfRule>
    <cfRule type="cellIs" dxfId="1264" priority="1868" operator="lessThan">
      <formula>0</formula>
    </cfRule>
    <cfRule type="cellIs" dxfId="1263" priority="1867" operator="equal">
      <formula>0</formula>
    </cfRule>
  </conditionalFormatting>
  <conditionalFormatting sqref="CY15 CY18">
    <cfRule type="cellIs" dxfId="1262" priority="1864" operator="equal">
      <formula>0</formula>
    </cfRule>
    <cfRule type="cellIs" dxfId="1261" priority="1866" operator="greaterThan">
      <formula>0</formula>
    </cfRule>
    <cfRule type="cellIs" dxfId="1260" priority="1865" operator="lessThan">
      <formula>0</formula>
    </cfRule>
  </conditionalFormatting>
  <conditionalFormatting sqref="DG10:DG11">
    <cfRule type="cellIs" dxfId="1259" priority="1844" operator="lessThan">
      <formula>0</formula>
    </cfRule>
    <cfRule type="cellIs" dxfId="1258" priority="1843" operator="equal">
      <formula>0</formula>
    </cfRule>
  </conditionalFormatting>
  <conditionalFormatting sqref="DG15">
    <cfRule type="cellIs" dxfId="1257" priority="1854" operator="equal">
      <formula>0</formula>
    </cfRule>
  </conditionalFormatting>
  <conditionalFormatting sqref="DG17:DG18">
    <cfRule type="cellIs" dxfId="1256" priority="1842" operator="lessThan">
      <formula>0</formula>
    </cfRule>
    <cfRule type="cellIs" dxfId="1255" priority="1841" operator="equal">
      <formula>0</formula>
    </cfRule>
  </conditionalFormatting>
  <conditionalFormatting sqref="DI10:DI11">
    <cfRule type="cellIs" dxfId="1254" priority="1852" operator="greaterThan">
      <formula>0</formula>
    </cfRule>
    <cfRule type="cellIs" dxfId="1253" priority="1850" operator="equal">
      <formula>0</formula>
    </cfRule>
    <cfRule type="cellIs" dxfId="1252" priority="1851" operator="lessThan">
      <formula>0</formula>
    </cfRule>
  </conditionalFormatting>
  <conditionalFormatting sqref="DI15 DI18">
    <cfRule type="cellIs" dxfId="1251" priority="1849" operator="greaterThan">
      <formula>0</formula>
    </cfRule>
    <cfRule type="cellIs" dxfId="1250" priority="1848" operator="lessThan">
      <formula>0</formula>
    </cfRule>
    <cfRule type="cellIs" dxfId="1249" priority="1847" operator="equal">
      <formula>0</formula>
    </cfRule>
  </conditionalFormatting>
  <conditionalFormatting sqref="DK20">
    <cfRule type="colorScale" priority="18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Q10:DQ11">
    <cfRule type="cellIs" dxfId="1248" priority="1826" operator="equal">
      <formula>0</formula>
    </cfRule>
    <cfRule type="cellIs" dxfId="1247" priority="1827" operator="lessThan">
      <formula>0</formula>
    </cfRule>
  </conditionalFormatting>
  <conditionalFormatting sqref="DQ15">
    <cfRule type="cellIs" dxfId="1246" priority="1837" operator="lessThan">
      <formula>0</formula>
    </cfRule>
  </conditionalFormatting>
  <conditionalFormatting sqref="DQ17:DQ18">
    <cfRule type="cellIs" dxfId="1245" priority="1825" operator="lessThan">
      <formula>0</formula>
    </cfRule>
    <cfRule type="cellIs" dxfId="1244" priority="1824" operator="equal">
      <formula>0</formula>
    </cfRule>
  </conditionalFormatting>
  <conditionalFormatting sqref="DS10:DS11">
    <cfRule type="cellIs" dxfId="1243" priority="1835" operator="greaterThan">
      <formula>0</formula>
    </cfRule>
    <cfRule type="cellIs" dxfId="1242" priority="1834" operator="lessThan">
      <formula>0</formula>
    </cfRule>
    <cfRule type="cellIs" dxfId="1241" priority="1833" operator="equal">
      <formula>0</formula>
    </cfRule>
  </conditionalFormatting>
  <conditionalFormatting sqref="DS15 DS18">
    <cfRule type="cellIs" dxfId="1240" priority="1832" operator="greaterThan">
      <formula>0</formula>
    </cfRule>
    <cfRule type="cellIs" dxfId="1239" priority="1830" operator="equal">
      <formula>0</formula>
    </cfRule>
    <cfRule type="cellIs" dxfId="1238" priority="1831" operator="lessThan">
      <formula>0</formula>
    </cfRule>
  </conditionalFormatting>
  <conditionalFormatting sqref="DU20">
    <cfRule type="colorScale" priority="180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A10:EA11">
    <cfRule type="cellIs" dxfId="1237" priority="1808" operator="equal">
      <formula>0</formula>
    </cfRule>
    <cfRule type="cellIs" dxfId="1236" priority="1809" operator="lessThan">
      <formula>0</formula>
    </cfRule>
  </conditionalFormatting>
  <conditionalFormatting sqref="EA15">
    <cfRule type="cellIs" dxfId="1235" priority="1819" operator="equal">
      <formula>0</formula>
    </cfRule>
  </conditionalFormatting>
  <conditionalFormatting sqref="EA17:EA18">
    <cfRule type="cellIs" dxfId="1234" priority="1807" operator="lessThan">
      <formula>0</formula>
    </cfRule>
    <cfRule type="cellIs" dxfId="1233" priority="1806" operator="equal">
      <formula>0</formula>
    </cfRule>
  </conditionalFormatting>
  <conditionalFormatting sqref="EC10:EC11">
    <cfRule type="cellIs" dxfId="1232" priority="1817" operator="greaterThan">
      <formula>0</formula>
    </cfRule>
    <cfRule type="cellIs" dxfId="1231" priority="1815" operator="equal">
      <formula>0</formula>
    </cfRule>
    <cfRule type="cellIs" dxfId="1230" priority="1816" operator="lessThan">
      <formula>0</formula>
    </cfRule>
  </conditionalFormatting>
  <conditionalFormatting sqref="EC15 EC18">
    <cfRule type="cellIs" dxfId="1229" priority="1814" operator="greaterThan">
      <formula>0</formula>
    </cfRule>
    <cfRule type="cellIs" dxfId="1228" priority="1813" operator="lessThan">
      <formula>0</formula>
    </cfRule>
    <cfRule type="cellIs" dxfId="1227" priority="1812" operator="equal">
      <formula>0</formula>
    </cfRule>
  </conditionalFormatting>
  <conditionalFormatting sqref="EE20">
    <cfRule type="colorScale" priority="178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K10:EK11">
    <cfRule type="cellIs" dxfId="1226" priority="1785" operator="equal">
      <formula>0</formula>
    </cfRule>
    <cfRule type="cellIs" dxfId="1225" priority="1786" operator="lessThan">
      <formula>0</formula>
    </cfRule>
  </conditionalFormatting>
  <conditionalFormatting sqref="EK15">
    <cfRule type="cellIs" dxfId="1224" priority="1801" operator="equal">
      <formula>0</formula>
    </cfRule>
  </conditionalFormatting>
  <conditionalFormatting sqref="EK17:EK18">
    <cfRule type="cellIs" dxfId="1223" priority="1789" operator="lessThan">
      <formula>0</formula>
    </cfRule>
    <cfRule type="cellIs" dxfId="1222" priority="1788" operator="equal">
      <formula>0</formula>
    </cfRule>
  </conditionalFormatting>
  <conditionalFormatting sqref="EM10:EM11">
    <cfRule type="cellIs" dxfId="1221" priority="1797" operator="equal">
      <formula>0</formula>
    </cfRule>
    <cfRule type="cellIs" dxfId="1220" priority="1798" operator="lessThan">
      <formula>0</formula>
    </cfRule>
    <cfRule type="cellIs" dxfId="1219" priority="1799" operator="greaterThan">
      <formula>0</formula>
    </cfRule>
  </conditionalFormatting>
  <conditionalFormatting sqref="EM15 EM18">
    <cfRule type="cellIs" dxfId="1218" priority="1796" operator="greaterThan">
      <formula>0</formula>
    </cfRule>
    <cfRule type="cellIs" dxfId="1217" priority="1794" operator="equal">
      <formula>0</formula>
    </cfRule>
    <cfRule type="cellIs" dxfId="1216" priority="1795" operator="lessThan">
      <formula>0</formula>
    </cfRule>
  </conditionalFormatting>
  <conditionalFormatting sqref="EO20">
    <cfRule type="colorScale" priority="17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U10:EU11">
    <cfRule type="cellIs" dxfId="1215" priority="1771" operator="lessThan">
      <formula>0</formula>
    </cfRule>
    <cfRule type="cellIs" dxfId="1214" priority="1770" operator="equal">
      <formula>0</formula>
    </cfRule>
  </conditionalFormatting>
  <conditionalFormatting sqref="EU15">
    <cfRule type="cellIs" dxfId="1213" priority="1781" operator="lessThan">
      <formula>0</formula>
    </cfRule>
  </conditionalFormatting>
  <conditionalFormatting sqref="EU17:EU18">
    <cfRule type="cellIs" dxfId="1212" priority="1769" operator="lessThan">
      <formula>0</formula>
    </cfRule>
    <cfRule type="cellIs" dxfId="1211" priority="1768" operator="equal">
      <formula>0</formula>
    </cfRule>
  </conditionalFormatting>
  <conditionalFormatting sqref="EW10:EW11">
    <cfRule type="cellIs" dxfId="1210" priority="1779" operator="greaterThan">
      <formula>0</formula>
    </cfRule>
    <cfRule type="cellIs" dxfId="1209" priority="1778" operator="lessThan">
      <formula>0</formula>
    </cfRule>
    <cfRule type="cellIs" dxfId="1208" priority="1777" operator="equal">
      <formula>0</formula>
    </cfRule>
  </conditionalFormatting>
  <conditionalFormatting sqref="EW15 EW18">
    <cfRule type="cellIs" dxfId="1207" priority="1775" operator="lessThan">
      <formula>0</formula>
    </cfRule>
    <cfRule type="cellIs" dxfId="1206" priority="1774" operator="equal">
      <formula>0</formula>
    </cfRule>
    <cfRule type="cellIs" dxfId="1205" priority="1776" operator="greaterThan">
      <formula>0</formula>
    </cfRule>
  </conditionalFormatting>
  <conditionalFormatting sqref="EY20">
    <cfRule type="colorScale" priority="17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E10:FE11">
    <cfRule type="cellIs" dxfId="1204" priority="1752" operator="equal">
      <formula>0</formula>
    </cfRule>
    <cfRule type="cellIs" dxfId="1203" priority="1753" operator="lessThan">
      <formula>0</formula>
    </cfRule>
  </conditionalFormatting>
  <conditionalFormatting sqref="FE15">
    <cfRule type="cellIs" dxfId="1202" priority="1763" operator="lessThan">
      <formula>0</formula>
    </cfRule>
  </conditionalFormatting>
  <conditionalFormatting sqref="FE17:FE18">
    <cfRule type="cellIs" dxfId="1201" priority="1750" operator="equal">
      <formula>0</formula>
    </cfRule>
    <cfRule type="cellIs" dxfId="1200" priority="1751" operator="lessThan">
      <formula>0</formula>
    </cfRule>
  </conditionalFormatting>
  <conditionalFormatting sqref="FG10:FG11">
    <cfRule type="cellIs" dxfId="1199" priority="1761" operator="greaterThan">
      <formula>0</formula>
    </cfRule>
    <cfRule type="cellIs" dxfId="1198" priority="1760" operator="lessThan">
      <formula>0</formula>
    </cfRule>
    <cfRule type="cellIs" dxfId="1197" priority="1759" operator="equal">
      <formula>0</formula>
    </cfRule>
  </conditionalFormatting>
  <conditionalFormatting sqref="FG15 FG18">
    <cfRule type="cellIs" dxfId="1196" priority="1756" operator="equal">
      <formula>0</formula>
    </cfRule>
    <cfRule type="cellIs" dxfId="1195" priority="1758" operator="greaterThan">
      <formula>0</formula>
    </cfRule>
    <cfRule type="cellIs" dxfId="1194" priority="1757" operator="lessThan">
      <formula>0</formula>
    </cfRule>
  </conditionalFormatting>
  <conditionalFormatting sqref="FI20">
    <cfRule type="colorScale" priority="17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O10:FO11">
    <cfRule type="cellIs" dxfId="1193" priority="1735" operator="lessThan">
      <formula>0</formula>
    </cfRule>
    <cfRule type="cellIs" dxfId="1192" priority="1734" operator="equal">
      <formula>0</formula>
    </cfRule>
  </conditionalFormatting>
  <conditionalFormatting sqref="FO15">
    <cfRule type="cellIs" dxfId="1191" priority="1745" operator="lessThan">
      <formula>0</formula>
    </cfRule>
  </conditionalFormatting>
  <conditionalFormatting sqref="FO17:FO18">
    <cfRule type="cellIs" dxfId="1190" priority="1732" operator="equal">
      <formula>0</formula>
    </cfRule>
    <cfRule type="cellIs" dxfId="1189" priority="1733" operator="lessThan">
      <formula>0</formula>
    </cfRule>
  </conditionalFormatting>
  <conditionalFormatting sqref="FQ10:FQ11">
    <cfRule type="cellIs" dxfId="1188" priority="1743" operator="greaterThan">
      <formula>0</formula>
    </cfRule>
    <cfRule type="cellIs" dxfId="1187" priority="1742" operator="lessThan">
      <formula>0</formula>
    </cfRule>
    <cfRule type="cellIs" dxfId="1186" priority="1741" operator="equal">
      <formula>0</formula>
    </cfRule>
  </conditionalFormatting>
  <conditionalFormatting sqref="FQ15 FQ18">
    <cfRule type="cellIs" dxfId="1185" priority="1738" operator="equal">
      <formula>0</formula>
    </cfRule>
    <cfRule type="cellIs" dxfId="1184" priority="1740" operator="greaterThan">
      <formula>0</formula>
    </cfRule>
    <cfRule type="cellIs" dxfId="1183" priority="1739" operator="lessThan">
      <formula>0</formula>
    </cfRule>
  </conditionalFormatting>
  <conditionalFormatting sqref="FS20">
    <cfRule type="colorScale" priority="171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Y10:FY11">
    <cfRule type="cellIs" dxfId="1182" priority="1717" operator="lessThan">
      <formula>0</formula>
    </cfRule>
    <cfRule type="cellIs" dxfId="1181" priority="1716" operator="equal">
      <formula>0</formula>
    </cfRule>
  </conditionalFormatting>
  <conditionalFormatting sqref="FY15">
    <cfRule type="cellIs" dxfId="1180" priority="1727" operator="lessThan">
      <formula>0</formula>
    </cfRule>
  </conditionalFormatting>
  <conditionalFormatting sqref="FY17:FY18">
    <cfRule type="cellIs" dxfId="1179" priority="1715" operator="lessThan">
      <formula>0</formula>
    </cfRule>
    <cfRule type="cellIs" dxfId="1178" priority="1714" operator="equal">
      <formula>0</formula>
    </cfRule>
  </conditionalFormatting>
  <conditionalFormatting sqref="GA10:GA11">
    <cfRule type="cellIs" dxfId="1177" priority="1724" operator="lessThan">
      <formula>0</formula>
    </cfRule>
    <cfRule type="cellIs" dxfId="1176" priority="1725" operator="greaterThan">
      <formula>0</formula>
    </cfRule>
    <cfRule type="cellIs" dxfId="1175" priority="1723" operator="equal">
      <formula>0</formula>
    </cfRule>
  </conditionalFormatting>
  <conditionalFormatting sqref="GA15 GA18">
    <cfRule type="cellIs" dxfId="1174" priority="1720" operator="equal">
      <formula>0</formula>
    </cfRule>
    <cfRule type="cellIs" dxfId="1173" priority="1721" operator="lessThan">
      <formula>0</formula>
    </cfRule>
    <cfRule type="cellIs" dxfId="1172" priority="1722" operator="greaterThan">
      <formula>0</formula>
    </cfRule>
  </conditionalFormatting>
  <conditionalFormatting sqref="GC20">
    <cfRule type="colorScale" priority="16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I10:GI11">
    <cfRule type="cellIs" dxfId="1171" priority="1699" operator="lessThan">
      <formula>0</formula>
    </cfRule>
    <cfRule type="cellIs" dxfId="1170" priority="1698" operator="equal">
      <formula>0</formula>
    </cfRule>
  </conditionalFormatting>
  <conditionalFormatting sqref="GI15">
    <cfRule type="cellIs" dxfId="1169" priority="1709" operator="lessThan">
      <formula>0</formula>
    </cfRule>
  </conditionalFormatting>
  <conditionalFormatting sqref="GI17:GI18">
    <cfRule type="cellIs" dxfId="1168" priority="1697" operator="lessThan">
      <formula>0</formula>
    </cfRule>
    <cfRule type="cellIs" dxfId="1167" priority="1696" operator="equal">
      <formula>0</formula>
    </cfRule>
  </conditionalFormatting>
  <conditionalFormatting sqref="GK10:GK11">
    <cfRule type="cellIs" dxfId="1166" priority="1707" operator="greaterThan">
      <formula>0</formula>
    </cfRule>
    <cfRule type="cellIs" dxfId="1165" priority="1705" operator="equal">
      <formula>0</formula>
    </cfRule>
    <cfRule type="cellIs" dxfId="1164" priority="1706" operator="lessThan">
      <formula>0</formula>
    </cfRule>
  </conditionalFormatting>
  <conditionalFormatting sqref="GK15 GK18">
    <cfRule type="cellIs" dxfId="1163" priority="1704" operator="greaterThan">
      <formula>0</formula>
    </cfRule>
    <cfRule type="cellIs" dxfId="1162" priority="1703" operator="lessThan">
      <formula>0</formula>
    </cfRule>
    <cfRule type="cellIs" dxfId="1161" priority="1702" operator="equal">
      <formula>0</formula>
    </cfRule>
  </conditionalFormatting>
  <conditionalFormatting sqref="GM20">
    <cfRule type="colorScale" priority="167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S10:GS11">
    <cfRule type="cellIs" dxfId="1160" priority="1681" operator="lessThan">
      <formula>0</formula>
    </cfRule>
    <cfRule type="cellIs" dxfId="1159" priority="1680" operator="equal">
      <formula>0</formula>
    </cfRule>
  </conditionalFormatting>
  <conditionalFormatting sqref="GS15">
    <cfRule type="cellIs" dxfId="1158" priority="1691" operator="equal">
      <formula>0</formula>
    </cfRule>
  </conditionalFormatting>
  <conditionalFormatting sqref="GS17:GS18">
    <cfRule type="cellIs" dxfId="1157" priority="1679" operator="lessThan">
      <formula>0</formula>
    </cfRule>
    <cfRule type="cellIs" dxfId="1156" priority="1678" operator="equal">
      <formula>0</formula>
    </cfRule>
  </conditionalFormatting>
  <conditionalFormatting sqref="GU10:GU11 HE10:HE11 HO10:HO11">
    <cfRule type="cellIs" dxfId="1155" priority="1689" operator="greaterThan">
      <formula>0</formula>
    </cfRule>
    <cfRule type="cellIs" dxfId="1154" priority="1687" operator="equal">
      <formula>0</formula>
    </cfRule>
    <cfRule type="cellIs" dxfId="1153" priority="1688" operator="lessThan">
      <formula>0</formula>
    </cfRule>
  </conditionalFormatting>
  <conditionalFormatting sqref="GU15 HE15 HO15 GU18 HE18 HO18">
    <cfRule type="cellIs" dxfId="1152" priority="1685" operator="lessThan">
      <formula>0</formula>
    </cfRule>
    <cfRule type="cellIs" dxfId="1151" priority="1686" operator="greaterThan">
      <formula>0</formula>
    </cfRule>
    <cfRule type="cellIs" dxfId="1150" priority="1684" operator="equal">
      <formula>0</formula>
    </cfRule>
  </conditionalFormatting>
  <conditionalFormatting sqref="GW20">
    <cfRule type="colorScale" priority="166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C10:HC11">
    <cfRule type="cellIs" dxfId="1149" priority="1672" operator="equal">
      <formula>0</formula>
    </cfRule>
    <cfRule type="cellIs" dxfId="1148" priority="1673" operator="lessThan">
      <formula>0</formula>
    </cfRule>
  </conditionalFormatting>
  <conditionalFormatting sqref="HC15">
    <cfRule type="cellIs" dxfId="1147" priority="1676" operator="equal">
      <formula>0</formula>
    </cfRule>
  </conditionalFormatting>
  <conditionalFormatting sqref="HC17:HC18">
    <cfRule type="cellIs" dxfId="1146" priority="1671" operator="lessThan">
      <formula>0</formula>
    </cfRule>
    <cfRule type="cellIs" dxfId="1145" priority="1670" operator="equal">
      <formula>0</formula>
    </cfRule>
  </conditionalFormatting>
  <conditionalFormatting sqref="HG20">
    <cfRule type="colorScale" priority="166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M10:HM11">
    <cfRule type="cellIs" dxfId="1144" priority="1665" operator="lessThan">
      <formula>0</formula>
    </cfRule>
    <cfRule type="cellIs" dxfId="1143" priority="1664" operator="equal">
      <formula>0</formula>
    </cfRule>
  </conditionalFormatting>
  <conditionalFormatting sqref="HM15">
    <cfRule type="cellIs" dxfId="1142" priority="1668" operator="equal">
      <formula>0</formula>
    </cfRule>
  </conditionalFormatting>
  <conditionalFormatting sqref="HM17:HM18">
    <cfRule type="cellIs" dxfId="1141" priority="1663" operator="lessThan">
      <formula>0</formula>
    </cfRule>
    <cfRule type="cellIs" dxfId="1140" priority="1662" operator="equal">
      <formula>0</formula>
    </cfRule>
  </conditionalFormatting>
  <conditionalFormatting sqref="HQ20">
    <cfRule type="colorScale" priority="16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W10:HW11">
    <cfRule type="cellIs" dxfId="1139" priority="1647" operator="lessThan">
      <formula>0</formula>
    </cfRule>
    <cfRule type="cellIs" dxfId="1138" priority="1646" operator="equal">
      <formula>0</formula>
    </cfRule>
  </conditionalFormatting>
  <conditionalFormatting sqref="HW15">
    <cfRule type="cellIs" dxfId="1137" priority="1657" operator="equal">
      <formula>0</formula>
    </cfRule>
  </conditionalFormatting>
  <conditionalFormatting sqref="HW17:HW18">
    <cfRule type="cellIs" dxfId="1136" priority="1645" operator="lessThan">
      <formula>0</formula>
    </cfRule>
    <cfRule type="cellIs" dxfId="1135" priority="1644" operator="equal">
      <formula>0</formula>
    </cfRule>
  </conditionalFormatting>
  <conditionalFormatting sqref="HY10:HY11">
    <cfRule type="cellIs" dxfId="1134" priority="1655" operator="greaterThan">
      <formula>0</formula>
    </cfRule>
    <cfRule type="cellIs" dxfId="1133" priority="1654" operator="lessThan">
      <formula>0</formula>
    </cfRule>
    <cfRule type="cellIs" dxfId="1132" priority="1653" operator="equal">
      <formula>0</formula>
    </cfRule>
  </conditionalFormatting>
  <conditionalFormatting sqref="HY15 HY18">
    <cfRule type="cellIs" dxfId="1131" priority="1650" operator="equal">
      <formula>0</formula>
    </cfRule>
    <cfRule type="cellIs" dxfId="1130" priority="1651" operator="lessThan">
      <formula>0</formula>
    </cfRule>
    <cfRule type="cellIs" dxfId="1129" priority="1652" operator="greaterThan">
      <formula>0</formula>
    </cfRule>
  </conditionalFormatting>
  <conditionalFormatting sqref="IA20">
    <cfRule type="colorScale" priority="162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G10:IG11">
    <cfRule type="cellIs" dxfId="1128" priority="1628" operator="equal">
      <formula>0</formula>
    </cfRule>
    <cfRule type="cellIs" dxfId="1127" priority="1629" operator="lessThan">
      <formula>0</formula>
    </cfRule>
  </conditionalFormatting>
  <conditionalFormatting sqref="IG15">
    <cfRule type="cellIs" dxfId="1126" priority="1639" operator="equal">
      <formula>0</formula>
    </cfRule>
  </conditionalFormatting>
  <conditionalFormatting sqref="IG17:IG18">
    <cfRule type="cellIs" dxfId="1125" priority="1626" operator="equal">
      <formula>0</formula>
    </cfRule>
    <cfRule type="cellIs" dxfId="1124" priority="1627" operator="lessThan">
      <formula>0</formula>
    </cfRule>
  </conditionalFormatting>
  <conditionalFormatting sqref="II10:II11">
    <cfRule type="cellIs" dxfId="1123" priority="1637" operator="greaterThan">
      <formula>0</formula>
    </cfRule>
    <cfRule type="cellIs" dxfId="1122" priority="1636" operator="lessThan">
      <formula>0</formula>
    </cfRule>
    <cfRule type="cellIs" dxfId="1121" priority="1635" operator="equal">
      <formula>0</formula>
    </cfRule>
  </conditionalFormatting>
  <conditionalFormatting sqref="II15 II18">
    <cfRule type="cellIs" dxfId="1120" priority="1634" operator="greaterThan">
      <formula>0</formula>
    </cfRule>
    <cfRule type="cellIs" dxfId="1119" priority="1633" operator="lessThan">
      <formula>0</formula>
    </cfRule>
    <cfRule type="cellIs" dxfId="1118" priority="1632" operator="equal">
      <formula>0</formula>
    </cfRule>
  </conditionalFormatting>
  <conditionalFormatting sqref="IK20">
    <cfRule type="colorScale" priority="16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Q10:IQ11">
    <cfRule type="cellIs" dxfId="1117" priority="1611" operator="lessThan">
      <formula>0</formula>
    </cfRule>
    <cfRule type="cellIs" dxfId="1116" priority="1610" operator="equal">
      <formula>0</formula>
    </cfRule>
  </conditionalFormatting>
  <conditionalFormatting sqref="IQ15">
    <cfRule type="cellIs" dxfId="1115" priority="1621" operator="equal">
      <formula>0</formula>
    </cfRule>
  </conditionalFormatting>
  <conditionalFormatting sqref="IQ17:IQ18">
    <cfRule type="cellIs" dxfId="1114" priority="1609" operator="lessThan">
      <formula>0</formula>
    </cfRule>
    <cfRule type="cellIs" dxfId="1113" priority="1608" operator="equal">
      <formula>0</formula>
    </cfRule>
  </conditionalFormatting>
  <conditionalFormatting sqref="IS10:IS11">
    <cfRule type="cellIs" dxfId="1112" priority="1619" operator="greaterThan">
      <formula>0</formula>
    </cfRule>
    <cfRule type="cellIs" dxfId="1111" priority="1618" operator="lessThan">
      <formula>0</formula>
    </cfRule>
    <cfRule type="cellIs" dxfId="1110" priority="1617" operator="equal">
      <formula>0</formula>
    </cfRule>
  </conditionalFormatting>
  <conditionalFormatting sqref="IS15 IS18">
    <cfRule type="cellIs" dxfId="1109" priority="1616" operator="greaterThan">
      <formula>0</formula>
    </cfRule>
    <cfRule type="cellIs" dxfId="1108" priority="1615" operator="lessThan">
      <formula>0</formula>
    </cfRule>
    <cfRule type="cellIs" dxfId="1107" priority="1614" operator="equal">
      <formula>0</formula>
    </cfRule>
  </conditionalFormatting>
  <conditionalFormatting sqref="IU20">
    <cfRule type="colorScale" priority="15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A10:JA11">
    <cfRule type="cellIs" dxfId="1106" priority="1592" operator="equal">
      <formula>0</formula>
    </cfRule>
    <cfRule type="cellIs" dxfId="1105" priority="1593" operator="lessThan">
      <formula>0</formula>
    </cfRule>
  </conditionalFormatting>
  <conditionalFormatting sqref="JA15">
    <cfRule type="cellIs" dxfId="1104" priority="1603" operator="equal">
      <formula>0</formula>
    </cfRule>
  </conditionalFormatting>
  <conditionalFormatting sqref="JA17:JA18">
    <cfRule type="cellIs" dxfId="1103" priority="1591" operator="lessThan">
      <formula>0</formula>
    </cfRule>
    <cfRule type="cellIs" dxfId="1102" priority="1590" operator="equal">
      <formula>0</formula>
    </cfRule>
  </conditionalFormatting>
  <conditionalFormatting sqref="JC10:JC11">
    <cfRule type="cellIs" dxfId="1101" priority="1601" operator="greaterThan">
      <formula>0</formula>
    </cfRule>
    <cfRule type="cellIs" dxfId="1100" priority="1600" operator="lessThan">
      <formula>0</formula>
    </cfRule>
    <cfRule type="cellIs" dxfId="1099" priority="1599" operator="equal">
      <formula>0</formula>
    </cfRule>
  </conditionalFormatting>
  <conditionalFormatting sqref="JC15 JC18">
    <cfRule type="cellIs" dxfId="1098" priority="1598" operator="greaterThan">
      <formula>0</formula>
    </cfRule>
    <cfRule type="cellIs" dxfId="1097" priority="1597" operator="lessThan">
      <formula>0</formula>
    </cfRule>
    <cfRule type="cellIs" dxfId="1096" priority="1596" operator="equal">
      <formula>0</formula>
    </cfRule>
  </conditionalFormatting>
  <conditionalFormatting sqref="JE20">
    <cfRule type="colorScale" priority="15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K10:JK11">
    <cfRule type="cellIs" dxfId="1095" priority="1575" operator="lessThan">
      <formula>0</formula>
    </cfRule>
    <cfRule type="cellIs" dxfId="1094" priority="1574" operator="equal">
      <formula>0</formula>
    </cfRule>
  </conditionalFormatting>
  <conditionalFormatting sqref="JK15">
    <cfRule type="cellIs" dxfId="1093" priority="1585" operator="equal">
      <formula>0</formula>
    </cfRule>
  </conditionalFormatting>
  <conditionalFormatting sqref="JK17:JK18">
    <cfRule type="cellIs" dxfId="1092" priority="1573" operator="lessThan">
      <formula>0</formula>
    </cfRule>
    <cfRule type="cellIs" dxfId="1091" priority="1572" operator="equal">
      <formula>0</formula>
    </cfRule>
  </conditionalFormatting>
  <conditionalFormatting sqref="JM10:JM11">
    <cfRule type="cellIs" dxfId="1090" priority="1583" operator="greaterThan">
      <formula>0</formula>
    </cfRule>
    <cfRule type="cellIs" dxfId="1089" priority="1582" operator="lessThan">
      <formula>0</formula>
    </cfRule>
    <cfRule type="cellIs" dxfId="1088" priority="1581" operator="equal">
      <formula>0</formula>
    </cfRule>
  </conditionalFormatting>
  <conditionalFormatting sqref="JM15 JM18">
    <cfRule type="cellIs" dxfId="1087" priority="1580" operator="greaterThan">
      <formula>0</formula>
    </cfRule>
    <cfRule type="cellIs" dxfId="1086" priority="1579" operator="lessThan">
      <formula>0</formula>
    </cfRule>
    <cfRule type="cellIs" dxfId="1085" priority="1578" operator="equal">
      <formula>0</formula>
    </cfRule>
  </conditionalFormatting>
  <conditionalFormatting sqref="JO20">
    <cfRule type="colorScale" priority="155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U10:JU11">
    <cfRule type="cellIs" dxfId="1084" priority="1556" operator="equal">
      <formula>0</formula>
    </cfRule>
    <cfRule type="cellIs" dxfId="1083" priority="1557" operator="lessThan">
      <formula>0</formula>
    </cfRule>
  </conditionalFormatting>
  <conditionalFormatting sqref="JU15">
    <cfRule type="cellIs" dxfId="1082" priority="1567" operator="equal">
      <formula>0</formula>
    </cfRule>
  </conditionalFormatting>
  <conditionalFormatting sqref="JU17:JU18">
    <cfRule type="cellIs" dxfId="1081" priority="1554" operator="equal">
      <formula>0</formula>
    </cfRule>
    <cfRule type="cellIs" dxfId="1080" priority="1555" operator="lessThan">
      <formula>0</formula>
    </cfRule>
  </conditionalFormatting>
  <conditionalFormatting sqref="JW10:JW11">
    <cfRule type="cellIs" dxfId="1079" priority="1565" operator="greaterThan">
      <formula>0</formula>
    </cfRule>
    <cfRule type="cellIs" dxfId="1078" priority="1563" operator="equal">
      <formula>0</formula>
    </cfRule>
    <cfRule type="cellIs" dxfId="1077" priority="1564" operator="lessThan">
      <formula>0</formula>
    </cfRule>
  </conditionalFormatting>
  <conditionalFormatting sqref="JW15 JW18">
    <cfRule type="cellIs" dxfId="1076" priority="1560" operator="equal">
      <formula>0</formula>
    </cfRule>
    <cfRule type="cellIs" dxfId="1075" priority="1562" operator="greaterThan">
      <formula>0</formula>
    </cfRule>
    <cfRule type="cellIs" dxfId="1074" priority="1561" operator="lessThan">
      <formula>0</formula>
    </cfRule>
  </conditionalFormatting>
  <conditionalFormatting sqref="JY20">
    <cfRule type="colorScale" priority="15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E10:KE11">
    <cfRule type="cellIs" dxfId="1073" priority="1539" operator="lessThan">
      <formula>0</formula>
    </cfRule>
    <cfRule type="cellIs" dxfId="1072" priority="1538" operator="equal">
      <formula>0</formula>
    </cfRule>
  </conditionalFormatting>
  <conditionalFormatting sqref="KE15">
    <cfRule type="cellIs" dxfId="1071" priority="1549" operator="equal">
      <formula>0</formula>
    </cfRule>
  </conditionalFormatting>
  <conditionalFormatting sqref="KE17:KE18">
    <cfRule type="cellIs" dxfId="1070" priority="1537" operator="lessThan">
      <formula>0</formula>
    </cfRule>
    <cfRule type="cellIs" dxfId="1069" priority="1536" operator="equal">
      <formula>0</formula>
    </cfRule>
  </conditionalFormatting>
  <conditionalFormatting sqref="KG10:KG11">
    <cfRule type="cellIs" dxfId="1068" priority="1547" operator="greaterThan">
      <formula>0</formula>
    </cfRule>
    <cfRule type="cellIs" dxfId="1067" priority="1546" operator="lessThan">
      <formula>0</formula>
    </cfRule>
    <cfRule type="cellIs" dxfId="1066" priority="1545" operator="equal">
      <formula>0</formula>
    </cfRule>
  </conditionalFormatting>
  <conditionalFormatting sqref="KG15 KG18">
    <cfRule type="cellIs" dxfId="1065" priority="1544" operator="greaterThan">
      <formula>0</formula>
    </cfRule>
    <cfRule type="cellIs" dxfId="1064" priority="1542" operator="equal">
      <formula>0</formula>
    </cfRule>
    <cfRule type="cellIs" dxfId="1063" priority="1543" operator="lessThan">
      <formula>0</formula>
    </cfRule>
  </conditionalFormatting>
  <conditionalFormatting sqref="KI20">
    <cfRule type="colorScale" priority="151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O10:KO11">
    <cfRule type="cellIs" dxfId="1062" priority="1521" operator="lessThan">
      <formula>0</formula>
    </cfRule>
    <cfRule type="cellIs" dxfId="1061" priority="1520" operator="equal">
      <formula>0</formula>
    </cfRule>
  </conditionalFormatting>
  <conditionalFormatting sqref="KO15">
    <cfRule type="cellIs" dxfId="1060" priority="1531" operator="equal">
      <formula>0</formula>
    </cfRule>
  </conditionalFormatting>
  <conditionalFormatting sqref="KO17:KO18">
    <cfRule type="cellIs" dxfId="1059" priority="1518" operator="equal">
      <formula>0</formula>
    </cfRule>
    <cfRule type="cellIs" dxfId="1058" priority="1519" operator="lessThan">
      <formula>0</formula>
    </cfRule>
  </conditionalFormatting>
  <conditionalFormatting sqref="KQ10:KQ11">
    <cfRule type="cellIs" dxfId="1057" priority="1527" operator="equal">
      <formula>0</formula>
    </cfRule>
    <cfRule type="cellIs" dxfId="1056" priority="1528" operator="lessThan">
      <formula>0</formula>
    </cfRule>
    <cfRule type="cellIs" dxfId="1055" priority="1529" operator="greaterThan">
      <formula>0</formula>
    </cfRule>
  </conditionalFormatting>
  <conditionalFormatting sqref="KQ15 KQ18">
    <cfRule type="cellIs" dxfId="1054" priority="1524" operator="equal">
      <formula>0</formula>
    </cfRule>
    <cfRule type="cellIs" dxfId="1053" priority="1525" operator="lessThan">
      <formula>0</formula>
    </cfRule>
    <cfRule type="cellIs" dxfId="1052" priority="1526" operator="greaterThan">
      <formula>0</formula>
    </cfRule>
  </conditionalFormatting>
  <conditionalFormatting sqref="KS20">
    <cfRule type="colorScale" priority="14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Y10:KY11">
    <cfRule type="cellIs" dxfId="1051" priority="1503" operator="lessThan">
      <formula>0</formula>
    </cfRule>
    <cfRule type="cellIs" dxfId="1050" priority="1502" operator="equal">
      <formula>0</formula>
    </cfRule>
  </conditionalFormatting>
  <conditionalFormatting sqref="KY15">
    <cfRule type="cellIs" dxfId="1049" priority="1513" operator="lessThan">
      <formula>0</formula>
    </cfRule>
  </conditionalFormatting>
  <conditionalFormatting sqref="KY17:KY18">
    <cfRule type="cellIs" dxfId="1048" priority="1501" operator="lessThan">
      <formula>0</formula>
    </cfRule>
    <cfRule type="cellIs" dxfId="1047" priority="1500" operator="equal">
      <formula>0</formula>
    </cfRule>
  </conditionalFormatting>
  <conditionalFormatting sqref="LA10:LA11">
    <cfRule type="cellIs" dxfId="1046" priority="1511" operator="greaterThan">
      <formula>0</formula>
    </cfRule>
    <cfRule type="cellIs" dxfId="1045" priority="1510" operator="lessThan">
      <formula>0</formula>
    </cfRule>
    <cfRule type="cellIs" dxfId="1044" priority="1509" operator="equal">
      <formula>0</formula>
    </cfRule>
  </conditionalFormatting>
  <conditionalFormatting sqref="LA15 LA18">
    <cfRule type="cellIs" dxfId="1043" priority="1508" operator="greaterThan">
      <formula>0</formula>
    </cfRule>
    <cfRule type="cellIs" dxfId="1042" priority="1507" operator="lessThan">
      <formula>0</formula>
    </cfRule>
    <cfRule type="cellIs" dxfId="1041" priority="1506" operator="equal">
      <formula>0</formula>
    </cfRule>
  </conditionalFormatting>
  <conditionalFormatting sqref="LC20">
    <cfRule type="colorScale" priority="148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I10:LI11">
    <cfRule type="cellIs" dxfId="1040" priority="1484" operator="equal">
      <formula>0</formula>
    </cfRule>
    <cfRule type="cellIs" dxfId="1039" priority="1485" operator="lessThan">
      <formula>0</formula>
    </cfRule>
  </conditionalFormatting>
  <conditionalFormatting sqref="LI15">
    <cfRule type="cellIs" dxfId="1038" priority="1495" operator="equal">
      <formula>0</formula>
    </cfRule>
  </conditionalFormatting>
  <conditionalFormatting sqref="LI17:LI18">
    <cfRule type="cellIs" dxfId="1037" priority="1483" operator="lessThan">
      <formula>0</formula>
    </cfRule>
    <cfRule type="cellIs" dxfId="1036" priority="1482" operator="equal">
      <formula>0</formula>
    </cfRule>
  </conditionalFormatting>
  <conditionalFormatting sqref="LK10:LK11">
    <cfRule type="cellIs" dxfId="1035" priority="1492" operator="lessThan">
      <formula>0</formula>
    </cfRule>
    <cfRule type="cellIs" dxfId="1034" priority="1493" operator="greaterThan">
      <formula>0</formula>
    </cfRule>
    <cfRule type="cellIs" dxfId="1033" priority="1491" operator="equal">
      <formula>0</formula>
    </cfRule>
  </conditionalFormatting>
  <conditionalFormatting sqref="LK15 LK18">
    <cfRule type="cellIs" dxfId="1032" priority="1490" operator="greaterThan">
      <formula>0</formula>
    </cfRule>
    <cfRule type="cellIs" dxfId="1031" priority="1489" operator="lessThan">
      <formula>0</formula>
    </cfRule>
    <cfRule type="cellIs" dxfId="1030" priority="1488" operator="equal">
      <formula>0</formula>
    </cfRule>
  </conditionalFormatting>
  <conditionalFormatting sqref="LM20">
    <cfRule type="colorScale" priority="14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S10:LS11">
    <cfRule type="cellIs" dxfId="1029" priority="1467" operator="lessThan">
      <formula>0</formula>
    </cfRule>
    <cfRule type="cellIs" dxfId="1028" priority="1466" operator="equal">
      <formula>0</formula>
    </cfRule>
  </conditionalFormatting>
  <conditionalFormatting sqref="LS15">
    <cfRule type="cellIs" dxfId="1027" priority="1477" operator="lessThan">
      <formula>0</formula>
    </cfRule>
  </conditionalFormatting>
  <conditionalFormatting sqref="LS17:LS18">
    <cfRule type="cellIs" dxfId="1026" priority="1464" operator="equal">
      <formula>0</formula>
    </cfRule>
    <cfRule type="cellIs" dxfId="1025" priority="1465" operator="lessThan">
      <formula>0</formula>
    </cfRule>
  </conditionalFormatting>
  <conditionalFormatting sqref="LU10:LU11">
    <cfRule type="cellIs" dxfId="1024" priority="1473" operator="equal">
      <formula>0</formula>
    </cfRule>
    <cfRule type="cellIs" dxfId="1023" priority="1474" operator="lessThan">
      <formula>0</formula>
    </cfRule>
    <cfRule type="cellIs" dxfId="1022" priority="1475" operator="greaterThan">
      <formula>0</formula>
    </cfRule>
  </conditionalFormatting>
  <conditionalFormatting sqref="LU15 LU18">
    <cfRule type="cellIs" dxfId="1021" priority="1472" operator="greaterThan">
      <formula>0</formula>
    </cfRule>
    <cfRule type="cellIs" dxfId="1020" priority="1471" operator="lessThan">
      <formula>0</formula>
    </cfRule>
    <cfRule type="cellIs" dxfId="1019" priority="1470" operator="equal">
      <formula>0</formula>
    </cfRule>
  </conditionalFormatting>
  <conditionalFormatting sqref="LW20">
    <cfRule type="colorScale" priority="144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C10:MC11">
    <cfRule type="cellIs" dxfId="1018" priority="1449" operator="lessThan">
      <formula>0</formula>
    </cfRule>
    <cfRule type="cellIs" dxfId="1017" priority="1448" operator="equal">
      <formula>0</formula>
    </cfRule>
  </conditionalFormatting>
  <conditionalFormatting sqref="MC15">
    <cfRule type="cellIs" dxfId="1016" priority="1459" operator="lessThan">
      <formula>0</formula>
    </cfRule>
  </conditionalFormatting>
  <conditionalFormatting sqref="MC17:MC18">
    <cfRule type="cellIs" dxfId="1015" priority="1446" operator="equal">
      <formula>0</formula>
    </cfRule>
    <cfRule type="cellIs" dxfId="1014" priority="1447" operator="lessThan">
      <formula>0</formula>
    </cfRule>
  </conditionalFormatting>
  <conditionalFormatting sqref="ME10:ME11">
    <cfRule type="cellIs" dxfId="1013" priority="1455" operator="equal">
      <formula>0</formula>
    </cfRule>
    <cfRule type="cellIs" dxfId="1012" priority="1456" operator="lessThan">
      <formula>0</formula>
    </cfRule>
    <cfRule type="cellIs" dxfId="1011" priority="1457" operator="greaterThan">
      <formula>0</formula>
    </cfRule>
  </conditionalFormatting>
  <conditionalFormatting sqref="ME15 ME18">
    <cfRule type="cellIs" dxfId="1010" priority="1453" operator="lessThan">
      <formula>0</formula>
    </cfRule>
    <cfRule type="cellIs" dxfId="1009" priority="1452" operator="equal">
      <formula>0</formula>
    </cfRule>
    <cfRule type="cellIs" dxfId="1008" priority="1454" operator="greaterThan">
      <formula>0</formula>
    </cfRule>
  </conditionalFormatting>
  <conditionalFormatting sqref="MG20">
    <cfRule type="colorScale" priority="14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M10:MM11">
    <cfRule type="cellIs" dxfId="1007" priority="1431" operator="lessThan">
      <formula>0</formula>
    </cfRule>
    <cfRule type="cellIs" dxfId="1006" priority="1430" operator="equal">
      <formula>0</formula>
    </cfRule>
  </conditionalFormatting>
  <conditionalFormatting sqref="MM15">
    <cfRule type="cellIs" dxfId="1005" priority="1441" operator="lessThan">
      <formula>0</formula>
    </cfRule>
  </conditionalFormatting>
  <conditionalFormatting sqref="MM17:MM18">
    <cfRule type="cellIs" dxfId="1004" priority="1429" operator="lessThan">
      <formula>0</formula>
    </cfRule>
    <cfRule type="cellIs" dxfId="1003" priority="1428" operator="equal">
      <formula>0</formula>
    </cfRule>
  </conditionalFormatting>
  <conditionalFormatting sqref="MO10:MO11">
    <cfRule type="cellIs" dxfId="1002" priority="1439" operator="greaterThan">
      <formula>0</formula>
    </cfRule>
    <cfRule type="cellIs" dxfId="1001" priority="1438" operator="lessThan">
      <formula>0</formula>
    </cfRule>
    <cfRule type="cellIs" dxfId="1000" priority="1437" operator="equal">
      <formula>0</formula>
    </cfRule>
  </conditionalFormatting>
  <conditionalFormatting sqref="MO15 MO18">
    <cfRule type="cellIs" dxfId="999" priority="1436" operator="greaterThan">
      <formula>0</formula>
    </cfRule>
    <cfRule type="cellIs" dxfId="998" priority="1435" operator="lessThan">
      <formula>0</formula>
    </cfRule>
    <cfRule type="cellIs" dxfId="997" priority="1434" operator="equal">
      <formula>0</formula>
    </cfRule>
  </conditionalFormatting>
  <conditionalFormatting sqref="MQ20">
    <cfRule type="colorScale" priority="140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W10:MW11">
    <cfRule type="cellIs" dxfId="996" priority="1413" operator="lessThan">
      <formula>0</formula>
    </cfRule>
    <cfRule type="cellIs" dxfId="995" priority="1412" operator="equal">
      <formula>0</formula>
    </cfRule>
  </conditionalFormatting>
  <conditionalFormatting sqref="MW15">
    <cfRule type="cellIs" dxfId="994" priority="1423" operator="lessThan">
      <formula>0</formula>
    </cfRule>
  </conditionalFormatting>
  <conditionalFormatting sqref="MW17:MW18">
    <cfRule type="cellIs" dxfId="993" priority="1411" operator="lessThan">
      <formula>0</formula>
    </cfRule>
    <cfRule type="cellIs" dxfId="992" priority="1410" operator="equal">
      <formula>0</formula>
    </cfRule>
  </conditionalFormatting>
  <conditionalFormatting sqref="MY10:MY11">
    <cfRule type="cellIs" dxfId="991" priority="1421" operator="greaterThan">
      <formula>0</formula>
    </cfRule>
    <cfRule type="cellIs" dxfId="990" priority="1420" operator="lessThan">
      <formula>0</formula>
    </cfRule>
    <cfRule type="cellIs" dxfId="989" priority="1419" operator="equal">
      <formula>0</formula>
    </cfRule>
  </conditionalFormatting>
  <conditionalFormatting sqref="MY15 MY18">
    <cfRule type="cellIs" dxfId="988" priority="1417" operator="lessThan">
      <formula>0</formula>
    </cfRule>
    <cfRule type="cellIs" dxfId="987" priority="1418" operator="greaterThan">
      <formula>0</formula>
    </cfRule>
    <cfRule type="cellIs" dxfId="986" priority="1416" operator="equal">
      <formula>0</formula>
    </cfRule>
  </conditionalFormatting>
  <conditionalFormatting sqref="NA20">
    <cfRule type="colorScale" priority="13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G10:NG11">
    <cfRule type="cellIs" dxfId="985" priority="1395" operator="lessThan">
      <formula>0</formula>
    </cfRule>
    <cfRule type="cellIs" dxfId="984" priority="1394" operator="equal">
      <formula>0</formula>
    </cfRule>
  </conditionalFormatting>
  <conditionalFormatting sqref="NG15">
    <cfRule type="cellIs" dxfId="983" priority="1405" operator="lessThan">
      <formula>0</formula>
    </cfRule>
  </conditionalFormatting>
  <conditionalFormatting sqref="NG17:NG18">
    <cfRule type="cellIs" dxfId="982" priority="1392" operator="equal">
      <formula>0</formula>
    </cfRule>
    <cfRule type="cellIs" dxfId="981" priority="1393" operator="lessThan">
      <formula>0</formula>
    </cfRule>
  </conditionalFormatting>
  <conditionalFormatting sqref="NI10:NI11">
    <cfRule type="cellIs" dxfId="980" priority="1403" operator="greaterThan">
      <formula>0</formula>
    </cfRule>
    <cfRule type="cellIs" dxfId="979" priority="1402" operator="lessThan">
      <formula>0</formula>
    </cfRule>
    <cfRule type="cellIs" dxfId="978" priority="1401" operator="equal">
      <formula>0</formula>
    </cfRule>
  </conditionalFormatting>
  <conditionalFormatting sqref="NI15 NI18">
    <cfRule type="cellIs" dxfId="977" priority="1400" operator="greaterThan">
      <formula>0</formula>
    </cfRule>
    <cfRule type="cellIs" dxfId="976" priority="1399" operator="lessThan">
      <formula>0</formula>
    </cfRule>
    <cfRule type="cellIs" dxfId="975" priority="1398" operator="equal">
      <formula>0</formula>
    </cfRule>
  </conditionalFormatting>
  <conditionalFormatting sqref="NK20">
    <cfRule type="colorScale" priority="13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Q10:NQ11">
    <cfRule type="cellIs" dxfId="974" priority="1377" operator="lessThan">
      <formula>0</formula>
    </cfRule>
    <cfRule type="cellIs" dxfId="973" priority="1376" operator="equal">
      <formula>0</formula>
    </cfRule>
  </conditionalFormatting>
  <conditionalFormatting sqref="NQ15">
    <cfRule type="cellIs" dxfId="972" priority="1387" operator="lessThan">
      <formula>0</formula>
    </cfRule>
  </conditionalFormatting>
  <conditionalFormatting sqref="NQ17:NQ18">
    <cfRule type="cellIs" dxfId="971" priority="1374" operator="equal">
      <formula>0</formula>
    </cfRule>
    <cfRule type="cellIs" dxfId="970" priority="1375" operator="lessThan">
      <formula>0</formula>
    </cfRule>
  </conditionalFormatting>
  <conditionalFormatting sqref="NS10:NS11">
    <cfRule type="cellIs" dxfId="969" priority="1385" operator="greaterThan">
      <formula>0</formula>
    </cfRule>
    <cfRule type="cellIs" dxfId="968" priority="1384" operator="lessThan">
      <formula>0</formula>
    </cfRule>
    <cfRule type="cellIs" dxfId="967" priority="1383" operator="equal">
      <formula>0</formula>
    </cfRule>
  </conditionalFormatting>
  <conditionalFormatting sqref="NS15 NS18">
    <cfRule type="cellIs" dxfId="966" priority="1382" operator="greaterThan">
      <formula>0</formula>
    </cfRule>
    <cfRule type="cellIs" dxfId="965" priority="1380" operator="equal">
      <formula>0</formula>
    </cfRule>
    <cfRule type="cellIs" dxfId="964" priority="1381" operator="lessThan">
      <formula>0</formula>
    </cfRule>
  </conditionalFormatting>
  <conditionalFormatting sqref="NU20">
    <cfRule type="colorScale" priority="13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A10:OA11">
    <cfRule type="cellIs" dxfId="963" priority="1359" operator="lessThan">
      <formula>0</formula>
    </cfRule>
    <cfRule type="cellIs" dxfId="962" priority="1358" operator="equal">
      <formula>0</formula>
    </cfRule>
  </conditionalFormatting>
  <conditionalFormatting sqref="OA15">
    <cfRule type="cellIs" dxfId="961" priority="1369" operator="lessThan">
      <formula>0</formula>
    </cfRule>
  </conditionalFormatting>
  <conditionalFormatting sqref="OA17:OA18">
    <cfRule type="cellIs" dxfId="960" priority="1357" operator="lessThan">
      <formula>0</formula>
    </cfRule>
    <cfRule type="cellIs" dxfId="959" priority="1356" operator="equal">
      <formula>0</formula>
    </cfRule>
  </conditionalFormatting>
  <conditionalFormatting sqref="OC10:OC11">
    <cfRule type="cellIs" dxfId="958" priority="1367" operator="greaterThan">
      <formula>0</formula>
    </cfRule>
    <cfRule type="cellIs" dxfId="957" priority="1366" operator="lessThan">
      <formula>0</formula>
    </cfRule>
    <cfRule type="cellIs" dxfId="956" priority="1365" operator="equal">
      <formula>0</formula>
    </cfRule>
  </conditionalFormatting>
  <conditionalFormatting sqref="OC15 OC18">
    <cfRule type="cellIs" dxfId="955" priority="1364" operator="greaterThan">
      <formula>0</formula>
    </cfRule>
    <cfRule type="cellIs" dxfId="954" priority="1363" operator="lessThan">
      <formula>0</formula>
    </cfRule>
    <cfRule type="cellIs" dxfId="953" priority="1362" operator="equal">
      <formula>0</formula>
    </cfRule>
  </conditionalFormatting>
  <conditionalFormatting sqref="OE20">
    <cfRule type="colorScale" priority="133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K10:OK11">
    <cfRule type="cellIs" dxfId="952" priority="1341" operator="lessThan">
      <formula>0</formula>
    </cfRule>
    <cfRule type="cellIs" dxfId="951" priority="1340" operator="equal">
      <formula>0</formula>
    </cfRule>
  </conditionalFormatting>
  <conditionalFormatting sqref="OK15">
    <cfRule type="cellIs" dxfId="950" priority="1351" operator="lessThan">
      <formula>0</formula>
    </cfRule>
  </conditionalFormatting>
  <conditionalFormatting sqref="OK17:OK18">
    <cfRule type="cellIs" dxfId="949" priority="1339" operator="lessThan">
      <formula>0</formula>
    </cfRule>
    <cfRule type="cellIs" dxfId="948" priority="1338" operator="equal">
      <formula>0</formula>
    </cfRule>
  </conditionalFormatting>
  <conditionalFormatting sqref="OM10:OM11">
    <cfRule type="cellIs" dxfId="947" priority="1349" operator="greaterThan">
      <formula>0</formula>
    </cfRule>
    <cfRule type="cellIs" dxfId="946" priority="1348" operator="lessThan">
      <formula>0</formula>
    </cfRule>
    <cfRule type="cellIs" dxfId="945" priority="1347" operator="equal">
      <formula>0</formula>
    </cfRule>
  </conditionalFormatting>
  <conditionalFormatting sqref="OM15 OM18">
    <cfRule type="cellIs" dxfId="944" priority="1344" operator="equal">
      <formula>0</formula>
    </cfRule>
    <cfRule type="cellIs" dxfId="943" priority="1345" operator="lessThan">
      <formula>0</formula>
    </cfRule>
    <cfRule type="cellIs" dxfId="942" priority="1346" operator="greaterThan">
      <formula>0</formula>
    </cfRule>
  </conditionalFormatting>
  <conditionalFormatting sqref="OO20">
    <cfRule type="colorScale" priority="13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U10:OU11">
    <cfRule type="cellIs" dxfId="941" priority="1323" operator="lessThan">
      <formula>0</formula>
    </cfRule>
    <cfRule type="cellIs" dxfId="940" priority="1322" operator="equal">
      <formula>0</formula>
    </cfRule>
  </conditionalFormatting>
  <conditionalFormatting sqref="OU15">
    <cfRule type="cellIs" dxfId="939" priority="1333" operator="equal">
      <formula>0</formula>
    </cfRule>
  </conditionalFormatting>
  <conditionalFormatting sqref="OU17:OU18">
    <cfRule type="cellIs" dxfId="938" priority="1321" operator="lessThan">
      <formula>0</formula>
    </cfRule>
    <cfRule type="cellIs" dxfId="937" priority="1320" operator="equal">
      <formula>0</formula>
    </cfRule>
  </conditionalFormatting>
  <conditionalFormatting sqref="OW10:OW11">
    <cfRule type="cellIs" dxfId="936" priority="1330" operator="lessThan">
      <formula>0</formula>
    </cfRule>
    <cfRule type="cellIs" dxfId="935" priority="1329" operator="equal">
      <formula>0</formula>
    </cfRule>
    <cfRule type="cellIs" dxfId="934" priority="1331" operator="greaterThan">
      <formula>0</formula>
    </cfRule>
  </conditionalFormatting>
  <conditionalFormatting sqref="OW15 OW18">
    <cfRule type="cellIs" dxfId="933" priority="1328" operator="greaterThan">
      <formula>0</formula>
    </cfRule>
    <cfRule type="cellIs" dxfId="932" priority="1327" operator="lessThan">
      <formula>0</formula>
    </cfRule>
    <cfRule type="cellIs" dxfId="931" priority="1326" operator="equal">
      <formula>0</formula>
    </cfRule>
  </conditionalFormatting>
  <conditionalFormatting sqref="OY20">
    <cfRule type="colorScale" priority="130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E10:PE11">
    <cfRule type="cellIs" dxfId="930" priority="1305" operator="lessThan">
      <formula>0</formula>
    </cfRule>
    <cfRule type="cellIs" dxfId="929" priority="1304" operator="equal">
      <formula>0</formula>
    </cfRule>
  </conditionalFormatting>
  <conditionalFormatting sqref="PE15">
    <cfRule type="cellIs" dxfId="928" priority="1315" operator="equal">
      <formula>0</formula>
    </cfRule>
  </conditionalFormatting>
  <conditionalFormatting sqref="PE17:PE18">
    <cfRule type="cellIs" dxfId="927" priority="1303" operator="lessThan">
      <formula>0</formula>
    </cfRule>
    <cfRule type="cellIs" dxfId="926" priority="1302" operator="equal">
      <formula>0</formula>
    </cfRule>
  </conditionalFormatting>
  <conditionalFormatting sqref="PG10:PG11">
    <cfRule type="cellIs" dxfId="925" priority="1311" operator="equal">
      <formula>0</formula>
    </cfRule>
    <cfRule type="cellIs" dxfId="924" priority="1313" operator="greaterThan">
      <formula>0</formula>
    </cfRule>
    <cfRule type="cellIs" dxfId="923" priority="1312" operator="lessThan">
      <formula>0</formula>
    </cfRule>
  </conditionalFormatting>
  <conditionalFormatting sqref="PG15 PG18">
    <cfRule type="cellIs" dxfId="922" priority="1309" operator="lessThan">
      <formula>0</formula>
    </cfRule>
    <cfRule type="cellIs" dxfId="921" priority="1308" operator="equal">
      <formula>0</formula>
    </cfRule>
    <cfRule type="cellIs" dxfId="920" priority="1310" operator="greaterThan">
      <formula>0</formula>
    </cfRule>
  </conditionalFormatting>
  <conditionalFormatting sqref="PI20">
    <cfRule type="colorScale" priority="12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O10:PO11">
    <cfRule type="cellIs" dxfId="919" priority="1287" operator="lessThan">
      <formula>0</formula>
    </cfRule>
    <cfRule type="cellIs" dxfId="918" priority="1286" operator="equal">
      <formula>0</formula>
    </cfRule>
  </conditionalFormatting>
  <conditionalFormatting sqref="PO15">
    <cfRule type="cellIs" dxfId="917" priority="1297" operator="equal">
      <formula>0</formula>
    </cfRule>
  </conditionalFormatting>
  <conditionalFormatting sqref="PO17:PO18">
    <cfRule type="cellIs" dxfId="916" priority="1284" operator="equal">
      <formula>0</formula>
    </cfRule>
    <cfRule type="cellIs" dxfId="915" priority="1285" operator="lessThan">
      <formula>0</formula>
    </cfRule>
  </conditionalFormatting>
  <conditionalFormatting sqref="PQ10:PQ11">
    <cfRule type="cellIs" dxfId="914" priority="1294" operator="lessThan">
      <formula>0</formula>
    </cfRule>
    <cfRule type="cellIs" dxfId="913" priority="1293" operator="equal">
      <formula>0</formula>
    </cfRule>
    <cfRule type="cellIs" dxfId="912" priority="1295" operator="greaterThan">
      <formula>0</formula>
    </cfRule>
  </conditionalFormatting>
  <conditionalFormatting sqref="PQ15 PQ18">
    <cfRule type="cellIs" dxfId="911" priority="1292" operator="greaterThan">
      <formula>0</formula>
    </cfRule>
    <cfRule type="cellIs" dxfId="910" priority="1291" operator="lessThan">
      <formula>0</formula>
    </cfRule>
    <cfRule type="cellIs" dxfId="909" priority="1290" operator="equal">
      <formula>0</formula>
    </cfRule>
  </conditionalFormatting>
  <conditionalFormatting sqref="PS20">
    <cfRule type="colorScale" priority="126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Y10:PY11">
    <cfRule type="cellIs" dxfId="908" priority="1268" operator="equal">
      <formula>0</formula>
    </cfRule>
    <cfRule type="cellIs" dxfId="907" priority="1269" operator="lessThan">
      <formula>0</formula>
    </cfRule>
  </conditionalFormatting>
  <conditionalFormatting sqref="PY15">
    <cfRule type="cellIs" dxfId="906" priority="1279" operator="equal">
      <formula>0</formula>
    </cfRule>
  </conditionalFormatting>
  <conditionalFormatting sqref="PY17:PY18">
    <cfRule type="cellIs" dxfId="905" priority="1267" operator="lessThan">
      <formula>0</formula>
    </cfRule>
    <cfRule type="cellIs" dxfId="904" priority="1266" operator="equal">
      <formula>0</formula>
    </cfRule>
  </conditionalFormatting>
  <conditionalFormatting sqref="QA10:QA11">
    <cfRule type="cellIs" dxfId="903" priority="1276" operator="lessThan">
      <formula>0</formula>
    </cfRule>
    <cfRule type="cellIs" dxfId="902" priority="1275" operator="equal">
      <formula>0</formula>
    </cfRule>
    <cfRule type="cellIs" dxfId="901" priority="1277" operator="greaterThan">
      <formula>0</formula>
    </cfRule>
  </conditionalFormatting>
  <conditionalFormatting sqref="QA15 QA18">
    <cfRule type="cellIs" dxfId="900" priority="1274" operator="greaterThan">
      <formula>0</formula>
    </cfRule>
    <cfRule type="cellIs" dxfId="899" priority="1273" operator="lessThan">
      <formula>0</formula>
    </cfRule>
    <cfRule type="cellIs" dxfId="898" priority="1272" operator="equal">
      <formula>0</formula>
    </cfRule>
  </conditionalFormatting>
  <conditionalFormatting sqref="QC20">
    <cfRule type="colorScale" priority="12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I10:QI11">
    <cfRule type="cellIs" dxfId="897" priority="1246" operator="lessThan">
      <formula>0</formula>
    </cfRule>
    <cfRule type="cellIs" dxfId="896" priority="1245" operator="equal">
      <formula>0</formula>
    </cfRule>
  </conditionalFormatting>
  <conditionalFormatting sqref="QI15">
    <cfRule type="cellIs" dxfId="895" priority="1261" operator="lessThan">
      <formula>0</formula>
    </cfRule>
  </conditionalFormatting>
  <conditionalFormatting sqref="QI17:QI18">
    <cfRule type="cellIs" dxfId="894" priority="1249" operator="lessThan">
      <formula>0</formula>
    </cfRule>
    <cfRule type="cellIs" dxfId="893" priority="1248" operator="equal">
      <formula>0</formula>
    </cfRule>
  </conditionalFormatting>
  <conditionalFormatting sqref="QK10:QK11">
    <cfRule type="cellIs" dxfId="892" priority="1259" operator="greaterThan">
      <formula>0</formula>
    </cfRule>
    <cfRule type="cellIs" dxfId="891" priority="1257" operator="equal">
      <formula>0</formula>
    </cfRule>
    <cfRule type="cellIs" dxfId="890" priority="1258" operator="lessThan">
      <formula>0</formula>
    </cfRule>
  </conditionalFormatting>
  <conditionalFormatting sqref="QK15 QK18">
    <cfRule type="cellIs" dxfId="889" priority="1256" operator="greaterThan">
      <formula>0</formula>
    </cfRule>
    <cfRule type="cellIs" dxfId="888" priority="1255" operator="lessThan">
      <formula>0</formula>
    </cfRule>
    <cfRule type="cellIs" dxfId="887" priority="1254" operator="equal">
      <formula>0</formula>
    </cfRule>
  </conditionalFormatting>
  <conditionalFormatting sqref="QM20">
    <cfRule type="colorScale" priority="12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S10:QS11">
    <cfRule type="cellIs" dxfId="886" priority="1230" operator="equal">
      <formula>0</formula>
    </cfRule>
    <cfRule type="cellIs" dxfId="885" priority="1231" operator="lessThan">
      <formula>0</formula>
    </cfRule>
  </conditionalFormatting>
  <conditionalFormatting sqref="QS15">
    <cfRule type="cellIs" dxfId="884" priority="1241" operator="lessThan">
      <formula>0</formula>
    </cfRule>
  </conditionalFormatting>
  <conditionalFormatting sqref="QS17:QS18">
    <cfRule type="cellIs" dxfId="883" priority="1229" operator="lessThan">
      <formula>0</formula>
    </cfRule>
    <cfRule type="cellIs" dxfId="882" priority="1228" operator="equal">
      <formula>0</formula>
    </cfRule>
  </conditionalFormatting>
  <conditionalFormatting sqref="QU10:QU11">
    <cfRule type="cellIs" dxfId="881" priority="1239" operator="greaterThan">
      <formula>0</formula>
    </cfRule>
    <cfRule type="cellIs" dxfId="880" priority="1238" operator="lessThan">
      <formula>0</formula>
    </cfRule>
    <cfRule type="cellIs" dxfId="879" priority="1237" operator="equal">
      <formula>0</formula>
    </cfRule>
  </conditionalFormatting>
  <conditionalFormatting sqref="QU15 QU18">
    <cfRule type="cellIs" dxfId="878" priority="1236" operator="greaterThan">
      <formula>0</formula>
    </cfRule>
    <cfRule type="cellIs" dxfId="877" priority="1235" operator="lessThan">
      <formula>0</formula>
    </cfRule>
    <cfRule type="cellIs" dxfId="876" priority="1234" operator="equal">
      <formula>0</formula>
    </cfRule>
  </conditionalFormatting>
  <conditionalFormatting sqref="QW20">
    <cfRule type="colorScale" priority="120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C10:RC11">
    <cfRule type="cellIs" dxfId="875" priority="1213" operator="lessThan">
      <formula>0</formula>
    </cfRule>
    <cfRule type="cellIs" dxfId="874" priority="1212" operator="equal">
      <formula>0</formula>
    </cfRule>
  </conditionalFormatting>
  <conditionalFormatting sqref="RC15">
    <cfRule type="cellIs" dxfId="873" priority="1223" operator="lessThan">
      <formula>0</formula>
    </cfRule>
  </conditionalFormatting>
  <conditionalFormatting sqref="RC17:RC18">
    <cfRule type="cellIs" dxfId="872" priority="1211" operator="lessThan">
      <formula>0</formula>
    </cfRule>
    <cfRule type="cellIs" dxfId="871" priority="1210" operator="equal">
      <formula>0</formula>
    </cfRule>
  </conditionalFormatting>
  <conditionalFormatting sqref="RE10:RE11">
    <cfRule type="cellIs" dxfId="870" priority="1221" operator="greaterThan">
      <formula>0</formula>
    </cfRule>
    <cfRule type="cellIs" dxfId="869" priority="1220" operator="lessThan">
      <formula>0</formula>
    </cfRule>
    <cfRule type="cellIs" dxfId="868" priority="1219" operator="equal">
      <formula>0</formula>
    </cfRule>
  </conditionalFormatting>
  <conditionalFormatting sqref="RE15 RE18">
    <cfRule type="cellIs" dxfId="867" priority="1218" operator="greaterThan">
      <formula>0</formula>
    </cfRule>
    <cfRule type="cellIs" dxfId="866" priority="1216" operator="equal">
      <formula>0</formula>
    </cfRule>
    <cfRule type="cellIs" dxfId="865" priority="1217" operator="lessThan">
      <formula>0</formula>
    </cfRule>
  </conditionalFormatting>
  <conditionalFormatting sqref="RG20">
    <cfRule type="colorScale" priority="11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M10:RM11">
    <cfRule type="cellIs" dxfId="864" priority="1195" operator="lessThan">
      <formula>0</formula>
    </cfRule>
    <cfRule type="cellIs" dxfId="863" priority="1194" operator="equal">
      <formula>0</formula>
    </cfRule>
  </conditionalFormatting>
  <conditionalFormatting sqref="RM15">
    <cfRule type="cellIs" dxfId="862" priority="1205" operator="lessThan">
      <formula>0</formula>
    </cfRule>
  </conditionalFormatting>
  <conditionalFormatting sqref="RM17:RM18">
    <cfRule type="cellIs" dxfId="861" priority="1193" operator="lessThan">
      <formula>0</formula>
    </cfRule>
    <cfRule type="cellIs" dxfId="860" priority="1192" operator="equal">
      <formula>0</formula>
    </cfRule>
  </conditionalFormatting>
  <conditionalFormatting sqref="RO10:RO11">
    <cfRule type="cellIs" dxfId="859" priority="1202" operator="lessThan">
      <formula>0</formula>
    </cfRule>
    <cfRule type="cellIs" dxfId="858" priority="1203" operator="greaterThan">
      <formula>0</formula>
    </cfRule>
    <cfRule type="cellIs" dxfId="857" priority="1201" operator="equal">
      <formula>0</formula>
    </cfRule>
  </conditionalFormatting>
  <conditionalFormatting sqref="RO15 RO18">
    <cfRule type="cellIs" dxfId="856" priority="1198" operator="equal">
      <formula>0</formula>
    </cfRule>
    <cfRule type="cellIs" dxfId="855" priority="1200" operator="greaterThan">
      <formula>0</formula>
    </cfRule>
    <cfRule type="cellIs" dxfId="854" priority="1199" operator="lessThan">
      <formula>0</formula>
    </cfRule>
  </conditionalFormatting>
  <conditionalFormatting sqref="RQ20">
    <cfRule type="colorScale" priority="11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W10:RW11">
    <cfRule type="cellIs" dxfId="853" priority="1177" operator="lessThan">
      <formula>0</formula>
    </cfRule>
    <cfRule type="cellIs" dxfId="852" priority="1176" operator="equal">
      <formula>0</formula>
    </cfRule>
  </conditionalFormatting>
  <conditionalFormatting sqref="RW15">
    <cfRule type="cellIs" dxfId="851" priority="1187" operator="equal">
      <formula>0</formula>
    </cfRule>
  </conditionalFormatting>
  <conditionalFormatting sqref="RW17:RW18">
    <cfRule type="cellIs" dxfId="850" priority="1175" operator="lessThan">
      <formula>0</formula>
    </cfRule>
    <cfRule type="cellIs" dxfId="849" priority="1174" operator="equal">
      <formula>0</formula>
    </cfRule>
  </conditionalFormatting>
  <conditionalFormatting sqref="RY10:RY11">
    <cfRule type="cellIs" dxfId="848" priority="1184" operator="lessThan">
      <formula>0</formula>
    </cfRule>
    <cfRule type="cellIs" dxfId="847" priority="1183" operator="equal">
      <formula>0</formula>
    </cfRule>
    <cfRule type="cellIs" dxfId="846" priority="1185" operator="greaterThan">
      <formula>0</formula>
    </cfRule>
  </conditionalFormatting>
  <conditionalFormatting sqref="RY15 RY18">
    <cfRule type="cellIs" dxfId="845" priority="1182" operator="greaterThan">
      <formula>0</formula>
    </cfRule>
    <cfRule type="cellIs" dxfId="844" priority="1181" operator="lessThan">
      <formula>0</formula>
    </cfRule>
    <cfRule type="cellIs" dxfId="843" priority="1180" operator="equal">
      <formula>0</formula>
    </cfRule>
  </conditionalFormatting>
  <conditionalFormatting sqref="SA20">
    <cfRule type="colorScale" priority="11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G10:SG11">
    <cfRule type="cellIs" dxfId="842" priority="1159" operator="lessThan">
      <formula>0</formula>
    </cfRule>
    <cfRule type="cellIs" dxfId="841" priority="1158" operator="equal">
      <formula>0</formula>
    </cfRule>
  </conditionalFormatting>
  <conditionalFormatting sqref="SG15">
    <cfRule type="cellIs" dxfId="840" priority="1169" operator="equal">
      <formula>0</formula>
    </cfRule>
  </conditionalFormatting>
  <conditionalFormatting sqref="SG17:SG18">
    <cfRule type="cellIs" dxfId="839" priority="1157" operator="lessThan">
      <formula>0</formula>
    </cfRule>
    <cfRule type="cellIs" dxfId="838" priority="1156" operator="equal">
      <formula>0</formula>
    </cfRule>
  </conditionalFormatting>
  <conditionalFormatting sqref="SI10:SI11">
    <cfRule type="cellIs" dxfId="837" priority="1167" operator="greaterThan">
      <formula>0</formula>
    </cfRule>
    <cfRule type="cellIs" dxfId="836" priority="1166" operator="lessThan">
      <formula>0</formula>
    </cfRule>
    <cfRule type="cellIs" dxfId="835" priority="1165" operator="equal">
      <formula>0</formula>
    </cfRule>
  </conditionalFormatting>
  <conditionalFormatting sqref="SI15 SI18">
    <cfRule type="cellIs" dxfId="834" priority="1163" operator="lessThan">
      <formula>0</formula>
    </cfRule>
    <cfRule type="cellIs" dxfId="833" priority="1164" operator="greaterThan">
      <formula>0</formula>
    </cfRule>
    <cfRule type="cellIs" dxfId="832" priority="1162" operator="equal">
      <formula>0</formula>
    </cfRule>
  </conditionalFormatting>
  <conditionalFormatting sqref="SK20">
    <cfRule type="colorScale" priority="113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Q10:SQ11">
    <cfRule type="cellIs" dxfId="831" priority="1141" operator="lessThan">
      <formula>0</formula>
    </cfRule>
    <cfRule type="cellIs" dxfId="830" priority="1140" operator="equal">
      <formula>0</formula>
    </cfRule>
  </conditionalFormatting>
  <conditionalFormatting sqref="SQ15">
    <cfRule type="cellIs" dxfId="829" priority="1151" operator="lessThan">
      <formula>0</formula>
    </cfRule>
  </conditionalFormatting>
  <conditionalFormatting sqref="SQ17:SQ18">
    <cfRule type="cellIs" dxfId="828" priority="1139" operator="lessThan">
      <formula>0</formula>
    </cfRule>
    <cfRule type="cellIs" dxfId="827" priority="1138" operator="equal">
      <formula>0</formula>
    </cfRule>
  </conditionalFormatting>
  <conditionalFormatting sqref="SS10:SS11">
    <cfRule type="cellIs" dxfId="826" priority="1149" operator="greaterThan">
      <formula>0</formula>
    </cfRule>
    <cfRule type="cellIs" dxfId="825" priority="1148" operator="lessThan">
      <formula>0</formula>
    </cfRule>
    <cfRule type="cellIs" dxfId="824" priority="1147" operator="equal">
      <formula>0</formula>
    </cfRule>
  </conditionalFormatting>
  <conditionalFormatting sqref="SS15 SS18">
    <cfRule type="cellIs" dxfId="823" priority="1146" operator="greaterThan">
      <formula>0</formula>
    </cfRule>
    <cfRule type="cellIs" dxfId="822" priority="1145" operator="lessThan">
      <formula>0</formula>
    </cfRule>
    <cfRule type="cellIs" dxfId="821" priority="1144" operator="equal">
      <formula>0</formula>
    </cfRule>
  </conditionalFormatting>
  <conditionalFormatting sqref="SU20">
    <cfRule type="colorScale" priority="11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A10:TA11">
    <cfRule type="cellIs" dxfId="820" priority="1122" operator="equal">
      <formula>0</formula>
    </cfRule>
    <cfRule type="cellIs" dxfId="819" priority="1123" operator="lessThan">
      <formula>0</formula>
    </cfRule>
  </conditionalFormatting>
  <conditionalFormatting sqref="TA15">
    <cfRule type="cellIs" dxfId="818" priority="1133" operator="equal">
      <formula>0</formula>
    </cfRule>
  </conditionalFormatting>
  <conditionalFormatting sqref="TA17:TA18">
    <cfRule type="cellIs" dxfId="817" priority="1121" operator="lessThan">
      <formula>0</formula>
    </cfRule>
    <cfRule type="cellIs" dxfId="816" priority="1120" operator="equal">
      <formula>0</formula>
    </cfRule>
  </conditionalFormatting>
  <conditionalFormatting sqref="TC10:TC11">
    <cfRule type="cellIs" dxfId="815" priority="1130" operator="lessThan">
      <formula>0</formula>
    </cfRule>
    <cfRule type="cellIs" dxfId="814" priority="1129" operator="equal">
      <formula>0</formula>
    </cfRule>
    <cfRule type="cellIs" dxfId="813" priority="1131" operator="greaterThan">
      <formula>0</formula>
    </cfRule>
  </conditionalFormatting>
  <conditionalFormatting sqref="TC15 TC18">
    <cfRule type="cellIs" dxfId="812" priority="1128" operator="greaterThan">
      <formula>0</formula>
    </cfRule>
    <cfRule type="cellIs" dxfId="811" priority="1127" operator="lessThan">
      <formula>0</formula>
    </cfRule>
    <cfRule type="cellIs" dxfId="810" priority="1126" operator="equal">
      <formula>0</formula>
    </cfRule>
  </conditionalFormatting>
  <conditionalFormatting sqref="TE20">
    <cfRule type="colorScale" priority="110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K10:TK11">
    <cfRule type="cellIs" dxfId="809" priority="1105" operator="lessThan">
      <formula>0</formula>
    </cfRule>
    <cfRule type="cellIs" dxfId="808" priority="1104" operator="equal">
      <formula>0</formula>
    </cfRule>
  </conditionalFormatting>
  <conditionalFormatting sqref="TK15">
    <cfRule type="cellIs" dxfId="807" priority="1115" operator="equal">
      <formula>0</formula>
    </cfRule>
  </conditionalFormatting>
  <conditionalFormatting sqref="TK17:TK18">
    <cfRule type="cellIs" dxfId="806" priority="1103" operator="lessThan">
      <formula>0</formula>
    </cfRule>
    <cfRule type="cellIs" dxfId="805" priority="1102" operator="equal">
      <formula>0</formula>
    </cfRule>
  </conditionalFormatting>
  <conditionalFormatting sqref="TM10:TM11">
    <cfRule type="cellIs" dxfId="804" priority="1113" operator="greaterThan">
      <formula>0</formula>
    </cfRule>
    <cfRule type="cellIs" dxfId="803" priority="1112" operator="lessThan">
      <formula>0</formula>
    </cfRule>
    <cfRule type="cellIs" dxfId="802" priority="1111" operator="equal">
      <formula>0</formula>
    </cfRule>
  </conditionalFormatting>
  <conditionalFormatting sqref="TM15 TM18">
    <cfRule type="cellIs" dxfId="801" priority="1110" operator="greaterThan">
      <formula>0</formula>
    </cfRule>
    <cfRule type="cellIs" dxfId="800" priority="1109" operator="lessThan">
      <formula>0</formula>
    </cfRule>
    <cfRule type="cellIs" dxfId="799" priority="1108" operator="equal">
      <formula>0</formula>
    </cfRule>
  </conditionalFormatting>
  <conditionalFormatting sqref="TO20">
    <cfRule type="colorScale" priority="10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U10:TU11">
    <cfRule type="cellIs" dxfId="798" priority="1087" operator="lessThan">
      <formula>0</formula>
    </cfRule>
    <cfRule type="cellIs" dxfId="797" priority="1086" operator="equal">
      <formula>0</formula>
    </cfRule>
  </conditionalFormatting>
  <conditionalFormatting sqref="TU15">
    <cfRule type="cellIs" dxfId="796" priority="1097" operator="equal">
      <formula>0</formula>
    </cfRule>
  </conditionalFormatting>
  <conditionalFormatting sqref="TU17:TU18">
    <cfRule type="cellIs" dxfId="795" priority="1085" operator="lessThan">
      <formula>0</formula>
    </cfRule>
    <cfRule type="cellIs" dxfId="794" priority="1084" operator="equal">
      <formula>0</formula>
    </cfRule>
  </conditionalFormatting>
  <conditionalFormatting sqref="TW10:TW11">
    <cfRule type="cellIs" dxfId="793" priority="1093" operator="equal">
      <formula>0</formula>
    </cfRule>
    <cfRule type="cellIs" dxfId="792" priority="1095" operator="greaterThan">
      <formula>0</formula>
    </cfRule>
    <cfRule type="cellIs" dxfId="791" priority="1094" operator="lessThan">
      <formula>0</formula>
    </cfRule>
  </conditionalFormatting>
  <conditionalFormatting sqref="TW15 TW18">
    <cfRule type="cellIs" dxfId="790" priority="1092" operator="greaterThan">
      <formula>0</formula>
    </cfRule>
    <cfRule type="cellIs" dxfId="789" priority="1091" operator="lessThan">
      <formula>0</formula>
    </cfRule>
    <cfRule type="cellIs" dxfId="788" priority="1090" operator="equal">
      <formula>0</formula>
    </cfRule>
  </conditionalFormatting>
  <conditionalFormatting sqref="TY20">
    <cfRule type="colorScale" priority="106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E10:UE11">
    <cfRule type="cellIs" dxfId="787" priority="1069" operator="lessThan">
      <formula>0</formula>
    </cfRule>
    <cfRule type="cellIs" dxfId="786" priority="1068" operator="equal">
      <formula>0</formula>
    </cfRule>
  </conditionalFormatting>
  <conditionalFormatting sqref="UE15">
    <cfRule type="cellIs" dxfId="785" priority="1079" operator="equal">
      <formula>0</formula>
    </cfRule>
  </conditionalFormatting>
  <conditionalFormatting sqref="UE17:UE18">
    <cfRule type="cellIs" dxfId="784" priority="1067" operator="lessThan">
      <formula>0</formula>
    </cfRule>
    <cfRule type="cellIs" dxfId="783" priority="1066" operator="equal">
      <formula>0</formula>
    </cfRule>
  </conditionalFormatting>
  <conditionalFormatting sqref="UG10:UG11">
    <cfRule type="cellIs" dxfId="782" priority="1077" operator="greaterThan">
      <formula>0</formula>
    </cfRule>
    <cfRule type="cellIs" dxfId="781" priority="1076" operator="lessThan">
      <formula>0</formula>
    </cfRule>
    <cfRule type="cellIs" dxfId="780" priority="1075" operator="equal">
      <formula>0</formula>
    </cfRule>
  </conditionalFormatting>
  <conditionalFormatting sqref="UG15 UG18">
    <cfRule type="cellIs" dxfId="779" priority="1072" operator="equal">
      <formula>0</formula>
    </cfRule>
    <cfRule type="cellIs" dxfId="778" priority="1073" operator="lessThan">
      <formula>0</formula>
    </cfRule>
    <cfRule type="cellIs" dxfId="777" priority="1074" operator="greaterThan">
      <formula>0</formula>
    </cfRule>
  </conditionalFormatting>
  <conditionalFormatting sqref="UI20">
    <cfRule type="colorScale" priority="10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O10:UO11">
    <cfRule type="cellIs" dxfId="776" priority="1051" operator="lessThan">
      <formula>0</formula>
    </cfRule>
    <cfRule type="cellIs" dxfId="775" priority="1050" operator="equal">
      <formula>0</formula>
    </cfRule>
  </conditionalFormatting>
  <conditionalFormatting sqref="UO15">
    <cfRule type="cellIs" dxfId="774" priority="1061" operator="equal">
      <formula>0</formula>
    </cfRule>
  </conditionalFormatting>
  <conditionalFormatting sqref="UO17:UO18">
    <cfRule type="cellIs" dxfId="773" priority="1049" operator="lessThan">
      <formula>0</formula>
    </cfRule>
    <cfRule type="cellIs" dxfId="772" priority="1048" operator="equal">
      <formula>0</formula>
    </cfRule>
  </conditionalFormatting>
  <conditionalFormatting sqref="UQ10:UQ11">
    <cfRule type="cellIs" dxfId="771" priority="1058" operator="lessThan">
      <formula>0</formula>
    </cfRule>
    <cfRule type="cellIs" dxfId="770" priority="1057" operator="equal">
      <formula>0</formula>
    </cfRule>
    <cfRule type="cellIs" dxfId="769" priority="1059" operator="greaterThan">
      <formula>0</formula>
    </cfRule>
  </conditionalFormatting>
  <conditionalFormatting sqref="UQ15 UQ18">
    <cfRule type="cellIs" dxfId="768" priority="1056" operator="greaterThan">
      <formula>0</formula>
    </cfRule>
    <cfRule type="cellIs" dxfId="767" priority="1055" operator="lessThan">
      <formula>0</formula>
    </cfRule>
    <cfRule type="cellIs" dxfId="766" priority="1054" operator="equal">
      <formula>0</formula>
    </cfRule>
  </conditionalFormatting>
  <conditionalFormatting sqref="US20">
    <cfRule type="colorScale" priority="102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Y10:UY11">
    <cfRule type="cellIs" dxfId="765" priority="1032" operator="equal">
      <formula>0</formula>
    </cfRule>
    <cfRule type="cellIs" dxfId="764" priority="1033" operator="lessThan">
      <formula>0</formula>
    </cfRule>
  </conditionalFormatting>
  <conditionalFormatting sqref="UY15">
    <cfRule type="cellIs" dxfId="763" priority="1043" operator="equal">
      <formula>0</formula>
    </cfRule>
  </conditionalFormatting>
  <conditionalFormatting sqref="UY17:UY18">
    <cfRule type="cellIs" dxfId="762" priority="1031" operator="lessThan">
      <formula>0</formula>
    </cfRule>
    <cfRule type="cellIs" dxfId="761" priority="1030" operator="equal">
      <formula>0</formula>
    </cfRule>
  </conditionalFormatting>
  <conditionalFormatting sqref="VA10:VA11">
    <cfRule type="cellIs" dxfId="760" priority="1039" operator="equal">
      <formula>0</formula>
    </cfRule>
    <cfRule type="cellIs" dxfId="759" priority="1040" operator="lessThan">
      <formula>0</formula>
    </cfRule>
    <cfRule type="cellIs" dxfId="758" priority="1041" operator="greaterThan">
      <formula>0</formula>
    </cfRule>
  </conditionalFormatting>
  <conditionalFormatting sqref="VA15 VA18">
    <cfRule type="cellIs" dxfId="757" priority="1036" operator="equal">
      <formula>0</formula>
    </cfRule>
    <cfRule type="cellIs" dxfId="756" priority="1037" operator="lessThan">
      <formula>0</formula>
    </cfRule>
    <cfRule type="cellIs" dxfId="755" priority="1038" operator="greaterThan">
      <formula>0</formula>
    </cfRule>
  </conditionalFormatting>
  <conditionalFormatting sqref="VC20">
    <cfRule type="colorScale" priority="10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I10:VI11">
    <cfRule type="cellIs" dxfId="754" priority="1015" operator="lessThan">
      <formula>0</formula>
    </cfRule>
    <cfRule type="cellIs" dxfId="753" priority="1014" operator="equal">
      <formula>0</formula>
    </cfRule>
  </conditionalFormatting>
  <conditionalFormatting sqref="VI15">
    <cfRule type="cellIs" dxfId="752" priority="1025" operator="lessThan">
      <formula>0</formula>
    </cfRule>
  </conditionalFormatting>
  <conditionalFormatting sqref="VI17:VI18">
    <cfRule type="cellIs" dxfId="751" priority="1012" operator="equal">
      <formula>0</formula>
    </cfRule>
    <cfRule type="cellIs" dxfId="750" priority="1013" operator="lessThan">
      <formula>0</formula>
    </cfRule>
  </conditionalFormatting>
  <conditionalFormatting sqref="VK10:VK11">
    <cfRule type="cellIs" dxfId="749" priority="1023" operator="greaterThan">
      <formula>0</formula>
    </cfRule>
    <cfRule type="cellIs" dxfId="748" priority="1022" operator="lessThan">
      <formula>0</formula>
    </cfRule>
    <cfRule type="cellIs" dxfId="747" priority="1021" operator="equal">
      <formula>0</formula>
    </cfRule>
  </conditionalFormatting>
  <conditionalFormatting sqref="VK15 VK18">
    <cfRule type="cellIs" dxfId="746" priority="1020" operator="greaterThan">
      <formula>0</formula>
    </cfRule>
    <cfRule type="cellIs" dxfId="745" priority="1019" operator="lessThan">
      <formula>0</formula>
    </cfRule>
    <cfRule type="cellIs" dxfId="744" priority="1018" operator="equal">
      <formula>0</formula>
    </cfRule>
  </conditionalFormatting>
  <conditionalFormatting sqref="VM20">
    <cfRule type="colorScale" priority="9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S10:VS11">
    <cfRule type="cellIs" dxfId="743" priority="997" operator="lessThan">
      <formula>0</formula>
    </cfRule>
    <cfRule type="cellIs" dxfId="742" priority="996" operator="equal">
      <formula>0</formula>
    </cfRule>
  </conditionalFormatting>
  <conditionalFormatting sqref="VS15">
    <cfRule type="cellIs" dxfId="741" priority="1007" operator="lessThan">
      <formula>0</formula>
    </cfRule>
  </conditionalFormatting>
  <conditionalFormatting sqref="VS17:VS18">
    <cfRule type="cellIs" dxfId="740" priority="995" operator="lessThan">
      <formula>0</formula>
    </cfRule>
    <cfRule type="cellIs" dxfId="739" priority="994" operator="equal">
      <formula>0</formula>
    </cfRule>
  </conditionalFormatting>
  <conditionalFormatting sqref="VU10:VU11">
    <cfRule type="cellIs" dxfId="738" priority="1005" operator="greaterThan">
      <formula>0</formula>
    </cfRule>
    <cfRule type="cellIs" dxfId="737" priority="1004" operator="lessThan">
      <formula>0</formula>
    </cfRule>
    <cfRule type="cellIs" dxfId="736" priority="1003" operator="equal">
      <formula>0</formula>
    </cfRule>
  </conditionalFormatting>
  <conditionalFormatting sqref="VU15 VU18">
    <cfRule type="cellIs" dxfId="735" priority="1000" operator="equal">
      <formula>0</formula>
    </cfRule>
    <cfRule type="cellIs" dxfId="734" priority="1002" operator="greaterThan">
      <formula>0</formula>
    </cfRule>
    <cfRule type="cellIs" dxfId="733" priority="1001" operator="lessThan">
      <formula>0</formula>
    </cfRule>
  </conditionalFormatting>
  <conditionalFormatting sqref="VW20">
    <cfRule type="colorScale" priority="9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C10:WC11">
    <cfRule type="cellIs" dxfId="732" priority="979" operator="lessThan">
      <formula>0</formula>
    </cfRule>
    <cfRule type="cellIs" dxfId="731" priority="978" operator="equal">
      <formula>0</formula>
    </cfRule>
  </conditionalFormatting>
  <conditionalFormatting sqref="WC15">
    <cfRule type="cellIs" dxfId="730" priority="989" operator="equal">
      <formula>0</formula>
    </cfRule>
  </conditionalFormatting>
  <conditionalFormatting sqref="WC17:WC18">
    <cfRule type="cellIs" dxfId="729" priority="977" operator="lessThan">
      <formula>0</formula>
    </cfRule>
    <cfRule type="cellIs" dxfId="728" priority="976" operator="equal">
      <formula>0</formula>
    </cfRule>
  </conditionalFormatting>
  <conditionalFormatting sqref="WE10:WE11">
    <cfRule type="cellIs" dxfId="727" priority="987" operator="greaterThan">
      <formula>0</formula>
    </cfRule>
    <cfRule type="cellIs" dxfId="726" priority="986" operator="lessThan">
      <formula>0</formula>
    </cfRule>
    <cfRule type="cellIs" dxfId="725" priority="985" operator="equal">
      <formula>0</formula>
    </cfRule>
  </conditionalFormatting>
  <conditionalFormatting sqref="WE15 WE18">
    <cfRule type="cellIs" dxfId="724" priority="984" operator="greaterThan">
      <formula>0</formula>
    </cfRule>
    <cfRule type="cellIs" dxfId="723" priority="983" operator="lessThan">
      <formula>0</formula>
    </cfRule>
    <cfRule type="cellIs" dxfId="722" priority="982" operator="equal">
      <formula>0</formula>
    </cfRule>
  </conditionalFormatting>
  <conditionalFormatting sqref="WG20">
    <cfRule type="colorScale" priority="95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M10:WM11">
    <cfRule type="cellIs" dxfId="721" priority="961" operator="lessThan">
      <formula>0</formula>
    </cfRule>
    <cfRule type="cellIs" dxfId="720" priority="960" operator="equal">
      <formula>0</formula>
    </cfRule>
  </conditionalFormatting>
  <conditionalFormatting sqref="WM15">
    <cfRule type="cellIs" dxfId="719" priority="971" operator="equal">
      <formula>0</formula>
    </cfRule>
  </conditionalFormatting>
  <conditionalFormatting sqref="WM17:WM18">
    <cfRule type="cellIs" dxfId="718" priority="959" operator="lessThan">
      <formula>0</formula>
    </cfRule>
    <cfRule type="cellIs" dxfId="717" priority="958" operator="equal">
      <formula>0</formula>
    </cfRule>
  </conditionalFormatting>
  <conditionalFormatting sqref="WO10:WO11">
    <cfRule type="cellIs" dxfId="716" priority="968" operator="lessThan">
      <formula>0</formula>
    </cfRule>
    <cfRule type="cellIs" dxfId="715" priority="967" operator="equal">
      <formula>0</formula>
    </cfRule>
    <cfRule type="cellIs" dxfId="714" priority="969" operator="greaterThan">
      <formula>0</formula>
    </cfRule>
  </conditionalFormatting>
  <conditionalFormatting sqref="WO15 WO18">
    <cfRule type="cellIs" dxfId="713" priority="966" operator="greaterThan">
      <formula>0</formula>
    </cfRule>
    <cfRule type="cellIs" dxfId="712" priority="965" operator="lessThan">
      <formula>0</formula>
    </cfRule>
    <cfRule type="cellIs" dxfId="711" priority="964" operator="equal">
      <formula>0</formula>
    </cfRule>
  </conditionalFormatting>
  <conditionalFormatting sqref="WQ20">
    <cfRule type="colorScale" priority="9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W10:WW11">
    <cfRule type="cellIs" dxfId="710" priority="942" operator="equal">
      <formula>0</formula>
    </cfRule>
    <cfRule type="cellIs" dxfId="709" priority="943" operator="lessThan">
      <formula>0</formula>
    </cfRule>
  </conditionalFormatting>
  <conditionalFormatting sqref="WW15">
    <cfRule type="cellIs" dxfId="708" priority="953" operator="lessThan">
      <formula>0</formula>
    </cfRule>
  </conditionalFormatting>
  <conditionalFormatting sqref="WW17:WW18">
    <cfRule type="cellIs" dxfId="707" priority="941" operator="lessThan">
      <formula>0</formula>
    </cfRule>
    <cfRule type="cellIs" dxfId="706" priority="940" operator="equal">
      <formula>0</formula>
    </cfRule>
  </conditionalFormatting>
  <conditionalFormatting sqref="WY10:WY11">
    <cfRule type="cellIs" dxfId="705" priority="950" operator="lessThan">
      <formula>0</formula>
    </cfRule>
    <cfRule type="cellIs" dxfId="704" priority="951" operator="greaterThan">
      <formula>0</formula>
    </cfRule>
    <cfRule type="cellIs" dxfId="703" priority="949" operator="equal">
      <formula>0</formula>
    </cfRule>
  </conditionalFormatting>
  <conditionalFormatting sqref="WY15 WY18">
    <cfRule type="cellIs" dxfId="702" priority="946" operator="equal">
      <formula>0</formula>
    </cfRule>
    <cfRule type="cellIs" dxfId="701" priority="947" operator="lessThan">
      <formula>0</formula>
    </cfRule>
    <cfRule type="cellIs" dxfId="700" priority="948" operator="greaterThan">
      <formula>0</formula>
    </cfRule>
  </conditionalFormatting>
  <conditionalFormatting sqref="XA20">
    <cfRule type="colorScale" priority="92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G10:XG11">
    <cfRule type="cellIs" dxfId="699" priority="925" operator="lessThan">
      <formula>0</formula>
    </cfRule>
    <cfRule type="cellIs" dxfId="698" priority="924" operator="equal">
      <formula>0</formula>
    </cfRule>
  </conditionalFormatting>
  <conditionalFormatting sqref="XG15">
    <cfRule type="cellIs" dxfId="697" priority="935" operator="equal">
      <formula>0</formula>
    </cfRule>
  </conditionalFormatting>
  <conditionalFormatting sqref="XG17:XG18">
    <cfRule type="cellIs" dxfId="696" priority="923" operator="lessThan">
      <formula>0</formula>
    </cfRule>
    <cfRule type="cellIs" dxfId="695" priority="922" operator="equal">
      <formula>0</formula>
    </cfRule>
  </conditionalFormatting>
  <conditionalFormatting sqref="XI10:XI11">
    <cfRule type="cellIs" dxfId="694" priority="932" operator="lessThan">
      <formula>0</formula>
    </cfRule>
    <cfRule type="cellIs" dxfId="693" priority="931" operator="equal">
      <formula>0</formula>
    </cfRule>
    <cfRule type="cellIs" dxfId="692" priority="933" operator="greaterThan">
      <formula>0</formula>
    </cfRule>
  </conditionalFormatting>
  <conditionalFormatting sqref="XI15 XI18">
    <cfRule type="cellIs" dxfId="691" priority="930" operator="greaterThan">
      <formula>0</formula>
    </cfRule>
    <cfRule type="cellIs" dxfId="690" priority="929" operator="lessThan">
      <formula>0</formula>
    </cfRule>
    <cfRule type="cellIs" dxfId="689" priority="928" operator="equal">
      <formula>0</formula>
    </cfRule>
  </conditionalFormatting>
  <conditionalFormatting sqref="XK20">
    <cfRule type="colorScale" priority="90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Q3:XQ7 K10:K11">
    <cfRule type="cellIs" dxfId="688" priority="2011" operator="equal">
      <formula>0</formula>
    </cfRule>
    <cfRule type="cellIs" dxfId="687" priority="2012" operator="lessThan">
      <formula>0</formula>
    </cfRule>
  </conditionalFormatting>
  <conditionalFormatting sqref="XQ10:XQ11">
    <cfRule type="cellIs" dxfId="686" priority="907" operator="lessThan">
      <formula>0</formula>
    </cfRule>
    <cfRule type="cellIs" dxfId="685" priority="906" operator="equal">
      <formula>0</formula>
    </cfRule>
  </conditionalFormatting>
  <conditionalFormatting sqref="XQ15">
    <cfRule type="cellIs" dxfId="684" priority="917" operator="equal">
      <formula>0</formula>
    </cfRule>
  </conditionalFormatting>
  <conditionalFormatting sqref="XQ17:XQ18">
    <cfRule type="cellIs" dxfId="683" priority="904" operator="equal">
      <formula>0</formula>
    </cfRule>
    <cfRule type="cellIs" dxfId="682" priority="905" operator="lessThan">
      <formula>0</formula>
    </cfRule>
  </conditionalFormatting>
  <conditionalFormatting sqref="XS10:XS11">
    <cfRule type="cellIs" dxfId="681" priority="915" operator="greaterThan">
      <formula>0</formula>
    </cfRule>
    <cfRule type="cellIs" dxfId="680" priority="914" operator="lessThan">
      <formula>0</formula>
    </cfRule>
    <cfRule type="cellIs" dxfId="679" priority="913" operator="equal">
      <formula>0</formula>
    </cfRule>
  </conditionalFormatting>
  <conditionalFormatting sqref="XS15 XS18">
    <cfRule type="cellIs" dxfId="678" priority="912" operator="greaterThan">
      <formula>0</formula>
    </cfRule>
    <cfRule type="cellIs" dxfId="677" priority="911" operator="lessThan">
      <formula>0</formula>
    </cfRule>
    <cfRule type="cellIs" dxfId="676" priority="910" operator="equal">
      <formula>0</formula>
    </cfRule>
  </conditionalFormatting>
  <conditionalFormatting sqref="XU20">
    <cfRule type="colorScale" priority="88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A10:YA11">
    <cfRule type="cellIs" dxfId="675" priority="889" operator="lessThan">
      <formula>0</formula>
    </cfRule>
    <cfRule type="cellIs" dxfId="674" priority="888" operator="equal">
      <formula>0</formula>
    </cfRule>
  </conditionalFormatting>
  <conditionalFormatting sqref="YA15">
    <cfRule type="cellIs" dxfId="673" priority="899" operator="equal">
      <formula>0</formula>
    </cfRule>
  </conditionalFormatting>
  <conditionalFormatting sqref="YA17:YA18">
    <cfRule type="cellIs" dxfId="672" priority="887" operator="lessThan">
      <formula>0</formula>
    </cfRule>
    <cfRule type="cellIs" dxfId="671" priority="886" operator="equal">
      <formula>0</formula>
    </cfRule>
  </conditionalFormatting>
  <conditionalFormatting sqref="YC10:YC11">
    <cfRule type="cellIs" dxfId="670" priority="896" operator="lessThan">
      <formula>0</formula>
    </cfRule>
    <cfRule type="cellIs" dxfId="669" priority="895" operator="equal">
      <formula>0</formula>
    </cfRule>
    <cfRule type="cellIs" dxfId="668" priority="897" operator="greaterThan">
      <formula>0</formula>
    </cfRule>
  </conditionalFormatting>
  <conditionalFormatting sqref="YC15 YC18">
    <cfRule type="cellIs" dxfId="667" priority="894" operator="greaterThan">
      <formula>0</formula>
    </cfRule>
    <cfRule type="cellIs" dxfId="666" priority="893" operator="lessThan">
      <formula>0</formula>
    </cfRule>
    <cfRule type="cellIs" dxfId="665" priority="892" operator="equal">
      <formula>0</formula>
    </cfRule>
  </conditionalFormatting>
  <conditionalFormatting sqref="YE20">
    <cfRule type="colorScale" priority="8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K10:YK11">
    <cfRule type="cellIs" dxfId="664" priority="863" operator="equal">
      <formula>0</formula>
    </cfRule>
    <cfRule type="cellIs" dxfId="663" priority="864" operator="lessThan">
      <formula>0</formula>
    </cfRule>
  </conditionalFormatting>
  <conditionalFormatting sqref="YK15">
    <cfRule type="cellIs" dxfId="662" priority="878" operator="equal">
      <formula>0</formula>
    </cfRule>
  </conditionalFormatting>
  <conditionalFormatting sqref="YK18">
    <cfRule type="cellIs" dxfId="661" priority="869" operator="lessThan">
      <formula>0</formula>
    </cfRule>
    <cfRule type="cellIs" dxfId="660" priority="868" operator="equal">
      <formula>0</formula>
    </cfRule>
  </conditionalFormatting>
  <conditionalFormatting sqref="YM3:YM7 YW3:YW7 ZG3:ZG7 ZQ3:ZQ7 AAA3:AAA7 AAK3:AAK7 AAU3:AAU7 ABE3:ABE7 ABO3:ABO7 ABY3:ABY7 ACI3:ACI7 ACS3:ACS7 ADC3:ADC7 ADM3:ADM7 ADW3:ADW7 AEG3:AEG7 AEQ3:AEQ7 AFA3:AFA7 AFK3:AFK7 AFU3:AFU7 AGE3:AGE7 AGO3:AGO7 AGY3:AGY7">
    <cfRule type="cellIs" dxfId="659" priority="881" operator="equal">
      <formula>0</formula>
    </cfRule>
    <cfRule type="cellIs" dxfId="658" priority="882" operator="greaterThan">
      <formula>0</formula>
    </cfRule>
  </conditionalFormatting>
  <conditionalFormatting sqref="YM10:YM11">
    <cfRule type="cellIs" dxfId="657" priority="876" operator="lessThan">
      <formula>0</formula>
    </cfRule>
    <cfRule type="cellIs" dxfId="656" priority="875" operator="equal">
      <formula>0</formula>
    </cfRule>
    <cfRule type="cellIs" dxfId="655" priority="877" operator="greaterThan">
      <formula>0</formula>
    </cfRule>
  </conditionalFormatting>
  <conditionalFormatting sqref="YM15 YM18">
    <cfRule type="cellIs" dxfId="654" priority="874" operator="greaterThan">
      <formula>0</formula>
    </cfRule>
    <cfRule type="cellIs" dxfId="653" priority="872" operator="equal">
      <formula>0</formula>
    </cfRule>
    <cfRule type="cellIs" dxfId="652" priority="873" operator="lessThan">
      <formula>0</formula>
    </cfRule>
  </conditionalFormatting>
  <conditionalFormatting sqref="YO20">
    <cfRule type="colorScale" priority="8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U10:YU11">
    <cfRule type="cellIs" dxfId="651" priority="846" operator="lessThan">
      <formula>0</formula>
    </cfRule>
    <cfRule type="cellIs" dxfId="650" priority="845" operator="equal">
      <formula>0</formula>
    </cfRule>
  </conditionalFormatting>
  <conditionalFormatting sqref="YU15">
    <cfRule type="cellIs" dxfId="649" priority="858" operator="equal">
      <formula>0</formula>
    </cfRule>
  </conditionalFormatting>
  <conditionalFormatting sqref="YU18">
    <cfRule type="cellIs" dxfId="648" priority="851" operator="lessThan">
      <formula>0</formula>
    </cfRule>
    <cfRule type="cellIs" dxfId="647" priority="850" operator="equal">
      <formula>0</formula>
    </cfRule>
  </conditionalFormatting>
  <conditionalFormatting sqref="YW10:YW11">
    <cfRule type="cellIs" dxfId="646" priority="857" operator="greaterThan">
      <formula>0</formula>
    </cfRule>
    <cfRule type="cellIs" dxfId="645" priority="856" operator="lessThan">
      <formula>0</formula>
    </cfRule>
    <cfRule type="cellIs" dxfId="644" priority="855" operator="equal">
      <formula>0</formula>
    </cfRule>
  </conditionalFormatting>
  <conditionalFormatting sqref="YW15 YW18">
    <cfRule type="cellIs" dxfId="643" priority="854" operator="greaterThan">
      <formula>0</formula>
    </cfRule>
    <cfRule type="cellIs" dxfId="642" priority="852" operator="equal">
      <formula>0</formula>
    </cfRule>
    <cfRule type="cellIs" dxfId="641" priority="853" operator="lessThan">
      <formula>0</formula>
    </cfRule>
  </conditionalFormatting>
  <conditionalFormatting sqref="YY20">
    <cfRule type="colorScale" priority="8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E10:ZE11">
    <cfRule type="cellIs" dxfId="640" priority="828" operator="lessThan">
      <formula>0</formula>
    </cfRule>
    <cfRule type="cellIs" dxfId="639" priority="827" operator="equal">
      <formula>0</formula>
    </cfRule>
  </conditionalFormatting>
  <conditionalFormatting sqref="ZE15">
    <cfRule type="cellIs" dxfId="638" priority="840" operator="equal">
      <formula>0</formula>
    </cfRule>
  </conditionalFormatting>
  <conditionalFormatting sqref="ZE18">
    <cfRule type="cellIs" dxfId="637" priority="833" operator="lessThan">
      <formula>0</formula>
    </cfRule>
    <cfRule type="cellIs" dxfId="636" priority="832" operator="equal">
      <formula>0</formula>
    </cfRule>
  </conditionalFormatting>
  <conditionalFormatting sqref="ZG10:ZG11">
    <cfRule type="cellIs" dxfId="635" priority="839" operator="greaterThan">
      <formula>0</formula>
    </cfRule>
    <cfRule type="cellIs" dxfId="634" priority="838" operator="lessThan">
      <formula>0</formula>
    </cfRule>
    <cfRule type="cellIs" dxfId="633" priority="837" operator="equal">
      <formula>0</formula>
    </cfRule>
  </conditionalFormatting>
  <conditionalFormatting sqref="ZG15 ZG18">
    <cfRule type="cellIs" dxfId="632" priority="836" operator="greaterThan">
      <formula>0</formula>
    </cfRule>
    <cfRule type="cellIs" dxfId="631" priority="835" operator="lessThan">
      <formula>0</formula>
    </cfRule>
    <cfRule type="cellIs" dxfId="630" priority="834" operator="equal">
      <formula>0</formula>
    </cfRule>
  </conditionalFormatting>
  <conditionalFormatting sqref="ZI20">
    <cfRule type="colorScale" priority="81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O10:ZO11">
    <cfRule type="cellIs" dxfId="629" priority="810" operator="lessThan">
      <formula>0</formula>
    </cfRule>
    <cfRule type="cellIs" dxfId="628" priority="809" operator="equal">
      <formula>0</formula>
    </cfRule>
  </conditionalFormatting>
  <conditionalFormatting sqref="ZO15">
    <cfRule type="cellIs" dxfId="627" priority="822" operator="equal">
      <formula>0</formula>
    </cfRule>
  </conditionalFormatting>
  <conditionalFormatting sqref="ZO18">
    <cfRule type="cellIs" dxfId="626" priority="814" operator="equal">
      <formula>0</formula>
    </cfRule>
    <cfRule type="cellIs" dxfId="625" priority="815" operator="lessThan">
      <formula>0</formula>
    </cfRule>
  </conditionalFormatting>
  <conditionalFormatting sqref="ZQ10:ZQ11">
    <cfRule type="cellIs" dxfId="624" priority="821" operator="greaterThan">
      <formula>0</formula>
    </cfRule>
    <cfRule type="cellIs" dxfId="623" priority="820" operator="lessThan">
      <formula>0</formula>
    </cfRule>
    <cfRule type="cellIs" dxfId="622" priority="819" operator="equal">
      <formula>0</formula>
    </cfRule>
  </conditionalFormatting>
  <conditionalFormatting sqref="ZQ15 ZQ18">
    <cfRule type="cellIs" dxfId="621" priority="816" operator="equal">
      <formula>0</formula>
    </cfRule>
    <cfRule type="cellIs" dxfId="620" priority="818" operator="greaterThan">
      <formula>0</formula>
    </cfRule>
    <cfRule type="cellIs" dxfId="619" priority="817" operator="lessThan">
      <formula>0</formula>
    </cfRule>
  </conditionalFormatting>
  <conditionalFormatting sqref="ZS20">
    <cfRule type="colorScale" priority="7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Y10:ZY11">
    <cfRule type="cellIs" dxfId="618" priority="789" operator="equal">
      <formula>0</formula>
    </cfRule>
    <cfRule type="cellIs" dxfId="617" priority="790" operator="lessThan">
      <formula>0</formula>
    </cfRule>
  </conditionalFormatting>
  <conditionalFormatting sqref="ZY15">
    <cfRule type="cellIs" dxfId="616" priority="802" operator="equal">
      <formula>0</formula>
    </cfRule>
  </conditionalFormatting>
  <conditionalFormatting sqref="ZY18">
    <cfRule type="cellIs" dxfId="615" priority="795" operator="lessThan">
      <formula>0</formula>
    </cfRule>
    <cfRule type="cellIs" dxfId="614" priority="794" operator="equal">
      <formula>0</formula>
    </cfRule>
  </conditionalFormatting>
  <conditionalFormatting sqref="AAA10:AAA11">
    <cfRule type="cellIs" dxfId="613" priority="801" operator="greaterThan">
      <formula>0</formula>
    </cfRule>
    <cfRule type="cellIs" dxfId="612" priority="800" operator="lessThan">
      <formula>0</formula>
    </cfRule>
    <cfRule type="cellIs" dxfId="611" priority="799" operator="equal">
      <formula>0</formula>
    </cfRule>
  </conditionalFormatting>
  <conditionalFormatting sqref="AAA15 AAA18">
    <cfRule type="cellIs" dxfId="610" priority="797" operator="lessThan">
      <formula>0</formula>
    </cfRule>
    <cfRule type="cellIs" dxfId="609" priority="796" operator="equal">
      <formula>0</formula>
    </cfRule>
    <cfRule type="cellIs" dxfId="608" priority="798" operator="greaterThan">
      <formula>0</formula>
    </cfRule>
  </conditionalFormatting>
  <conditionalFormatting sqref="AAC20">
    <cfRule type="colorScale" priority="7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I10:AAI11">
    <cfRule type="cellIs" dxfId="607" priority="772" operator="lessThan">
      <formula>0</formula>
    </cfRule>
    <cfRule type="cellIs" dxfId="606" priority="771" operator="equal">
      <formula>0</formula>
    </cfRule>
  </conditionalFormatting>
  <conditionalFormatting sqref="AAI15">
    <cfRule type="cellIs" dxfId="605" priority="782" operator="equal">
      <formula>0</formula>
    </cfRule>
  </conditionalFormatting>
  <conditionalFormatting sqref="AAI18">
    <cfRule type="cellIs" dxfId="604" priority="774" operator="equal">
      <formula>0</formula>
    </cfRule>
    <cfRule type="cellIs" dxfId="603" priority="775" operator="lessThan">
      <formula>0</formula>
    </cfRule>
  </conditionalFormatting>
  <conditionalFormatting sqref="AAK10:AAK11">
    <cfRule type="cellIs" dxfId="602" priority="781" operator="greaterThan">
      <formula>0</formula>
    </cfRule>
    <cfRule type="cellIs" dxfId="601" priority="779" operator="equal">
      <formula>0</formula>
    </cfRule>
    <cfRule type="cellIs" dxfId="600" priority="780" operator="lessThan">
      <formula>0</formula>
    </cfRule>
  </conditionalFormatting>
  <conditionalFormatting sqref="AAK15 AAK18">
    <cfRule type="cellIs" dxfId="599" priority="778" operator="greaterThan">
      <formula>0</formula>
    </cfRule>
    <cfRule type="cellIs" dxfId="598" priority="777" operator="lessThan">
      <formula>0</formula>
    </cfRule>
    <cfRule type="cellIs" dxfId="597" priority="776" operator="equal">
      <formula>0</formula>
    </cfRule>
  </conditionalFormatting>
  <conditionalFormatting sqref="AAM20">
    <cfRule type="colorScale" priority="7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S10:AAS11">
    <cfRule type="cellIs" dxfId="596" priority="754" operator="lessThan">
      <formula>0</formula>
    </cfRule>
    <cfRule type="cellIs" dxfId="595" priority="753" operator="equal">
      <formula>0</formula>
    </cfRule>
  </conditionalFormatting>
  <conditionalFormatting sqref="AAS15">
    <cfRule type="cellIs" dxfId="594" priority="764" operator="equal">
      <formula>0</formula>
    </cfRule>
  </conditionalFormatting>
  <conditionalFormatting sqref="AAS18">
    <cfRule type="cellIs" dxfId="593" priority="756" operator="equal">
      <formula>0</formula>
    </cfRule>
    <cfRule type="cellIs" dxfId="592" priority="757" operator="lessThan">
      <formula>0</formula>
    </cfRule>
  </conditionalFormatting>
  <conditionalFormatting sqref="AAU10:AAU11">
    <cfRule type="cellIs" dxfId="591" priority="763" operator="greaterThan">
      <formula>0</formula>
    </cfRule>
    <cfRule type="cellIs" dxfId="590" priority="762" operator="lessThan">
      <formula>0</formula>
    </cfRule>
    <cfRule type="cellIs" dxfId="589" priority="761" operator="equal">
      <formula>0</formula>
    </cfRule>
  </conditionalFormatting>
  <conditionalFormatting sqref="AAU15 AAU18">
    <cfRule type="cellIs" dxfId="588" priority="758" operator="equal">
      <formula>0</formula>
    </cfRule>
    <cfRule type="cellIs" dxfId="587" priority="759" operator="lessThan">
      <formula>0</formula>
    </cfRule>
    <cfRule type="cellIs" dxfId="586" priority="760" operator="greaterThan">
      <formula>0</formula>
    </cfRule>
  </conditionalFormatting>
  <conditionalFormatting sqref="AAW20">
    <cfRule type="colorScale" priority="73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C10:ABC11">
    <cfRule type="cellIs" dxfId="585" priority="736" operator="lessThan">
      <formula>0</formula>
    </cfRule>
    <cfRule type="cellIs" dxfId="584" priority="735" operator="equal">
      <formula>0</formula>
    </cfRule>
  </conditionalFormatting>
  <conditionalFormatting sqref="ABC15">
    <cfRule type="cellIs" dxfId="583" priority="746" operator="equal">
      <formula>0</formula>
    </cfRule>
  </conditionalFormatting>
  <conditionalFormatting sqref="ABC18">
    <cfRule type="cellIs" dxfId="582" priority="738" operator="equal">
      <formula>0</formula>
    </cfRule>
    <cfRule type="cellIs" dxfId="581" priority="739" operator="lessThan">
      <formula>0</formula>
    </cfRule>
  </conditionalFormatting>
  <conditionalFormatting sqref="ABE10:ABE11">
    <cfRule type="cellIs" dxfId="580" priority="745" operator="greaterThan">
      <formula>0</formula>
    </cfRule>
    <cfRule type="cellIs" dxfId="579" priority="744" operator="lessThan">
      <formula>0</formula>
    </cfRule>
    <cfRule type="cellIs" dxfId="578" priority="743" operator="equal">
      <formula>0</formula>
    </cfRule>
  </conditionalFormatting>
  <conditionalFormatting sqref="ABE15 ABE18">
    <cfRule type="cellIs" dxfId="577" priority="742" operator="greaterThan">
      <formula>0</formula>
    </cfRule>
    <cfRule type="cellIs" dxfId="576" priority="741" operator="lessThan">
      <formula>0</formula>
    </cfRule>
    <cfRule type="cellIs" dxfId="575" priority="740" operator="equal">
      <formula>0</formula>
    </cfRule>
  </conditionalFormatting>
  <conditionalFormatting sqref="ABG20">
    <cfRule type="colorScale" priority="7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M10:ABM11">
    <cfRule type="cellIs" dxfId="574" priority="718" operator="lessThan">
      <formula>0</formula>
    </cfRule>
    <cfRule type="cellIs" dxfId="573" priority="717" operator="equal">
      <formula>0</formula>
    </cfRule>
  </conditionalFormatting>
  <conditionalFormatting sqref="ABM15">
    <cfRule type="cellIs" dxfId="572" priority="728" operator="equal">
      <formula>0</formula>
    </cfRule>
  </conditionalFormatting>
  <conditionalFormatting sqref="ABM18">
    <cfRule type="cellIs" dxfId="571" priority="721" operator="lessThan">
      <formula>0</formula>
    </cfRule>
    <cfRule type="cellIs" dxfId="570" priority="720" operator="equal">
      <formula>0</formula>
    </cfRule>
  </conditionalFormatting>
  <conditionalFormatting sqref="ABO10:ABO11 ABY10:ABY11">
    <cfRule type="cellIs" dxfId="569" priority="727" operator="greaterThan">
      <formula>0</formula>
    </cfRule>
    <cfRule type="cellIs" dxfId="568" priority="726" operator="lessThan">
      <formula>0</formula>
    </cfRule>
    <cfRule type="cellIs" dxfId="567" priority="725" operator="equal">
      <formula>0</formula>
    </cfRule>
  </conditionalFormatting>
  <conditionalFormatting sqref="ABO15 ABY15 ABO18 ABY18">
    <cfRule type="cellIs" dxfId="566" priority="722" operator="equal">
      <formula>0</formula>
    </cfRule>
    <cfRule type="cellIs" dxfId="565" priority="723" operator="lessThan">
      <formula>0</formula>
    </cfRule>
    <cfRule type="cellIs" dxfId="564" priority="724" operator="greaterThan">
      <formula>0</formula>
    </cfRule>
  </conditionalFormatting>
  <conditionalFormatting sqref="ABQ20">
    <cfRule type="colorScale" priority="7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W10:ABW11">
    <cfRule type="cellIs" dxfId="563" priority="710" operator="lessThan">
      <formula>0</formula>
    </cfRule>
    <cfRule type="cellIs" dxfId="562" priority="709" operator="equal">
      <formula>0</formula>
    </cfRule>
  </conditionalFormatting>
  <conditionalFormatting sqref="ABW15">
    <cfRule type="cellIs" dxfId="561" priority="714" operator="equal">
      <formula>0</formula>
    </cfRule>
  </conditionalFormatting>
  <conditionalFormatting sqref="ABW18">
    <cfRule type="cellIs" dxfId="560" priority="713" operator="lessThan">
      <formula>0</formula>
    </cfRule>
    <cfRule type="cellIs" dxfId="559" priority="712" operator="equal">
      <formula>0</formula>
    </cfRule>
  </conditionalFormatting>
  <conditionalFormatting sqref="ACA20">
    <cfRule type="colorScale" priority="6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G10:ACG11">
    <cfRule type="cellIs" dxfId="558" priority="692" operator="lessThan">
      <formula>0</formula>
    </cfRule>
    <cfRule type="cellIs" dxfId="557" priority="691" operator="equal">
      <formula>0</formula>
    </cfRule>
  </conditionalFormatting>
  <conditionalFormatting sqref="ACG15">
    <cfRule type="cellIs" dxfId="556" priority="702" operator="equal">
      <formula>0</formula>
    </cfRule>
  </conditionalFormatting>
  <conditionalFormatting sqref="ACG18">
    <cfRule type="cellIs" dxfId="555" priority="695" operator="lessThan">
      <formula>0</formula>
    </cfRule>
    <cfRule type="cellIs" dxfId="554" priority="694" operator="equal">
      <formula>0</formula>
    </cfRule>
  </conditionalFormatting>
  <conditionalFormatting sqref="ACI10:ACI11">
    <cfRule type="cellIs" dxfId="553" priority="701" operator="greaterThan">
      <formula>0</formula>
    </cfRule>
    <cfRule type="cellIs" dxfId="552" priority="700" operator="lessThan">
      <formula>0</formula>
    </cfRule>
    <cfRule type="cellIs" dxfId="551" priority="699" operator="equal">
      <formula>0</formula>
    </cfRule>
  </conditionalFormatting>
  <conditionalFormatting sqref="ACI15 ACI18">
    <cfRule type="cellIs" dxfId="550" priority="697" operator="lessThan">
      <formula>0</formula>
    </cfRule>
    <cfRule type="cellIs" dxfId="549" priority="698" operator="greaterThan">
      <formula>0</formula>
    </cfRule>
    <cfRule type="cellIs" dxfId="548" priority="696" operator="equal">
      <formula>0</formula>
    </cfRule>
  </conditionalFormatting>
  <conditionalFormatting sqref="ACK20">
    <cfRule type="colorScale" priority="6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Q10:ACQ11">
    <cfRule type="cellIs" dxfId="547" priority="674" operator="lessThan">
      <formula>0</formula>
    </cfRule>
    <cfRule type="cellIs" dxfId="546" priority="673" operator="equal">
      <formula>0</formula>
    </cfRule>
  </conditionalFormatting>
  <conditionalFormatting sqref="ACQ15">
    <cfRule type="cellIs" dxfId="545" priority="684" operator="equal">
      <formula>0</formula>
    </cfRule>
  </conditionalFormatting>
  <conditionalFormatting sqref="ACQ18">
    <cfRule type="cellIs" dxfId="544" priority="677" operator="lessThan">
      <formula>0</formula>
    </cfRule>
    <cfRule type="cellIs" dxfId="543" priority="676" operator="equal">
      <formula>0</formula>
    </cfRule>
  </conditionalFormatting>
  <conditionalFormatting sqref="ACS10:ACS11">
    <cfRule type="cellIs" dxfId="542" priority="683" operator="greaterThan">
      <formula>0</formula>
    </cfRule>
    <cfRule type="cellIs" dxfId="541" priority="681" operator="equal">
      <formula>0</formula>
    </cfRule>
    <cfRule type="cellIs" dxfId="540" priority="682" operator="lessThan">
      <formula>0</formula>
    </cfRule>
  </conditionalFormatting>
  <conditionalFormatting sqref="ACS15 ACS18">
    <cfRule type="cellIs" dxfId="539" priority="679" operator="lessThan">
      <formula>0</formula>
    </cfRule>
    <cfRule type="cellIs" dxfId="538" priority="678" operator="equal">
      <formula>0</formula>
    </cfRule>
    <cfRule type="cellIs" dxfId="537" priority="680" operator="greaterThan">
      <formula>0</formula>
    </cfRule>
  </conditionalFormatting>
  <conditionalFormatting sqref="ACU20">
    <cfRule type="colorScale" priority="65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A10:ADA11">
    <cfRule type="cellIs" dxfId="536" priority="656" operator="lessThan">
      <formula>0</formula>
    </cfRule>
    <cfRule type="cellIs" dxfId="535" priority="655" operator="equal">
      <formula>0</formula>
    </cfRule>
  </conditionalFormatting>
  <conditionalFormatting sqref="ADA15">
    <cfRule type="cellIs" dxfId="534" priority="666" operator="equal">
      <formula>0</formula>
    </cfRule>
  </conditionalFormatting>
  <conditionalFormatting sqref="ADA18">
    <cfRule type="cellIs" dxfId="533" priority="659" operator="lessThan">
      <formula>0</formula>
    </cfRule>
    <cfRule type="cellIs" dxfId="532" priority="658" operator="equal">
      <formula>0</formula>
    </cfRule>
  </conditionalFormatting>
  <conditionalFormatting sqref="ADC10:ADC11 ADM10:ADM11">
    <cfRule type="cellIs" dxfId="531" priority="663" operator="equal">
      <formula>0</formula>
    </cfRule>
    <cfRule type="cellIs" dxfId="530" priority="665" operator="greaterThan">
      <formula>0</formula>
    </cfRule>
    <cfRule type="cellIs" dxfId="529" priority="664" operator="lessThan">
      <formula>0</formula>
    </cfRule>
  </conditionalFormatting>
  <conditionalFormatting sqref="ADC15 ADM15 ADC18 ADM18">
    <cfRule type="cellIs" dxfId="528" priority="660" operator="equal">
      <formula>0</formula>
    </cfRule>
    <cfRule type="cellIs" dxfId="527" priority="662" operator="greaterThan">
      <formula>0</formula>
    </cfRule>
    <cfRule type="cellIs" dxfId="526" priority="661" operator="lessThan">
      <formula>0</formula>
    </cfRule>
  </conditionalFormatting>
  <conditionalFormatting sqref="ADE20">
    <cfRule type="colorScale" priority="6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K10:ADK11">
    <cfRule type="cellIs" dxfId="525" priority="648" operator="lessThan">
      <formula>0</formula>
    </cfRule>
    <cfRule type="cellIs" dxfId="524" priority="647" operator="equal">
      <formula>0</formula>
    </cfRule>
  </conditionalFormatting>
  <conditionalFormatting sqref="ADK15">
    <cfRule type="cellIs" dxfId="523" priority="652" operator="equal">
      <formula>0</formula>
    </cfRule>
  </conditionalFormatting>
  <conditionalFormatting sqref="ADK18">
    <cfRule type="cellIs" dxfId="522" priority="650" operator="equal">
      <formula>0</formula>
    </cfRule>
    <cfRule type="cellIs" dxfId="521" priority="651" operator="lessThan">
      <formula>0</formula>
    </cfRule>
  </conditionalFormatting>
  <conditionalFormatting sqref="ADO20">
    <cfRule type="colorScale" priority="6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U10:ADU11">
    <cfRule type="cellIs" dxfId="520" priority="629" operator="equal">
      <formula>0</formula>
    </cfRule>
    <cfRule type="cellIs" dxfId="519" priority="630" operator="lessThan">
      <formula>0</formula>
    </cfRule>
  </conditionalFormatting>
  <conditionalFormatting sqref="ADU15">
    <cfRule type="cellIs" dxfId="518" priority="640" operator="equal">
      <formula>0</formula>
    </cfRule>
  </conditionalFormatting>
  <conditionalFormatting sqref="ADU18">
    <cfRule type="cellIs" dxfId="517" priority="633" operator="lessThan">
      <formula>0</formula>
    </cfRule>
    <cfRule type="cellIs" dxfId="516" priority="632" operator="equal">
      <formula>0</formula>
    </cfRule>
  </conditionalFormatting>
  <conditionalFormatting sqref="ADW10:ADW11">
    <cfRule type="cellIs" dxfId="515" priority="639" operator="greaterThan">
      <formula>0</formula>
    </cfRule>
    <cfRule type="cellIs" dxfId="514" priority="638" operator="lessThan">
      <formula>0</formula>
    </cfRule>
    <cfRule type="cellIs" dxfId="513" priority="637" operator="equal">
      <formula>0</formula>
    </cfRule>
  </conditionalFormatting>
  <conditionalFormatting sqref="ADW15 ADW18">
    <cfRule type="cellIs" dxfId="512" priority="636" operator="greaterThan">
      <formula>0</formula>
    </cfRule>
    <cfRule type="cellIs" dxfId="511" priority="634" operator="equal">
      <formula>0</formula>
    </cfRule>
    <cfRule type="cellIs" dxfId="510" priority="635" operator="lessThan">
      <formula>0</formula>
    </cfRule>
  </conditionalFormatting>
  <conditionalFormatting sqref="ADY20">
    <cfRule type="colorScale" priority="61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E10:AEE11">
    <cfRule type="cellIs" dxfId="509" priority="612" operator="lessThan">
      <formula>0</formula>
    </cfRule>
    <cfRule type="cellIs" dxfId="508" priority="611" operator="equal">
      <formula>0</formula>
    </cfRule>
  </conditionalFormatting>
  <conditionalFormatting sqref="AEE15">
    <cfRule type="cellIs" dxfId="507" priority="622" operator="equal">
      <formula>0</formula>
    </cfRule>
  </conditionalFormatting>
  <conditionalFormatting sqref="AEE18">
    <cfRule type="cellIs" dxfId="506" priority="614" operator="equal">
      <formula>0</formula>
    </cfRule>
    <cfRule type="cellIs" dxfId="505" priority="615" operator="lessThan">
      <formula>0</formula>
    </cfRule>
  </conditionalFormatting>
  <conditionalFormatting sqref="AEG10:AEG11">
    <cfRule type="cellIs" dxfId="504" priority="621" operator="greaterThan">
      <formula>0</formula>
    </cfRule>
    <cfRule type="cellIs" dxfId="503" priority="620" operator="lessThan">
      <formula>0</formula>
    </cfRule>
    <cfRule type="cellIs" dxfId="502" priority="619" operator="equal">
      <formula>0</formula>
    </cfRule>
  </conditionalFormatting>
  <conditionalFormatting sqref="AEG15 AEG18">
    <cfRule type="cellIs" dxfId="501" priority="618" operator="greaterThan">
      <formula>0</formula>
    </cfRule>
    <cfRule type="cellIs" dxfId="500" priority="616" operator="equal">
      <formula>0</formula>
    </cfRule>
    <cfRule type="cellIs" dxfId="499" priority="617" operator="lessThan">
      <formula>0</formula>
    </cfRule>
  </conditionalFormatting>
  <conditionalFormatting sqref="AEI20">
    <cfRule type="colorScale" priority="5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O10:AEO11">
    <cfRule type="cellIs" dxfId="498" priority="594" operator="lessThan">
      <formula>0</formula>
    </cfRule>
    <cfRule type="cellIs" dxfId="497" priority="593" operator="equal">
      <formula>0</formula>
    </cfRule>
  </conditionalFormatting>
  <conditionalFormatting sqref="AEO15">
    <cfRule type="cellIs" dxfId="496" priority="604" operator="equal">
      <formula>0</formula>
    </cfRule>
  </conditionalFormatting>
  <conditionalFormatting sqref="AEO18">
    <cfRule type="cellIs" dxfId="495" priority="596" operator="equal">
      <formula>0</formula>
    </cfRule>
    <cfRule type="cellIs" dxfId="494" priority="597" operator="lessThan">
      <formula>0</formula>
    </cfRule>
  </conditionalFormatting>
  <conditionalFormatting sqref="AEQ10:AEQ11">
    <cfRule type="cellIs" dxfId="493" priority="601" operator="equal">
      <formula>0</formula>
    </cfRule>
    <cfRule type="cellIs" dxfId="492" priority="603" operator="greaterThan">
      <formula>0</formula>
    </cfRule>
    <cfRule type="cellIs" dxfId="491" priority="602" operator="lessThan">
      <formula>0</formula>
    </cfRule>
  </conditionalFormatting>
  <conditionalFormatting sqref="AEQ15 AEQ18">
    <cfRule type="cellIs" dxfId="490" priority="600" operator="greaterThan">
      <formula>0</formula>
    </cfRule>
    <cfRule type="cellIs" dxfId="489" priority="599" operator="lessThan">
      <formula>0</formula>
    </cfRule>
    <cfRule type="cellIs" dxfId="488" priority="598" operator="equal">
      <formula>0</formula>
    </cfRule>
  </conditionalFormatting>
  <conditionalFormatting sqref="AES20">
    <cfRule type="colorScale" priority="57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Y10:AEY11">
    <cfRule type="cellIs" dxfId="487" priority="575" operator="equal">
      <formula>0</formula>
    </cfRule>
    <cfRule type="cellIs" dxfId="486" priority="576" operator="lessThan">
      <formula>0</formula>
    </cfRule>
  </conditionalFormatting>
  <conditionalFormatting sqref="AEY15">
    <cfRule type="cellIs" dxfId="485" priority="586" operator="equal">
      <formula>0</formula>
    </cfRule>
  </conditionalFormatting>
  <conditionalFormatting sqref="AEY18">
    <cfRule type="cellIs" dxfId="484" priority="579" operator="lessThan">
      <formula>0</formula>
    </cfRule>
    <cfRule type="cellIs" dxfId="483" priority="578" operator="equal">
      <formula>0</formula>
    </cfRule>
  </conditionalFormatting>
  <conditionalFormatting sqref="AFA10:AFA11">
    <cfRule type="cellIs" dxfId="482" priority="585" operator="greaterThan">
      <formula>0</formula>
    </cfRule>
    <cfRule type="cellIs" dxfId="481" priority="584" operator="lessThan">
      <formula>0</formula>
    </cfRule>
    <cfRule type="cellIs" dxfId="480" priority="583" operator="equal">
      <formula>0</formula>
    </cfRule>
  </conditionalFormatting>
  <conditionalFormatting sqref="AFA15 AFA18">
    <cfRule type="cellIs" dxfId="479" priority="580" operator="equal">
      <formula>0</formula>
    </cfRule>
    <cfRule type="cellIs" dxfId="478" priority="581" operator="lessThan">
      <formula>0</formula>
    </cfRule>
    <cfRule type="cellIs" dxfId="477" priority="582" operator="greaterThan">
      <formula>0</formula>
    </cfRule>
  </conditionalFormatting>
  <conditionalFormatting sqref="AFC20">
    <cfRule type="colorScale" priority="5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I10:AFI11">
    <cfRule type="cellIs" dxfId="476" priority="558" operator="lessThan">
      <formula>0</formula>
    </cfRule>
    <cfRule type="cellIs" dxfId="475" priority="557" operator="equal">
      <formula>0</formula>
    </cfRule>
  </conditionalFormatting>
  <conditionalFormatting sqref="AFI15">
    <cfRule type="cellIs" dxfId="474" priority="568" operator="equal">
      <formula>0</formula>
    </cfRule>
  </conditionalFormatting>
  <conditionalFormatting sqref="AFI18">
    <cfRule type="cellIs" dxfId="473" priority="561" operator="lessThan">
      <formula>0</formula>
    </cfRule>
    <cfRule type="cellIs" dxfId="472" priority="560" operator="equal">
      <formula>0</formula>
    </cfRule>
  </conditionalFormatting>
  <conditionalFormatting sqref="AFK10:AFK11">
    <cfRule type="cellIs" dxfId="471" priority="567" operator="greaterThan">
      <formula>0</formula>
    </cfRule>
    <cfRule type="cellIs" dxfId="470" priority="566" operator="lessThan">
      <formula>0</formula>
    </cfRule>
    <cfRule type="cellIs" dxfId="469" priority="565" operator="equal">
      <formula>0</formula>
    </cfRule>
  </conditionalFormatting>
  <conditionalFormatting sqref="AFK15 AFK18">
    <cfRule type="cellIs" dxfId="468" priority="564" operator="greaterThan">
      <formula>0</formula>
    </cfRule>
    <cfRule type="cellIs" dxfId="467" priority="563" operator="lessThan">
      <formula>0</formula>
    </cfRule>
    <cfRule type="cellIs" dxfId="466" priority="562" operator="equal">
      <formula>0</formula>
    </cfRule>
  </conditionalFormatting>
  <conditionalFormatting sqref="AFM20">
    <cfRule type="colorScale" priority="54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S10:AFS11">
    <cfRule type="cellIs" dxfId="465" priority="539" operator="equal">
      <formula>0</formula>
    </cfRule>
    <cfRule type="cellIs" dxfId="464" priority="540" operator="lessThan">
      <formula>0</formula>
    </cfRule>
  </conditionalFormatting>
  <conditionalFormatting sqref="AFS15">
    <cfRule type="cellIs" dxfId="463" priority="550" operator="equal">
      <formula>0</formula>
    </cfRule>
  </conditionalFormatting>
  <conditionalFormatting sqref="AFS18">
    <cfRule type="cellIs" dxfId="462" priority="543" operator="lessThan">
      <formula>0</formula>
    </cfRule>
    <cfRule type="cellIs" dxfId="461" priority="542" operator="equal">
      <formula>0</formula>
    </cfRule>
  </conditionalFormatting>
  <conditionalFormatting sqref="AFU10:AFU11">
    <cfRule type="cellIs" dxfId="460" priority="547" operator="equal">
      <formula>0</formula>
    </cfRule>
    <cfRule type="cellIs" dxfId="459" priority="549" operator="greaterThan">
      <formula>0</formula>
    </cfRule>
    <cfRule type="cellIs" dxfId="458" priority="548" operator="lessThan">
      <formula>0</formula>
    </cfRule>
  </conditionalFormatting>
  <conditionalFormatting sqref="AFU15 AFU18">
    <cfRule type="cellIs" dxfId="457" priority="546" operator="greaterThan">
      <formula>0</formula>
    </cfRule>
    <cfRule type="cellIs" dxfId="456" priority="544" operator="equal">
      <formula>0</formula>
    </cfRule>
    <cfRule type="cellIs" dxfId="455" priority="545" operator="lessThan">
      <formula>0</formula>
    </cfRule>
  </conditionalFormatting>
  <conditionalFormatting sqref="AFW20">
    <cfRule type="colorScale" priority="5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C10:AGC11">
    <cfRule type="cellIs" dxfId="454" priority="522" operator="lessThan">
      <formula>0</formula>
    </cfRule>
    <cfRule type="cellIs" dxfId="453" priority="521" operator="equal">
      <formula>0</formula>
    </cfRule>
  </conditionalFormatting>
  <conditionalFormatting sqref="AGC15">
    <cfRule type="cellIs" dxfId="452" priority="532" operator="equal">
      <formula>0</formula>
    </cfRule>
  </conditionalFormatting>
  <conditionalFormatting sqref="AGC18">
    <cfRule type="cellIs" dxfId="451" priority="525" operator="lessThan">
      <formula>0</formula>
    </cfRule>
    <cfRule type="cellIs" dxfId="450" priority="524" operator="equal">
      <formula>0</formula>
    </cfRule>
  </conditionalFormatting>
  <conditionalFormatting sqref="AGE10:AGE11">
    <cfRule type="cellIs" dxfId="449" priority="529" operator="equal">
      <formula>0</formula>
    </cfRule>
    <cfRule type="cellIs" dxfId="448" priority="531" operator="greaterThan">
      <formula>0</formula>
    </cfRule>
    <cfRule type="cellIs" dxfId="447" priority="530" operator="lessThan">
      <formula>0</formula>
    </cfRule>
  </conditionalFormatting>
  <conditionalFormatting sqref="AGE15 AGE18">
    <cfRule type="cellIs" dxfId="446" priority="528" operator="greaterThan">
      <formula>0</formula>
    </cfRule>
    <cfRule type="cellIs" dxfId="445" priority="527" operator="lessThan">
      <formula>0</formula>
    </cfRule>
    <cfRule type="cellIs" dxfId="444" priority="526" operator="equal">
      <formula>0</formula>
    </cfRule>
  </conditionalFormatting>
  <conditionalFormatting sqref="AGG20">
    <cfRule type="colorScale" priority="4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M10:AGM11">
    <cfRule type="cellIs" dxfId="443" priority="488" operator="lessThan">
      <formula>0</formula>
    </cfRule>
    <cfRule type="cellIs" dxfId="442" priority="487" operator="equal">
      <formula>0</formula>
    </cfRule>
  </conditionalFormatting>
  <conditionalFormatting sqref="AGM15">
    <cfRule type="cellIs" dxfId="441" priority="498" operator="equal">
      <formula>0</formula>
    </cfRule>
  </conditionalFormatting>
  <conditionalFormatting sqref="AGM18">
    <cfRule type="cellIs" dxfId="440" priority="490" operator="equal">
      <formula>0</formula>
    </cfRule>
    <cfRule type="cellIs" dxfId="439" priority="491" operator="lessThan">
      <formula>0</formula>
    </cfRule>
  </conditionalFormatting>
  <conditionalFormatting sqref="AGO10:AGO11">
    <cfRule type="cellIs" dxfId="438" priority="496" operator="lessThan">
      <formula>0</formula>
    </cfRule>
    <cfRule type="cellIs" dxfId="437" priority="495" operator="equal">
      <formula>0</formula>
    </cfRule>
    <cfRule type="cellIs" dxfId="436" priority="497" operator="greaterThan">
      <formula>0</formula>
    </cfRule>
  </conditionalFormatting>
  <conditionalFormatting sqref="AGO15 AGO18">
    <cfRule type="cellIs" dxfId="435" priority="494" operator="greaterThan">
      <formula>0</formula>
    </cfRule>
    <cfRule type="cellIs" dxfId="434" priority="493" operator="lessThan">
      <formula>0</formula>
    </cfRule>
    <cfRule type="cellIs" dxfId="433" priority="492" operator="equal">
      <formula>0</formula>
    </cfRule>
  </conditionalFormatting>
  <conditionalFormatting sqref="AGQ20">
    <cfRule type="colorScale" priority="48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W3:AGW7">
    <cfRule type="cellIs" dxfId="432" priority="485" operator="lessThan">
      <formula>0</formula>
    </cfRule>
    <cfRule type="cellIs" dxfId="431" priority="485" operator="equal">
      <formula>0</formula>
    </cfRule>
  </conditionalFormatting>
  <conditionalFormatting sqref="AGW10:AGW11">
    <cfRule type="cellIs" dxfId="430" priority="482" operator="equal">
      <formula>0</formula>
    </cfRule>
    <cfRule type="cellIs" dxfId="429" priority="482" operator="lessThan">
      <formula>0</formula>
    </cfRule>
  </conditionalFormatting>
  <conditionalFormatting sqref="AGW15">
    <cfRule type="cellIs" dxfId="428" priority="480" operator="equal">
      <formula>0</formula>
    </cfRule>
  </conditionalFormatting>
  <conditionalFormatting sqref="AGW18">
    <cfRule type="cellIs" dxfId="427" priority="478" operator="equal">
      <formula>0</formula>
    </cfRule>
    <cfRule type="cellIs" dxfId="426" priority="478" operator="lessThan">
      <formula>0</formula>
    </cfRule>
  </conditionalFormatting>
  <conditionalFormatting sqref="AGY10:AGY11">
    <cfRule type="cellIs" dxfId="425" priority="479" operator="greaterThan">
      <formula>0</formula>
    </cfRule>
    <cfRule type="cellIs" dxfId="424" priority="477" operator="equal">
      <formula>0</formula>
    </cfRule>
    <cfRule type="cellIs" dxfId="423" priority="2041" operator="lessThan">
      <formula>0</formula>
    </cfRule>
  </conditionalFormatting>
  <conditionalFormatting sqref="AGY15 AGY18">
    <cfRule type="cellIs" dxfId="422" priority="476" operator="greaterThan">
      <formula>0</formula>
    </cfRule>
    <cfRule type="cellIs" dxfId="421" priority="475" operator="lessThan">
      <formula>0</formula>
    </cfRule>
    <cfRule type="cellIs" dxfId="420" priority="474" operator="equal">
      <formula>0</formula>
    </cfRule>
  </conditionalFormatting>
  <conditionalFormatting sqref="AHA20">
    <cfRule type="colorScale" priority="45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G10:AHG11">
    <cfRule type="cellIs" dxfId="419" priority="451" operator="equal">
      <formula>0</formula>
    </cfRule>
    <cfRule type="cellIs" dxfId="418" priority="452" operator="lessThan">
      <formula>0</formula>
    </cfRule>
  </conditionalFormatting>
  <conditionalFormatting sqref="AHG15">
    <cfRule type="cellIs" dxfId="417" priority="462" operator="equal">
      <formula>0</formula>
    </cfRule>
  </conditionalFormatting>
  <conditionalFormatting sqref="AHG18">
    <cfRule type="cellIs" dxfId="416" priority="455" operator="lessThan">
      <formula>0</formula>
    </cfRule>
    <cfRule type="cellIs" dxfId="415" priority="454" operator="equal">
      <formula>0</formula>
    </cfRule>
  </conditionalFormatting>
  <conditionalFormatting sqref="AHI10:AHI11">
    <cfRule type="cellIs" dxfId="414" priority="460" operator="lessThan">
      <formula>0</formula>
    </cfRule>
    <cfRule type="cellIs" dxfId="413" priority="461" operator="greaterThan">
      <formula>0</formula>
    </cfRule>
    <cfRule type="cellIs" dxfId="412" priority="459" operator="equal">
      <formula>0</formula>
    </cfRule>
  </conditionalFormatting>
  <conditionalFormatting sqref="AHI15 AHI18">
    <cfRule type="cellIs" dxfId="411" priority="456" operator="equal">
      <formula>0</formula>
    </cfRule>
    <cfRule type="cellIs" dxfId="410" priority="458" operator="greaterThan">
      <formula>0</formula>
    </cfRule>
    <cfRule type="cellIs" dxfId="409" priority="457" operator="lessThan">
      <formula>0</formula>
    </cfRule>
  </conditionalFormatting>
  <conditionalFormatting sqref="AHK20">
    <cfRule type="colorScale" priority="4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Q10:AHQ11">
    <cfRule type="cellIs" dxfId="408" priority="429" operator="lessThan">
      <formula>0</formula>
    </cfRule>
    <cfRule type="cellIs" dxfId="407" priority="428" operator="equal">
      <formula>0</formula>
    </cfRule>
  </conditionalFormatting>
  <conditionalFormatting sqref="AHQ15">
    <cfRule type="cellIs" dxfId="406" priority="439" operator="equal">
      <formula>0</formula>
    </cfRule>
  </conditionalFormatting>
  <conditionalFormatting sqref="AHQ18">
    <cfRule type="cellIs" dxfId="405" priority="431" operator="equal">
      <formula>0</formula>
    </cfRule>
    <cfRule type="cellIs" dxfId="404" priority="432" operator="lessThan">
      <formula>0</formula>
    </cfRule>
  </conditionalFormatting>
  <conditionalFormatting sqref="AHS10:AHS11">
    <cfRule type="cellIs" dxfId="403" priority="438" operator="greaterThan">
      <formula>0</formula>
    </cfRule>
    <cfRule type="cellIs" dxfId="402" priority="436" operator="equal">
      <formula>0</formula>
    </cfRule>
    <cfRule type="cellIs" dxfId="401" priority="437" operator="lessThan">
      <formula>0</formula>
    </cfRule>
  </conditionalFormatting>
  <conditionalFormatting sqref="AHS15 AHS18">
    <cfRule type="cellIs" dxfId="400" priority="434" operator="lessThan">
      <formula>0</formula>
    </cfRule>
    <cfRule type="cellIs" dxfId="399" priority="435" operator="greaterThan">
      <formula>0</formula>
    </cfRule>
    <cfRule type="cellIs" dxfId="398" priority="433" operator="equal">
      <formula>0</formula>
    </cfRule>
  </conditionalFormatting>
  <conditionalFormatting sqref="AHU20">
    <cfRule type="colorScale" priority="40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A3:AIA7">
    <cfRule type="cellIs" dxfId="397" priority="420" operator="lessThan">
      <formula>0</formula>
    </cfRule>
    <cfRule type="cellIs" dxfId="396" priority="419" operator="equal">
      <formula>0</formula>
    </cfRule>
  </conditionalFormatting>
  <conditionalFormatting sqref="AIA10:AIA11">
    <cfRule type="cellIs" dxfId="395" priority="407" operator="equal">
      <formula>0</formula>
    </cfRule>
    <cfRule type="cellIs" dxfId="394" priority="408" operator="lessThan">
      <formula>0</formula>
    </cfRule>
  </conditionalFormatting>
  <conditionalFormatting sqref="AIA15">
    <cfRule type="cellIs" dxfId="393" priority="418" operator="lessThan">
      <formula>0</formula>
    </cfRule>
  </conditionalFormatting>
  <conditionalFormatting sqref="AIA18">
    <cfRule type="cellIs" dxfId="392" priority="411" operator="lessThan">
      <formula>0</formula>
    </cfRule>
    <cfRule type="cellIs" dxfId="391" priority="410" operator="equal">
      <formula>0</formula>
    </cfRule>
  </conditionalFormatting>
  <conditionalFormatting sqref="AIC3:AIC7">
    <cfRule type="cellIs" dxfId="390" priority="422" operator="lessThan">
      <formula>0</formula>
    </cfRule>
    <cfRule type="cellIs" dxfId="389" priority="421" operator="equal">
      <formula>0</formula>
    </cfRule>
  </conditionalFormatting>
  <conditionalFormatting sqref="AIC10:AIC11">
    <cfRule type="cellIs" dxfId="388" priority="417" operator="greaterThan">
      <formula>0</formula>
    </cfRule>
    <cfRule type="cellIs" dxfId="387" priority="416" operator="lessThan">
      <formula>0</formula>
    </cfRule>
    <cfRule type="cellIs" dxfId="386" priority="415" operator="equal">
      <formula>0</formula>
    </cfRule>
  </conditionalFormatting>
  <conditionalFormatting sqref="AIC15 AIC18">
    <cfRule type="cellIs" dxfId="385" priority="414" operator="greaterThan">
      <formula>0</formula>
    </cfRule>
    <cfRule type="cellIs" dxfId="384" priority="413" operator="lessThan">
      <formula>0</formula>
    </cfRule>
    <cfRule type="cellIs" dxfId="383" priority="412" operator="equal">
      <formula>0</formula>
    </cfRule>
  </conditionalFormatting>
  <conditionalFormatting sqref="AIE20">
    <cfRule type="colorScale" priority="3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K3:AIK7">
    <cfRule type="cellIs" dxfId="382" priority="402" operator="lessThan">
      <formula>0</formula>
    </cfRule>
    <cfRule type="cellIs" dxfId="381" priority="401" operator="equal">
      <formula>0</formula>
    </cfRule>
  </conditionalFormatting>
  <conditionalFormatting sqref="AIK10:AIK11">
    <cfRule type="cellIs" dxfId="380" priority="390" operator="lessThan">
      <formula>0</formula>
    </cfRule>
    <cfRule type="cellIs" dxfId="379" priority="389" operator="equal">
      <formula>0</formula>
    </cfRule>
  </conditionalFormatting>
  <conditionalFormatting sqref="AIK15">
    <cfRule type="cellIs" dxfId="378" priority="400" operator="lessThan">
      <formula>0</formula>
    </cfRule>
  </conditionalFormatting>
  <conditionalFormatting sqref="AIK18">
    <cfRule type="cellIs" dxfId="377" priority="393" operator="lessThan">
      <formula>0</formula>
    </cfRule>
    <cfRule type="cellIs" dxfId="376" priority="392" operator="equal">
      <formula>0</formula>
    </cfRule>
  </conditionalFormatting>
  <conditionalFormatting sqref="AIM3:AIM7">
    <cfRule type="cellIs" dxfId="375" priority="404" operator="lessThan">
      <formula>0</formula>
    </cfRule>
    <cfRule type="cellIs" dxfId="374" priority="403" operator="equal">
      <formula>0</formula>
    </cfRule>
  </conditionalFormatting>
  <conditionalFormatting sqref="AIM10:AIM11">
    <cfRule type="cellIs" dxfId="373" priority="399" operator="greaterThan">
      <formula>0</formula>
    </cfRule>
    <cfRule type="cellIs" dxfId="372" priority="398" operator="lessThan">
      <formula>0</formula>
    </cfRule>
    <cfRule type="cellIs" dxfId="371" priority="397" operator="equal">
      <formula>0</formula>
    </cfRule>
  </conditionalFormatting>
  <conditionalFormatting sqref="AIM15 AIM18">
    <cfRule type="cellIs" dxfId="370" priority="396" operator="greaterThan">
      <formula>0</formula>
    </cfRule>
    <cfRule type="cellIs" dxfId="369" priority="395" operator="lessThan">
      <formula>0</formula>
    </cfRule>
    <cfRule type="cellIs" dxfId="368" priority="394" operator="equal">
      <formula>0</formula>
    </cfRule>
  </conditionalFormatting>
  <conditionalFormatting sqref="AIO20">
    <cfRule type="colorScale" priority="37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U3:AIU7">
    <cfRule type="cellIs" dxfId="367" priority="383" operator="lessThan">
      <formula>0</formula>
    </cfRule>
    <cfRule type="cellIs" dxfId="366" priority="382" operator="equal">
      <formula>0</formula>
    </cfRule>
  </conditionalFormatting>
  <conditionalFormatting sqref="AIU10:AIU11">
    <cfRule type="cellIs" dxfId="365" priority="371" operator="lessThan">
      <formula>0</formula>
    </cfRule>
    <cfRule type="cellIs" dxfId="364" priority="370" operator="equal">
      <formula>0</formula>
    </cfRule>
  </conditionalFormatting>
  <conditionalFormatting sqref="AIU15">
    <cfRule type="cellIs" dxfId="363" priority="381" operator="lessThan">
      <formula>0</formula>
    </cfRule>
  </conditionalFormatting>
  <conditionalFormatting sqref="AIU18">
    <cfRule type="cellIs" dxfId="362" priority="374" operator="lessThan">
      <formula>0</formula>
    </cfRule>
    <cfRule type="cellIs" dxfId="361" priority="373" operator="equal">
      <formula>0</formula>
    </cfRule>
  </conditionalFormatting>
  <conditionalFormatting sqref="AIW3:AIW7">
    <cfRule type="cellIs" dxfId="360" priority="385" operator="lessThan">
      <formula>0</formula>
    </cfRule>
    <cfRule type="cellIs" dxfId="359" priority="384" operator="equal">
      <formula>0</formula>
    </cfRule>
  </conditionalFormatting>
  <conditionalFormatting sqref="AIW10:AIW11">
    <cfRule type="cellIs" dxfId="358" priority="379" operator="lessThan">
      <formula>0</formula>
    </cfRule>
    <cfRule type="cellIs" dxfId="357" priority="380" operator="greaterThan">
      <formula>0</formula>
    </cfRule>
    <cfRule type="cellIs" dxfId="356" priority="378" operator="equal">
      <formula>0</formula>
    </cfRule>
  </conditionalFormatting>
  <conditionalFormatting sqref="AIW15 AIW18">
    <cfRule type="cellIs" dxfId="355" priority="377" operator="greaterThan">
      <formula>0</formula>
    </cfRule>
    <cfRule type="cellIs" dxfId="354" priority="376" operator="lessThan">
      <formula>0</formula>
    </cfRule>
    <cfRule type="cellIs" dxfId="353" priority="375" operator="equal">
      <formula>0</formula>
    </cfRule>
  </conditionalFormatting>
  <conditionalFormatting sqref="AIY20">
    <cfRule type="colorScale" priority="35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E3:AJE7">
    <cfRule type="cellIs" dxfId="352" priority="351" operator="lessThan">
      <formula>0</formula>
    </cfRule>
    <cfRule type="cellIs" dxfId="351" priority="350" operator="equal">
      <formula>0</formula>
    </cfRule>
  </conditionalFormatting>
  <conditionalFormatting sqref="AJE10:AJE11">
    <cfRule type="cellIs" dxfId="350" priority="352" operator="equal">
      <formula>0</formula>
    </cfRule>
    <cfRule type="cellIs" dxfId="349" priority="353" operator="lessThan">
      <formula>0</formula>
    </cfRule>
  </conditionalFormatting>
  <conditionalFormatting sqref="AJE15">
    <cfRule type="cellIs" dxfId="348" priority="363" operator="lessThan">
      <formula>0</formula>
    </cfRule>
  </conditionalFormatting>
  <conditionalFormatting sqref="AJE18">
    <cfRule type="cellIs" dxfId="347" priority="356" operator="lessThan">
      <formula>0</formula>
    </cfRule>
    <cfRule type="cellIs" dxfId="346" priority="355" operator="equal">
      <formula>0</formula>
    </cfRule>
  </conditionalFormatting>
  <conditionalFormatting sqref="AJG3:AJG7">
    <cfRule type="cellIs" dxfId="345" priority="346" operator="equal">
      <formula>0</formula>
    </cfRule>
    <cfRule type="cellIs" dxfId="344" priority="347" operator="lessThan">
      <formula>0</formula>
    </cfRule>
  </conditionalFormatting>
  <conditionalFormatting sqref="AJG10:AJG11">
    <cfRule type="cellIs" dxfId="343" priority="361" operator="lessThan">
      <formula>0</formula>
    </cfRule>
    <cfRule type="cellIs" dxfId="342" priority="360" operator="equal">
      <formula>0</formula>
    </cfRule>
    <cfRule type="cellIs" dxfId="341" priority="362" operator="greaterThan">
      <formula>0</formula>
    </cfRule>
  </conditionalFormatting>
  <conditionalFormatting sqref="AJG15 AJG18">
    <cfRule type="cellIs" dxfId="340" priority="359" operator="greaterThan">
      <formula>0</formula>
    </cfRule>
    <cfRule type="cellIs" dxfId="339" priority="358" operator="lessThan">
      <formula>0</formula>
    </cfRule>
    <cfRule type="cellIs" dxfId="338" priority="357" operator="equal">
      <formula>0</formula>
    </cfRule>
  </conditionalFormatting>
  <conditionalFormatting sqref="AJI20">
    <cfRule type="colorScale" priority="3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O3:AJO7">
    <cfRule type="cellIs" dxfId="337" priority="341" operator="lessThan">
      <formula>0</formula>
    </cfRule>
    <cfRule type="cellIs" dxfId="336" priority="340" operator="equal">
      <formula>0</formula>
    </cfRule>
  </conditionalFormatting>
  <conditionalFormatting sqref="AJO10:AJO11">
    <cfRule type="cellIs" dxfId="335" priority="329" operator="lessThan">
      <formula>0</formula>
    </cfRule>
    <cfRule type="cellIs" dxfId="334" priority="328" operator="equal">
      <formula>0</formula>
    </cfRule>
  </conditionalFormatting>
  <conditionalFormatting sqref="AJO15">
    <cfRule type="cellIs" dxfId="333" priority="339" operator="lessThan">
      <formula>0</formula>
    </cfRule>
  </conditionalFormatting>
  <conditionalFormatting sqref="AJO18">
    <cfRule type="cellIs" dxfId="332" priority="332" operator="lessThan">
      <formula>0</formula>
    </cfRule>
    <cfRule type="cellIs" dxfId="331" priority="331" operator="equal">
      <formula>0</formula>
    </cfRule>
  </conditionalFormatting>
  <conditionalFormatting sqref="AJQ3:AJQ7">
    <cfRule type="cellIs" dxfId="330" priority="342" operator="equal">
      <formula>0</formula>
    </cfRule>
    <cfRule type="cellIs" dxfId="329" priority="343" operator="lessThan">
      <formula>0</formula>
    </cfRule>
  </conditionalFormatting>
  <conditionalFormatting sqref="AJQ10:AJQ11">
    <cfRule type="cellIs" dxfId="328" priority="338" operator="greaterThan">
      <formula>0</formula>
    </cfRule>
    <cfRule type="cellIs" dxfId="327" priority="337" operator="lessThan">
      <formula>0</formula>
    </cfRule>
    <cfRule type="cellIs" dxfId="326" priority="336" operator="equal">
      <formula>0</formula>
    </cfRule>
  </conditionalFormatting>
  <conditionalFormatting sqref="AJQ15 AJQ18">
    <cfRule type="cellIs" dxfId="325" priority="335" operator="greaterThan">
      <formula>0</formula>
    </cfRule>
    <cfRule type="cellIs" dxfId="324" priority="334" operator="lessThan">
      <formula>0</formula>
    </cfRule>
    <cfRule type="cellIs" dxfId="323" priority="333" operator="equal">
      <formula>0</formula>
    </cfRule>
  </conditionalFormatting>
  <conditionalFormatting sqref="AJS20">
    <cfRule type="colorScale" priority="31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Y3:AJY7">
    <cfRule type="cellIs" dxfId="322" priority="322" operator="equal">
      <formula>0</formula>
    </cfRule>
    <cfRule type="cellIs" dxfId="321" priority="323" operator="lessThan">
      <formula>0</formula>
    </cfRule>
  </conditionalFormatting>
  <conditionalFormatting sqref="AJY10:AJY11">
    <cfRule type="cellIs" dxfId="320" priority="311" operator="lessThan">
      <formula>0</formula>
    </cfRule>
    <cfRule type="cellIs" dxfId="319" priority="310" operator="equal">
      <formula>0</formula>
    </cfRule>
  </conditionalFormatting>
  <conditionalFormatting sqref="AJY15">
    <cfRule type="cellIs" dxfId="318" priority="321" operator="lessThan">
      <formula>0</formula>
    </cfRule>
  </conditionalFormatting>
  <conditionalFormatting sqref="AJY18">
    <cfRule type="cellIs" dxfId="317" priority="314" operator="lessThan">
      <formula>0</formula>
    </cfRule>
    <cfRule type="cellIs" dxfId="316" priority="313" operator="equal">
      <formula>0</formula>
    </cfRule>
  </conditionalFormatting>
  <conditionalFormatting sqref="AKA3:AKA7">
    <cfRule type="cellIs" dxfId="315" priority="324" operator="equal">
      <formula>0</formula>
    </cfRule>
    <cfRule type="cellIs" dxfId="314" priority="325" operator="lessThan">
      <formula>0</formula>
    </cfRule>
  </conditionalFormatting>
  <conditionalFormatting sqref="AKA10:AKA11">
    <cfRule type="cellIs" dxfId="313" priority="318" operator="equal">
      <formula>0</formula>
    </cfRule>
    <cfRule type="cellIs" dxfId="312" priority="320" operator="greaterThan">
      <formula>0</formula>
    </cfRule>
    <cfRule type="cellIs" dxfId="311" priority="319" operator="lessThan">
      <formula>0</formula>
    </cfRule>
  </conditionalFormatting>
  <conditionalFormatting sqref="AKA15 AKA18">
    <cfRule type="cellIs" dxfId="310" priority="317" operator="greaterThan">
      <formula>0</formula>
    </cfRule>
    <cfRule type="cellIs" dxfId="309" priority="316" operator="lessThan">
      <formula>0</formula>
    </cfRule>
    <cfRule type="cellIs" dxfId="308" priority="315" operator="equal">
      <formula>0</formula>
    </cfRule>
  </conditionalFormatting>
  <conditionalFormatting sqref="AKC20">
    <cfRule type="colorScale" priority="29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I3:AKI7">
    <cfRule type="cellIs" dxfId="307" priority="305" operator="lessThan">
      <formula>0</formula>
    </cfRule>
    <cfRule type="cellIs" dxfId="306" priority="304" operator="equal">
      <formula>0</formula>
    </cfRule>
  </conditionalFormatting>
  <conditionalFormatting sqref="AKI10:AKI11">
    <cfRule type="cellIs" dxfId="305" priority="293" operator="lessThan">
      <formula>0</formula>
    </cfRule>
    <cfRule type="cellIs" dxfId="304" priority="292" operator="equal">
      <formula>0</formula>
    </cfRule>
  </conditionalFormatting>
  <conditionalFormatting sqref="AKI15">
    <cfRule type="cellIs" dxfId="303" priority="303" operator="lessThan">
      <formula>0</formula>
    </cfRule>
  </conditionalFormatting>
  <conditionalFormatting sqref="AKI18">
    <cfRule type="cellIs" dxfId="302" priority="296" operator="lessThan">
      <formula>0</formula>
    </cfRule>
    <cfRule type="cellIs" dxfId="301" priority="295" operator="equal">
      <formula>0</formula>
    </cfRule>
  </conditionalFormatting>
  <conditionalFormatting sqref="AKK3:AKK7">
    <cfRule type="cellIs" dxfId="300" priority="291" operator="greaterThan">
      <formula>0</formula>
    </cfRule>
    <cfRule type="cellIs" dxfId="299" priority="290" operator="lessThan">
      <formula>0</formula>
    </cfRule>
    <cfRule type="cellIs" dxfId="298" priority="289" operator="equal">
      <formula>0</formula>
    </cfRule>
  </conditionalFormatting>
  <conditionalFormatting sqref="AKK10:AKK11">
    <cfRule type="cellIs" dxfId="297" priority="302" operator="greaterThan">
      <formula>0</formula>
    </cfRule>
    <cfRule type="cellIs" dxfId="296" priority="301" operator="lessThan">
      <formula>0</formula>
    </cfRule>
    <cfRule type="cellIs" dxfId="295" priority="300" operator="equal">
      <formula>0</formula>
    </cfRule>
  </conditionalFormatting>
  <conditionalFormatting sqref="AKK15 AKK18">
    <cfRule type="cellIs" dxfId="294" priority="298" operator="lessThan">
      <formula>0</formula>
    </cfRule>
    <cfRule type="cellIs" dxfId="293" priority="297" operator="equal">
      <formula>0</formula>
    </cfRule>
    <cfRule type="cellIs" dxfId="292" priority="299" operator="greaterThan">
      <formula>0</formula>
    </cfRule>
  </conditionalFormatting>
  <conditionalFormatting sqref="AKM20">
    <cfRule type="colorScale" priority="27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S3:AKS7">
    <cfRule type="cellIs" dxfId="291" priority="287" operator="lessThan">
      <formula>0</formula>
    </cfRule>
    <cfRule type="cellIs" dxfId="290" priority="286" operator="equal">
      <formula>0</formula>
    </cfRule>
  </conditionalFormatting>
  <conditionalFormatting sqref="AKS10:AKS11">
    <cfRule type="cellIs" dxfId="289" priority="275" operator="lessThan">
      <formula>0</formula>
    </cfRule>
    <cfRule type="cellIs" dxfId="288" priority="274" operator="equal">
      <formula>0</formula>
    </cfRule>
  </conditionalFormatting>
  <conditionalFormatting sqref="AKS15">
    <cfRule type="cellIs" dxfId="287" priority="285" operator="lessThan">
      <formula>0</formula>
    </cfRule>
  </conditionalFormatting>
  <conditionalFormatting sqref="AKS18">
    <cfRule type="cellIs" dxfId="286" priority="278" operator="lessThan">
      <formula>0</formula>
    </cfRule>
    <cfRule type="cellIs" dxfId="285" priority="277" operator="equal">
      <formula>0</formula>
    </cfRule>
  </conditionalFormatting>
  <conditionalFormatting sqref="AKU3:AKU7">
    <cfRule type="cellIs" dxfId="284" priority="273" operator="greaterThan">
      <formula>0</formula>
    </cfRule>
    <cfRule type="cellIs" dxfId="283" priority="272" operator="lessThan">
      <formula>0</formula>
    </cfRule>
    <cfRule type="cellIs" dxfId="282" priority="271" operator="equal">
      <formula>0</formula>
    </cfRule>
  </conditionalFormatting>
  <conditionalFormatting sqref="AKU10:AKU11">
    <cfRule type="cellIs" dxfId="281" priority="284" operator="greaterThan">
      <formula>0</formula>
    </cfRule>
    <cfRule type="cellIs" dxfId="280" priority="283" operator="lessThan">
      <formula>0</formula>
    </cfRule>
    <cfRule type="cellIs" dxfId="279" priority="282" operator="equal">
      <formula>0</formula>
    </cfRule>
  </conditionalFormatting>
  <conditionalFormatting sqref="AKU15 AKU18">
    <cfRule type="cellIs" dxfId="278" priority="281" operator="greaterThan">
      <formula>0</formula>
    </cfRule>
    <cfRule type="cellIs" dxfId="277" priority="280" operator="lessThan">
      <formula>0</formula>
    </cfRule>
    <cfRule type="cellIs" dxfId="276" priority="279" operator="equal">
      <formula>0</formula>
    </cfRule>
  </conditionalFormatting>
  <conditionalFormatting sqref="AKW20">
    <cfRule type="colorScale" priority="25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C3:ALC7">
    <cfRule type="cellIs" dxfId="275" priority="269" operator="lessThan">
      <formula>0</formula>
    </cfRule>
    <cfRule type="cellIs" dxfId="274" priority="268" operator="equal">
      <formula>0</formula>
    </cfRule>
  </conditionalFormatting>
  <conditionalFormatting sqref="ALC10:ALC11">
    <cfRule type="cellIs" dxfId="273" priority="257" operator="lessThan">
      <formula>0</formula>
    </cfRule>
    <cfRule type="cellIs" dxfId="272" priority="256" operator="equal">
      <formula>0</formula>
    </cfRule>
  </conditionalFormatting>
  <conditionalFormatting sqref="ALC15">
    <cfRule type="cellIs" dxfId="271" priority="267" operator="lessThan">
      <formula>0</formula>
    </cfRule>
  </conditionalFormatting>
  <conditionalFormatting sqref="ALC18">
    <cfRule type="cellIs" dxfId="270" priority="260" operator="lessThan">
      <formula>0</formula>
    </cfRule>
    <cfRule type="cellIs" dxfId="269" priority="259" operator="equal">
      <formula>0</formula>
    </cfRule>
  </conditionalFormatting>
  <conditionalFormatting sqref="ALE3:ALE7">
    <cfRule type="cellIs" dxfId="268" priority="254" operator="lessThan">
      <formula>0</formula>
    </cfRule>
    <cfRule type="cellIs" dxfId="267" priority="255" operator="greaterThan">
      <formula>0</formula>
    </cfRule>
    <cfRule type="cellIs" dxfId="266" priority="253" operator="equal">
      <formula>0</formula>
    </cfRule>
  </conditionalFormatting>
  <conditionalFormatting sqref="ALE10:ALE11">
    <cfRule type="cellIs" dxfId="265" priority="266" operator="greaterThan">
      <formula>0</formula>
    </cfRule>
    <cfRule type="cellIs" dxfId="264" priority="265" operator="lessThan">
      <formula>0</formula>
    </cfRule>
    <cfRule type="cellIs" dxfId="263" priority="264" operator="equal">
      <formula>0</formula>
    </cfRule>
  </conditionalFormatting>
  <conditionalFormatting sqref="ALE15 ALE18">
    <cfRule type="cellIs" dxfId="262" priority="263" operator="greaterThan">
      <formula>0</formula>
    </cfRule>
    <cfRule type="cellIs" dxfId="261" priority="262" operator="lessThan">
      <formula>0</formula>
    </cfRule>
    <cfRule type="cellIs" dxfId="260" priority="261" operator="equal">
      <formula>0</formula>
    </cfRule>
  </conditionalFormatting>
  <conditionalFormatting sqref="ALG20">
    <cfRule type="colorScale" priority="24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M3:ALM7">
    <cfRule type="cellIs" dxfId="259" priority="251" operator="lessThan">
      <formula>0</formula>
    </cfRule>
    <cfRule type="cellIs" dxfId="258" priority="250" operator="equal">
      <formula>0</formula>
    </cfRule>
  </conditionalFormatting>
  <conditionalFormatting sqref="ALM10:ALM11">
    <cfRule type="cellIs" dxfId="257" priority="239" operator="lessThan">
      <formula>0</formula>
    </cfRule>
    <cfRule type="cellIs" dxfId="256" priority="238" operator="equal">
      <formula>0</formula>
    </cfRule>
  </conditionalFormatting>
  <conditionalFormatting sqref="ALM15">
    <cfRule type="cellIs" dxfId="255" priority="249" operator="lessThan">
      <formula>0</formula>
    </cfRule>
  </conditionalFormatting>
  <conditionalFormatting sqref="ALM18">
    <cfRule type="cellIs" dxfId="254" priority="242" operator="lessThan">
      <formula>0</formula>
    </cfRule>
    <cfRule type="cellIs" dxfId="253" priority="241" operator="equal">
      <formula>0</formula>
    </cfRule>
  </conditionalFormatting>
  <conditionalFormatting sqref="ALO3:ALO7">
    <cfRule type="cellIs" dxfId="252" priority="237" operator="greaterThan">
      <formula>0</formula>
    </cfRule>
    <cfRule type="cellIs" dxfId="251" priority="236" operator="lessThan">
      <formula>0</formula>
    </cfRule>
    <cfRule type="cellIs" dxfId="250" priority="235" operator="equal">
      <formula>0</formula>
    </cfRule>
  </conditionalFormatting>
  <conditionalFormatting sqref="ALO10:ALO11">
    <cfRule type="cellIs" dxfId="249" priority="248" operator="greaterThan">
      <formula>0</formula>
    </cfRule>
    <cfRule type="cellIs" dxfId="248" priority="247" operator="lessThan">
      <formula>0</formula>
    </cfRule>
    <cfRule type="cellIs" dxfId="247" priority="246" operator="equal">
      <formula>0</formula>
    </cfRule>
  </conditionalFormatting>
  <conditionalFormatting sqref="ALO15 ALO18">
    <cfRule type="cellIs" dxfId="246" priority="245" operator="greaterThan">
      <formula>0</formula>
    </cfRule>
    <cfRule type="cellIs" dxfId="245" priority="244" operator="lessThan">
      <formula>0</formula>
    </cfRule>
    <cfRule type="cellIs" dxfId="244" priority="243" operator="equal">
      <formula>0</formula>
    </cfRule>
  </conditionalFormatting>
  <conditionalFormatting sqref="ALQ20">
    <cfRule type="colorScale" priority="2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W3:ALW7">
    <cfRule type="cellIs" dxfId="243" priority="233" operator="lessThan">
      <formula>0</formula>
    </cfRule>
    <cfRule type="cellIs" dxfId="242" priority="232" operator="equal">
      <formula>0</formula>
    </cfRule>
  </conditionalFormatting>
  <conditionalFormatting sqref="ALW10:ALW11">
    <cfRule type="cellIs" dxfId="241" priority="221" operator="lessThan">
      <formula>0</formula>
    </cfRule>
    <cfRule type="cellIs" dxfId="240" priority="220" operator="equal">
      <formula>0</formula>
    </cfRule>
  </conditionalFormatting>
  <conditionalFormatting sqref="ALW15">
    <cfRule type="cellIs" dxfId="239" priority="231" operator="lessThan">
      <formula>0</formula>
    </cfRule>
  </conditionalFormatting>
  <conditionalFormatting sqref="ALW18">
    <cfRule type="cellIs" dxfId="238" priority="224" operator="lessThan">
      <formula>0</formula>
    </cfRule>
    <cfRule type="cellIs" dxfId="237" priority="223" operator="equal">
      <formula>0</formula>
    </cfRule>
  </conditionalFormatting>
  <conditionalFormatting sqref="ALY3:ALY7">
    <cfRule type="cellIs" dxfId="236" priority="219" operator="greaterThan">
      <formula>0</formula>
    </cfRule>
    <cfRule type="cellIs" dxfId="235" priority="218" operator="lessThan">
      <formula>0</formula>
    </cfRule>
    <cfRule type="cellIs" dxfId="234" priority="217" operator="equal">
      <formula>0</formula>
    </cfRule>
  </conditionalFormatting>
  <conditionalFormatting sqref="ALY10:ALY11">
    <cfRule type="cellIs" dxfId="233" priority="228" operator="equal">
      <formula>0</formula>
    </cfRule>
    <cfRule type="cellIs" dxfId="232" priority="230" operator="greaterThan">
      <formula>0</formula>
    </cfRule>
    <cfRule type="cellIs" dxfId="231" priority="229" operator="lessThan">
      <formula>0</formula>
    </cfRule>
  </conditionalFormatting>
  <conditionalFormatting sqref="ALY15 ALY18">
    <cfRule type="cellIs" dxfId="230" priority="225" operator="equal">
      <formula>0</formula>
    </cfRule>
    <cfRule type="cellIs" dxfId="229" priority="226" operator="lessThan">
      <formula>0</formula>
    </cfRule>
    <cfRule type="cellIs" dxfId="228" priority="227" operator="greaterThan">
      <formula>0</formula>
    </cfRule>
  </conditionalFormatting>
  <conditionalFormatting sqref="AMA20">
    <cfRule type="colorScale" priority="20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G3:AMG7">
    <cfRule type="cellIs" dxfId="227" priority="214" operator="equal">
      <formula>0</formula>
    </cfRule>
    <cfRule type="cellIs" dxfId="226" priority="215" operator="lessThan">
      <formula>0</formula>
    </cfRule>
  </conditionalFormatting>
  <conditionalFormatting sqref="AMG10:AMG11">
    <cfRule type="cellIs" dxfId="225" priority="203" operator="lessThan">
      <formula>0</formula>
    </cfRule>
    <cfRule type="cellIs" dxfId="224" priority="202" operator="equal">
      <formula>0</formula>
    </cfRule>
  </conditionalFormatting>
  <conditionalFormatting sqref="AMG15">
    <cfRule type="cellIs" dxfId="223" priority="213" operator="equal">
      <formula>0</formula>
    </cfRule>
  </conditionalFormatting>
  <conditionalFormatting sqref="AMG18">
    <cfRule type="cellIs" dxfId="222" priority="205" operator="equal">
      <formula>0</formula>
    </cfRule>
    <cfRule type="cellIs" dxfId="221" priority="206" operator="lessThan">
      <formula>0</formula>
    </cfRule>
  </conditionalFormatting>
  <conditionalFormatting sqref="AMI3:AMI7">
    <cfRule type="cellIs" dxfId="220" priority="201" operator="greaterThan">
      <formula>0</formula>
    </cfRule>
    <cfRule type="cellIs" dxfId="219" priority="200" operator="lessThan">
      <formula>0</formula>
    </cfRule>
    <cfRule type="cellIs" dxfId="218" priority="199" operator="equal">
      <formula>0</formula>
    </cfRule>
  </conditionalFormatting>
  <conditionalFormatting sqref="AMI10:AMI11">
    <cfRule type="cellIs" dxfId="217" priority="211" operator="lessThan">
      <formula>0</formula>
    </cfRule>
    <cfRule type="cellIs" dxfId="216" priority="210" operator="equal">
      <formula>0</formula>
    </cfRule>
    <cfRule type="cellIs" dxfId="215" priority="212" operator="greaterThan">
      <formula>0</formula>
    </cfRule>
  </conditionalFormatting>
  <conditionalFormatting sqref="AMI15 AMI18">
    <cfRule type="cellIs" dxfId="214" priority="209" operator="greaterThan">
      <formula>0</formula>
    </cfRule>
    <cfRule type="cellIs" dxfId="213" priority="208" operator="lessThan">
      <formula>0</formula>
    </cfRule>
    <cfRule type="cellIs" dxfId="212" priority="207" operator="equal">
      <formula>0</formula>
    </cfRule>
  </conditionalFormatting>
  <conditionalFormatting sqref="AMK20">
    <cfRule type="colorScale" priority="1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Q3:AMQ7">
    <cfRule type="cellIs" dxfId="211" priority="197" operator="lessThan">
      <formula>0</formula>
    </cfRule>
    <cfRule type="cellIs" dxfId="210" priority="196" operator="equal">
      <formula>0</formula>
    </cfRule>
  </conditionalFormatting>
  <conditionalFormatting sqref="AMQ10:AMQ11">
    <cfRule type="cellIs" dxfId="209" priority="184" operator="equal">
      <formula>0</formula>
    </cfRule>
    <cfRule type="cellIs" dxfId="208" priority="185" operator="lessThan">
      <formula>0</formula>
    </cfRule>
  </conditionalFormatting>
  <conditionalFormatting sqref="AMQ15">
    <cfRule type="cellIs" dxfId="207" priority="195" operator="lessThan">
      <formula>0</formula>
    </cfRule>
  </conditionalFormatting>
  <conditionalFormatting sqref="AMQ18">
    <cfRule type="cellIs" dxfId="206" priority="188" operator="lessThan">
      <formula>0</formula>
    </cfRule>
    <cfRule type="cellIs" dxfId="205" priority="187" operator="equal">
      <formula>0</formula>
    </cfRule>
  </conditionalFormatting>
  <conditionalFormatting sqref="AMS3:AMS7">
    <cfRule type="cellIs" dxfId="204" priority="182" operator="lessThan">
      <formula>0</formula>
    </cfRule>
    <cfRule type="cellIs" dxfId="203" priority="181" operator="equal">
      <formula>0</formula>
    </cfRule>
    <cfRule type="cellIs" dxfId="202" priority="183" operator="greaterThan">
      <formula>0</formula>
    </cfRule>
  </conditionalFormatting>
  <conditionalFormatting sqref="AMS10:AMS11">
    <cfRule type="cellIs" dxfId="201" priority="193" operator="lessThan">
      <formula>0</formula>
    </cfRule>
    <cfRule type="cellIs" dxfId="200" priority="194" operator="greaterThan">
      <formula>0</formula>
    </cfRule>
    <cfRule type="cellIs" dxfId="199" priority="192" operator="equal">
      <formula>0</formula>
    </cfRule>
  </conditionalFormatting>
  <conditionalFormatting sqref="AMS15 AMS18">
    <cfRule type="cellIs" dxfId="198" priority="191" operator="greaterThan">
      <formula>0</formula>
    </cfRule>
    <cfRule type="cellIs" dxfId="197" priority="190" operator="lessThan">
      <formula>0</formula>
    </cfRule>
    <cfRule type="cellIs" dxfId="196" priority="189" operator="equal">
      <formula>0</formula>
    </cfRule>
  </conditionalFormatting>
  <conditionalFormatting sqref="AMU20">
    <cfRule type="colorScale" priority="16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A3:ANA7">
    <cfRule type="cellIs" dxfId="195" priority="179" operator="lessThan">
      <formula>0</formula>
    </cfRule>
    <cfRule type="cellIs" dxfId="194" priority="178" operator="equal">
      <formula>0</formula>
    </cfRule>
  </conditionalFormatting>
  <conditionalFormatting sqref="ANA10:ANA11">
    <cfRule type="cellIs" dxfId="193" priority="167" operator="lessThan">
      <formula>0</formula>
    </cfRule>
    <cfRule type="cellIs" dxfId="192" priority="166" operator="equal">
      <formula>0</formula>
    </cfRule>
  </conditionalFormatting>
  <conditionalFormatting sqref="ANA15">
    <cfRule type="cellIs" dxfId="191" priority="177" operator="lessThan">
      <formula>0</formula>
    </cfRule>
  </conditionalFormatting>
  <conditionalFormatting sqref="ANA18">
    <cfRule type="cellIs" dxfId="190" priority="170" operator="lessThan">
      <formula>0</formula>
    </cfRule>
    <cfRule type="cellIs" dxfId="189" priority="169" operator="equal">
      <formula>0</formula>
    </cfRule>
  </conditionalFormatting>
  <conditionalFormatting sqref="ANC3:ANC7">
    <cfRule type="cellIs" dxfId="188" priority="163" operator="equal">
      <formula>0</formula>
    </cfRule>
    <cfRule type="cellIs" dxfId="187" priority="165" operator="greaterThan">
      <formula>0</formula>
    </cfRule>
    <cfRule type="cellIs" dxfId="186" priority="164" operator="lessThan">
      <formula>0</formula>
    </cfRule>
  </conditionalFormatting>
  <conditionalFormatting sqref="ANC10:ANC11">
    <cfRule type="cellIs" dxfId="185" priority="174" operator="equal">
      <formula>0</formula>
    </cfRule>
    <cfRule type="cellIs" dxfId="184" priority="176" operator="greaterThan">
      <formula>0</formula>
    </cfRule>
    <cfRule type="cellIs" dxfId="183" priority="175" operator="lessThan">
      <formula>0</formula>
    </cfRule>
  </conditionalFormatting>
  <conditionalFormatting sqref="ANC15 ANC18">
    <cfRule type="cellIs" dxfId="182" priority="172" operator="lessThan">
      <formula>0</formula>
    </cfRule>
    <cfRule type="cellIs" dxfId="181" priority="171" operator="equal">
      <formula>0</formula>
    </cfRule>
    <cfRule type="cellIs" dxfId="180" priority="173" operator="greaterThan">
      <formula>0</formula>
    </cfRule>
  </conditionalFormatting>
  <conditionalFormatting sqref="ANE20">
    <cfRule type="colorScale" priority="1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K3:ANK7">
    <cfRule type="cellIs" dxfId="179" priority="160" operator="equal">
      <formula>0</formula>
    </cfRule>
    <cfRule type="cellIs" dxfId="178" priority="161" operator="lessThan">
      <formula>0</formula>
    </cfRule>
  </conditionalFormatting>
  <conditionalFormatting sqref="ANK10:ANK11">
    <cfRule type="cellIs" dxfId="177" priority="149" operator="lessThan">
      <formula>0</formula>
    </cfRule>
    <cfRule type="cellIs" dxfId="176" priority="148" operator="equal">
      <formula>0</formula>
    </cfRule>
  </conditionalFormatting>
  <conditionalFormatting sqref="ANK15">
    <cfRule type="cellIs" dxfId="175" priority="159" operator="lessThan">
      <formula>0</formula>
    </cfRule>
  </conditionalFormatting>
  <conditionalFormatting sqref="ANK18">
    <cfRule type="cellIs" dxfId="174" priority="152" operator="lessThan">
      <formula>0</formula>
    </cfRule>
    <cfRule type="cellIs" dxfId="173" priority="151" operator="equal">
      <formula>0</formula>
    </cfRule>
  </conditionalFormatting>
  <conditionalFormatting sqref="ANM3:ANM7">
    <cfRule type="cellIs" dxfId="172" priority="147" operator="greaterThan">
      <formula>0</formula>
    </cfRule>
    <cfRule type="cellIs" dxfId="171" priority="146" operator="lessThan">
      <formula>0</formula>
    </cfRule>
    <cfRule type="cellIs" dxfId="170" priority="145" operator="equal">
      <formula>0</formula>
    </cfRule>
  </conditionalFormatting>
  <conditionalFormatting sqref="ANM10:ANM11">
    <cfRule type="cellIs" dxfId="169" priority="157" operator="lessThan">
      <formula>0</formula>
    </cfRule>
    <cfRule type="cellIs" dxfId="168" priority="156" operator="equal">
      <formula>0</formula>
    </cfRule>
    <cfRule type="cellIs" dxfId="167" priority="158" operator="greaterThan">
      <formula>0</formula>
    </cfRule>
  </conditionalFormatting>
  <conditionalFormatting sqref="ANM15 ANM18">
    <cfRule type="cellIs" dxfId="166" priority="155" operator="greaterThan">
      <formula>0</formula>
    </cfRule>
    <cfRule type="cellIs" dxfId="165" priority="154" operator="lessThan">
      <formula>0</formula>
    </cfRule>
    <cfRule type="cellIs" dxfId="164" priority="153" operator="equal">
      <formula>0</formula>
    </cfRule>
  </conditionalFormatting>
  <conditionalFormatting sqref="ANO20">
    <cfRule type="colorScale" priority="13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U3:ANU7">
    <cfRule type="cellIs" dxfId="163" priority="142" operator="equal">
      <formula>0</formula>
    </cfRule>
    <cfRule type="cellIs" dxfId="162" priority="143" operator="lessThan">
      <formula>0</formula>
    </cfRule>
  </conditionalFormatting>
  <conditionalFormatting sqref="ANU10:ANU11">
    <cfRule type="cellIs" dxfId="161" priority="131" operator="lessThan">
      <formula>0</formula>
    </cfRule>
    <cfRule type="cellIs" dxfId="160" priority="130" operator="equal">
      <formula>0</formula>
    </cfRule>
  </conditionalFormatting>
  <conditionalFormatting sqref="ANU15">
    <cfRule type="cellIs" dxfId="159" priority="141" operator="lessThan">
      <formula>0</formula>
    </cfRule>
  </conditionalFormatting>
  <conditionalFormatting sqref="ANU18">
    <cfRule type="cellIs" dxfId="158" priority="134" operator="lessThan">
      <formula>0</formula>
    </cfRule>
    <cfRule type="cellIs" dxfId="157" priority="133" operator="equal">
      <formula>0</formula>
    </cfRule>
  </conditionalFormatting>
  <conditionalFormatting sqref="ANW3:ANW7">
    <cfRule type="cellIs" dxfId="156" priority="129" operator="greaterThan">
      <formula>0</formula>
    </cfRule>
    <cfRule type="cellIs" dxfId="155" priority="128" operator="lessThan">
      <formula>0</formula>
    </cfRule>
    <cfRule type="cellIs" dxfId="154" priority="127" operator="equal">
      <formula>0</formula>
    </cfRule>
  </conditionalFormatting>
  <conditionalFormatting sqref="ANW10:ANW11">
    <cfRule type="cellIs" dxfId="153" priority="140" operator="greaterThan">
      <formula>0</formula>
    </cfRule>
    <cfRule type="cellIs" dxfId="152" priority="139" operator="lessThan">
      <formula>0</formula>
    </cfRule>
    <cfRule type="cellIs" dxfId="151" priority="138" operator="equal">
      <formula>0</formula>
    </cfRule>
  </conditionalFormatting>
  <conditionalFormatting sqref="ANW15 ANW18">
    <cfRule type="cellIs" dxfId="150" priority="135" operator="equal">
      <formula>0</formula>
    </cfRule>
    <cfRule type="cellIs" dxfId="149" priority="137" operator="greaterThan">
      <formula>0</formula>
    </cfRule>
    <cfRule type="cellIs" dxfId="148" priority="136" operator="lessThan">
      <formula>0</formula>
    </cfRule>
  </conditionalFormatting>
  <conditionalFormatting sqref="ANY20">
    <cfRule type="colorScale" priority="11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E3:AOE7">
    <cfRule type="cellIs" dxfId="147" priority="125" operator="lessThan">
      <formula>0</formula>
    </cfRule>
    <cfRule type="cellIs" dxfId="146" priority="124" operator="equal">
      <formula>0</formula>
    </cfRule>
  </conditionalFormatting>
  <conditionalFormatting sqref="AOE10:AOE11">
    <cfRule type="cellIs" dxfId="145" priority="113" operator="lessThan">
      <formula>0</formula>
    </cfRule>
    <cfRule type="cellIs" dxfId="144" priority="112" operator="equal">
      <formula>0</formula>
    </cfRule>
  </conditionalFormatting>
  <conditionalFormatting sqref="AOE15">
    <cfRule type="cellIs" dxfId="143" priority="123" operator="lessThan">
      <formula>0</formula>
    </cfRule>
  </conditionalFormatting>
  <conditionalFormatting sqref="AOE18">
    <cfRule type="cellIs" dxfId="142" priority="116" operator="lessThan">
      <formula>0</formula>
    </cfRule>
    <cfRule type="cellIs" dxfId="141" priority="115" operator="equal">
      <formula>0</formula>
    </cfRule>
  </conditionalFormatting>
  <conditionalFormatting sqref="AOG3:AOG7">
    <cfRule type="cellIs" dxfId="140" priority="111" operator="greaterThan">
      <formula>0</formula>
    </cfRule>
    <cfRule type="cellIs" dxfId="139" priority="110" operator="lessThan">
      <formula>0</formula>
    </cfRule>
    <cfRule type="cellIs" dxfId="138" priority="109" operator="equal">
      <formula>0</formula>
    </cfRule>
  </conditionalFormatting>
  <conditionalFormatting sqref="AOG10:AOG11">
    <cfRule type="cellIs" dxfId="137" priority="121" operator="lessThan">
      <formula>0</formula>
    </cfRule>
    <cfRule type="cellIs" dxfId="136" priority="120" operator="equal">
      <formula>0</formula>
    </cfRule>
    <cfRule type="cellIs" dxfId="135" priority="122" operator="greaterThan">
      <formula>0</formula>
    </cfRule>
  </conditionalFormatting>
  <conditionalFormatting sqref="AOG15 AOG18">
    <cfRule type="cellIs" dxfId="134" priority="119" operator="greaterThan">
      <formula>0</formula>
    </cfRule>
    <cfRule type="cellIs" dxfId="133" priority="117" operator="equal">
      <formula>0</formula>
    </cfRule>
    <cfRule type="cellIs" dxfId="132" priority="118" operator="lessThan">
      <formula>0</formula>
    </cfRule>
  </conditionalFormatting>
  <conditionalFormatting sqref="AOI20">
    <cfRule type="colorScale" priority="9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O3:AOO7">
    <cfRule type="cellIs" dxfId="131" priority="107" operator="lessThan">
      <formula>0</formula>
    </cfRule>
    <cfRule type="cellIs" dxfId="130" priority="106" operator="equal">
      <formula>0</formula>
    </cfRule>
  </conditionalFormatting>
  <conditionalFormatting sqref="AOO10:AOO11">
    <cfRule type="cellIs" dxfId="129" priority="95" operator="lessThan">
      <formula>0</formula>
    </cfRule>
    <cfRule type="cellIs" dxfId="128" priority="94" operator="equal">
      <formula>0</formula>
    </cfRule>
  </conditionalFormatting>
  <conditionalFormatting sqref="AOO15">
    <cfRule type="cellIs" dxfId="127" priority="105" operator="lessThan">
      <formula>0</formula>
    </cfRule>
  </conditionalFormatting>
  <conditionalFormatting sqref="AOO18">
    <cfRule type="cellIs" dxfId="126" priority="97" operator="equal">
      <formula>0</formula>
    </cfRule>
    <cfRule type="cellIs" dxfId="125" priority="98" operator="lessThan">
      <formula>0</formula>
    </cfRule>
  </conditionalFormatting>
  <conditionalFormatting sqref="AOQ3:AOQ7">
    <cfRule type="cellIs" dxfId="124" priority="93" operator="greaterThan">
      <formula>0</formula>
    </cfRule>
    <cfRule type="cellIs" dxfId="123" priority="92" operator="lessThan">
      <formula>0</formula>
    </cfRule>
    <cfRule type="cellIs" dxfId="122" priority="91" operator="equal">
      <formula>0</formula>
    </cfRule>
  </conditionalFormatting>
  <conditionalFormatting sqref="AOQ10:AOQ11">
    <cfRule type="cellIs" dxfId="121" priority="104" operator="greaterThan">
      <formula>0</formula>
    </cfRule>
    <cfRule type="cellIs" dxfId="120" priority="102" operator="equal">
      <formula>0</formula>
    </cfRule>
    <cfRule type="cellIs" dxfId="119" priority="103" operator="lessThan">
      <formula>0</formula>
    </cfRule>
  </conditionalFormatting>
  <conditionalFormatting sqref="AOQ15 AOQ18">
    <cfRule type="cellIs" dxfId="118" priority="100" operator="lessThan">
      <formula>0</formula>
    </cfRule>
    <cfRule type="cellIs" dxfId="117" priority="99" operator="equal">
      <formula>0</formula>
    </cfRule>
    <cfRule type="cellIs" dxfId="116" priority="101" operator="greaterThan">
      <formula>0</formula>
    </cfRule>
  </conditionalFormatting>
  <conditionalFormatting sqref="AOS20">
    <cfRule type="colorScale" priority="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Y3:AOY7">
    <cfRule type="cellIs" dxfId="115" priority="89" operator="lessThan">
      <formula>0</formula>
    </cfRule>
    <cfRule type="cellIs" dxfId="114" priority="88" operator="equal">
      <formula>0</formula>
    </cfRule>
  </conditionalFormatting>
  <conditionalFormatting sqref="AOY10:AOY11">
    <cfRule type="cellIs" dxfId="113" priority="76" operator="equal">
      <formula>0</formula>
    </cfRule>
    <cfRule type="cellIs" dxfId="112" priority="77" operator="lessThan">
      <formula>0</formula>
    </cfRule>
  </conditionalFormatting>
  <conditionalFormatting sqref="AOY15">
    <cfRule type="cellIs" dxfId="111" priority="87" operator="lessThan">
      <formula>0</formula>
    </cfRule>
  </conditionalFormatting>
  <conditionalFormatting sqref="AOY18">
    <cfRule type="cellIs" dxfId="110" priority="80" operator="lessThan">
      <formula>0</formula>
    </cfRule>
    <cfRule type="cellIs" dxfId="109" priority="79" operator="equal">
      <formula>0</formula>
    </cfRule>
  </conditionalFormatting>
  <conditionalFormatting sqref="APA3:APA7">
    <cfRule type="cellIs" dxfId="108" priority="73" operator="equal">
      <formula>0</formula>
    </cfRule>
    <cfRule type="cellIs" dxfId="107" priority="75" operator="greaterThan">
      <formula>0</formula>
    </cfRule>
    <cfRule type="cellIs" dxfId="106" priority="74" operator="lessThan">
      <formula>0</formula>
    </cfRule>
  </conditionalFormatting>
  <conditionalFormatting sqref="APA10:APA11">
    <cfRule type="cellIs" dxfId="105" priority="86" operator="greaterThan">
      <formula>0</formula>
    </cfRule>
    <cfRule type="cellIs" dxfId="104" priority="85" operator="lessThan">
      <formula>0</formula>
    </cfRule>
    <cfRule type="cellIs" dxfId="103" priority="84" operator="equal">
      <formula>0</formula>
    </cfRule>
  </conditionalFormatting>
  <conditionalFormatting sqref="APA15 APA18">
    <cfRule type="cellIs" dxfId="102" priority="83" operator="greaterThan">
      <formula>0</formula>
    </cfRule>
    <cfRule type="cellIs" dxfId="101" priority="82" operator="lessThan">
      <formula>0</formula>
    </cfRule>
    <cfRule type="cellIs" dxfId="100" priority="81" operator="equal">
      <formula>0</formula>
    </cfRule>
  </conditionalFormatting>
  <conditionalFormatting sqref="APC20">
    <cfRule type="colorScale" priority="6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I3:API7">
    <cfRule type="cellIs" dxfId="99" priority="71" operator="lessThan">
      <formula>0</formula>
    </cfRule>
    <cfRule type="cellIs" dxfId="98" priority="70" operator="equal">
      <formula>0</formula>
    </cfRule>
  </conditionalFormatting>
  <conditionalFormatting sqref="API10:API11">
    <cfRule type="cellIs" dxfId="97" priority="59" operator="lessThan">
      <formula>0</formula>
    </cfRule>
    <cfRule type="cellIs" dxfId="96" priority="58" operator="equal">
      <formula>0</formula>
    </cfRule>
  </conditionalFormatting>
  <conditionalFormatting sqref="API15">
    <cfRule type="cellIs" dxfId="95" priority="69" operator="lessThan">
      <formula>0</formula>
    </cfRule>
  </conditionalFormatting>
  <conditionalFormatting sqref="API18">
    <cfRule type="cellIs" dxfId="94" priority="62" operator="lessThan">
      <formula>0</formula>
    </cfRule>
    <cfRule type="cellIs" dxfId="93" priority="61" operator="equal">
      <formula>0</formula>
    </cfRule>
  </conditionalFormatting>
  <conditionalFormatting sqref="APK3:APK7">
    <cfRule type="cellIs" dxfId="92" priority="55" operator="equal">
      <formula>0</formula>
    </cfRule>
    <cfRule type="cellIs" dxfId="91" priority="57" operator="greaterThan">
      <formula>0</formula>
    </cfRule>
    <cfRule type="cellIs" dxfId="90" priority="56" operator="lessThan">
      <formula>0</formula>
    </cfRule>
  </conditionalFormatting>
  <conditionalFormatting sqref="APK10:APK11">
    <cfRule type="cellIs" dxfId="89" priority="68" operator="greaterThan">
      <formula>0</formula>
    </cfRule>
    <cfRule type="cellIs" dxfId="88" priority="66" operator="equal">
      <formula>0</formula>
    </cfRule>
    <cfRule type="cellIs" dxfId="87" priority="67" operator="lessThan">
      <formula>0</formula>
    </cfRule>
  </conditionalFormatting>
  <conditionalFormatting sqref="APK15 APK18">
    <cfRule type="cellIs" dxfId="86" priority="63" operator="equal">
      <formula>0</formula>
    </cfRule>
    <cfRule type="cellIs" dxfId="85" priority="65" operator="greaterThan">
      <formula>0</formula>
    </cfRule>
    <cfRule type="cellIs" dxfId="84" priority="64" operator="lessThan">
      <formula>0</formula>
    </cfRule>
  </conditionalFormatting>
  <conditionalFormatting sqref="APM20">
    <cfRule type="colorScale" priority="4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S3:APS7">
    <cfRule type="cellIs" dxfId="83" priority="53" operator="lessThan">
      <formula>0</formula>
    </cfRule>
    <cfRule type="cellIs" dxfId="82" priority="52" operator="equal">
      <formula>0</formula>
    </cfRule>
  </conditionalFormatting>
  <conditionalFormatting sqref="APS10:APS11">
    <cfRule type="cellIs" dxfId="81" priority="41" operator="lessThan">
      <formula>0</formula>
    </cfRule>
    <cfRule type="cellIs" dxfId="80" priority="40" operator="equal">
      <formula>0</formula>
    </cfRule>
  </conditionalFormatting>
  <conditionalFormatting sqref="APS15">
    <cfRule type="cellIs" dxfId="79" priority="51" operator="lessThan">
      <formula>0</formula>
    </cfRule>
  </conditionalFormatting>
  <conditionalFormatting sqref="APS18">
    <cfRule type="cellIs" dxfId="78" priority="44" operator="lessThan">
      <formula>0</formula>
    </cfRule>
    <cfRule type="cellIs" dxfId="77" priority="43" operator="equal">
      <formula>0</formula>
    </cfRule>
  </conditionalFormatting>
  <conditionalFormatting sqref="APU3:APU7">
    <cfRule type="cellIs" dxfId="76" priority="39" operator="greaterThan">
      <formula>0</formula>
    </cfRule>
    <cfRule type="cellIs" dxfId="75" priority="38" operator="lessThan">
      <formula>0</formula>
    </cfRule>
    <cfRule type="cellIs" dxfId="74" priority="37" operator="equal">
      <formula>0</formula>
    </cfRule>
  </conditionalFormatting>
  <conditionalFormatting sqref="APU10:APU11">
    <cfRule type="cellIs" dxfId="73" priority="50" operator="greaterThan">
      <formula>0</formula>
    </cfRule>
    <cfRule type="cellIs" dxfId="72" priority="49" operator="lessThan">
      <formula>0</formula>
    </cfRule>
    <cfRule type="cellIs" dxfId="71" priority="48" operator="equal">
      <formula>0</formula>
    </cfRule>
  </conditionalFormatting>
  <conditionalFormatting sqref="APU15 APU18">
    <cfRule type="cellIs" dxfId="70" priority="46" operator="lessThan">
      <formula>0</formula>
    </cfRule>
    <cfRule type="cellIs" dxfId="69" priority="45" operator="equal">
      <formula>0</formula>
    </cfRule>
    <cfRule type="cellIs" dxfId="68" priority="47" operator="greaterThan">
      <formula>0</formula>
    </cfRule>
  </conditionalFormatting>
  <conditionalFormatting sqref="APW20">
    <cfRule type="colorScale" priority="2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QC3:AQC7">
    <cfRule type="cellIs" dxfId="67" priority="35" operator="lessThan">
      <formula>0</formula>
    </cfRule>
    <cfRule type="cellIs" dxfId="66" priority="34" operator="equal">
      <formula>0</formula>
    </cfRule>
  </conditionalFormatting>
  <conditionalFormatting sqref="AQC10:AQC11">
    <cfRule type="cellIs" dxfId="65" priority="23" operator="lessThan">
      <formula>0</formula>
    </cfRule>
    <cfRule type="cellIs" dxfId="64" priority="22" operator="equal">
      <formula>0</formula>
    </cfRule>
  </conditionalFormatting>
  <conditionalFormatting sqref="AQC15">
    <cfRule type="cellIs" dxfId="63" priority="33" operator="lessThan">
      <formula>0</formula>
    </cfRule>
  </conditionalFormatting>
  <conditionalFormatting sqref="AQC18">
    <cfRule type="cellIs" dxfId="62" priority="26" operator="lessThan">
      <formula>0</formula>
    </cfRule>
    <cfRule type="cellIs" dxfId="61" priority="25" operator="equal">
      <formula>0</formula>
    </cfRule>
  </conditionalFormatting>
  <conditionalFormatting sqref="AQE3:AQE7">
    <cfRule type="cellIs" dxfId="60" priority="21" operator="greaterThan">
      <formula>0</formula>
    </cfRule>
    <cfRule type="cellIs" dxfId="59" priority="20" operator="lessThan">
      <formula>0</formula>
    </cfRule>
    <cfRule type="cellIs" dxfId="58" priority="19" operator="equal">
      <formula>0</formula>
    </cfRule>
  </conditionalFormatting>
  <conditionalFormatting sqref="AQE10:AQE11">
    <cfRule type="cellIs" dxfId="57" priority="30" operator="equal">
      <formula>0</formula>
    </cfRule>
    <cfRule type="cellIs" dxfId="56" priority="32" operator="greaterThan">
      <formula>0</formula>
    </cfRule>
    <cfRule type="cellIs" dxfId="55" priority="31" operator="lessThan">
      <formula>0</formula>
    </cfRule>
  </conditionalFormatting>
  <conditionalFormatting sqref="AQE15 AQE18">
    <cfRule type="cellIs" dxfId="54" priority="29" operator="greaterThan">
      <formula>0</formula>
    </cfRule>
    <cfRule type="cellIs" dxfId="53" priority="27" operator="equal">
      <formula>0</formula>
    </cfRule>
    <cfRule type="cellIs" dxfId="52" priority="28" operator="lessThan">
      <formula>0</formula>
    </cfRule>
  </conditionalFormatting>
  <conditionalFormatting sqref="AQG20">
    <cfRule type="colorScale" priority="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QM3:AQM7">
    <cfRule type="cellIs" dxfId="15" priority="16" operator="equal">
      <formula>0</formula>
    </cfRule>
    <cfRule type="cellIs" dxfId="16" priority="17" operator="lessThan">
      <formula>0</formula>
    </cfRule>
  </conditionalFormatting>
  <conditionalFormatting sqref="AQM10:AQM11">
    <cfRule type="cellIs" dxfId="14" priority="4" operator="equal">
      <formula>0</formula>
    </cfRule>
    <cfRule type="cellIs" dxfId="13" priority="5" operator="lessThan">
      <formula>0</formula>
    </cfRule>
  </conditionalFormatting>
  <conditionalFormatting sqref="AQM15">
    <cfRule type="cellIs" dxfId="12" priority="15" operator="equal">
      <formula>0</formula>
    </cfRule>
    <cfRule type="cellIs" dxfId="11" priority="-1" operator="lessThan">
      <formula>0</formula>
    </cfRule>
  </conditionalFormatting>
  <conditionalFormatting sqref="AQM18">
    <cfRule type="cellIs" dxfId="9" priority="7" operator="equal">
      <formula>0</formula>
    </cfRule>
    <cfRule type="cellIs" dxfId="10" priority="8" operator="lessThan">
      <formula>0</formula>
    </cfRule>
  </conditionalFormatting>
  <conditionalFormatting sqref="AQO3:AQO7">
    <cfRule type="cellIs" dxfId="6" priority="1" operator="equal">
      <formula>0</formula>
    </cfRule>
    <cfRule type="cellIs" dxfId="7" priority="2" operator="lessThan">
      <formula>0</formula>
    </cfRule>
    <cfRule type="cellIs" dxfId="8" priority="3" operator="greaterThan">
      <formula>0</formula>
    </cfRule>
  </conditionalFormatting>
  <conditionalFormatting sqref="AQO10:AQO11">
    <cfRule type="cellIs" dxfId="3" priority="12" operator="equal">
      <formula>0</formula>
    </cfRule>
    <cfRule type="cellIs" dxfId="4" priority="13" operator="lessThan">
      <formula>0</formula>
    </cfRule>
    <cfRule type="cellIs" dxfId="5" priority="14" operator="greaterThan">
      <formula>0</formula>
    </cfRule>
  </conditionalFormatting>
  <conditionalFormatting sqref="AQO15 AQO18">
    <cfRule type="cellIs" dxfId="0" priority="9" operator="equal">
      <formula>0</formula>
    </cfRule>
    <cfRule type="cellIs" dxfId="1" priority="10" operator="lessThan">
      <formula>0</formula>
    </cfRule>
    <cfRule type="cellIs" dxfId="2" priority="11" operator="greaterThan">
      <formula>0</formula>
    </cfRule>
  </conditionalFormatting>
  <pageMargins left="0.25" right="0.25" top="0.80208333333333337" bottom="0.50480769230769229" header="0.3" footer="0.3"/>
  <pageSetup fitToWidth="0" fitToHeight="0" orientation="landscape" r:id="rId1"/>
  <headerFooter>
    <oddHeader xml:space="preserve">&amp;L&amp;"Calibri,Bold"&amp;16NORTH&amp;C&amp;"Calibri,Bold"&amp;16BEER - PREMIUM&amp;R&amp;"Calibri,Bold"&amp;16THU for MON - &amp;UHN&amp;"Calibri,Regular"&amp;11&amp;U
&amp;7Printed &amp;D &amp;T </oddHeader>
    <oddFooter>&amp;C&amp;7&amp;Z&amp;F(GV 10/10/25)&amp;R&amp;7&amp;P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8CF9-7463-46FD-BB94-AF797098D8E2}">
  <sheetPr codeName="Sheet2">
    <tabColor rgb="FFFF0000"/>
  </sheetPr>
  <dimension ref="A1:AA24"/>
  <sheetViews>
    <sheetView topLeftCell="K1" zoomScale="130" zoomScaleNormal="130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8" hidden="1" customWidth="1"/>
    <col min="3" max="3" width="2.42578125" style="9" hidden="1" customWidth="1"/>
    <col min="4" max="4" width="3.140625" style="8" hidden="1" customWidth="1"/>
    <col min="5" max="5" width="2.42578125" style="9" hidden="1" customWidth="1"/>
    <col min="6" max="10" width="3.140625" style="8" hidden="1" customWidth="1"/>
    <col min="11" max="11" width="1.28515625" style="1" customWidth="1"/>
    <col min="12" max="12" width="3.140625" style="8" customWidth="1"/>
    <col min="13" max="13" width="2.42578125" style="9" customWidth="1"/>
    <col min="14" max="14" width="3.140625" style="8" customWidth="1"/>
    <col min="15" max="15" width="2.42578125" style="9" customWidth="1"/>
    <col min="16" max="20" width="3.140625" style="8" customWidth="1"/>
    <col min="22" max="22" width="8.5703125" style="25" bestFit="1" customWidth="1"/>
    <col min="23" max="23" width="9.140625" style="25"/>
    <col min="24" max="24" width="26.42578125" bestFit="1" customWidth="1"/>
    <col min="25" max="25" width="12.140625" customWidth="1"/>
  </cols>
  <sheetData>
    <row r="1" spans="1:26" x14ac:dyDescent="0.25">
      <c r="B1" s="42" t="s">
        <v>0</v>
      </c>
      <c r="C1" s="43"/>
      <c r="D1" s="81" t="s">
        <v>2</v>
      </c>
      <c r="E1" s="82"/>
      <c r="F1" s="83"/>
      <c r="G1" s="42" t="s">
        <v>1</v>
      </c>
      <c r="H1" s="43"/>
      <c r="I1" s="47">
        <v>45547</v>
      </c>
      <c r="J1" s="48"/>
      <c r="L1" s="42" t="s">
        <v>0</v>
      </c>
      <c r="M1" s="43"/>
      <c r="N1" s="44"/>
      <c r="O1" s="45"/>
      <c r="P1" s="46"/>
      <c r="Q1" s="42" t="s">
        <v>1</v>
      </c>
      <c r="R1" s="43"/>
      <c r="S1" s="47"/>
      <c r="T1" s="48"/>
    </row>
    <row r="2" spans="1:26" x14ac:dyDescent="0.25">
      <c r="A2" s="21"/>
      <c r="B2" s="49" t="s">
        <v>16</v>
      </c>
      <c r="C2" s="50"/>
      <c r="D2" s="49" t="s">
        <v>17</v>
      </c>
      <c r="E2" s="50"/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21"/>
      <c r="L2" s="49" t="s">
        <v>16</v>
      </c>
      <c r="M2" s="50"/>
      <c r="N2" s="49" t="s">
        <v>17</v>
      </c>
      <c r="O2" s="50"/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V2" s="26" t="s">
        <v>52</v>
      </c>
      <c r="W2" s="27" t="s">
        <v>53</v>
      </c>
    </row>
    <row r="3" spans="1:26" x14ac:dyDescent="0.25">
      <c r="B3" s="2">
        <v>24</v>
      </c>
      <c r="C3" s="6" t="s">
        <v>25</v>
      </c>
      <c r="D3" s="2">
        <v>20</v>
      </c>
      <c r="E3" s="6" t="s">
        <v>25</v>
      </c>
      <c r="F3" s="5">
        <f>IF(OR(ISNUMBER(B3), ISNUMBER(D3)), IF(ISNUMBER(B3), B3, 0) + IF(ISNUMBER(D3), D3, 0), "")</f>
        <v>44</v>
      </c>
      <c r="G3" s="3"/>
      <c r="H3" s="7" t="e">
        <f t="shared" ref="H3" si="0">IF(ISNUMBER(F3), (#REF!+(#REF!*24))-F3, "")</f>
        <v>#REF!</v>
      </c>
      <c r="I3" s="5">
        <v>1</v>
      </c>
      <c r="J3" s="7" t="e">
        <f>IF(ISNUMBER(I3), I3-H3, "")</f>
        <v>#REF!</v>
      </c>
      <c r="L3" s="2"/>
      <c r="M3" s="6" t="s">
        <v>25</v>
      </c>
      <c r="N3" s="2"/>
      <c r="O3" s="6" t="s">
        <v>25</v>
      </c>
      <c r="P3" s="5" t="str">
        <f>IF(OR(ISNUMBER(L3), ISNUMBER(N3)), IF(ISNUMBER(L3), L3, 0) + IF(ISNUMBER(N3), N3, 0), "")</f>
        <v/>
      </c>
      <c r="Q3" s="3"/>
      <c r="R3" s="7" t="str">
        <f t="shared" ref="R3:R7" si="1">IF(ISNUMBER(P3), (F3+(G3*24))-P3, "")</f>
        <v/>
      </c>
      <c r="S3" s="5"/>
      <c r="T3" s="7" t="str">
        <f>IF(ISNUMBER(S3), S3-R3, "")</f>
        <v/>
      </c>
      <c r="V3" s="26" t="s">
        <v>54</v>
      </c>
      <c r="W3" s="27" t="s">
        <v>55</v>
      </c>
    </row>
    <row r="4" spans="1:26" x14ac:dyDescent="0.25">
      <c r="B4" s="2">
        <v>0</v>
      </c>
      <c r="C4" s="6" t="s">
        <v>25</v>
      </c>
      <c r="D4" s="2">
        <v>14</v>
      </c>
      <c r="E4" s="6" t="s">
        <v>25</v>
      </c>
      <c r="F4" s="5">
        <f t="shared" ref="F4:F9" si="2">IF(OR(ISNUMBER(B4), ISNUMBER(D4)), IF(ISNUMBER(B4), B4, 0) + IF(ISNUMBER(D4), D4, 0), "")</f>
        <v>14</v>
      </c>
      <c r="G4" s="3"/>
      <c r="H4" s="7" t="e">
        <f t="shared" ref="H4" si="3">IF(ISNUMBER(F4), (#REF!+(#REF!*24))-F4, "")</f>
        <v>#REF!</v>
      </c>
      <c r="I4" s="5"/>
      <c r="J4" s="7" t="str">
        <f t="shared" ref="J4:J11" si="4">IF(ISNUMBER(I4), I4-H4, "")</f>
        <v/>
      </c>
      <c r="L4" s="2"/>
      <c r="M4" s="6" t="s">
        <v>25</v>
      </c>
      <c r="N4" s="2"/>
      <c r="O4" s="6" t="s">
        <v>25</v>
      </c>
      <c r="P4" s="5" t="str">
        <f t="shared" ref="P4:P5" si="5">IF(OR(ISNUMBER(L4), ISNUMBER(N4)), IF(ISNUMBER(L4), L4, 0) + IF(ISNUMBER(N4), N4, 0), "")</f>
        <v/>
      </c>
      <c r="Q4" s="3"/>
      <c r="R4" s="7" t="str">
        <f t="shared" si="1"/>
        <v/>
      </c>
      <c r="S4" s="5"/>
      <c r="T4" s="7" t="str">
        <f t="shared" ref="T4:T7" si="6">IF(ISNUMBER(S4), S4-R4, "")</f>
        <v/>
      </c>
      <c r="V4" s="26" t="s">
        <v>56</v>
      </c>
      <c r="W4" s="27" t="s">
        <v>57</v>
      </c>
    </row>
    <row r="5" spans="1:26" x14ac:dyDescent="0.25">
      <c r="B5" s="2">
        <v>6</v>
      </c>
      <c r="C5" s="6" t="s">
        <v>25</v>
      </c>
      <c r="D5" s="2">
        <v>11</v>
      </c>
      <c r="E5" s="6" t="s">
        <v>25</v>
      </c>
      <c r="F5" s="5">
        <f t="shared" si="2"/>
        <v>17</v>
      </c>
      <c r="G5" s="3"/>
      <c r="H5" s="7" t="e">
        <f t="shared" ref="H5" si="7">IF(ISNUMBER(F5), (#REF!+(#REF!*24))-F5, "")</f>
        <v>#REF!</v>
      </c>
      <c r="I5" s="5">
        <v>4</v>
      </c>
      <c r="J5" s="7" t="e">
        <f t="shared" si="4"/>
        <v>#REF!</v>
      </c>
      <c r="L5" s="2"/>
      <c r="M5" s="6" t="s">
        <v>25</v>
      </c>
      <c r="N5" s="2"/>
      <c r="O5" s="6" t="s">
        <v>25</v>
      </c>
      <c r="P5" s="5" t="str">
        <f t="shared" si="5"/>
        <v/>
      </c>
      <c r="Q5" s="3"/>
      <c r="R5" s="7" t="str">
        <f t="shared" si="1"/>
        <v/>
      </c>
      <c r="S5" s="5"/>
      <c r="T5" s="7" t="str">
        <f t="shared" si="6"/>
        <v/>
      </c>
    </row>
    <row r="6" spans="1:26" x14ac:dyDescent="0.25">
      <c r="B6" s="2">
        <v>18</v>
      </c>
      <c r="C6" s="6" t="s">
        <v>25</v>
      </c>
      <c r="D6" s="2">
        <v>5</v>
      </c>
      <c r="E6" s="6" t="s">
        <v>25</v>
      </c>
      <c r="F6" s="5">
        <f t="shared" si="2"/>
        <v>23</v>
      </c>
      <c r="G6" s="3"/>
      <c r="H6" s="7" t="e">
        <f t="shared" ref="H6" si="8">IF(ISNUMBER(F6), (#REF!+(#REF!*24))-F6, "")</f>
        <v>#REF!</v>
      </c>
      <c r="I6" s="5">
        <v>6</v>
      </c>
      <c r="J6" s="7" t="e">
        <f t="shared" si="4"/>
        <v>#REF!</v>
      </c>
      <c r="L6" s="2"/>
      <c r="M6" s="6" t="s">
        <v>25</v>
      </c>
      <c r="N6" s="2"/>
      <c r="O6" s="6" t="s">
        <v>25</v>
      </c>
      <c r="P6" s="5" t="str">
        <f>IF(OR(ISNUMBER(L6), ISNUMBER(N6)), IF(ISNUMBER(L6), L6, 0) + IF(ISNUMBER(N6), N6, 0), "")</f>
        <v/>
      </c>
      <c r="Q6" s="3"/>
      <c r="R6" s="7" t="str">
        <f t="shared" si="1"/>
        <v/>
      </c>
      <c r="S6" s="5"/>
      <c r="T6" s="7" t="str">
        <f t="shared" si="6"/>
        <v/>
      </c>
      <c r="V6" s="84" t="s">
        <v>58</v>
      </c>
      <c r="W6" s="84"/>
      <c r="X6" s="84"/>
      <c r="Y6" s="84"/>
    </row>
    <row r="7" spans="1:26" x14ac:dyDescent="0.25">
      <c r="B7" s="2">
        <v>18</v>
      </c>
      <c r="C7" s="6" t="s">
        <v>25</v>
      </c>
      <c r="D7" s="2">
        <v>3</v>
      </c>
      <c r="E7" s="6" t="s">
        <v>25</v>
      </c>
      <c r="F7" s="5">
        <f t="shared" si="2"/>
        <v>21</v>
      </c>
      <c r="G7" s="3"/>
      <c r="H7" s="7" t="e">
        <f t="shared" ref="H7" si="9">IF(ISNUMBER(F7), (#REF!+(#REF!*24))-F7, "")</f>
        <v>#REF!</v>
      </c>
      <c r="I7" s="5"/>
      <c r="J7" s="7" t="str">
        <f t="shared" si="4"/>
        <v/>
      </c>
      <c r="L7" s="2"/>
      <c r="M7" s="6" t="s">
        <v>25</v>
      </c>
      <c r="N7" s="2"/>
      <c r="O7" s="6" t="s">
        <v>25</v>
      </c>
      <c r="P7" s="5" t="str">
        <f>IF(OR(ISNUMBER(L7), ISNUMBER(N7)), IF(ISNUMBER(L7), L7, 0) + IF(ISNUMBER(N7), N7, 0), "")</f>
        <v/>
      </c>
      <c r="Q7" s="3"/>
      <c r="R7" s="7" t="str">
        <f t="shared" si="1"/>
        <v/>
      </c>
      <c r="S7" s="5"/>
      <c r="T7" s="7" t="str">
        <f t="shared" si="6"/>
        <v/>
      </c>
      <c r="V7" s="28" t="s">
        <v>59</v>
      </c>
      <c r="W7" s="28" t="s">
        <v>60</v>
      </c>
      <c r="X7" s="29" t="s">
        <v>61</v>
      </c>
      <c r="Y7" s="29" t="s">
        <v>62</v>
      </c>
    </row>
    <row r="8" spans="1:26" x14ac:dyDescent="0.25">
      <c r="B8" s="2">
        <v>12</v>
      </c>
      <c r="C8" s="6" t="s">
        <v>25</v>
      </c>
      <c r="D8" s="2">
        <v>14</v>
      </c>
      <c r="E8" s="6" t="s">
        <v>25</v>
      </c>
      <c r="F8" s="5">
        <f t="shared" si="2"/>
        <v>26</v>
      </c>
      <c r="G8" s="3"/>
      <c r="H8" s="7" t="e">
        <f t="shared" ref="H8" si="10">IF(ISNUMBER(F8), (#REF!+(#REF!*24))-F8, "")</f>
        <v>#REF!</v>
      </c>
      <c r="I8" s="5"/>
      <c r="J8" s="7" t="str">
        <f t="shared" si="4"/>
        <v/>
      </c>
      <c r="V8" s="30">
        <v>0.5</v>
      </c>
      <c r="W8" s="31">
        <v>1984</v>
      </c>
      <c r="X8" s="34"/>
      <c r="Y8" s="33">
        <f>(X8*17)/W8</f>
        <v>0</v>
      </c>
    </row>
    <row r="9" spans="1:26" x14ac:dyDescent="0.25">
      <c r="B9" s="2">
        <v>18</v>
      </c>
      <c r="C9" s="6" t="s">
        <v>25</v>
      </c>
      <c r="D9" s="2">
        <v>12</v>
      </c>
      <c r="E9" s="6" t="s">
        <v>25</v>
      </c>
      <c r="F9" s="5">
        <f t="shared" si="2"/>
        <v>30</v>
      </c>
      <c r="G9" s="3"/>
      <c r="H9" s="7" t="e">
        <f t="shared" ref="H9" si="11">IF(ISNUMBER(F9), (#REF!+(#REF!*24))-F9, "")</f>
        <v>#REF!</v>
      </c>
      <c r="I9" s="5"/>
      <c r="J9" s="7" t="str">
        <f t="shared" si="4"/>
        <v/>
      </c>
      <c r="L9" s="49" t="s">
        <v>16</v>
      </c>
      <c r="M9" s="50"/>
      <c r="N9" s="49" t="s">
        <v>17</v>
      </c>
      <c r="O9" s="50"/>
      <c r="P9" s="4" t="s">
        <v>18</v>
      </c>
      <c r="Q9" s="4" t="s">
        <v>19</v>
      </c>
      <c r="R9" s="4" t="s">
        <v>20</v>
      </c>
      <c r="S9" s="4" t="s">
        <v>21</v>
      </c>
      <c r="T9" s="4" t="s">
        <v>22</v>
      </c>
      <c r="V9" s="30">
        <v>0.25</v>
      </c>
      <c r="W9" s="31">
        <v>992</v>
      </c>
      <c r="X9" s="32">
        <v>2</v>
      </c>
      <c r="Y9" s="33">
        <f t="shared" ref="Y9:Y10" si="12">(X9*17)/W9</f>
        <v>3.4274193548387094E-2</v>
      </c>
      <c r="Z9" t="s">
        <v>63</v>
      </c>
    </row>
    <row r="10" spans="1:26" x14ac:dyDescent="0.25">
      <c r="B10" s="2">
        <v>24</v>
      </c>
      <c r="C10" s="6" t="s">
        <v>25</v>
      </c>
      <c r="D10" s="2">
        <v>7</v>
      </c>
      <c r="E10" s="6" t="s">
        <v>25</v>
      </c>
      <c r="F10" s="5">
        <f>IF(OR(ISNUMBER(B10), ISNUMBER(D10)), IF(ISNUMBER(B10), B10, 0) + IF(ISNUMBER(D10), D10, 0), "")</f>
        <v>31</v>
      </c>
      <c r="G10" s="3"/>
      <c r="H10" s="7" t="e">
        <f t="shared" ref="H10" si="13">IF(ISNUMBER(F10), (#REF!+(#REF!*24))-F10, "")</f>
        <v>#REF!</v>
      </c>
      <c r="I10" s="5"/>
      <c r="J10" s="7" t="str">
        <f t="shared" si="4"/>
        <v/>
      </c>
      <c r="K10" s="21"/>
      <c r="L10" s="2"/>
      <c r="M10" s="6" t="s">
        <v>25</v>
      </c>
      <c r="N10" s="2"/>
      <c r="O10" s="6" t="s">
        <v>25</v>
      </c>
      <c r="P10" s="5" t="str">
        <f t="shared" ref="P10:P11" si="14">IF(OR(ISNUMBER(L10), ISNUMBER(N10)), IF(ISNUMBER(L10), L10, 0) + IF(ISNUMBER(N10), N10, 0), "")</f>
        <v/>
      </c>
      <c r="Q10" s="3"/>
      <c r="R10" s="10" t="str">
        <f>IF(ISNUMBER(P10), (F10+G10)-P10, "")</f>
        <v/>
      </c>
      <c r="S10" s="5"/>
      <c r="T10" s="10" t="str">
        <f t="shared" ref="T10:T11" si="15">IF(ISNUMBER(S10), S10-R10, "")</f>
        <v/>
      </c>
      <c r="V10" s="30">
        <v>0.16666666666666666</v>
      </c>
      <c r="W10" s="31">
        <v>640</v>
      </c>
      <c r="X10" s="34"/>
      <c r="Y10" s="33">
        <f t="shared" si="12"/>
        <v>0</v>
      </c>
    </row>
    <row r="11" spans="1:26" x14ac:dyDescent="0.25">
      <c r="B11" s="2">
        <v>28</v>
      </c>
      <c r="C11" s="6" t="s">
        <v>25</v>
      </c>
      <c r="D11" s="2">
        <v>4</v>
      </c>
      <c r="E11" s="6" t="s">
        <v>25</v>
      </c>
      <c r="F11" s="5">
        <f>IF(OR(ISNUMBER(B11), ISNUMBER(D11)), IF(ISNUMBER(B11), B11, 0) + IF(ISNUMBER(D11), D11, 0), "")</f>
        <v>32</v>
      </c>
      <c r="G11" s="3"/>
      <c r="H11" s="7" t="e">
        <f t="shared" ref="H11" si="16">IF(ISNUMBER(F11), (#REF!+(#REF!*24))-F11, "")</f>
        <v>#REF!</v>
      </c>
      <c r="I11" s="5">
        <v>4</v>
      </c>
      <c r="J11" s="7" t="e">
        <f t="shared" si="4"/>
        <v>#REF!</v>
      </c>
      <c r="L11" s="2"/>
      <c r="M11" s="6" t="s">
        <v>25</v>
      </c>
      <c r="N11" s="2"/>
      <c r="O11" s="6" t="s">
        <v>25</v>
      </c>
      <c r="P11" s="5" t="str">
        <f t="shared" si="14"/>
        <v/>
      </c>
      <c r="Q11" s="3"/>
      <c r="R11" s="10" t="str">
        <f>IF(ISNUMBER(P11), (F11+G11)-P11, "")</f>
        <v/>
      </c>
      <c r="S11" s="5"/>
      <c r="T11" s="10" t="str">
        <f t="shared" si="15"/>
        <v/>
      </c>
    </row>
    <row r="12" spans="1:26" x14ac:dyDescent="0.25">
      <c r="Y12">
        <v>0.38</v>
      </c>
    </row>
    <row r="13" spans="1:26" x14ac:dyDescent="0.25">
      <c r="A13" s="21"/>
      <c r="B13" s="49" t="s">
        <v>16</v>
      </c>
      <c r="C13" s="50"/>
      <c r="D13" s="49" t="s">
        <v>17</v>
      </c>
      <c r="E13" s="50"/>
      <c r="F13" s="4" t="s">
        <v>18</v>
      </c>
      <c r="G13" s="4" t="s">
        <v>19</v>
      </c>
      <c r="H13" s="4" t="s">
        <v>20</v>
      </c>
      <c r="I13" s="4" t="s">
        <v>21</v>
      </c>
      <c r="J13" s="4" t="s">
        <v>22</v>
      </c>
      <c r="L13" s="49" t="s">
        <v>34</v>
      </c>
      <c r="M13" s="50"/>
      <c r="N13" s="51" t="s">
        <v>35</v>
      </c>
      <c r="O13" s="52"/>
      <c r="P13" s="52"/>
      <c r="Q13" s="52"/>
      <c r="R13" s="52"/>
      <c r="S13" s="52"/>
      <c r="T13" s="53"/>
      <c r="Y13">
        <v>0.05</v>
      </c>
    </row>
    <row r="14" spans="1:26" x14ac:dyDescent="0.25">
      <c r="B14" s="2">
        <v>1</v>
      </c>
      <c r="C14" s="6" t="s">
        <v>25</v>
      </c>
      <c r="D14" s="2">
        <v>0.7</v>
      </c>
      <c r="E14" s="6" t="s">
        <v>25</v>
      </c>
      <c r="F14" s="5">
        <f t="shared" ref="F14:F15" si="17">IF(OR(ISNUMBER(B14), ISNUMBER(D14)), IF(ISNUMBER(B14), B14, 0) + IF(ISNUMBER(D14), D14, 0), "")</f>
        <v>1.7</v>
      </c>
      <c r="G14" s="3"/>
      <c r="H14" s="10" t="e">
        <f t="shared" ref="H14" si="18">IF(ISNUMBER(F14), (#REF!+#REF!)-F14, "")</f>
        <v>#REF!</v>
      </c>
      <c r="I14" s="5">
        <v>0.38</v>
      </c>
      <c r="J14" s="10" t="e">
        <f t="shared" ref="J14:J15" si="19">IF(ISNUMBER(I14), I14-H14, "")</f>
        <v>#REF!</v>
      </c>
      <c r="K14" s="21"/>
      <c r="L14" s="2"/>
      <c r="M14" s="6" t="s">
        <v>25</v>
      </c>
      <c r="N14" s="54"/>
      <c r="O14" s="55"/>
      <c r="P14" s="55"/>
      <c r="Q14" s="55"/>
      <c r="R14" s="55"/>
      <c r="S14" s="55"/>
      <c r="T14" s="56"/>
    </row>
    <row r="15" spans="1:26" x14ac:dyDescent="0.25">
      <c r="B15" s="2">
        <v>1</v>
      </c>
      <c r="C15" s="6" t="s">
        <v>25</v>
      </c>
      <c r="D15" s="2">
        <v>0.7</v>
      </c>
      <c r="E15" s="6" t="s">
        <v>25</v>
      </c>
      <c r="F15" s="5">
        <f t="shared" si="17"/>
        <v>1.7</v>
      </c>
      <c r="G15" s="3"/>
      <c r="H15" s="10" t="e">
        <f t="shared" ref="H15" si="20">IF(ISNUMBER(F15), (#REF!+#REF!)-F15, "")</f>
        <v>#REF!</v>
      </c>
      <c r="I15" s="5">
        <v>0.09</v>
      </c>
      <c r="J15" s="10" t="e">
        <f t="shared" si="19"/>
        <v>#REF!</v>
      </c>
      <c r="L15" s="16"/>
      <c r="M15" s="17"/>
      <c r="N15" s="16"/>
      <c r="O15" s="17"/>
      <c r="Q15" s="18"/>
      <c r="R15" s="19"/>
      <c r="T15" s="19"/>
    </row>
    <row r="16" spans="1:26" x14ac:dyDescent="0.25">
      <c r="L16" s="49" t="s">
        <v>39</v>
      </c>
      <c r="M16" s="50"/>
      <c r="N16" s="49" t="s">
        <v>40</v>
      </c>
      <c r="O16" s="50"/>
      <c r="P16" s="49" t="s">
        <v>34</v>
      </c>
      <c r="Q16" s="57"/>
      <c r="R16" s="50"/>
      <c r="S16" s="15"/>
      <c r="T16" s="15"/>
    </row>
    <row r="17" spans="1:27" x14ac:dyDescent="0.25">
      <c r="A17" s="21"/>
      <c r="B17" s="49" t="s">
        <v>34</v>
      </c>
      <c r="C17" s="50"/>
      <c r="D17" s="51" t="s">
        <v>35</v>
      </c>
      <c r="E17" s="52"/>
      <c r="F17" s="52"/>
      <c r="G17" s="52"/>
      <c r="H17" s="52"/>
      <c r="I17" s="52"/>
      <c r="J17" s="53"/>
      <c r="K17" s="21"/>
      <c r="L17" s="2"/>
      <c r="M17" s="6" t="s">
        <v>25</v>
      </c>
      <c r="N17" s="2"/>
      <c r="O17" s="6" t="s">
        <v>25</v>
      </c>
      <c r="P17" s="58"/>
      <c r="Q17" s="59"/>
      <c r="R17" s="60"/>
      <c r="X17" t="s">
        <v>79</v>
      </c>
      <c r="Y17" t="s">
        <v>78</v>
      </c>
      <c r="Z17" t="s">
        <v>77</v>
      </c>
    </row>
    <row r="18" spans="1:27" x14ac:dyDescent="0.25">
      <c r="B18" s="2">
        <v>0</v>
      </c>
      <c r="C18" s="6" t="s">
        <v>25</v>
      </c>
      <c r="D18" s="54"/>
      <c r="E18" s="55"/>
      <c r="F18" s="55"/>
      <c r="G18" s="55"/>
      <c r="H18" s="55"/>
      <c r="I18" s="55"/>
      <c r="J18" s="56"/>
      <c r="L18" s="16"/>
      <c r="M18" s="17"/>
      <c r="N18" s="16"/>
      <c r="O18" s="17"/>
      <c r="Q18" s="18"/>
      <c r="R18" s="19"/>
      <c r="T18" s="19"/>
      <c r="X18" t="s">
        <v>75</v>
      </c>
      <c r="Y18">
        <v>2.2000000000000002</v>
      </c>
      <c r="Z18">
        <v>1.22</v>
      </c>
      <c r="AA18" s="10">
        <f t="shared" ref="AA18:AA19" si="21">IF(ISNUMBER(Z18), Z18-Y18, "")</f>
        <v>-0.9800000000000002</v>
      </c>
    </row>
    <row r="19" spans="1:27" x14ac:dyDescent="0.25">
      <c r="B19" s="16"/>
      <c r="C19" s="17"/>
      <c r="D19" s="16"/>
      <c r="E19" s="17"/>
      <c r="G19" s="18"/>
      <c r="H19" s="19"/>
      <c r="J19" s="19"/>
      <c r="L19" s="49" t="s">
        <v>40</v>
      </c>
      <c r="M19" s="50"/>
      <c r="N19" s="61" t="s">
        <v>44</v>
      </c>
      <c r="O19" s="62"/>
      <c r="P19" s="62"/>
      <c r="Q19" s="62"/>
      <c r="R19" s="62"/>
      <c r="S19" s="62"/>
      <c r="T19" s="63"/>
      <c r="X19" t="s">
        <v>76</v>
      </c>
      <c r="Y19">
        <v>0.6</v>
      </c>
      <c r="Z19">
        <v>0.21</v>
      </c>
      <c r="AA19" s="10">
        <f t="shared" si="21"/>
        <v>-0.39</v>
      </c>
    </row>
    <row r="20" spans="1:27" x14ac:dyDescent="0.25">
      <c r="A20" s="21"/>
      <c r="B20" s="49" t="s">
        <v>39</v>
      </c>
      <c r="C20" s="50"/>
      <c r="D20" s="49" t="s">
        <v>40</v>
      </c>
      <c r="E20" s="50"/>
      <c r="F20" s="4" t="s">
        <v>18</v>
      </c>
      <c r="G20" s="4" t="s">
        <v>19</v>
      </c>
      <c r="H20" s="4" t="s">
        <v>20</v>
      </c>
      <c r="I20" s="15"/>
      <c r="J20" s="15"/>
      <c r="K20" s="21"/>
      <c r="L20" s="2"/>
      <c r="M20" s="6" t="s">
        <v>46</v>
      </c>
      <c r="N20" s="64"/>
      <c r="O20" s="65"/>
      <c r="P20" s="65"/>
      <c r="Q20" s="65"/>
      <c r="R20" s="65"/>
      <c r="S20" s="65"/>
      <c r="T20" s="66"/>
    </row>
    <row r="21" spans="1:27" x14ac:dyDescent="0.25">
      <c r="B21" s="2">
        <v>0</v>
      </c>
      <c r="C21" s="6" t="s">
        <v>25</v>
      </c>
      <c r="D21" s="2">
        <v>0.7</v>
      </c>
      <c r="E21" s="6" t="s">
        <v>25</v>
      </c>
      <c r="F21" s="5">
        <f t="shared" ref="F21" si="22">IF(OR(ISNUMBER(B21), ISNUMBER(D21)), IF(ISNUMBER(B21), B21, 0) + IF(ISNUMBER(D21), D21, 0), "")</f>
        <v>0.7</v>
      </c>
      <c r="G21" s="3"/>
      <c r="H21" s="10" t="e">
        <f t="shared" ref="H21" si="23">IF(ISNUMBER(F21), (#REF!+#REF!)-F21, "")</f>
        <v>#REF!</v>
      </c>
    </row>
    <row r="22" spans="1:27" x14ac:dyDescent="0.25">
      <c r="B22" s="16"/>
      <c r="C22" s="17"/>
      <c r="D22" s="16"/>
      <c r="E22" s="17"/>
      <c r="G22" s="18"/>
      <c r="H22" s="19"/>
      <c r="J22" s="19"/>
    </row>
    <row r="23" spans="1:27" x14ac:dyDescent="0.25">
      <c r="A23" s="21"/>
      <c r="B23" s="49" t="s">
        <v>40</v>
      </c>
      <c r="C23" s="50"/>
      <c r="D23" s="61" t="s">
        <v>44</v>
      </c>
      <c r="E23" s="62"/>
      <c r="F23" s="62"/>
      <c r="G23" s="62"/>
      <c r="H23" s="62"/>
      <c r="I23" s="62"/>
      <c r="J23" s="63"/>
    </row>
    <row r="24" spans="1:27" x14ac:dyDescent="0.25">
      <c r="B24" s="2">
        <v>0.5</v>
      </c>
      <c r="C24" s="6" t="s">
        <v>46</v>
      </c>
      <c r="D24" s="64"/>
      <c r="E24" s="65"/>
      <c r="F24" s="65"/>
      <c r="G24" s="65"/>
      <c r="H24" s="65"/>
      <c r="I24" s="65"/>
      <c r="J24" s="66"/>
    </row>
  </sheetData>
  <mergeCells count="31">
    <mergeCell ref="L19:M19"/>
    <mergeCell ref="N19:T20"/>
    <mergeCell ref="V6:Y6"/>
    <mergeCell ref="L9:M9"/>
    <mergeCell ref="N9:O9"/>
    <mergeCell ref="L13:M13"/>
    <mergeCell ref="N13:T14"/>
    <mergeCell ref="L16:M16"/>
    <mergeCell ref="N16:O16"/>
    <mergeCell ref="P16:R16"/>
    <mergeCell ref="P17:R17"/>
    <mergeCell ref="Q1:R1"/>
    <mergeCell ref="S1:T1"/>
    <mergeCell ref="L2:M2"/>
    <mergeCell ref="N2:O2"/>
    <mergeCell ref="L1:M1"/>
    <mergeCell ref="N1:P1"/>
    <mergeCell ref="B23:C23"/>
    <mergeCell ref="D23:J24"/>
    <mergeCell ref="B1:C1"/>
    <mergeCell ref="D1:F1"/>
    <mergeCell ref="G1:H1"/>
    <mergeCell ref="I1:J1"/>
    <mergeCell ref="B2:C2"/>
    <mergeCell ref="D2:E2"/>
    <mergeCell ref="B13:C13"/>
    <mergeCell ref="D13:E13"/>
    <mergeCell ref="B17:C17"/>
    <mergeCell ref="D17:J18"/>
    <mergeCell ref="B20:C20"/>
    <mergeCell ref="D20:E20"/>
  </mergeCells>
  <conditionalFormatting sqref="H14:H15">
    <cfRule type="cellIs" dxfId="51" priority="40" operator="lessThan">
      <formula>0</formula>
    </cfRule>
    <cfRule type="cellIs" dxfId="50" priority="39" operator="equal">
      <formula>0</formula>
    </cfRule>
  </conditionalFormatting>
  <conditionalFormatting sqref="H19">
    <cfRule type="cellIs" dxfId="49" priority="52" operator="lessThan">
      <formula>0</formula>
    </cfRule>
    <cfRule type="cellIs" dxfId="48" priority="52" operator="equal">
      <formula>0</formula>
    </cfRule>
  </conditionalFormatting>
  <conditionalFormatting sqref="H21:H22">
    <cfRule type="cellIs" dxfId="47" priority="38" operator="lessThan">
      <formula>0</formula>
    </cfRule>
    <cfRule type="cellIs" dxfId="46" priority="37" operator="equal">
      <formula>0</formula>
    </cfRule>
  </conditionalFormatting>
  <conditionalFormatting sqref="J3:J11">
    <cfRule type="cellIs" dxfId="45" priority="53" operator="greaterThan">
      <formula>0</formula>
    </cfRule>
    <cfRule type="cellIs" dxfId="44" priority="51" operator="equal">
      <formula>0</formula>
    </cfRule>
    <cfRule type="cellIs" dxfId="43" priority="53" operator="lessThan">
      <formula>0</formula>
    </cfRule>
  </conditionalFormatting>
  <conditionalFormatting sqref="J14:J15">
    <cfRule type="cellIs" dxfId="42" priority="50" operator="greaterThan">
      <formula>0</formula>
    </cfRule>
    <cfRule type="cellIs" dxfId="41" priority="49" operator="lessThan">
      <formula>0</formula>
    </cfRule>
    <cfRule type="cellIs" dxfId="40" priority="48" operator="equal">
      <formula>0</formula>
    </cfRule>
  </conditionalFormatting>
  <conditionalFormatting sqref="J19 J22">
    <cfRule type="cellIs" dxfId="39" priority="47" operator="greaterThan">
      <formula>0</formula>
    </cfRule>
    <cfRule type="cellIs" dxfId="38" priority="46" operator="lessThan">
      <formula>0</formula>
    </cfRule>
    <cfRule type="cellIs" dxfId="37" priority="45" operator="equal">
      <formula>0</formula>
    </cfRule>
  </conditionalFormatting>
  <conditionalFormatting sqref="L20">
    <cfRule type="colorScale" priority="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3:R7 H3:H11">
    <cfRule type="cellIs" dxfId="36" priority="42" operator="lessThan">
      <formula>0</formula>
    </cfRule>
    <cfRule type="cellIs" dxfId="35" priority="41" operator="equal">
      <formula>0</formula>
    </cfRule>
  </conditionalFormatting>
  <conditionalFormatting sqref="R10:R11">
    <cfRule type="cellIs" dxfId="34" priority="15" operator="equal">
      <formula>0</formula>
    </cfRule>
    <cfRule type="cellIs" dxfId="33" priority="16" operator="lessThan">
      <formula>0</formula>
    </cfRule>
  </conditionalFormatting>
  <conditionalFormatting sqref="R15">
    <cfRule type="cellIs" dxfId="32" priority="35" operator="equal">
      <formula>0</formula>
    </cfRule>
    <cfRule type="cellIs" dxfId="31" priority="35" operator="lessThan">
      <formula>0</formula>
    </cfRule>
  </conditionalFormatting>
  <conditionalFormatting sqref="R18">
    <cfRule type="cellIs" dxfId="30" priority="21" operator="lessThan">
      <formula>0</formula>
    </cfRule>
    <cfRule type="cellIs" dxfId="29" priority="20" operator="equal">
      <formula>0</formula>
    </cfRule>
  </conditionalFormatting>
  <conditionalFormatting sqref="T3:T7">
    <cfRule type="cellIs" dxfId="28" priority="3" operator="greaterThan">
      <formula>0</formula>
    </cfRule>
    <cfRule type="cellIs" dxfId="27" priority="2" operator="lessThan">
      <formula>0</formula>
    </cfRule>
    <cfRule type="cellIs" dxfId="26" priority="1" operator="equal">
      <formula>0</formula>
    </cfRule>
  </conditionalFormatting>
  <conditionalFormatting sqref="T10:T11">
    <cfRule type="cellIs" dxfId="25" priority="33" operator="greaterThan">
      <formula>0</formula>
    </cfRule>
    <cfRule type="cellIs" dxfId="24" priority="32" operator="lessThan">
      <formula>0</formula>
    </cfRule>
    <cfRule type="cellIs" dxfId="23" priority="31" operator="equal">
      <formula>0</formula>
    </cfRule>
  </conditionalFormatting>
  <conditionalFormatting sqref="T15 T18">
    <cfRule type="cellIs" dxfId="22" priority="30" operator="greaterThan">
      <formula>0</formula>
    </cfRule>
    <cfRule type="cellIs" dxfId="21" priority="29" operator="lessThan">
      <formula>0</formula>
    </cfRule>
    <cfRule type="cellIs" dxfId="20" priority="28" operator="equal">
      <formula>0</formula>
    </cfRule>
  </conditionalFormatting>
  <conditionalFormatting sqref="AA18:AA19">
    <cfRule type="cellIs" dxfId="19" priority="6" operator="greaterThan">
      <formula>0</formula>
    </cfRule>
    <cfRule type="cellIs" dxfId="18" priority="5" operator="lessThan">
      <formula>0</formula>
    </cfRule>
    <cfRule type="cellIs" dxfId="17" priority="4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F51A22A5-639F-4CC6-803C-C0D5A2569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3D02B4-55A3-4122-B3E8-E56662435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D48253-567B-428A-9535-B671CB9AA096}">
  <ds:schemaRefs>
    <ds:schemaRef ds:uri="6d08fbde-27e2-4bd5-9b45-4743f0a85776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bcc748ab-26b4-4781-b66a-e40997006556"/>
    <ds:schemaRef ds:uri="http://www.w3.org/XML/1998/namespace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BEER</vt:lpstr>
      <vt:lpstr>PURCHASING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2026-09-24T23:16:14Z</cp:lastPrinted>
  <dcterms:created xsi:type="dcterms:W3CDTF">2024-08-19T13:55:33Z</dcterms:created>
  <dcterms:modified xsi:type="dcterms:W3CDTF">2026-09-25T10:47:47Z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