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Chantilly/02. INVENTORY ORDER FORMS/"/>
    </mc:Choice>
  </mc:AlternateContent>
  <xr:revisionPtr revIDLastSave="1377" documentId="13_ncr:1_{8EB5600B-6706-4A2D-9972-9A58E61B5C14}" xr6:coauthVersionLast="47" xr6:coauthVersionMax="47" xr10:uidLastSave="{11391275-1579-4F3A-99CB-C85486471795}"/>
  <bookViews>
    <workbookView xWindow="-28920" yWindow="-120" windowWidth="29040" windowHeight="15720" xr2:uid="{C5621022-B3BA-4D6B-A91F-32AA81F3485C}"/>
  </bookViews>
  <sheets>
    <sheet name="PFG - NEW" sheetId="3" r:id="rId1"/>
    <sheet name="USAGE" sheetId="4" state="hidden" r:id="rId2"/>
    <sheet name="DATA LISTS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46" i="4" l="1"/>
  <c r="Z45" i="4"/>
  <c r="Z44" i="4"/>
  <c r="Z43" i="4"/>
  <c r="Z42" i="4"/>
  <c r="Z41" i="4"/>
  <c r="Z40" i="4"/>
  <c r="Z39" i="4"/>
  <c r="Z38" i="4"/>
  <c r="Z37" i="4"/>
  <c r="Z36" i="4"/>
  <c r="Z35" i="4"/>
  <c r="Z34" i="4"/>
  <c r="Z33" i="4"/>
  <c r="Z32" i="4"/>
  <c r="Z31" i="4"/>
  <c r="Z30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Z10" i="4"/>
  <c r="Z9" i="4"/>
  <c r="Z8" i="4"/>
  <c r="Z7" i="4"/>
  <c r="Z6" i="4"/>
  <c r="Z5" i="4"/>
  <c r="V1" i="4"/>
  <c r="S1" i="4"/>
  <c r="P1" i="4"/>
  <c r="M1" i="4"/>
  <c r="J1" i="4"/>
  <c r="H1" i="4"/>
  <c r="W46" i="4"/>
  <c r="W45" i="4"/>
  <c r="W44" i="4"/>
  <c r="W43" i="4"/>
  <c r="W42" i="4"/>
  <c r="W41" i="4"/>
  <c r="W40" i="4"/>
  <c r="W39" i="4"/>
  <c r="W38" i="4"/>
  <c r="W37" i="4"/>
  <c r="W36" i="4"/>
  <c r="W35" i="4"/>
  <c r="W34" i="4"/>
  <c r="W33" i="4"/>
  <c r="W32" i="4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6" i="4"/>
  <c r="W5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K41" i="4"/>
  <c r="N41" i="4"/>
  <c r="Q41" i="4"/>
  <c r="Q46" i="4"/>
  <c r="Q45" i="4"/>
  <c r="Q44" i="4"/>
  <c r="Q43" i="4"/>
  <c r="Q42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N17" i="4"/>
  <c r="N16" i="4"/>
  <c r="N15" i="4"/>
  <c r="N46" i="4"/>
  <c r="N45" i="4"/>
  <c r="N44" i="4"/>
  <c r="N43" i="4"/>
  <c r="N42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4" i="4"/>
  <c r="N13" i="4"/>
  <c r="N12" i="4"/>
  <c r="N11" i="4"/>
  <c r="N10" i="4"/>
  <c r="N9" i="4"/>
  <c r="N8" i="4"/>
  <c r="N7" i="4"/>
  <c r="N6" i="4"/>
  <c r="N5" i="4"/>
  <c r="K46" i="4"/>
  <c r="K45" i="4"/>
  <c r="K44" i="4"/>
  <c r="K43" i="4"/>
  <c r="K42" i="4"/>
  <c r="K40" i="4"/>
  <c r="K39" i="4"/>
  <c r="K38" i="4"/>
  <c r="K37" i="4"/>
  <c r="K36" i="4"/>
  <c r="K29" i="4"/>
  <c r="K28" i="4"/>
  <c r="K23" i="4"/>
  <c r="K22" i="4"/>
  <c r="K21" i="4"/>
  <c r="K20" i="4"/>
  <c r="K19" i="4"/>
  <c r="K18" i="4"/>
  <c r="K17" i="4"/>
  <c r="K14" i="4"/>
  <c r="K13" i="4"/>
  <c r="K12" i="4"/>
  <c r="K10" i="4"/>
  <c r="K9" i="4"/>
  <c r="K7" i="4"/>
  <c r="K16" i="4"/>
  <c r="K15" i="4"/>
  <c r="K35" i="4"/>
  <c r="K34" i="4"/>
  <c r="K33" i="4"/>
  <c r="K32" i="4"/>
  <c r="K31" i="4"/>
  <c r="K30" i="4"/>
  <c r="K27" i="4"/>
  <c r="K26" i="4"/>
  <c r="K25" i="4"/>
  <c r="K24" i="4"/>
  <c r="K11" i="4"/>
  <c r="K8" i="4"/>
  <c r="K6" i="4"/>
  <c r="K5" i="4"/>
  <c r="AF7" i="4" l="1"/>
  <c r="AF19" i="4"/>
  <c r="AF31" i="4"/>
  <c r="AF10" i="4"/>
  <c r="AF16" i="4"/>
  <c r="AF22" i="4"/>
  <c r="AF34" i="4"/>
  <c r="AF28" i="4"/>
  <c r="AF46" i="4"/>
  <c r="AF5" i="4"/>
  <c r="AF11" i="4"/>
  <c r="AF17" i="4"/>
  <c r="AF23" i="4"/>
  <c r="AF29" i="4"/>
  <c r="AF35" i="4"/>
  <c r="AF41" i="4"/>
  <c r="AC5" i="4"/>
  <c r="AC11" i="4"/>
  <c r="AC17" i="4"/>
  <c r="AC23" i="4"/>
  <c r="AC29" i="4"/>
  <c r="AC35" i="4"/>
  <c r="AC41" i="4"/>
  <c r="AF40" i="4"/>
  <c r="AF6" i="4"/>
  <c r="AF12" i="4"/>
  <c r="AF18" i="4"/>
  <c r="AF24" i="4"/>
  <c r="AF30" i="4"/>
  <c r="AF36" i="4"/>
  <c r="AF42" i="4"/>
  <c r="AC6" i="4"/>
  <c r="AC12" i="4"/>
  <c r="AC18" i="4"/>
  <c r="AC24" i="4"/>
  <c r="AC30" i="4"/>
  <c r="AC36" i="4"/>
  <c r="AC42" i="4"/>
  <c r="AC7" i="4"/>
  <c r="AC13" i="4"/>
  <c r="AC19" i="4"/>
  <c r="AC25" i="4"/>
  <c r="AC31" i="4"/>
  <c r="AC37" i="4"/>
  <c r="AC43" i="4"/>
  <c r="AF13" i="4"/>
  <c r="AF43" i="4"/>
  <c r="AF8" i="4"/>
  <c r="AF14" i="4"/>
  <c r="AF20" i="4"/>
  <c r="AF26" i="4"/>
  <c r="AF32" i="4"/>
  <c r="AF38" i="4"/>
  <c r="AF44" i="4"/>
  <c r="AC8" i="4"/>
  <c r="AC14" i="4"/>
  <c r="AC20" i="4"/>
  <c r="AC26" i="4"/>
  <c r="AC32" i="4"/>
  <c r="AC38" i="4"/>
  <c r="AC44" i="4"/>
  <c r="AF25" i="4"/>
  <c r="AF37" i="4"/>
  <c r="AF9" i="4"/>
  <c r="AF15" i="4"/>
  <c r="AF21" i="4"/>
  <c r="AF27" i="4"/>
  <c r="AF33" i="4"/>
  <c r="AF39" i="4"/>
  <c r="AF45" i="4"/>
  <c r="AC9" i="4"/>
  <c r="AC15" i="4"/>
  <c r="AC21" i="4"/>
  <c r="AC27" i="4"/>
  <c r="AC33" i="4"/>
  <c r="AC39" i="4"/>
  <c r="AC45" i="4"/>
  <c r="AC10" i="4"/>
  <c r="AC16" i="4"/>
  <c r="AC22" i="4"/>
  <c r="AC28" i="4"/>
  <c r="AC34" i="4"/>
  <c r="AC40" i="4"/>
  <c r="AC46" i="4"/>
</calcChain>
</file>

<file path=xl/sharedStrings.xml><?xml version="1.0" encoding="utf-8"?>
<sst xmlns="http://schemas.openxmlformats.org/spreadsheetml/2006/main" count="426" uniqueCount="93">
  <si>
    <t>ITEM</t>
  </si>
  <si>
    <t>PAR</t>
  </si>
  <si>
    <t>CODE</t>
  </si>
  <si>
    <t>CS</t>
  </si>
  <si>
    <t>TOPPING BACON</t>
  </si>
  <si>
    <t>TOPPING SAUSAGE</t>
  </si>
  <si>
    <t>RICE LONG GRAIN</t>
  </si>
  <si>
    <t>OIL SHORTENING</t>
  </si>
  <si>
    <t>CNT</t>
  </si>
  <si>
    <t>SALSA BIENVENIDO</t>
  </si>
  <si>
    <t>TOMATO SAUCE</t>
  </si>
  <si>
    <t>TOR CORN 6" THIN</t>
  </si>
  <si>
    <t>MILK CHOC</t>
  </si>
  <si>
    <t>MILK</t>
  </si>
  <si>
    <t>EGGS LIQUID - 50/pal</t>
  </si>
  <si>
    <t>ORD</t>
  </si>
  <si>
    <t>INVENTORY</t>
  </si>
  <si>
    <t>SOUR CREAM</t>
  </si>
  <si>
    <t>BG</t>
  </si>
  <si>
    <t>TOR FLOUR 12"</t>
  </si>
  <si>
    <t>TOR FLOUR 6"</t>
  </si>
  <si>
    <t>TOR CORN 6" - ENCH</t>
  </si>
  <si>
    <t>DICED POTATO - 60/pal</t>
  </si>
  <si>
    <t>CN</t>
  </si>
  <si>
    <t>LEMON JUICE</t>
  </si>
  <si>
    <t>HASHBROWNS</t>
  </si>
  <si>
    <t>BACON SLICED</t>
  </si>
  <si>
    <t>ICE CREAM</t>
  </si>
  <si>
    <t>PC CREAMER</t>
  </si>
  <si>
    <t>FRIES</t>
  </si>
  <si>
    <t>TOMATOES</t>
  </si>
  <si>
    <t>PC SUGAR</t>
  </si>
  <si>
    <t>PC KETCHUP</t>
  </si>
  <si>
    <t>JALAPENOS</t>
  </si>
  <si>
    <t>PANCAKE MIX</t>
  </si>
  <si>
    <t>ORANGE JUICE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</si>
  <si>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</si>
  <si>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</si>
  <si>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</si>
  <si>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</si>
  <si>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</si>
  <si>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</si>
  <si>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</si>
  <si>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</si>
  <si>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</si>
  <si>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</si>
  <si>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PC CRMR FRN VANILLA</t>
  </si>
  <si>
    <t>PC CRMR HAZELNUT</t>
  </si>
  <si>
    <t>MN</t>
  </si>
  <si>
    <t>CM</t>
  </si>
  <si>
    <t>COFFEE REGULAR</t>
  </si>
  <si>
    <t>AVOCADO SCOOPS</t>
  </si>
  <si>
    <t>PC LEMON</t>
  </si>
  <si>
    <t>EA</t>
  </si>
  <si>
    <t>LB</t>
  </si>
  <si>
    <t>/</t>
  </si>
  <si>
    <t>#10</t>
  </si>
  <si>
    <t>OZ</t>
  </si>
  <si>
    <t>CS PACKED</t>
  </si>
  <si>
    <t>NAME</t>
  </si>
  <si>
    <t>MOD</t>
  </si>
  <si>
    <t>DATE</t>
  </si>
  <si>
    <t>EGGS WHOLE</t>
  </si>
  <si>
    <t>TOR CHIPS</t>
  </si>
  <si>
    <t>APPLE SAUCE</t>
  </si>
  <si>
    <t>MIX MARGARITA</t>
  </si>
  <si>
    <t>TOR FLOUR 10"</t>
  </si>
  <si>
    <t>JUICE ORANGE</t>
  </si>
  <si>
    <t>JUICE ORANGE MANGO</t>
  </si>
  <si>
    <t>JUICE STRBRRY LEMND</t>
  </si>
  <si>
    <t>JUICE CARROT GINGER</t>
  </si>
  <si>
    <t>JUICE ORANGE BEET</t>
  </si>
  <si>
    <t>INV</t>
  </si>
  <si>
    <t>UNIT</t>
  </si>
  <si>
    <t>USE</t>
  </si>
  <si>
    <t>par</t>
  </si>
  <si>
    <t>thur</t>
  </si>
  <si>
    <t>tue</t>
  </si>
  <si>
    <t>COKE</t>
  </si>
  <si>
    <t>COKE DIET</t>
  </si>
  <si>
    <t>COKE ZERO</t>
  </si>
  <si>
    <t>SPRITE</t>
  </si>
  <si>
    <t>LEMONADE</t>
  </si>
  <si>
    <t>PIBB</t>
  </si>
  <si>
    <t>FANTA</t>
  </si>
  <si>
    <t>FRUIT PNCH</t>
  </si>
  <si>
    <t>TEA SWEET</t>
  </si>
  <si>
    <t>TEA UN-SWT</t>
  </si>
  <si>
    <t>TEA GREEN</t>
  </si>
  <si>
    <t>GL</t>
  </si>
  <si>
    <t>INV TIME</t>
  </si>
  <si>
    <t>REDBULL</t>
  </si>
  <si>
    <t xml:space="preserve">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</si>
</sst>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9"/>
      <color theme="1"/>
      <name val="Aptos Narrow"/>
      <family val="2"/>
    </font>
    <font>
      <b/>
      <sz val="10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1" fillId="0" borderId="1" xfId="0" applyNumberFormat="1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4" fontId="2" fillId="0" borderId="2" xfId="0" applyNumberFormat="1" applyFont="1" applyBorder="1" applyAlignment="1">
      <alignment horizontal="left"/>
    </xf>
    <xf numFmtId="1" fontId="1" fillId="0" borderId="1" xfId="0" applyNumberFormat="1" applyFont="1" applyBorder="1" applyAlignment="1" applyProtection="1">
      <alignment horizontal="center"/>
      <protection locked="0"/>
    </xf>
    <xf numFmtId="0" fontId="1" fillId="0" borderId="3" xfId="0" applyFont="1" applyBorder="1" applyAlignment="1">
      <alignment horizontal="center"/>
    </xf>
    <xf numFmtId="164" fontId="1" fillId="0" borderId="3" xfId="0" applyNumberFormat="1" applyFont="1" applyBorder="1" applyAlignment="1" applyProtection="1">
      <alignment horizontal="center"/>
      <protection locked="0"/>
    </xf>
    <xf numFmtId="1" fontId="1" fillId="0" borderId="3" xfId="0" applyNumberFormat="1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right"/>
    </xf>
    <xf numFmtId="16" fontId="2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" fontId="4" fillId="2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" fontId="4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7" fillId="0" borderId="1" xfId="0" applyFont="1" applyBorder="1" applyAlignment="1" applyProtection="1">
      <alignment horizontal="center"/>
      <protection locked="0"/>
    </xf>
    <xf numFmtId="0" fontId="9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8" fillId="0" borderId="1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1" xfId="0" applyFont="1" applyBorder="1"/>
    <xf numFmtId="0" fontId="10" fillId="0" borderId="4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3" xfId="0" applyFont="1" applyBorder="1" applyAlignment="1">
      <alignment horizontal="right"/>
    </xf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1" xfId="0" applyFont="1" applyBorder="1"/>
    <xf numFmtId="164" fontId="10" fillId="0" borderId="1" xfId="0" applyNumberFormat="1" applyFont="1" applyBorder="1" applyAlignment="1" applyProtection="1">
      <alignment horizontal="center"/>
      <protection locked="0"/>
    </xf>
    <xf numFmtId="0" fontId="10" fillId="0" borderId="4" xfId="0" applyFont="1" applyBorder="1" applyAlignment="1">
      <alignment horizontal="left"/>
    </xf>
    <xf numFmtId="1" fontId="10" fillId="0" borderId="1" xfId="0" applyNumberFormat="1" applyFont="1" applyBorder="1" applyAlignment="1" applyProtection="1">
      <alignment horizontal="center"/>
      <protection locked="0"/>
    </xf>
    <xf numFmtId="0" fontId="8" fillId="0" borderId="1" xfId="0" applyFont="1" applyBorder="1" applyAlignment="1">
      <alignment horizontal="center"/>
    </xf>
    <xf numFmtId="164" fontId="8" fillId="0" borderId="2" xfId="0" applyNumberFormat="1" applyFont="1" applyBorder="1" applyAlignment="1">
      <alignment horizontal="left"/>
    </xf>
    <xf numFmtId="1" fontId="8" fillId="0" borderId="3" xfId="0" applyNumberFormat="1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6C80-3DEF-4B63-B2F9-1B658C9DA53D}">
  <dimension ref="A1:L45"/>
  <sheetViews>
    <sheetView tabSelected="1" view="pageLayout" zoomScale="130" zoomScaleNormal="100" zoomScalePageLayoutView="130" workbookViewId="0">
      <selection activeCell="F5" sqref="F5"/>
    </sheetView>
  </sheetViews>
  <sheetFormatPr defaultRowHeight="14.25" customHeight="1" x14ac:dyDescent="0.25"/>
  <cols>
    <col min="1" max="1" width="5.140625" style="70" customWidth="1"/>
    <col min="2" max="2" width="1.7109375" style="71" bestFit="1" customWidth="1"/>
    <col min="3" max="3" width="5" style="72" bestFit="1" customWidth="1"/>
    <col min="4" max="4" width="3.140625" style="72" bestFit="1" customWidth="1"/>
    <col min="5" max="5" width="17.85546875" style="44" customWidth="1"/>
    <col min="6" max="6" width="5.7109375" style="44" customWidth="1"/>
    <col min="7" max="7" width="4.28515625" style="44" bestFit="1" customWidth="1"/>
    <col min="8" max="8" width="4" style="44" bestFit="1" customWidth="1"/>
    <col min="9" max="9" width="4" style="44" customWidth="1"/>
    <col min="10" max="10" width="4.42578125" style="44" customWidth="1"/>
    <col min="11" max="11" width="8" style="44" bestFit="1" customWidth="1"/>
    <col min="12" max="12" width="1.42578125" style="45" customWidth="1"/>
    <col min="13" max="16384" width="9.140625" style="44"/>
  </cols>
  <sheetData>
    <row r="1" spans="1:12" ht="14.25" customHeight="1" x14ac:dyDescent="0.25">
      <c r="A1" s="41" t="s">
        <v>60</v>
      </c>
      <c r="B1" s="42"/>
      <c r="C1" s="42"/>
      <c r="D1" s="42"/>
      <c r="E1" s="42"/>
      <c r="F1" s="43"/>
      <c r="G1" s="41" t="s">
        <v>61</v>
      </c>
      <c r="H1" s="42"/>
      <c r="I1" s="42"/>
      <c r="J1" s="42"/>
    </row>
    <row r="2" spans="1:12" s="45" customFormat="1" ht="15" customHeight="1" x14ac:dyDescent="0.25">
      <c r="A2" s="41" t="s">
        <v>59</v>
      </c>
      <c r="B2" s="46"/>
      <c r="C2" s="46"/>
      <c r="D2" s="46"/>
      <c r="E2" s="46"/>
      <c r="F2" s="43"/>
      <c r="G2" s="41" t="s">
        <v>90</v>
      </c>
      <c r="H2" s="46"/>
      <c r="I2" s="46"/>
      <c r="J2" s="46"/>
    </row>
    <row r="3" spans="1:12" ht="5.25" customHeight="1" x14ac:dyDescent="0.25">
      <c r="A3" s="47"/>
      <c r="B3" s="48"/>
      <c r="C3" s="49"/>
      <c r="D3" s="49"/>
      <c r="E3" s="50"/>
      <c r="F3" s="50"/>
      <c r="G3" s="51"/>
      <c r="H3" s="51"/>
      <c r="I3" s="52"/>
      <c r="J3" s="52"/>
      <c r="K3" s="50"/>
    </row>
    <row r="4" spans="1:12" ht="14.25" customHeight="1" x14ac:dyDescent="0.25">
      <c r="A4" s="53" t="s">
        <v>58</v>
      </c>
      <c r="B4" s="54"/>
      <c r="C4" s="54"/>
      <c r="D4" s="54"/>
      <c r="E4" s="55" t="s">
        <v>0</v>
      </c>
      <c r="F4" s="53" t="s">
        <v>16</v>
      </c>
      <c r="G4" s="56"/>
      <c r="H4" s="57" t="s">
        <v>1</v>
      </c>
      <c r="I4" s="57"/>
      <c r="J4" s="58" t="s">
        <v>15</v>
      </c>
      <c r="K4" s="58" t="s">
        <v>2</v>
      </c>
      <c r="L4" s="44"/>
    </row>
    <row r="5" spans="1:12" ht="14.25" customHeight="1" x14ac:dyDescent="0.25">
      <c r="A5" s="59">
        <v>2</v>
      </c>
      <c r="B5" s="60" t="s">
        <v>55</v>
      </c>
      <c r="C5" s="61">
        <v>20</v>
      </c>
      <c r="D5" s="62" t="s">
        <v>54</v>
      </c>
      <c r="E5" s="63" t="s">
        <v>14</v>
      </c>
      <c r="F5" s="64"/>
      <c r="G5" s="58" t="s">
        <v>3</v>
      </c>
      <c r="H5" s="59">
        <v>35</v>
      </c>
      <c r="I5" s="65" t="s">
        <v>3</v>
      </c>
      <c r="J5" s="66"/>
      <c r="K5" s="67">
        <v>439684</v>
      </c>
      <c r="L5" s="44"/>
    </row>
    <row r="6" spans="1:12" ht="14.25" customHeight="1" x14ac:dyDescent="0.25">
      <c r="A6" s="59">
        <v>2</v>
      </c>
      <c r="B6" s="60" t="s">
        <v>55</v>
      </c>
      <c r="C6" s="61">
        <v>10</v>
      </c>
      <c r="D6" s="62" t="s">
        <v>54</v>
      </c>
      <c r="E6" s="63" t="s">
        <v>22</v>
      </c>
      <c r="F6" s="64"/>
      <c r="G6" s="58" t="s">
        <v>3</v>
      </c>
      <c r="H6" s="59">
        <v>20</v>
      </c>
      <c r="I6" s="65" t="s">
        <v>3</v>
      </c>
      <c r="J6" s="66"/>
      <c r="K6" s="67">
        <v>480521</v>
      </c>
      <c r="L6" s="44"/>
    </row>
    <row r="7" spans="1:12" ht="14.25" customHeight="1" x14ac:dyDescent="0.25">
      <c r="A7" s="59">
        <v>2</v>
      </c>
      <c r="B7" s="60" t="s">
        <v>55</v>
      </c>
      <c r="C7" s="61">
        <v>5</v>
      </c>
      <c r="D7" s="62" t="s">
        <v>54</v>
      </c>
      <c r="E7" s="63" t="s">
        <v>4</v>
      </c>
      <c r="F7" s="64"/>
      <c r="G7" s="67" t="s">
        <v>53</v>
      </c>
      <c r="H7" s="59">
        <v>8</v>
      </c>
      <c r="I7" s="62" t="s">
        <v>53</v>
      </c>
      <c r="J7" s="66"/>
      <c r="K7" s="67">
        <v>1007724</v>
      </c>
      <c r="L7" s="44"/>
    </row>
    <row r="8" spans="1:12" ht="14.25" customHeight="1" x14ac:dyDescent="0.25">
      <c r="A8" s="59">
        <v>1</v>
      </c>
      <c r="B8" s="60" t="s">
        <v>55</v>
      </c>
      <c r="C8" s="61">
        <v>10</v>
      </c>
      <c r="D8" s="62" t="s">
        <v>54</v>
      </c>
      <c r="E8" s="63" t="s">
        <v>26</v>
      </c>
      <c r="F8" s="64"/>
      <c r="G8" s="58" t="s">
        <v>3</v>
      </c>
      <c r="H8" s="59">
        <v>2.5</v>
      </c>
      <c r="I8" s="65" t="s">
        <v>3</v>
      </c>
      <c r="J8" s="66"/>
      <c r="K8" s="67">
        <v>941760</v>
      </c>
      <c r="L8" s="44"/>
    </row>
    <row r="9" spans="1:12" ht="14.25" customHeight="1" x14ac:dyDescent="0.25">
      <c r="A9" s="59">
        <v>2</v>
      </c>
      <c r="B9" s="60" t="s">
        <v>55</v>
      </c>
      <c r="C9" s="61">
        <v>5</v>
      </c>
      <c r="D9" s="62" t="s">
        <v>54</v>
      </c>
      <c r="E9" s="63" t="s">
        <v>5</v>
      </c>
      <c r="F9" s="64"/>
      <c r="G9" s="67" t="s">
        <v>53</v>
      </c>
      <c r="H9" s="59">
        <v>6</v>
      </c>
      <c r="I9" s="62" t="s">
        <v>53</v>
      </c>
      <c r="J9" s="66"/>
      <c r="K9" s="67">
        <v>78591</v>
      </c>
      <c r="L9" s="44"/>
    </row>
    <row r="10" spans="1:12" ht="14.25" customHeight="1" x14ac:dyDescent="0.25">
      <c r="A10" s="59">
        <v>8</v>
      </c>
      <c r="B10" s="60" t="s">
        <v>55</v>
      </c>
      <c r="C10" s="61">
        <v>2</v>
      </c>
      <c r="D10" s="62" t="s">
        <v>54</v>
      </c>
      <c r="E10" s="63" t="s">
        <v>51</v>
      </c>
      <c r="F10" s="64"/>
      <c r="G10" s="67" t="s">
        <v>53</v>
      </c>
      <c r="H10" s="59">
        <v>18</v>
      </c>
      <c r="I10" s="62" t="s">
        <v>53</v>
      </c>
      <c r="J10" s="66"/>
      <c r="K10" s="67">
        <v>194261</v>
      </c>
      <c r="L10" s="44"/>
    </row>
    <row r="11" spans="1:12" ht="14.25" customHeight="1" x14ac:dyDescent="0.25">
      <c r="A11" s="59">
        <v>1</v>
      </c>
      <c r="B11" s="60" t="s">
        <v>55</v>
      </c>
      <c r="C11" s="61">
        <v>25</v>
      </c>
      <c r="D11" s="62" t="s">
        <v>54</v>
      </c>
      <c r="E11" s="63" t="s">
        <v>30</v>
      </c>
      <c r="F11" s="64"/>
      <c r="G11" s="58" t="s">
        <v>3</v>
      </c>
      <c r="H11" s="59">
        <v>3</v>
      </c>
      <c r="I11" s="65" t="s">
        <v>3</v>
      </c>
      <c r="J11" s="66"/>
      <c r="K11" s="67">
        <v>878064</v>
      </c>
      <c r="L11" s="44"/>
    </row>
    <row r="12" spans="1:12" ht="14.25" customHeight="1" x14ac:dyDescent="0.25">
      <c r="A12" s="59">
        <v>1</v>
      </c>
      <c r="B12" s="60" t="s">
        <v>55</v>
      </c>
      <c r="C12" s="61">
        <v>3</v>
      </c>
      <c r="D12" s="62" t="s">
        <v>89</v>
      </c>
      <c r="E12" s="63" t="s">
        <v>27</v>
      </c>
      <c r="F12" s="64"/>
      <c r="G12" s="67" t="s">
        <v>53</v>
      </c>
      <c r="H12" s="59">
        <v>0.5</v>
      </c>
      <c r="I12" s="62" t="s">
        <v>53</v>
      </c>
      <c r="J12" s="66"/>
      <c r="K12" s="67">
        <v>39137</v>
      </c>
      <c r="L12" s="44"/>
    </row>
    <row r="13" spans="1:12" ht="14.25" customHeight="1" x14ac:dyDescent="0.25">
      <c r="A13" s="59">
        <v>1</v>
      </c>
      <c r="B13" s="60" t="s">
        <v>55</v>
      </c>
      <c r="C13" s="61">
        <v>35</v>
      </c>
      <c r="D13" s="62" t="s">
        <v>54</v>
      </c>
      <c r="E13" s="63" t="s">
        <v>7</v>
      </c>
      <c r="F13" s="64"/>
      <c r="G13" s="67" t="s">
        <v>8</v>
      </c>
      <c r="H13" s="59">
        <v>10</v>
      </c>
      <c r="I13" s="62" t="s">
        <v>8</v>
      </c>
      <c r="J13" s="66"/>
      <c r="K13" s="67">
        <v>124329</v>
      </c>
      <c r="L13" s="44"/>
    </row>
    <row r="14" spans="1:12" ht="14.25" customHeight="1" x14ac:dyDescent="0.25">
      <c r="A14" s="59">
        <v>6</v>
      </c>
      <c r="B14" s="60" t="s">
        <v>55</v>
      </c>
      <c r="C14" s="61">
        <v>90</v>
      </c>
      <c r="D14" s="62" t="s">
        <v>53</v>
      </c>
      <c r="E14" s="63" t="s">
        <v>21</v>
      </c>
      <c r="F14" s="64"/>
      <c r="G14" s="67" t="s">
        <v>18</v>
      </c>
      <c r="H14" s="59">
        <v>6</v>
      </c>
      <c r="I14" s="62" t="s">
        <v>18</v>
      </c>
      <c r="J14" s="66"/>
      <c r="K14" s="67">
        <v>349975</v>
      </c>
    </row>
    <row r="15" spans="1:12" ht="14.25" customHeight="1" x14ac:dyDescent="0.25">
      <c r="A15" s="59">
        <v>6</v>
      </c>
      <c r="B15" s="60" t="s">
        <v>55</v>
      </c>
      <c r="C15" s="61">
        <v>160</v>
      </c>
      <c r="D15" s="62" t="s">
        <v>53</v>
      </c>
      <c r="E15" s="63" t="s">
        <v>11</v>
      </c>
      <c r="F15" s="64"/>
      <c r="G15" s="67" t="s">
        <v>18</v>
      </c>
      <c r="H15" s="59">
        <v>6</v>
      </c>
      <c r="I15" s="62" t="s">
        <v>18</v>
      </c>
      <c r="J15" s="66"/>
      <c r="K15" s="67">
        <v>5163</v>
      </c>
    </row>
    <row r="16" spans="1:12" ht="14.25" customHeight="1" x14ac:dyDescent="0.25">
      <c r="A16" s="59">
        <v>6</v>
      </c>
      <c r="B16" s="60" t="s">
        <v>55</v>
      </c>
      <c r="C16" s="68">
        <v>40.5</v>
      </c>
      <c r="D16" s="62" t="s">
        <v>57</v>
      </c>
      <c r="E16" s="63" t="s">
        <v>25</v>
      </c>
      <c r="F16" s="64"/>
      <c r="G16" s="67" t="s">
        <v>53</v>
      </c>
      <c r="H16" s="59">
        <v>10</v>
      </c>
      <c r="I16" s="62" t="s">
        <v>53</v>
      </c>
      <c r="J16" s="66"/>
      <c r="K16" s="67">
        <v>154944</v>
      </c>
    </row>
    <row r="17" spans="1:12" ht="14.25" customHeight="1" x14ac:dyDescent="0.25">
      <c r="A17" s="59">
        <v>8</v>
      </c>
      <c r="B17" s="60" t="s">
        <v>55</v>
      </c>
      <c r="C17" s="61">
        <v>52</v>
      </c>
      <c r="D17" s="62" t="s">
        <v>57</v>
      </c>
      <c r="E17" s="63" t="s">
        <v>35</v>
      </c>
      <c r="F17" s="64"/>
      <c r="G17" s="67" t="s">
        <v>53</v>
      </c>
      <c r="H17" s="59">
        <v>8</v>
      </c>
      <c r="I17" s="62" t="s">
        <v>53</v>
      </c>
      <c r="J17" s="66"/>
      <c r="K17" s="67">
        <v>346122</v>
      </c>
    </row>
    <row r="18" spans="1:12" ht="14.25" customHeight="1" x14ac:dyDescent="0.25">
      <c r="A18" s="59">
        <v>1</v>
      </c>
      <c r="B18" s="60" t="s">
        <v>55</v>
      </c>
      <c r="C18" s="61">
        <v>180</v>
      </c>
      <c r="D18" s="62" t="s">
        <v>53</v>
      </c>
      <c r="E18" s="63" t="s">
        <v>46</v>
      </c>
      <c r="F18" s="64"/>
      <c r="G18" s="58" t="s">
        <v>3</v>
      </c>
      <c r="H18" s="59">
        <v>1.5</v>
      </c>
      <c r="I18" s="65" t="s">
        <v>3</v>
      </c>
      <c r="J18" s="66"/>
      <c r="K18" s="67">
        <v>58974</v>
      </c>
    </row>
    <row r="19" spans="1:12" ht="14.25" customHeight="1" x14ac:dyDescent="0.25">
      <c r="A19" s="59">
        <v>1</v>
      </c>
      <c r="B19" s="60" t="s">
        <v>55</v>
      </c>
      <c r="C19" s="61">
        <v>180</v>
      </c>
      <c r="D19" s="62" t="s">
        <v>53</v>
      </c>
      <c r="E19" s="63" t="s">
        <v>47</v>
      </c>
      <c r="F19" s="64"/>
      <c r="G19" s="58" t="s">
        <v>3</v>
      </c>
      <c r="H19" s="59">
        <v>1.5</v>
      </c>
      <c r="I19" s="65" t="s">
        <v>3</v>
      </c>
      <c r="J19" s="66"/>
      <c r="K19" s="67">
        <v>58973</v>
      </c>
    </row>
    <row r="20" spans="1:12" ht="14.25" customHeight="1" x14ac:dyDescent="0.25">
      <c r="A20" s="59">
        <v>1</v>
      </c>
      <c r="B20" s="60" t="s">
        <v>55</v>
      </c>
      <c r="C20" s="61">
        <v>360</v>
      </c>
      <c r="D20" s="62" t="s">
        <v>53</v>
      </c>
      <c r="E20" s="63" t="s">
        <v>28</v>
      </c>
      <c r="F20" s="64"/>
      <c r="G20" s="58" t="s">
        <v>3</v>
      </c>
      <c r="H20" s="59">
        <v>2.5</v>
      </c>
      <c r="I20" s="65" t="s">
        <v>3</v>
      </c>
      <c r="J20" s="66"/>
      <c r="K20" s="67">
        <v>981694</v>
      </c>
    </row>
    <row r="21" spans="1:12" ht="14.25" customHeight="1" x14ac:dyDescent="0.25">
      <c r="A21" s="59">
        <v>6</v>
      </c>
      <c r="B21" s="60" t="s">
        <v>55</v>
      </c>
      <c r="C21" s="61">
        <v>30</v>
      </c>
      <c r="D21" s="62" t="s">
        <v>53</v>
      </c>
      <c r="E21" s="63" t="s">
        <v>62</v>
      </c>
      <c r="F21" s="64"/>
      <c r="G21" s="58" t="s">
        <v>3</v>
      </c>
      <c r="H21" s="69">
        <v>4</v>
      </c>
      <c r="I21" s="65" t="s">
        <v>3</v>
      </c>
      <c r="J21" s="64"/>
      <c r="K21" s="67">
        <v>517889</v>
      </c>
    </row>
    <row r="22" spans="1:12" ht="14.25" customHeight="1" x14ac:dyDescent="0.25">
      <c r="A22" s="59">
        <v>8</v>
      </c>
      <c r="B22" s="60" t="s">
        <v>55</v>
      </c>
      <c r="C22" s="61">
        <v>12</v>
      </c>
      <c r="D22" s="62" t="s">
        <v>53</v>
      </c>
      <c r="E22" s="63" t="s">
        <v>19</v>
      </c>
      <c r="F22" s="64"/>
      <c r="G22" s="67" t="s">
        <v>18</v>
      </c>
      <c r="H22" s="59">
        <v>4</v>
      </c>
      <c r="I22" s="62" t="s">
        <v>18</v>
      </c>
      <c r="J22" s="66"/>
      <c r="K22" s="67">
        <v>485251</v>
      </c>
    </row>
    <row r="23" spans="1:12" ht="14.25" customHeight="1" x14ac:dyDescent="0.25">
      <c r="A23" s="59">
        <v>16</v>
      </c>
      <c r="B23" s="60" t="s">
        <v>55</v>
      </c>
      <c r="C23" s="61">
        <v>12</v>
      </c>
      <c r="D23" s="62" t="s">
        <v>53</v>
      </c>
      <c r="E23" s="63" t="s">
        <v>66</v>
      </c>
      <c r="F23" s="64"/>
      <c r="G23" s="58" t="s">
        <v>3</v>
      </c>
      <c r="H23" s="59">
        <v>40</v>
      </c>
      <c r="I23" s="65" t="s">
        <v>3</v>
      </c>
      <c r="J23" s="66"/>
      <c r="K23" s="67">
        <v>641889</v>
      </c>
    </row>
    <row r="24" spans="1:12" ht="14.25" customHeight="1" x14ac:dyDescent="0.25">
      <c r="A24" s="59">
        <v>12</v>
      </c>
      <c r="B24" s="60" t="s">
        <v>55</v>
      </c>
      <c r="C24" s="61">
        <v>24</v>
      </c>
      <c r="D24" s="62" t="s">
        <v>53</v>
      </c>
      <c r="E24" s="63" t="s">
        <v>20</v>
      </c>
      <c r="F24" s="64"/>
      <c r="G24" s="58" t="s">
        <v>3</v>
      </c>
      <c r="H24" s="59">
        <v>5</v>
      </c>
      <c r="I24" s="65" t="s">
        <v>3</v>
      </c>
      <c r="J24" s="66"/>
      <c r="K24" s="67">
        <v>41167</v>
      </c>
    </row>
    <row r="25" spans="1:12" ht="14.25" customHeight="1" x14ac:dyDescent="0.25">
      <c r="A25" s="59">
        <v>1</v>
      </c>
      <c r="B25" s="60" t="s">
        <v>55</v>
      </c>
      <c r="C25" s="61">
        <v>32</v>
      </c>
      <c r="D25" s="62" t="s">
        <v>54</v>
      </c>
      <c r="E25" s="63" t="s">
        <v>63</v>
      </c>
      <c r="F25" s="64"/>
      <c r="G25" s="58" t="s">
        <v>3</v>
      </c>
      <c r="H25" s="59">
        <v>11</v>
      </c>
      <c r="I25" s="65" t="s">
        <v>3</v>
      </c>
      <c r="J25" s="66"/>
      <c r="K25" s="67">
        <v>41164</v>
      </c>
    </row>
    <row r="26" spans="1:12" ht="14.25" customHeight="1" x14ac:dyDescent="0.25">
      <c r="A26" s="59">
        <v>6</v>
      </c>
      <c r="B26" s="60" t="s">
        <v>55</v>
      </c>
      <c r="C26" s="61">
        <v>5</v>
      </c>
      <c r="D26" s="62" t="s">
        <v>54</v>
      </c>
      <c r="E26" s="63" t="s">
        <v>29</v>
      </c>
      <c r="F26" s="64"/>
      <c r="G26" s="67" t="s">
        <v>53</v>
      </c>
      <c r="H26" s="59">
        <v>6</v>
      </c>
      <c r="I26" s="62" t="s">
        <v>53</v>
      </c>
      <c r="J26" s="66"/>
      <c r="K26" s="67">
        <v>197434</v>
      </c>
    </row>
    <row r="27" spans="1:12" ht="14.25" customHeight="1" x14ac:dyDescent="0.25">
      <c r="A27" s="59">
        <v>1</v>
      </c>
      <c r="B27" s="60" t="s">
        <v>92</v>
      </c>
      <c r="C27" s="61">
        <v>2000</v>
      </c>
      <c r="D27" s="62" t="s">
        <v>53</v>
      </c>
      <c r="E27" s="63" t="s">
        <v>31</v>
      </c>
      <c r="F27" s="64"/>
      <c r="G27" s="58" t="s">
        <v>3</v>
      </c>
      <c r="H27" s="59">
        <v>2</v>
      </c>
      <c r="I27" s="65" t="s">
        <v>3</v>
      </c>
      <c r="J27" s="64"/>
      <c r="K27" s="67">
        <v>31718</v>
      </c>
    </row>
    <row r="28" spans="1:12" ht="14.25" customHeight="1" x14ac:dyDescent="0.25">
      <c r="A28" s="59">
        <v>48</v>
      </c>
      <c r="B28" s="60" t="s">
        <v>55</v>
      </c>
      <c r="C28" s="61">
        <v>2</v>
      </c>
      <c r="D28" s="62" t="s">
        <v>57</v>
      </c>
      <c r="E28" s="63" t="s">
        <v>50</v>
      </c>
      <c r="F28" s="64"/>
      <c r="G28" s="58" t="s">
        <v>3</v>
      </c>
      <c r="H28" s="59">
        <v>2</v>
      </c>
      <c r="I28" s="65" t="s">
        <v>3</v>
      </c>
      <c r="J28" s="66"/>
      <c r="K28" s="67">
        <v>520556</v>
      </c>
    </row>
    <row r="29" spans="1:12" ht="14.25" customHeight="1" x14ac:dyDescent="0.25">
      <c r="A29" s="59">
        <v>24</v>
      </c>
      <c r="B29" s="60" t="s">
        <v>55</v>
      </c>
      <c r="C29" s="61">
        <v>8.4</v>
      </c>
      <c r="D29" s="62" t="s">
        <v>57</v>
      </c>
      <c r="E29" s="63" t="s">
        <v>91</v>
      </c>
      <c r="F29" s="66"/>
      <c r="G29" s="67" t="s">
        <v>53</v>
      </c>
      <c r="H29" s="59">
        <v>24</v>
      </c>
      <c r="I29" s="62" t="s">
        <v>53</v>
      </c>
      <c r="J29" s="64"/>
      <c r="K29" s="67">
        <v>355368</v>
      </c>
    </row>
    <row r="30" spans="1:12" ht="14.25" customHeight="1" x14ac:dyDescent="0.25">
      <c r="A30" s="59">
        <v>12</v>
      </c>
      <c r="B30" s="60" t="s">
        <v>55</v>
      </c>
      <c r="C30" s="61">
        <v>12</v>
      </c>
      <c r="D30" s="62" t="s">
        <v>57</v>
      </c>
      <c r="E30" s="63" t="s">
        <v>67</v>
      </c>
      <c r="F30" s="66"/>
      <c r="G30" s="67" t="s">
        <v>53</v>
      </c>
      <c r="H30" s="59">
        <v>48</v>
      </c>
      <c r="I30" s="62" t="s">
        <v>53</v>
      </c>
      <c r="J30" s="59"/>
      <c r="K30" s="67">
        <v>419871</v>
      </c>
    </row>
    <row r="31" spans="1:12" ht="14.25" customHeight="1" x14ac:dyDescent="0.25">
      <c r="A31" s="59">
        <v>6</v>
      </c>
      <c r="B31" s="60" t="s">
        <v>55</v>
      </c>
      <c r="C31" s="61">
        <v>12</v>
      </c>
      <c r="D31" s="62" t="s">
        <v>57</v>
      </c>
      <c r="E31" s="63" t="s">
        <v>68</v>
      </c>
      <c r="F31" s="66"/>
      <c r="G31" s="67" t="s">
        <v>53</v>
      </c>
      <c r="H31" s="59">
        <v>24</v>
      </c>
      <c r="I31" s="62" t="s">
        <v>53</v>
      </c>
      <c r="J31" s="59"/>
      <c r="K31" s="67">
        <v>1020838</v>
      </c>
      <c r="L31" s="44"/>
    </row>
    <row r="32" spans="1:12" ht="14.25" customHeight="1" x14ac:dyDescent="0.25">
      <c r="A32" s="59">
        <v>6</v>
      </c>
      <c r="B32" s="60" t="s">
        <v>55</v>
      </c>
      <c r="C32" s="61">
        <v>12</v>
      </c>
      <c r="D32" s="62" t="s">
        <v>57</v>
      </c>
      <c r="E32" s="63" t="s">
        <v>69</v>
      </c>
      <c r="F32" s="66"/>
      <c r="G32" s="67" t="s">
        <v>53</v>
      </c>
      <c r="H32" s="59">
        <v>18</v>
      </c>
      <c r="I32" s="62" t="s">
        <v>53</v>
      </c>
      <c r="J32" s="59"/>
      <c r="K32" s="67">
        <v>1020549</v>
      </c>
      <c r="L32" s="44"/>
    </row>
    <row r="33" spans="1:12" ht="14.25" customHeight="1" x14ac:dyDescent="0.25">
      <c r="A33" s="59">
        <v>6</v>
      </c>
      <c r="B33" s="60" t="s">
        <v>55</v>
      </c>
      <c r="C33" s="61">
        <v>12</v>
      </c>
      <c r="D33" s="62" t="s">
        <v>57</v>
      </c>
      <c r="E33" s="63" t="s">
        <v>70</v>
      </c>
      <c r="F33" s="66"/>
      <c r="G33" s="67" t="s">
        <v>53</v>
      </c>
      <c r="H33" s="59">
        <v>18</v>
      </c>
      <c r="I33" s="62" t="s">
        <v>53</v>
      </c>
      <c r="J33" s="59"/>
      <c r="K33" s="67">
        <v>1020535</v>
      </c>
    </row>
    <row r="34" spans="1:12" ht="14.25" customHeight="1" x14ac:dyDescent="0.25">
      <c r="A34" s="59">
        <v>6</v>
      </c>
      <c r="B34" s="60" t="s">
        <v>55</v>
      </c>
      <c r="C34" s="61">
        <v>12</v>
      </c>
      <c r="D34" s="62" t="s">
        <v>57</v>
      </c>
      <c r="E34" s="63" t="s">
        <v>71</v>
      </c>
      <c r="F34" s="66"/>
      <c r="G34" s="67" t="s">
        <v>53</v>
      </c>
      <c r="H34" s="59">
        <v>18</v>
      </c>
      <c r="I34" s="62" t="s">
        <v>53</v>
      </c>
      <c r="J34" s="59"/>
      <c r="K34" s="67">
        <v>1020522</v>
      </c>
      <c r="L34" s="44"/>
    </row>
    <row r="35" spans="1:12" ht="14.25" customHeight="1" x14ac:dyDescent="0.25">
      <c r="A35" s="59">
        <v>1</v>
      </c>
      <c r="B35" s="60" t="s">
        <v>55</v>
      </c>
      <c r="C35" s="61">
        <v>5</v>
      </c>
      <c r="D35" s="62" t="s">
        <v>89</v>
      </c>
      <c r="E35" s="63" t="s">
        <v>78</v>
      </c>
      <c r="F35" s="66"/>
      <c r="G35" s="58" t="s">
        <v>3</v>
      </c>
      <c r="H35" s="59">
        <v>1</v>
      </c>
      <c r="I35" s="65" t="s">
        <v>3</v>
      </c>
      <c r="J35" s="59"/>
      <c r="K35" s="67">
        <v>26383</v>
      </c>
    </row>
    <row r="36" spans="1:12" ht="14.25" customHeight="1" x14ac:dyDescent="0.25">
      <c r="A36" s="59">
        <v>1</v>
      </c>
      <c r="B36" s="60" t="s">
        <v>55</v>
      </c>
      <c r="C36" s="61">
        <v>5</v>
      </c>
      <c r="D36" s="62" t="s">
        <v>89</v>
      </c>
      <c r="E36" s="63" t="s">
        <v>79</v>
      </c>
      <c r="F36" s="66"/>
      <c r="G36" s="58" t="s">
        <v>3</v>
      </c>
      <c r="H36" s="59">
        <v>1</v>
      </c>
      <c r="I36" s="65" t="s">
        <v>3</v>
      </c>
      <c r="J36" s="59"/>
      <c r="K36" s="67">
        <v>28969</v>
      </c>
    </row>
    <row r="37" spans="1:12" ht="14.25" customHeight="1" x14ac:dyDescent="0.25">
      <c r="A37" s="59">
        <v>1</v>
      </c>
      <c r="B37" s="60" t="s">
        <v>55</v>
      </c>
      <c r="C37" s="61">
        <v>5</v>
      </c>
      <c r="D37" s="62" t="s">
        <v>89</v>
      </c>
      <c r="E37" s="63" t="s">
        <v>80</v>
      </c>
      <c r="F37" s="66"/>
      <c r="G37" s="58" t="s">
        <v>3</v>
      </c>
      <c r="H37" s="59">
        <v>1</v>
      </c>
      <c r="I37" s="65" t="s">
        <v>3</v>
      </c>
      <c r="J37" s="59"/>
      <c r="K37" s="67">
        <v>883022</v>
      </c>
    </row>
    <row r="38" spans="1:12" ht="14.25" customHeight="1" x14ac:dyDescent="0.25">
      <c r="A38" s="59">
        <v>1</v>
      </c>
      <c r="B38" s="60" t="s">
        <v>55</v>
      </c>
      <c r="C38" s="61">
        <v>5</v>
      </c>
      <c r="D38" s="62" t="s">
        <v>89</v>
      </c>
      <c r="E38" s="63" t="s">
        <v>81</v>
      </c>
      <c r="F38" s="66"/>
      <c r="G38" s="58" t="s">
        <v>3</v>
      </c>
      <c r="H38" s="59">
        <v>1</v>
      </c>
      <c r="I38" s="65" t="s">
        <v>3</v>
      </c>
      <c r="J38" s="59"/>
      <c r="K38" s="67">
        <v>2204</v>
      </c>
    </row>
    <row r="39" spans="1:12" ht="14.25" customHeight="1" x14ac:dyDescent="0.25">
      <c r="A39" s="59">
        <v>1</v>
      </c>
      <c r="B39" s="60" t="s">
        <v>55</v>
      </c>
      <c r="C39" s="61">
        <v>5</v>
      </c>
      <c r="D39" s="62" t="s">
        <v>89</v>
      </c>
      <c r="E39" s="63" t="s">
        <v>82</v>
      </c>
      <c r="F39" s="66"/>
      <c r="G39" s="58" t="s">
        <v>3</v>
      </c>
      <c r="H39" s="59">
        <v>1</v>
      </c>
      <c r="I39" s="65" t="s">
        <v>3</v>
      </c>
      <c r="J39" s="59"/>
      <c r="K39" s="67">
        <v>42157</v>
      </c>
    </row>
    <row r="40" spans="1:12" ht="14.25" customHeight="1" x14ac:dyDescent="0.25">
      <c r="A40" s="59">
        <v>1</v>
      </c>
      <c r="B40" s="60" t="s">
        <v>55</v>
      </c>
      <c r="C40" s="61">
        <v>5</v>
      </c>
      <c r="D40" s="62" t="s">
        <v>89</v>
      </c>
      <c r="E40" s="63" t="s">
        <v>83</v>
      </c>
      <c r="F40" s="66"/>
      <c r="G40" s="58" t="s">
        <v>3</v>
      </c>
      <c r="H40" s="59">
        <v>1</v>
      </c>
      <c r="I40" s="65" t="s">
        <v>3</v>
      </c>
      <c r="J40" s="59"/>
      <c r="K40" s="67">
        <v>1069439</v>
      </c>
    </row>
    <row r="41" spans="1:12" ht="14.25" customHeight="1" x14ac:dyDescent="0.25">
      <c r="A41" s="59">
        <v>1</v>
      </c>
      <c r="B41" s="60" t="s">
        <v>55</v>
      </c>
      <c r="C41" s="61">
        <v>5</v>
      </c>
      <c r="D41" s="62" t="s">
        <v>89</v>
      </c>
      <c r="E41" s="63" t="s">
        <v>84</v>
      </c>
      <c r="F41" s="66"/>
      <c r="G41" s="58" t="s">
        <v>3</v>
      </c>
      <c r="H41" s="59">
        <v>1</v>
      </c>
      <c r="I41" s="65" t="s">
        <v>3</v>
      </c>
      <c r="J41" s="59"/>
      <c r="K41" s="67">
        <v>964693</v>
      </c>
    </row>
    <row r="42" spans="1:12" ht="14.25" customHeight="1" x14ac:dyDescent="0.25">
      <c r="A42" s="59">
        <v>1</v>
      </c>
      <c r="B42" s="60" t="s">
        <v>55</v>
      </c>
      <c r="C42" s="61">
        <v>5</v>
      </c>
      <c r="D42" s="62" t="s">
        <v>89</v>
      </c>
      <c r="E42" s="63" t="s">
        <v>85</v>
      </c>
      <c r="F42" s="66"/>
      <c r="G42" s="58" t="s">
        <v>3</v>
      </c>
      <c r="H42" s="59">
        <v>1</v>
      </c>
      <c r="I42" s="65" t="s">
        <v>3</v>
      </c>
      <c r="J42" s="59"/>
      <c r="K42" s="67">
        <v>424775</v>
      </c>
    </row>
    <row r="43" spans="1:12" ht="14.25" customHeight="1" x14ac:dyDescent="0.25">
      <c r="A43" s="59">
        <v>1</v>
      </c>
      <c r="B43" s="60" t="s">
        <v>55</v>
      </c>
      <c r="C43" s="61">
        <v>2.5</v>
      </c>
      <c r="D43" s="62" t="s">
        <v>89</v>
      </c>
      <c r="E43" s="63" t="s">
        <v>86</v>
      </c>
      <c r="F43" s="66"/>
      <c r="G43" s="58" t="s">
        <v>3</v>
      </c>
      <c r="H43" s="59">
        <v>0.5</v>
      </c>
      <c r="I43" s="65" t="s">
        <v>3</v>
      </c>
      <c r="J43" s="59"/>
      <c r="K43" s="67">
        <v>870481</v>
      </c>
    </row>
    <row r="44" spans="1:12" ht="14.25" customHeight="1" x14ac:dyDescent="0.25">
      <c r="A44" s="59">
        <v>1</v>
      </c>
      <c r="B44" s="60" t="s">
        <v>55</v>
      </c>
      <c r="C44" s="61">
        <v>2.5</v>
      </c>
      <c r="D44" s="62" t="s">
        <v>89</v>
      </c>
      <c r="E44" s="63" t="s">
        <v>87</v>
      </c>
      <c r="F44" s="66"/>
      <c r="G44" s="58" t="s">
        <v>3</v>
      </c>
      <c r="H44" s="59">
        <v>2</v>
      </c>
      <c r="I44" s="65" t="s">
        <v>3</v>
      </c>
      <c r="J44" s="59"/>
      <c r="K44" s="67">
        <v>235584</v>
      </c>
    </row>
    <row r="45" spans="1:12" ht="14.25" customHeight="1" x14ac:dyDescent="0.25">
      <c r="A45" s="59">
        <v>1</v>
      </c>
      <c r="B45" s="60" t="s">
        <v>55</v>
      </c>
      <c r="C45" s="61">
        <v>2.5</v>
      </c>
      <c r="D45" s="62" t="s">
        <v>89</v>
      </c>
      <c r="E45" s="63" t="s">
        <v>88</v>
      </c>
      <c r="F45" s="66"/>
      <c r="G45" s="58" t="s">
        <v>3</v>
      </c>
      <c r="H45" s="59">
        <v>0.5</v>
      </c>
      <c r="I45" s="65" t="s">
        <v>3</v>
      </c>
      <c r="J45" s="59"/>
      <c r="K45" s="67">
        <v>870480</v>
      </c>
    </row>
  </sheetData>
  <sheetProtection algorithmName="SHA-512" hashValue="rpxBh5/BrCdRJc7KjXm96ksCXxi9+2wu8uS5O4kXWGJuoO9pcWQYxI+vvbwz04w+TlDJ5kC1Xf4e9TaAjKmYxw==" saltValue="vhhwlu6bMnOcqLMqq4N74w==" spinCount="100000" sheet="1" selectLockedCells="1"/>
  <dataConsolidate/>
  <mergeCells count="7">
    <mergeCell ref="A4:D4"/>
    <mergeCell ref="H1:J1"/>
    <mergeCell ref="H2:J2"/>
    <mergeCell ref="B1:E1"/>
    <mergeCell ref="B2:E2"/>
    <mergeCell ref="F4:G4"/>
    <mergeCell ref="H4:I4"/>
  </mergeCells>
  <conditionalFormatting sqref="J5:J29">
    <cfRule type="cellIs" dxfId="1" priority="1" operator="lessThan">
      <formula>0</formula>
    </cfRule>
    <cfRule type="cellIs" dxfId="0" priority="2" operator="equal">
      <formula>0</formula>
    </cfRule>
  </conditionalFormatting>
  <pageMargins left="0.25" right="0.25" top="0.7" bottom="0.5" header="0.25" footer="0.25"/>
  <pageSetup orientation="portrait" r:id="rId1"/>
  <headerFooter>
    <oddHeader>&amp;L&amp;"Aptos Narrow,Bold"&amp;14NORTH&amp;C&amp;"Aptos Narrow,Bold"&amp;14PFG ORDER&amp;11
&amp;9Inventory - Mon, 11AM&amp;R&amp;"Aptos Narrow,Bold"&amp;14WED for THUR - &amp;UCH&amp;"Aptos Narrow,Regular"&amp;11&amp;U
&amp;10 &amp;8Printed &amp;D &amp;T</oddHeader>
    <oddFooter>&amp;C&amp;"Aptos Narrow,Regular"&amp;8REP: REBECCA ANDERSON - 410-279-1609 - EMAIL: rebecca.anderson@pfgc.com
&amp;Z&amp;F (GV 8/14/26)&amp;R&amp;"Aptos Narrow,Regular"&amp;8&amp;P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51AE7-1531-40A4-9508-2B68ED12A670}">
  <sheetPr>
    <pageSetUpPr fitToPage="1"/>
  </sheetPr>
  <dimension ref="A1:AJ46"/>
  <sheetViews>
    <sheetView zoomScaleNormal="100" zoomScalePageLayoutView="130" workbookViewId="0">
      <selection activeCell="AA5" sqref="AA5"/>
    </sheetView>
  </sheetViews>
  <sheetFormatPr defaultRowHeight="14.25" customHeight="1" x14ac:dyDescent="0.2"/>
  <cols>
    <col min="1" max="1" width="3" style="22" bestFit="1" customWidth="1"/>
    <col min="2" max="2" width="1.7109375" style="3" bestFit="1" customWidth="1"/>
    <col min="3" max="3" width="5" style="4" bestFit="1" customWidth="1"/>
    <col min="4" max="4" width="3.140625" style="4" bestFit="1" customWidth="1"/>
    <col min="5" max="5" width="18" style="1" customWidth="1"/>
    <col min="6" max="6" width="8" style="1" customWidth="1"/>
    <col min="7" max="7" width="4.28515625" style="1" customWidth="1"/>
    <col min="8" max="9" width="6.85546875" style="3" customWidth="1"/>
    <col min="10" max="10" width="6.7109375" style="10" customWidth="1"/>
    <col min="11" max="11" width="5" style="35" customWidth="1"/>
    <col min="12" max="12" width="6.85546875" style="26" customWidth="1"/>
    <col min="13" max="13" width="6.7109375" style="10" customWidth="1"/>
    <col min="14" max="14" width="6" style="28" customWidth="1"/>
    <col min="15" max="15" width="6.85546875" style="3" customWidth="1"/>
    <col min="16" max="16" width="6.7109375" style="10" customWidth="1"/>
    <col min="17" max="17" width="5" style="35" customWidth="1"/>
    <col min="18" max="18" width="6.85546875" style="3" customWidth="1"/>
    <col min="19" max="19" width="6.85546875" style="10" customWidth="1"/>
    <col min="20" max="20" width="6" style="28" customWidth="1"/>
    <col min="21" max="21" width="6.85546875" style="3" customWidth="1"/>
    <col min="22" max="22" width="6.85546875" style="10" customWidth="1"/>
    <col min="23" max="23" width="6" style="35" customWidth="1"/>
    <col min="24" max="24" width="6.85546875" style="3" customWidth="1"/>
    <col min="25" max="25" width="6.85546875" style="10" customWidth="1"/>
    <col min="26" max="26" width="6" style="28" customWidth="1"/>
    <col min="27" max="27" width="6.85546875" style="3" customWidth="1"/>
    <col min="28" max="28" width="9.140625" style="1"/>
    <col min="29" max="29" width="5.42578125" style="1" bestFit="1" customWidth="1"/>
    <col min="30" max="30" width="4.7109375" style="4" customWidth="1"/>
    <col min="31" max="31" width="5.42578125" style="1" customWidth="1"/>
    <col min="32" max="32" width="4.42578125" style="1" bestFit="1" customWidth="1"/>
    <col min="33" max="33" width="9.140625" style="4"/>
    <col min="34" max="36" width="9.140625" style="3"/>
    <col min="37" max="16384" width="9.140625" style="1"/>
  </cols>
  <sheetData>
    <row r="1" spans="1:36" s="2" customFormat="1" ht="14.25" customHeight="1" x14ac:dyDescent="0.2">
      <c r="A1" s="11"/>
      <c r="B1" s="10"/>
      <c r="C1" s="12"/>
      <c r="D1" s="12"/>
      <c r="H1" s="10" t="str">
        <f>TEXT(H3,"DDD")</f>
        <v>Wed</v>
      </c>
      <c r="I1" s="10"/>
      <c r="J1" s="10" t="str">
        <f>TEXT(J3,"DDD")</f>
        <v>Mon</v>
      </c>
      <c r="K1" s="34"/>
      <c r="L1" s="10"/>
      <c r="M1" s="10" t="str">
        <f>TEXT(M3,"DDD")</f>
        <v>Wed</v>
      </c>
      <c r="N1" s="27"/>
      <c r="O1" s="10"/>
      <c r="P1" s="10" t="str">
        <f>TEXT(P3,"DDD")</f>
        <v>Mon</v>
      </c>
      <c r="Q1" s="34"/>
      <c r="R1" s="10"/>
      <c r="S1" s="10" t="str">
        <f>TEXT(S3,"DDD")</f>
        <v>Wed</v>
      </c>
      <c r="T1" s="27"/>
      <c r="U1" s="10"/>
      <c r="V1" s="10" t="str">
        <f>TEXT(V3,"DDD")</f>
        <v>Mon</v>
      </c>
      <c r="W1" s="34"/>
      <c r="X1" s="10"/>
      <c r="Y1" s="10"/>
      <c r="Z1" s="27"/>
      <c r="AA1" s="10"/>
      <c r="AD1" s="12"/>
      <c r="AG1" s="12"/>
      <c r="AH1" s="10"/>
      <c r="AI1" s="10"/>
      <c r="AJ1" s="10"/>
    </row>
    <row r="2" spans="1:36" ht="14.25" customHeight="1" x14ac:dyDescent="0.2">
      <c r="L2" s="3"/>
    </row>
    <row r="3" spans="1:36" ht="14.25" customHeight="1" x14ac:dyDescent="0.2">
      <c r="H3" s="23">
        <v>45735</v>
      </c>
      <c r="I3" s="23">
        <v>45736</v>
      </c>
      <c r="J3" s="24">
        <v>45740</v>
      </c>
      <c r="K3" s="36"/>
      <c r="L3" s="23">
        <v>45741</v>
      </c>
      <c r="M3" s="24">
        <v>45742</v>
      </c>
      <c r="N3" s="29"/>
      <c r="O3" s="23">
        <v>45743</v>
      </c>
      <c r="P3" s="24">
        <v>45747</v>
      </c>
      <c r="Q3" s="36"/>
      <c r="R3" s="23">
        <v>45748</v>
      </c>
      <c r="S3" s="24">
        <v>45749</v>
      </c>
      <c r="T3" s="29"/>
      <c r="U3" s="24">
        <v>45750</v>
      </c>
      <c r="V3" s="24">
        <v>45754</v>
      </c>
      <c r="W3" s="36"/>
      <c r="X3" s="24">
        <v>45755</v>
      </c>
      <c r="Y3" s="24">
        <v>45756</v>
      </c>
      <c r="Z3" s="29"/>
      <c r="AA3" s="24">
        <v>45757</v>
      </c>
      <c r="AD3" s="4" t="s">
        <v>77</v>
      </c>
      <c r="AG3" s="4" t="s">
        <v>76</v>
      </c>
    </row>
    <row r="4" spans="1:36" ht="14.25" customHeight="1" x14ac:dyDescent="0.2">
      <c r="A4" s="39" t="s">
        <v>58</v>
      </c>
      <c r="B4" s="40"/>
      <c r="C4" s="40"/>
      <c r="D4" s="40"/>
      <c r="E4" s="6" t="s">
        <v>0</v>
      </c>
      <c r="F4" s="5" t="s">
        <v>2</v>
      </c>
      <c r="G4" s="19" t="s">
        <v>73</v>
      </c>
      <c r="H4" s="19" t="s">
        <v>72</v>
      </c>
      <c r="I4" s="8" t="s">
        <v>15</v>
      </c>
      <c r="J4" s="5" t="s">
        <v>72</v>
      </c>
      <c r="K4" s="37" t="s">
        <v>74</v>
      </c>
      <c r="L4" s="5" t="s">
        <v>15</v>
      </c>
      <c r="M4" s="5" t="s">
        <v>72</v>
      </c>
      <c r="N4" s="30" t="s">
        <v>74</v>
      </c>
      <c r="O4" s="5" t="s">
        <v>15</v>
      </c>
      <c r="P4" s="5" t="s">
        <v>72</v>
      </c>
      <c r="Q4" s="37" t="s">
        <v>74</v>
      </c>
      <c r="R4" s="5" t="s">
        <v>15</v>
      </c>
      <c r="S4" s="5" t="s">
        <v>72</v>
      </c>
      <c r="T4" s="30" t="s">
        <v>74</v>
      </c>
      <c r="U4" s="5" t="s">
        <v>15</v>
      </c>
      <c r="V4" s="5" t="s">
        <v>72</v>
      </c>
      <c r="W4" s="37" t="s">
        <v>74</v>
      </c>
      <c r="X4" s="5" t="s">
        <v>15</v>
      </c>
      <c r="Y4" s="5" t="s">
        <v>72</v>
      </c>
      <c r="Z4" s="30" t="s">
        <v>74</v>
      </c>
      <c r="AA4" s="5" t="s">
        <v>15</v>
      </c>
      <c r="AD4" s="4" t="s">
        <v>75</v>
      </c>
      <c r="AG4" s="4" t="s">
        <v>75</v>
      </c>
    </row>
    <row r="5" spans="1:36" ht="14.25" customHeight="1" x14ac:dyDescent="0.2">
      <c r="A5" s="13">
        <v>2</v>
      </c>
      <c r="B5" s="14" t="s">
        <v>55</v>
      </c>
      <c r="C5" s="16">
        <v>20</v>
      </c>
      <c r="D5" s="15" t="s">
        <v>54</v>
      </c>
      <c r="E5" s="7" t="s">
        <v>14</v>
      </c>
      <c r="F5" s="8">
        <v>439684</v>
      </c>
      <c r="G5" s="5" t="s">
        <v>3</v>
      </c>
      <c r="H5" s="20">
        <v>30</v>
      </c>
      <c r="I5" s="8">
        <v>5</v>
      </c>
      <c r="J5" s="9">
        <v>8</v>
      </c>
      <c r="K5" s="38">
        <f>(H5+I5)-J5</f>
        <v>27</v>
      </c>
      <c r="L5" s="25">
        <v>22</v>
      </c>
      <c r="M5" s="9">
        <v>18.5</v>
      </c>
      <c r="N5" s="31">
        <f>(J5+L5)-M5</f>
        <v>11.5</v>
      </c>
      <c r="O5" s="8">
        <v>20</v>
      </c>
      <c r="P5" s="9">
        <v>8.5</v>
      </c>
      <c r="Q5" s="38">
        <f>(M5+O5)-P5</f>
        <v>30</v>
      </c>
      <c r="R5" s="8">
        <v>27</v>
      </c>
      <c r="S5" s="9">
        <v>25.5</v>
      </c>
      <c r="T5" s="31">
        <f>(P5+R5)-S5</f>
        <v>10</v>
      </c>
      <c r="U5" s="8">
        <v>13</v>
      </c>
      <c r="V5" s="9">
        <v>8.5</v>
      </c>
      <c r="W5" s="38">
        <f>(S5+U5)-V5</f>
        <v>30</v>
      </c>
      <c r="X5" s="8">
        <v>22</v>
      </c>
      <c r="Y5" s="9">
        <v>12</v>
      </c>
      <c r="Z5" s="31">
        <f>(V5+X5)-Y5</f>
        <v>18.5</v>
      </c>
      <c r="AA5" s="25"/>
      <c r="AC5" s="32">
        <f>AVERAGE(Z5,T5,N5)*1.15</f>
        <v>15.333333333333332</v>
      </c>
      <c r="AD5" s="4">
        <v>30</v>
      </c>
      <c r="AE5" s="32"/>
      <c r="AF5" s="32">
        <f>AVERAGE(W5,Q5,K5)*1.15</f>
        <v>33.349999999999994</v>
      </c>
      <c r="AG5" s="4">
        <v>35</v>
      </c>
      <c r="AH5" s="33"/>
      <c r="AI5" s="32"/>
      <c r="AJ5" s="32"/>
    </row>
    <row r="6" spans="1:36" ht="14.25" customHeight="1" x14ac:dyDescent="0.2">
      <c r="A6" s="13">
        <v>2</v>
      </c>
      <c r="B6" s="14" t="s">
        <v>55</v>
      </c>
      <c r="C6" s="16">
        <v>10</v>
      </c>
      <c r="D6" s="15" t="s">
        <v>54</v>
      </c>
      <c r="E6" s="7" t="s">
        <v>22</v>
      </c>
      <c r="F6" s="8">
        <v>61430</v>
      </c>
      <c r="G6" s="5" t="s">
        <v>3</v>
      </c>
      <c r="H6" s="20">
        <v>41</v>
      </c>
      <c r="I6" s="8"/>
      <c r="J6" s="9">
        <v>22</v>
      </c>
      <c r="K6" s="38">
        <f>(H6+I6)-J6</f>
        <v>19</v>
      </c>
      <c r="L6" s="25">
        <v>8</v>
      </c>
      <c r="M6" s="9">
        <v>20.5</v>
      </c>
      <c r="N6" s="31">
        <f>(J6+L6)-M6</f>
        <v>9.5</v>
      </c>
      <c r="O6" s="8">
        <v>10</v>
      </c>
      <c r="P6" s="9">
        <v>9.5</v>
      </c>
      <c r="Q6" s="38">
        <f>(M6+O6)-P6</f>
        <v>21</v>
      </c>
      <c r="R6" s="8">
        <v>16</v>
      </c>
      <c r="S6" s="9">
        <v>18.5</v>
      </c>
      <c r="T6" s="31">
        <f>(P6+R6)-S6</f>
        <v>7</v>
      </c>
      <c r="U6" s="8">
        <v>14</v>
      </c>
      <c r="V6" s="9">
        <v>12.5</v>
      </c>
      <c r="W6" s="38">
        <f>(S6+U6)-V6</f>
        <v>20</v>
      </c>
      <c r="X6" s="8">
        <v>18</v>
      </c>
      <c r="Y6" s="9">
        <v>23.5</v>
      </c>
      <c r="Z6" s="31">
        <f>(V6+X6)-Y6</f>
        <v>7</v>
      </c>
      <c r="AA6" s="25"/>
      <c r="AC6" s="32">
        <f>AVERAGE(Z6,T6,N6)*1.15</f>
        <v>9.0083333333333329</v>
      </c>
      <c r="AD6" s="4">
        <v>30</v>
      </c>
      <c r="AE6" s="32"/>
      <c r="AF6" s="32">
        <f>AVERAGE(W6,Q6,K6)*1.15</f>
        <v>23</v>
      </c>
      <c r="AG6" s="4">
        <v>25</v>
      </c>
      <c r="AH6" s="32"/>
      <c r="AI6" s="32"/>
      <c r="AJ6" s="32"/>
    </row>
    <row r="7" spans="1:36" ht="14.25" customHeight="1" x14ac:dyDescent="0.2">
      <c r="A7" s="13">
        <v>2</v>
      </c>
      <c r="B7" s="14" t="s">
        <v>55</v>
      </c>
      <c r="C7" s="16">
        <v>5</v>
      </c>
      <c r="D7" s="15" t="s">
        <v>54</v>
      </c>
      <c r="E7" s="7" t="s">
        <v>4</v>
      </c>
      <c r="F7" s="8">
        <v>175012</v>
      </c>
      <c r="G7" s="5" t="s">
        <v>53</v>
      </c>
      <c r="H7" s="20">
        <v>3</v>
      </c>
      <c r="I7" s="8">
        <v>4</v>
      </c>
      <c r="J7" s="9">
        <v>3</v>
      </c>
      <c r="K7" s="38">
        <f>((I7*$A$7)+H7)-J7</f>
        <v>8</v>
      </c>
      <c r="L7" s="25">
        <v>1</v>
      </c>
      <c r="M7" s="9">
        <v>4.0999999999999996</v>
      </c>
      <c r="N7" s="31">
        <f>((L7*$A$7)+J7)-M7</f>
        <v>0.90000000000000036</v>
      </c>
      <c r="O7" s="8">
        <v>3</v>
      </c>
      <c r="P7" s="9">
        <v>2</v>
      </c>
      <c r="Q7" s="38">
        <f>((O7*$A$7)+M7)-P7</f>
        <v>8.1</v>
      </c>
      <c r="R7" s="8">
        <v>1</v>
      </c>
      <c r="S7" s="9">
        <v>1.5</v>
      </c>
      <c r="T7" s="31">
        <f>((R7*$A$7)+P7)-S7</f>
        <v>2.5</v>
      </c>
      <c r="U7" s="8">
        <v>6</v>
      </c>
      <c r="V7" s="9">
        <v>5</v>
      </c>
      <c r="W7" s="38">
        <f>((U7*$A$7)+S7)-V7</f>
        <v>8.5</v>
      </c>
      <c r="X7" s="8"/>
      <c r="Y7" s="9">
        <v>3.1</v>
      </c>
      <c r="Z7" s="31">
        <f>((X7*$A$7)+V7)-Y7</f>
        <v>1.9</v>
      </c>
      <c r="AA7" s="25"/>
      <c r="AC7" s="32">
        <f t="shared" ref="AC7:AC46" si="0">AVERAGE(Z7,T7,N7)*1.15</f>
        <v>2.0316666666666667</v>
      </c>
      <c r="AD7" s="4">
        <v>4</v>
      </c>
      <c r="AE7" s="32"/>
      <c r="AF7" s="32">
        <f t="shared" ref="AF7:AF46" si="1">AVERAGE(W7,Q7,K7)*1.15</f>
        <v>9.43</v>
      </c>
      <c r="AG7" s="4">
        <v>10</v>
      </c>
      <c r="AH7" s="32"/>
      <c r="AI7" s="32"/>
      <c r="AJ7" s="32"/>
    </row>
    <row r="8" spans="1:36" ht="14.25" customHeight="1" x14ac:dyDescent="0.2">
      <c r="A8" s="13">
        <v>1</v>
      </c>
      <c r="B8" s="14" t="s">
        <v>55</v>
      </c>
      <c r="C8" s="16">
        <v>10</v>
      </c>
      <c r="D8" s="15" t="s">
        <v>54</v>
      </c>
      <c r="E8" s="7" t="s">
        <v>26</v>
      </c>
      <c r="F8" s="8">
        <v>941760</v>
      </c>
      <c r="G8" s="5" t="s">
        <v>3</v>
      </c>
      <c r="H8" s="20">
        <v>0.7</v>
      </c>
      <c r="I8" s="8">
        <v>2</v>
      </c>
      <c r="J8" s="9">
        <v>1.1000000000000001</v>
      </c>
      <c r="K8" s="38">
        <f>(H8+I8)-J8</f>
        <v>1.6</v>
      </c>
      <c r="L8" s="25"/>
      <c r="M8" s="9">
        <v>1</v>
      </c>
      <c r="N8" s="31">
        <f>(J8+L8)-M8</f>
        <v>0.10000000000000009</v>
      </c>
      <c r="O8" s="8">
        <v>1</v>
      </c>
      <c r="P8" s="9">
        <v>0</v>
      </c>
      <c r="Q8" s="38">
        <f>(M8+O8)-P8</f>
        <v>2</v>
      </c>
      <c r="R8" s="8">
        <v>2</v>
      </c>
      <c r="S8" s="9">
        <v>1.5</v>
      </c>
      <c r="T8" s="31">
        <f>(P8+R8)-S8</f>
        <v>0.5</v>
      </c>
      <c r="U8" s="8">
        <v>1</v>
      </c>
      <c r="V8" s="9">
        <v>0.5</v>
      </c>
      <c r="W8" s="38">
        <f>(S8+U8)-V8</f>
        <v>2</v>
      </c>
      <c r="X8" s="8">
        <v>1</v>
      </c>
      <c r="Y8" s="9">
        <v>1.3</v>
      </c>
      <c r="Z8" s="31">
        <f>(V8+X8)-Y8</f>
        <v>0.19999999999999996</v>
      </c>
      <c r="AA8" s="25"/>
      <c r="AC8" s="32">
        <f t="shared" si="0"/>
        <v>0.30666666666666664</v>
      </c>
      <c r="AD8" s="4">
        <v>1</v>
      </c>
      <c r="AE8" s="32"/>
      <c r="AF8" s="32">
        <f t="shared" si="1"/>
        <v>2.1466666666666665</v>
      </c>
      <c r="AG8" s="4">
        <v>2.5</v>
      </c>
      <c r="AH8" s="32"/>
      <c r="AI8" s="32"/>
      <c r="AJ8" s="32"/>
    </row>
    <row r="9" spans="1:36" ht="14.25" customHeight="1" x14ac:dyDescent="0.2">
      <c r="A9" s="13">
        <v>2</v>
      </c>
      <c r="B9" s="14" t="s">
        <v>55</v>
      </c>
      <c r="C9" s="16">
        <v>5</v>
      </c>
      <c r="D9" s="15" t="s">
        <v>54</v>
      </c>
      <c r="E9" s="7" t="s">
        <v>5</v>
      </c>
      <c r="F9" s="8">
        <v>78591</v>
      </c>
      <c r="G9" s="5" t="s">
        <v>53</v>
      </c>
      <c r="H9" s="20">
        <v>3</v>
      </c>
      <c r="I9" s="8">
        <v>3</v>
      </c>
      <c r="J9" s="9">
        <v>5</v>
      </c>
      <c r="K9" s="38">
        <f>((I9*$A$9)+H9)-J9</f>
        <v>4</v>
      </c>
      <c r="L9" s="25"/>
      <c r="M9" s="9">
        <v>1</v>
      </c>
      <c r="N9" s="31">
        <f>((L9*$A$9)+J9)-M9</f>
        <v>4</v>
      </c>
      <c r="O9" s="8">
        <v>4</v>
      </c>
      <c r="P9" s="9">
        <v>3</v>
      </c>
      <c r="Q9" s="38">
        <f>((O9*$A$9)+M9)-P9</f>
        <v>6</v>
      </c>
      <c r="R9" s="8">
        <v>1</v>
      </c>
      <c r="S9" s="9">
        <v>3</v>
      </c>
      <c r="T9" s="31">
        <f>((R9*$A$9)+P9)-S9</f>
        <v>2</v>
      </c>
      <c r="U9" s="8">
        <v>5</v>
      </c>
      <c r="V9" s="9">
        <v>7</v>
      </c>
      <c r="W9" s="38">
        <f>((U9*$A$9)+S9)-V9</f>
        <v>6</v>
      </c>
      <c r="X9" s="8"/>
      <c r="Y9" s="9">
        <v>5.0999999999999996</v>
      </c>
      <c r="Z9" s="31">
        <f>((X9*$A$9)+V9)-Y9</f>
        <v>1.9000000000000004</v>
      </c>
      <c r="AA9" s="25"/>
      <c r="AC9" s="32">
        <f t="shared" si="0"/>
        <v>3.0283333333333329</v>
      </c>
      <c r="AD9" s="4">
        <v>4</v>
      </c>
      <c r="AE9" s="32"/>
      <c r="AF9" s="32">
        <f t="shared" si="1"/>
        <v>6.1333333333333329</v>
      </c>
      <c r="AG9" s="4">
        <v>8</v>
      </c>
      <c r="AH9" s="32"/>
      <c r="AI9" s="32"/>
      <c r="AJ9" s="32"/>
    </row>
    <row r="10" spans="1:36" ht="14.25" customHeight="1" x14ac:dyDescent="0.2">
      <c r="A10" s="13">
        <v>8</v>
      </c>
      <c r="B10" s="14" t="s">
        <v>55</v>
      </c>
      <c r="C10" s="16">
        <v>2</v>
      </c>
      <c r="D10" s="15" t="s">
        <v>54</v>
      </c>
      <c r="E10" s="7" t="s">
        <v>51</v>
      </c>
      <c r="F10" s="8">
        <v>194261</v>
      </c>
      <c r="G10" s="5" t="s">
        <v>53</v>
      </c>
      <c r="H10" s="20">
        <v>5</v>
      </c>
      <c r="I10" s="8">
        <v>1</v>
      </c>
      <c r="J10" s="9">
        <v>5</v>
      </c>
      <c r="K10" s="38">
        <f>((I10*$A$10)+H10)-J10</f>
        <v>8</v>
      </c>
      <c r="L10" s="25"/>
      <c r="M10" s="9">
        <v>3</v>
      </c>
      <c r="N10" s="31">
        <f>((L10*$A$10)+J10)-M10</f>
        <v>2</v>
      </c>
      <c r="O10" s="8">
        <v>1</v>
      </c>
      <c r="P10" s="9">
        <v>3</v>
      </c>
      <c r="Q10" s="38">
        <f>((O10*$A$10)+M10)-P10</f>
        <v>8</v>
      </c>
      <c r="R10" s="8">
        <v>1</v>
      </c>
      <c r="S10" s="9">
        <v>8</v>
      </c>
      <c r="T10" s="31">
        <f>((R10*$A$10)+P10)-S10</f>
        <v>3</v>
      </c>
      <c r="U10" s="8"/>
      <c r="V10" s="9">
        <v>3</v>
      </c>
      <c r="W10" s="38">
        <f>((U10*$A$10)+S10)-V10</f>
        <v>5</v>
      </c>
      <c r="X10" s="8">
        <v>1</v>
      </c>
      <c r="Y10" s="9">
        <v>9</v>
      </c>
      <c r="Z10" s="31">
        <f>((X10*$A$10)+V10)-Y10</f>
        <v>2</v>
      </c>
      <c r="AA10" s="25"/>
      <c r="AC10" s="32">
        <f t="shared" si="0"/>
        <v>2.6833333333333331</v>
      </c>
      <c r="AD10" s="4">
        <v>4</v>
      </c>
      <c r="AE10" s="32"/>
      <c r="AF10" s="32">
        <f t="shared" si="1"/>
        <v>8.0499999999999989</v>
      </c>
      <c r="AG10" s="4">
        <v>10</v>
      </c>
      <c r="AH10" s="32"/>
      <c r="AI10" s="32"/>
      <c r="AJ10" s="32"/>
    </row>
    <row r="11" spans="1:36" ht="14.25" customHeight="1" x14ac:dyDescent="0.2">
      <c r="A11" s="13">
        <v>1</v>
      </c>
      <c r="B11" s="14" t="s">
        <v>55</v>
      </c>
      <c r="C11" s="16">
        <v>25</v>
      </c>
      <c r="D11" s="15" t="s">
        <v>54</v>
      </c>
      <c r="E11" s="7" t="s">
        <v>30</v>
      </c>
      <c r="F11" s="8">
        <v>878064</v>
      </c>
      <c r="G11" s="5" t="s">
        <v>3</v>
      </c>
      <c r="H11" s="20">
        <v>1</v>
      </c>
      <c r="I11" s="8">
        <v>2</v>
      </c>
      <c r="J11" s="9">
        <v>2</v>
      </c>
      <c r="K11" s="38">
        <f>(H11+I11)-J11</f>
        <v>1</v>
      </c>
      <c r="L11" s="25"/>
      <c r="M11" s="9">
        <v>1.2</v>
      </c>
      <c r="N11" s="31">
        <f>(J11+L11)-M11</f>
        <v>0.8</v>
      </c>
      <c r="O11" s="8">
        <v>2</v>
      </c>
      <c r="P11" s="9">
        <v>1.5</v>
      </c>
      <c r="Q11" s="38">
        <f>(M11+O11)-P11</f>
        <v>1.7000000000000002</v>
      </c>
      <c r="R11" s="8">
        <v>1</v>
      </c>
      <c r="S11" s="9">
        <v>1.5</v>
      </c>
      <c r="T11" s="31">
        <f>(P11+R11)-S11</f>
        <v>1</v>
      </c>
      <c r="U11" s="8">
        <v>3</v>
      </c>
      <c r="V11" s="9">
        <v>1.1000000000000001</v>
      </c>
      <c r="W11" s="38">
        <f>(S11+U11)-V11</f>
        <v>3.4</v>
      </c>
      <c r="X11" s="8">
        <v>1</v>
      </c>
      <c r="Y11" s="9">
        <v>1.7</v>
      </c>
      <c r="Z11" s="31">
        <f>(V11+X11)-Y11</f>
        <v>0.40000000000000013</v>
      </c>
      <c r="AA11" s="25"/>
      <c r="AC11" s="32">
        <f t="shared" si="0"/>
        <v>0.84333333333333338</v>
      </c>
      <c r="AD11" s="4">
        <v>2</v>
      </c>
      <c r="AE11" s="32"/>
      <c r="AF11" s="32">
        <f t="shared" si="1"/>
        <v>2.3383333333333329</v>
      </c>
      <c r="AG11" s="4">
        <v>2.5</v>
      </c>
      <c r="AH11" s="32"/>
      <c r="AI11" s="32"/>
      <c r="AJ11" s="32"/>
    </row>
    <row r="12" spans="1:36" ht="14.25" customHeight="1" x14ac:dyDescent="0.2">
      <c r="A12" s="13">
        <v>4</v>
      </c>
      <c r="B12" s="14" t="s">
        <v>55</v>
      </c>
      <c r="C12" s="16">
        <v>48</v>
      </c>
      <c r="D12" s="15" t="s">
        <v>57</v>
      </c>
      <c r="E12" s="7" t="s">
        <v>27</v>
      </c>
      <c r="F12" s="8">
        <v>493862</v>
      </c>
      <c r="G12" s="5" t="s">
        <v>53</v>
      </c>
      <c r="H12" s="20">
        <v>5</v>
      </c>
      <c r="I12" s="8"/>
      <c r="J12" s="9">
        <v>1.1000000000000001</v>
      </c>
      <c r="K12" s="38">
        <f>((I12*$A$12)+H12)-J12</f>
        <v>3.9</v>
      </c>
      <c r="L12" s="25"/>
      <c r="M12" s="9">
        <v>1.1000000000000001</v>
      </c>
      <c r="N12" s="31">
        <f>((L12*$A$12)+J12)-M12</f>
        <v>0</v>
      </c>
      <c r="O12" s="8">
        <v>1</v>
      </c>
      <c r="P12" s="9">
        <v>4.5</v>
      </c>
      <c r="Q12" s="38">
        <f>((O12*$A$12)+M12)-P12</f>
        <v>0.59999999999999964</v>
      </c>
      <c r="R12" s="8">
        <v>0</v>
      </c>
      <c r="S12" s="9">
        <v>4</v>
      </c>
      <c r="T12" s="31">
        <f>((R12*$A$12)+P12)-S12</f>
        <v>0.5</v>
      </c>
      <c r="U12" s="8"/>
      <c r="V12" s="9">
        <v>1.1000000000000001</v>
      </c>
      <c r="W12" s="38">
        <f>((U12*$A$12)+S12)-V12</f>
        <v>2.9</v>
      </c>
      <c r="X12" s="8">
        <v>1</v>
      </c>
      <c r="Y12" s="9">
        <v>4</v>
      </c>
      <c r="Z12" s="31">
        <f>((X12*$A$12)+V12)-Y12</f>
        <v>1.0999999999999996</v>
      </c>
      <c r="AA12" s="25"/>
      <c r="AC12" s="32">
        <f t="shared" si="0"/>
        <v>0.61333333333333317</v>
      </c>
      <c r="AD12" s="4">
        <v>2</v>
      </c>
      <c r="AE12" s="32"/>
      <c r="AF12" s="32">
        <f t="shared" si="1"/>
        <v>2.836666666666666</v>
      </c>
      <c r="AG12" s="4">
        <v>4</v>
      </c>
      <c r="AH12" s="32"/>
      <c r="AI12" s="32"/>
      <c r="AJ12" s="32"/>
    </row>
    <row r="13" spans="1:36" ht="14.25" customHeight="1" x14ac:dyDescent="0.2">
      <c r="A13" s="13">
        <v>6</v>
      </c>
      <c r="B13" s="14" t="s">
        <v>55</v>
      </c>
      <c r="C13" s="16" t="s">
        <v>56</v>
      </c>
      <c r="D13" s="15" t="s">
        <v>23</v>
      </c>
      <c r="E13" s="7" t="s">
        <v>10</v>
      </c>
      <c r="F13" s="8">
        <v>878209</v>
      </c>
      <c r="G13" s="5" t="s">
        <v>53</v>
      </c>
      <c r="H13" s="20">
        <v>17</v>
      </c>
      <c r="I13" s="8">
        <v>6</v>
      </c>
      <c r="J13" s="9">
        <v>22</v>
      </c>
      <c r="K13" s="38">
        <f>((I13*$A$13)+H13)-J13</f>
        <v>31</v>
      </c>
      <c r="L13" s="25">
        <v>1</v>
      </c>
      <c r="M13" s="9">
        <v>4</v>
      </c>
      <c r="N13" s="31">
        <f>((L13*$A$13)+J13)-M13</f>
        <v>24</v>
      </c>
      <c r="O13" s="8">
        <v>8</v>
      </c>
      <c r="P13" s="9">
        <v>11</v>
      </c>
      <c r="Q13" s="38">
        <f>((O13*$A$13)+M13)-P13</f>
        <v>41</v>
      </c>
      <c r="R13" s="8">
        <v>3</v>
      </c>
      <c r="S13" s="9">
        <v>18</v>
      </c>
      <c r="T13" s="31">
        <f>((R13*$A$13)+P13)-S13</f>
        <v>11</v>
      </c>
      <c r="U13" s="8">
        <v>6</v>
      </c>
      <c r="V13" s="9">
        <v>20</v>
      </c>
      <c r="W13" s="38">
        <f>((U13*$A$13)+S13)-V13</f>
        <v>34</v>
      </c>
      <c r="X13" s="8">
        <v>1</v>
      </c>
      <c r="Y13" s="9">
        <v>16</v>
      </c>
      <c r="Z13" s="31">
        <f>((X13*$A$13)+V13)-Y13</f>
        <v>10</v>
      </c>
      <c r="AA13" s="25"/>
      <c r="AC13" s="32">
        <f t="shared" si="0"/>
        <v>17.25</v>
      </c>
      <c r="AD13" s="4">
        <v>18</v>
      </c>
      <c r="AE13" s="32"/>
      <c r="AF13" s="32">
        <f t="shared" si="1"/>
        <v>40.633333333333333</v>
      </c>
      <c r="AG13" s="4">
        <v>48</v>
      </c>
      <c r="AH13" s="32"/>
      <c r="AI13" s="32"/>
      <c r="AJ13" s="32"/>
    </row>
    <row r="14" spans="1:36" ht="14.25" customHeight="1" x14ac:dyDescent="0.2">
      <c r="A14" s="13">
        <v>6</v>
      </c>
      <c r="B14" s="14" t="s">
        <v>55</v>
      </c>
      <c r="C14" s="16" t="s">
        <v>56</v>
      </c>
      <c r="D14" s="15" t="s">
        <v>23</v>
      </c>
      <c r="E14" s="7" t="s">
        <v>9</v>
      </c>
      <c r="F14" s="8">
        <v>61807</v>
      </c>
      <c r="G14" s="5" t="s">
        <v>53</v>
      </c>
      <c r="H14" s="20">
        <v>29</v>
      </c>
      <c r="I14" s="8"/>
      <c r="J14" s="9">
        <v>10</v>
      </c>
      <c r="K14" s="38">
        <f>((I14*$A$14)+H14)-J14</f>
        <v>19</v>
      </c>
      <c r="L14" s="25">
        <v>2</v>
      </c>
      <c r="M14" s="9">
        <v>22</v>
      </c>
      <c r="N14" s="31">
        <f>((L14*$A$14)+J14)-M14</f>
        <v>0</v>
      </c>
      <c r="O14" s="8">
        <v>0</v>
      </c>
      <c r="P14" s="9">
        <v>5</v>
      </c>
      <c r="Q14" s="38">
        <f>((O14*$A$14)+M14)-P14</f>
        <v>17</v>
      </c>
      <c r="R14" s="8">
        <v>5</v>
      </c>
      <c r="S14" s="9">
        <v>27</v>
      </c>
      <c r="T14" s="31">
        <f>((R14*$A$14)+P14)-S14</f>
        <v>8</v>
      </c>
      <c r="U14" s="8"/>
      <c r="V14" s="9">
        <v>14</v>
      </c>
      <c r="W14" s="38">
        <f>((U14*$A$14)+S14)-V14</f>
        <v>13</v>
      </c>
      <c r="X14" s="8">
        <v>1</v>
      </c>
      <c r="Y14" s="9">
        <v>15</v>
      </c>
      <c r="Z14" s="31">
        <f>((X14*$A$14)+V14)-Y14</f>
        <v>5</v>
      </c>
      <c r="AA14" s="25"/>
      <c r="AC14" s="32">
        <f t="shared" si="0"/>
        <v>4.9833333333333325</v>
      </c>
      <c r="AD14" s="4">
        <v>12</v>
      </c>
      <c r="AE14" s="32"/>
      <c r="AF14" s="32">
        <f t="shared" si="1"/>
        <v>18.783333333333331</v>
      </c>
      <c r="AG14" s="4">
        <v>24</v>
      </c>
      <c r="AH14" s="32"/>
      <c r="AI14" s="32"/>
      <c r="AJ14" s="32"/>
    </row>
    <row r="15" spans="1:36" ht="14.25" customHeight="1" x14ac:dyDescent="0.2">
      <c r="A15" s="13">
        <v>1</v>
      </c>
      <c r="B15" s="14" t="s">
        <v>55</v>
      </c>
      <c r="C15" s="16">
        <v>25</v>
      </c>
      <c r="D15" s="15" t="s">
        <v>54</v>
      </c>
      <c r="E15" s="7" t="s">
        <v>6</v>
      </c>
      <c r="F15" s="8">
        <v>739329</v>
      </c>
      <c r="G15" s="5" t="s">
        <v>18</v>
      </c>
      <c r="H15" s="20">
        <v>3</v>
      </c>
      <c r="I15" s="8">
        <v>1</v>
      </c>
      <c r="J15" s="9">
        <v>2</v>
      </c>
      <c r="K15" s="38">
        <f>((I15*A15)+H15)-J15</f>
        <v>2</v>
      </c>
      <c r="L15" s="25">
        <v>1</v>
      </c>
      <c r="M15" s="9">
        <v>2</v>
      </c>
      <c r="N15" s="31">
        <f>(J15+L15)-M15</f>
        <v>1</v>
      </c>
      <c r="O15" s="8">
        <v>2</v>
      </c>
      <c r="P15" s="9">
        <v>1.1000000000000001</v>
      </c>
      <c r="Q15" s="38">
        <f>(M15+O15)-P15</f>
        <v>2.9</v>
      </c>
      <c r="R15" s="8">
        <v>2</v>
      </c>
      <c r="S15" s="9">
        <v>2.2000000000000002</v>
      </c>
      <c r="T15" s="31">
        <f>(P15+R15)-S15</f>
        <v>0.89999999999999991</v>
      </c>
      <c r="U15" s="8">
        <v>3</v>
      </c>
      <c r="V15" s="9">
        <v>2.5</v>
      </c>
      <c r="W15" s="38">
        <f>(S15+U15)-V15</f>
        <v>2.7</v>
      </c>
      <c r="X15" s="8"/>
      <c r="Y15" s="9">
        <v>1.2</v>
      </c>
      <c r="Z15" s="31">
        <f>(V15+X15)-Y15</f>
        <v>1.3</v>
      </c>
      <c r="AA15" s="25"/>
      <c r="AC15" s="32">
        <f t="shared" si="0"/>
        <v>1.2266666666666666</v>
      </c>
      <c r="AD15" s="4">
        <v>3</v>
      </c>
      <c r="AE15" s="32"/>
      <c r="AF15" s="32">
        <f t="shared" si="1"/>
        <v>2.9133333333333331</v>
      </c>
      <c r="AG15" s="4">
        <v>4</v>
      </c>
      <c r="AH15" s="32"/>
      <c r="AI15" s="32"/>
      <c r="AJ15" s="32"/>
    </row>
    <row r="16" spans="1:36" ht="14.25" customHeight="1" x14ac:dyDescent="0.2">
      <c r="A16" s="13">
        <v>1</v>
      </c>
      <c r="B16" s="14" t="s">
        <v>55</v>
      </c>
      <c r="C16" s="16">
        <v>35</v>
      </c>
      <c r="D16" s="15" t="s">
        <v>54</v>
      </c>
      <c r="E16" s="7" t="s">
        <v>7</v>
      </c>
      <c r="F16" s="8">
        <v>124329</v>
      </c>
      <c r="G16" s="5" t="s">
        <v>8</v>
      </c>
      <c r="H16" s="20">
        <v>5</v>
      </c>
      <c r="I16" s="8">
        <v>7</v>
      </c>
      <c r="J16" s="9">
        <v>3</v>
      </c>
      <c r="K16" s="38">
        <f>((I16*A16)+H16)-J16</f>
        <v>9</v>
      </c>
      <c r="L16" s="25"/>
      <c r="M16" s="9">
        <v>2.1</v>
      </c>
      <c r="N16" s="31">
        <f>(J16+L16)-M16</f>
        <v>0.89999999999999991</v>
      </c>
      <c r="O16" s="8">
        <v>10</v>
      </c>
      <c r="P16" s="9">
        <v>3.3</v>
      </c>
      <c r="Q16" s="38">
        <f>(M16+O16)-P16</f>
        <v>8.8000000000000007</v>
      </c>
      <c r="R16" s="8">
        <v>9</v>
      </c>
      <c r="S16" s="9">
        <v>11</v>
      </c>
      <c r="T16" s="31">
        <f>(P16+R16)-S16</f>
        <v>1.3000000000000007</v>
      </c>
      <c r="U16" s="8"/>
      <c r="V16" s="9">
        <v>2</v>
      </c>
      <c r="W16" s="38">
        <f>(S16+U16)-V16</f>
        <v>9</v>
      </c>
      <c r="X16" s="8">
        <v>1</v>
      </c>
      <c r="Y16" s="9">
        <v>2</v>
      </c>
      <c r="Z16" s="31">
        <f>(V16+X16)-Y16</f>
        <v>1</v>
      </c>
      <c r="AA16" s="25"/>
      <c r="AC16" s="32">
        <f t="shared" si="0"/>
        <v>1.2266666666666668</v>
      </c>
      <c r="AD16" s="4">
        <v>3</v>
      </c>
      <c r="AE16" s="32"/>
      <c r="AF16" s="32">
        <f t="shared" si="1"/>
        <v>10.273333333333333</v>
      </c>
      <c r="AG16" s="4">
        <v>10</v>
      </c>
      <c r="AH16" s="32"/>
      <c r="AI16" s="32"/>
      <c r="AJ16" s="32"/>
    </row>
    <row r="17" spans="1:36" ht="14.25" customHeight="1" x14ac:dyDescent="0.2">
      <c r="A17" s="13">
        <v>6</v>
      </c>
      <c r="B17" s="14" t="s">
        <v>55</v>
      </c>
      <c r="C17" s="16">
        <v>90</v>
      </c>
      <c r="D17" s="15" t="s">
        <v>53</v>
      </c>
      <c r="E17" s="7" t="s">
        <v>21</v>
      </c>
      <c r="F17" s="8">
        <v>349975</v>
      </c>
      <c r="G17" s="5" t="s">
        <v>18</v>
      </c>
      <c r="H17" s="20">
        <v>7</v>
      </c>
      <c r="I17" s="8"/>
      <c r="J17" s="9">
        <v>1</v>
      </c>
      <c r="K17" s="38">
        <f>((I17*A17)+$H$17)-J17</f>
        <v>6</v>
      </c>
      <c r="L17" s="25">
        <v>1</v>
      </c>
      <c r="M17" s="9">
        <v>6.1</v>
      </c>
      <c r="N17" s="31">
        <f>((L17*$A$17)+J17)-M17</f>
        <v>0.90000000000000036</v>
      </c>
      <c r="O17" s="8">
        <v>0</v>
      </c>
      <c r="P17" s="9">
        <v>0</v>
      </c>
      <c r="Q17" s="38">
        <f>((O17*$A$17)+M17)-P17</f>
        <v>6.1</v>
      </c>
      <c r="R17" s="8">
        <v>1</v>
      </c>
      <c r="S17" s="9">
        <v>5</v>
      </c>
      <c r="T17" s="31">
        <f>((R17*$A$17)+P17)-S17</f>
        <v>1</v>
      </c>
      <c r="U17" s="8">
        <v>1</v>
      </c>
      <c r="V17" s="9">
        <v>5</v>
      </c>
      <c r="W17" s="38">
        <f>((U17*$A$17)+S17)-V17</f>
        <v>6</v>
      </c>
      <c r="X17" s="8"/>
      <c r="Y17" s="9">
        <v>3.1</v>
      </c>
      <c r="Z17" s="31">
        <f>((X17*$A$17)+V17)-Y17</f>
        <v>1.9</v>
      </c>
      <c r="AA17" s="25"/>
      <c r="AC17" s="32">
        <f t="shared" si="0"/>
        <v>1.4566666666666668</v>
      </c>
      <c r="AD17" s="4">
        <v>3</v>
      </c>
      <c r="AE17" s="32"/>
      <c r="AF17" s="32">
        <f t="shared" si="1"/>
        <v>6.9383333333333335</v>
      </c>
      <c r="AG17" s="4">
        <v>8</v>
      </c>
      <c r="AH17" s="32"/>
      <c r="AI17" s="32"/>
      <c r="AJ17" s="32"/>
    </row>
    <row r="18" spans="1:36" ht="14.25" customHeight="1" x14ac:dyDescent="0.2">
      <c r="A18" s="13">
        <v>6</v>
      </c>
      <c r="B18" s="14" t="s">
        <v>55</v>
      </c>
      <c r="C18" s="16">
        <v>160</v>
      </c>
      <c r="D18" s="15" t="s">
        <v>53</v>
      </c>
      <c r="E18" s="7" t="s">
        <v>11</v>
      </c>
      <c r="F18" s="8">
        <v>5163</v>
      </c>
      <c r="G18" s="5" t="s">
        <v>18</v>
      </c>
      <c r="H18" s="20">
        <v>7</v>
      </c>
      <c r="I18" s="8"/>
      <c r="J18" s="9">
        <v>1</v>
      </c>
      <c r="K18" s="38">
        <f>((I18*$A$18)+H18)-J18</f>
        <v>6</v>
      </c>
      <c r="L18" s="25">
        <v>1</v>
      </c>
      <c r="M18" s="9">
        <v>6</v>
      </c>
      <c r="N18" s="31">
        <f>((L18*$A$18)+J18)-M18</f>
        <v>1</v>
      </c>
      <c r="O18" s="8">
        <v>0</v>
      </c>
      <c r="P18" s="9">
        <v>3</v>
      </c>
      <c r="Q18" s="38">
        <f>((O18*$A$18)+M18)-P18</f>
        <v>3</v>
      </c>
      <c r="R18" s="8">
        <v>1</v>
      </c>
      <c r="S18" s="9">
        <v>8</v>
      </c>
      <c r="T18" s="31">
        <f>((R18*$A$18)+P18)-S18</f>
        <v>1</v>
      </c>
      <c r="U18" s="8"/>
      <c r="V18" s="9">
        <v>5</v>
      </c>
      <c r="W18" s="38">
        <f>((U18*$A$18)+S18)-V18</f>
        <v>3</v>
      </c>
      <c r="X18" s="8"/>
      <c r="Y18" s="9">
        <v>4</v>
      </c>
      <c r="Z18" s="31">
        <f>((X18*$A$18)+V18)-Y18</f>
        <v>1</v>
      </c>
      <c r="AA18" s="25"/>
      <c r="AC18" s="32">
        <f t="shared" si="0"/>
        <v>1.1499999999999999</v>
      </c>
      <c r="AD18" s="4">
        <v>3</v>
      </c>
      <c r="AE18" s="32"/>
      <c r="AF18" s="32">
        <f t="shared" si="1"/>
        <v>4.5999999999999996</v>
      </c>
      <c r="AG18" s="4">
        <v>6</v>
      </c>
      <c r="AH18" s="32"/>
      <c r="AI18" s="32"/>
      <c r="AJ18" s="32"/>
    </row>
    <row r="19" spans="1:36" ht="14.25" customHeight="1" x14ac:dyDescent="0.2">
      <c r="A19" s="13">
        <v>6</v>
      </c>
      <c r="B19" s="14" t="s">
        <v>55</v>
      </c>
      <c r="C19" s="17">
        <v>40.5</v>
      </c>
      <c r="D19" s="15" t="s">
        <v>57</v>
      </c>
      <c r="E19" s="7" t="s">
        <v>25</v>
      </c>
      <c r="F19" s="8">
        <v>154944</v>
      </c>
      <c r="G19" s="5" t="s">
        <v>53</v>
      </c>
      <c r="H19" s="20">
        <v>13</v>
      </c>
      <c r="I19" s="8"/>
      <c r="J19" s="9">
        <v>9</v>
      </c>
      <c r="K19" s="38">
        <f>((I19*$A$19)+H19)-J19</f>
        <v>4</v>
      </c>
      <c r="L19" s="25"/>
      <c r="M19" s="9">
        <v>7</v>
      </c>
      <c r="N19" s="31">
        <f>((L19*$A$19)+J19)-M19</f>
        <v>2</v>
      </c>
      <c r="O19" s="8">
        <v>1</v>
      </c>
      <c r="P19" s="9">
        <v>5</v>
      </c>
      <c r="Q19" s="38">
        <f>((O19*$A$19)+M19)-P19</f>
        <v>8</v>
      </c>
      <c r="R19" s="8">
        <v>0</v>
      </c>
      <c r="S19" s="9">
        <v>4</v>
      </c>
      <c r="T19" s="31">
        <f>((R19*$A$19)+P19)-S19</f>
        <v>1</v>
      </c>
      <c r="U19" s="8">
        <v>1</v>
      </c>
      <c r="V19" s="9">
        <v>3.2</v>
      </c>
      <c r="W19" s="38">
        <f>((U19*$A$19)+S19)-V19</f>
        <v>6.8</v>
      </c>
      <c r="X19" s="8">
        <v>1</v>
      </c>
      <c r="Y19" s="9">
        <v>8</v>
      </c>
      <c r="Z19" s="31">
        <f>((X19*$A$19)+V19)-Y19</f>
        <v>1.1999999999999993</v>
      </c>
      <c r="AA19" s="25"/>
      <c r="AC19" s="32">
        <f t="shared" si="0"/>
        <v>1.6099999999999994</v>
      </c>
      <c r="AD19" s="4">
        <v>4</v>
      </c>
      <c r="AE19" s="32"/>
      <c r="AF19" s="32">
        <f t="shared" si="1"/>
        <v>7.2066666666666661</v>
      </c>
      <c r="AG19" s="4">
        <v>8</v>
      </c>
      <c r="AH19" s="32"/>
      <c r="AI19" s="32"/>
      <c r="AJ19" s="32"/>
    </row>
    <row r="20" spans="1:36" ht="14.25" customHeight="1" x14ac:dyDescent="0.2">
      <c r="A20" s="13">
        <v>12</v>
      </c>
      <c r="B20" s="14" t="s">
        <v>55</v>
      </c>
      <c r="C20" s="16">
        <v>32</v>
      </c>
      <c r="D20" s="15" t="s">
        <v>57</v>
      </c>
      <c r="E20" s="7" t="s">
        <v>65</v>
      </c>
      <c r="F20" s="8">
        <v>944432</v>
      </c>
      <c r="G20" s="5" t="s">
        <v>53</v>
      </c>
      <c r="H20" s="20">
        <v>13</v>
      </c>
      <c r="I20" s="8"/>
      <c r="J20" s="9">
        <v>7</v>
      </c>
      <c r="K20" s="38">
        <f>((I20*$A$20)+H20)-J20</f>
        <v>6</v>
      </c>
      <c r="L20" s="25"/>
      <c r="M20" s="9">
        <v>4.0999999999999996</v>
      </c>
      <c r="N20" s="31">
        <f>((L20*$A$20)+J20)-M20</f>
        <v>2.9000000000000004</v>
      </c>
      <c r="O20" s="8">
        <v>1</v>
      </c>
      <c r="P20" s="9">
        <v>10</v>
      </c>
      <c r="Q20" s="38">
        <f>((O20*$A$20)+M20)-P20</f>
        <v>6.1000000000000014</v>
      </c>
      <c r="R20" s="8">
        <v>0</v>
      </c>
      <c r="S20" s="9">
        <v>6.5</v>
      </c>
      <c r="T20" s="31">
        <f>((R20*$A$20)+P20)-S20</f>
        <v>3.5</v>
      </c>
      <c r="U20" s="8"/>
      <c r="V20" s="9">
        <v>5.3</v>
      </c>
      <c r="W20" s="38">
        <f>((U20*$A$20)+S20)-V20</f>
        <v>1.2000000000000002</v>
      </c>
      <c r="X20" s="8"/>
      <c r="Y20" s="9">
        <v>4.0999999999999996</v>
      </c>
      <c r="Z20" s="31">
        <f>((X20*$A$20)+V20)-Y20</f>
        <v>1.2000000000000002</v>
      </c>
      <c r="AA20" s="25"/>
      <c r="AC20" s="32">
        <f t="shared" si="0"/>
        <v>2.9133333333333336</v>
      </c>
      <c r="AD20" s="4">
        <v>6</v>
      </c>
      <c r="AE20" s="32"/>
      <c r="AF20" s="32">
        <f t="shared" si="1"/>
        <v>5.0983333333333336</v>
      </c>
      <c r="AG20" s="4">
        <v>10</v>
      </c>
      <c r="AH20" s="32"/>
      <c r="AI20" s="32"/>
      <c r="AJ20" s="32"/>
    </row>
    <row r="21" spans="1:36" ht="14.25" customHeight="1" x14ac:dyDescent="0.2">
      <c r="A21" s="13">
        <v>8</v>
      </c>
      <c r="B21" s="14" t="s">
        <v>55</v>
      </c>
      <c r="C21" s="16">
        <v>52</v>
      </c>
      <c r="D21" s="15" t="s">
        <v>57</v>
      </c>
      <c r="E21" s="7" t="s">
        <v>35</v>
      </c>
      <c r="F21" s="8">
        <v>346122</v>
      </c>
      <c r="G21" s="5" t="s">
        <v>53</v>
      </c>
      <c r="H21" s="20">
        <v>4</v>
      </c>
      <c r="I21" s="8">
        <v>1</v>
      </c>
      <c r="J21" s="9">
        <v>4</v>
      </c>
      <c r="K21" s="38">
        <f>((I21*$A$21)+H21)-J21</f>
        <v>8</v>
      </c>
      <c r="L21" s="25"/>
      <c r="M21" s="9">
        <v>3</v>
      </c>
      <c r="N21" s="31">
        <f>((L21*$A$21)+J21)-M21</f>
        <v>1</v>
      </c>
      <c r="O21" s="8">
        <v>1</v>
      </c>
      <c r="P21" s="9">
        <v>3</v>
      </c>
      <c r="Q21" s="38">
        <f>((O21*$A$21)+M21)-P21</f>
        <v>8</v>
      </c>
      <c r="R21" s="8">
        <v>1</v>
      </c>
      <c r="S21" s="9">
        <v>8</v>
      </c>
      <c r="T21" s="31">
        <f>((R21*$A$21)+P21)-S21</f>
        <v>3</v>
      </c>
      <c r="U21" s="8"/>
      <c r="V21" s="9">
        <v>2</v>
      </c>
      <c r="W21" s="38">
        <f>((U21*$A$21)+S21)-V21</f>
        <v>6</v>
      </c>
      <c r="X21" s="8">
        <v>1</v>
      </c>
      <c r="Y21" s="9">
        <v>9</v>
      </c>
      <c r="Z21" s="31">
        <f>((X21*$A$21)+V21)-Y21</f>
        <v>1</v>
      </c>
      <c r="AA21" s="25"/>
      <c r="AC21" s="32">
        <f t="shared" si="0"/>
        <v>1.9166666666666665</v>
      </c>
      <c r="AD21" s="4">
        <v>4</v>
      </c>
      <c r="AE21" s="32"/>
      <c r="AF21" s="32">
        <f t="shared" si="1"/>
        <v>8.4333333333333318</v>
      </c>
      <c r="AG21" s="4">
        <v>10</v>
      </c>
      <c r="AH21" s="32"/>
      <c r="AI21" s="32"/>
      <c r="AJ21" s="32"/>
    </row>
    <row r="22" spans="1:36" ht="14.25" customHeight="1" x14ac:dyDescent="0.2">
      <c r="A22" s="13">
        <v>24</v>
      </c>
      <c r="B22" s="14" t="s">
        <v>55</v>
      </c>
      <c r="C22" s="16">
        <v>8</v>
      </c>
      <c r="D22" s="15" t="s">
        <v>57</v>
      </c>
      <c r="E22" s="7" t="s">
        <v>12</v>
      </c>
      <c r="F22" s="8">
        <v>393766</v>
      </c>
      <c r="G22" s="5" t="s">
        <v>53</v>
      </c>
      <c r="H22" s="21">
        <v>35</v>
      </c>
      <c r="I22" s="8"/>
      <c r="J22" s="18">
        <v>30</v>
      </c>
      <c r="K22" s="38">
        <f>((I22*$A$22)+H22)-J22</f>
        <v>5</v>
      </c>
      <c r="L22" s="25"/>
      <c r="M22" s="18">
        <v>30</v>
      </c>
      <c r="N22" s="31">
        <f>((L22*$A$22)+J22)-M22</f>
        <v>0</v>
      </c>
      <c r="O22" s="8">
        <v>0</v>
      </c>
      <c r="P22" s="18">
        <v>28</v>
      </c>
      <c r="Q22" s="38">
        <f>((O22*$A$22)+M22)-P22</f>
        <v>2</v>
      </c>
      <c r="R22" s="8">
        <v>0</v>
      </c>
      <c r="S22" s="18">
        <v>27</v>
      </c>
      <c r="T22" s="31">
        <f>((R22*$A$22)+P22)-S22</f>
        <v>1</v>
      </c>
      <c r="U22" s="8"/>
      <c r="V22" s="18">
        <v>19</v>
      </c>
      <c r="W22" s="38">
        <f>((U22*$A$22)+S22)-V22</f>
        <v>8</v>
      </c>
      <c r="X22" s="8"/>
      <c r="Y22" s="18">
        <v>16</v>
      </c>
      <c r="Z22" s="31">
        <f>((X22*$A$22)+V22)-Y22</f>
        <v>3</v>
      </c>
      <c r="AA22" s="25"/>
      <c r="AC22" s="32">
        <f t="shared" si="0"/>
        <v>1.5333333333333332</v>
      </c>
      <c r="AD22" s="4">
        <v>5</v>
      </c>
      <c r="AE22" s="32"/>
      <c r="AF22" s="32">
        <f t="shared" si="1"/>
        <v>5.75</v>
      </c>
      <c r="AG22" s="4">
        <v>8</v>
      </c>
      <c r="AH22" s="32"/>
      <c r="AI22" s="32"/>
      <c r="AJ22" s="32"/>
    </row>
    <row r="23" spans="1:36" ht="14.25" customHeight="1" x14ac:dyDescent="0.2">
      <c r="A23" s="13">
        <v>24</v>
      </c>
      <c r="B23" s="14" t="s">
        <v>55</v>
      </c>
      <c r="C23" s="16">
        <v>8</v>
      </c>
      <c r="D23" s="15" t="s">
        <v>57</v>
      </c>
      <c r="E23" s="7" t="s">
        <v>13</v>
      </c>
      <c r="F23" s="8">
        <v>393776</v>
      </c>
      <c r="G23" s="5" t="s">
        <v>53</v>
      </c>
      <c r="H23" s="21">
        <v>30</v>
      </c>
      <c r="I23" s="8"/>
      <c r="J23" s="18">
        <v>27</v>
      </c>
      <c r="K23" s="38">
        <f>((I23*$A$23)+H23)-J23</f>
        <v>3</v>
      </c>
      <c r="L23" s="25"/>
      <c r="M23" s="18">
        <v>27</v>
      </c>
      <c r="N23" s="31">
        <f>((L23*$A$23)+J23)-M23</f>
        <v>0</v>
      </c>
      <c r="O23" s="8">
        <v>0</v>
      </c>
      <c r="P23" s="18">
        <v>21</v>
      </c>
      <c r="Q23" s="38">
        <f>((O23*$A$23)+M23)-P23</f>
        <v>6</v>
      </c>
      <c r="R23" s="8">
        <v>0</v>
      </c>
      <c r="S23" s="18">
        <v>18</v>
      </c>
      <c r="T23" s="31">
        <f>((R23*$A$23)+P23)-S23</f>
        <v>3</v>
      </c>
      <c r="U23" s="8"/>
      <c r="V23" s="18">
        <v>14</v>
      </c>
      <c r="W23" s="38">
        <f>((U23*$A$23)+S23)-V23</f>
        <v>4</v>
      </c>
      <c r="X23" s="8"/>
      <c r="Y23" s="18">
        <v>10</v>
      </c>
      <c r="Z23" s="31">
        <f>((X23*$A$23)+V23)-Y23</f>
        <v>4</v>
      </c>
      <c r="AA23" s="25"/>
      <c r="AC23" s="32">
        <f t="shared" si="0"/>
        <v>2.6833333333333331</v>
      </c>
      <c r="AD23" s="4">
        <v>5</v>
      </c>
      <c r="AE23" s="32"/>
      <c r="AF23" s="32">
        <f t="shared" si="1"/>
        <v>4.9833333333333325</v>
      </c>
      <c r="AG23" s="4">
        <v>8</v>
      </c>
      <c r="AH23" s="32"/>
      <c r="AI23" s="32"/>
      <c r="AJ23" s="32"/>
    </row>
    <row r="24" spans="1:36" ht="14.25" customHeight="1" x14ac:dyDescent="0.2">
      <c r="A24" s="13">
        <v>1</v>
      </c>
      <c r="B24" s="14" t="s">
        <v>55</v>
      </c>
      <c r="C24" s="16">
        <v>180</v>
      </c>
      <c r="D24" s="15" t="s">
        <v>53</v>
      </c>
      <c r="E24" s="7" t="s">
        <v>46</v>
      </c>
      <c r="F24" s="8">
        <v>58974</v>
      </c>
      <c r="G24" s="5" t="s">
        <v>3</v>
      </c>
      <c r="H24" s="20">
        <v>0.3</v>
      </c>
      <c r="I24" s="8">
        <v>1</v>
      </c>
      <c r="J24" s="9">
        <v>0.4</v>
      </c>
      <c r="K24" s="38">
        <f>(H24+I24)-J24</f>
        <v>0.9</v>
      </c>
      <c r="L24" s="25"/>
      <c r="M24" s="9">
        <v>0.5</v>
      </c>
      <c r="N24" s="31">
        <f>(J24+L24)-M24</f>
        <v>-9.9999999999999978E-2</v>
      </c>
      <c r="O24" s="8">
        <v>1</v>
      </c>
      <c r="P24" s="9">
        <v>0.1</v>
      </c>
      <c r="Q24" s="38">
        <f>(M24+O24)-P24</f>
        <v>1.4</v>
      </c>
      <c r="R24" s="8">
        <v>1</v>
      </c>
      <c r="S24" s="9">
        <v>1</v>
      </c>
      <c r="T24" s="31">
        <f>(P24+R24)-S24</f>
        <v>0.10000000000000009</v>
      </c>
      <c r="U24" s="8"/>
      <c r="V24" s="9">
        <v>0.1</v>
      </c>
      <c r="W24" s="38">
        <f>(S24+U24)-V24</f>
        <v>0.9</v>
      </c>
      <c r="X24" s="8">
        <v>1</v>
      </c>
      <c r="Y24" s="9">
        <v>0.2</v>
      </c>
      <c r="Z24" s="31">
        <f>(V24+X24)-Y24</f>
        <v>0.90000000000000013</v>
      </c>
      <c r="AA24" s="25"/>
      <c r="AC24" s="32">
        <f t="shared" si="0"/>
        <v>0.34500000000000008</v>
      </c>
      <c r="AD24" s="4">
        <v>0.2</v>
      </c>
      <c r="AE24" s="32"/>
      <c r="AF24" s="32">
        <f t="shared" si="1"/>
        <v>1.2266666666666666</v>
      </c>
      <c r="AG24" s="4">
        <v>1</v>
      </c>
      <c r="AH24" s="32"/>
      <c r="AI24" s="32"/>
      <c r="AJ24" s="32"/>
    </row>
    <row r="25" spans="1:36" ht="14.25" customHeight="1" x14ac:dyDescent="0.2">
      <c r="A25" s="13">
        <v>1</v>
      </c>
      <c r="B25" s="14" t="s">
        <v>55</v>
      </c>
      <c r="C25" s="16">
        <v>180</v>
      </c>
      <c r="D25" s="15" t="s">
        <v>53</v>
      </c>
      <c r="E25" s="7" t="s">
        <v>47</v>
      </c>
      <c r="F25" s="8">
        <v>58973</v>
      </c>
      <c r="G25" s="5" t="s">
        <v>3</v>
      </c>
      <c r="H25" s="20">
        <v>0.3</v>
      </c>
      <c r="I25" s="8">
        <v>1</v>
      </c>
      <c r="J25" s="9">
        <v>0.4</v>
      </c>
      <c r="K25" s="38">
        <f>(H25+I25)-J25</f>
        <v>0.9</v>
      </c>
      <c r="L25" s="25"/>
      <c r="M25" s="9">
        <v>1</v>
      </c>
      <c r="N25" s="31">
        <f>(J25+L25)-M25</f>
        <v>-0.6</v>
      </c>
      <c r="O25" s="8">
        <v>0</v>
      </c>
      <c r="P25" s="9">
        <v>0.1</v>
      </c>
      <c r="Q25" s="38">
        <f>(M25+O25)-P25</f>
        <v>0.9</v>
      </c>
      <c r="R25" s="8">
        <v>1</v>
      </c>
      <c r="S25" s="9">
        <v>1.1000000000000001</v>
      </c>
      <c r="T25" s="31">
        <f>(P25+R25)-S25</f>
        <v>0</v>
      </c>
      <c r="U25" s="8"/>
      <c r="V25" s="9">
        <v>0.1</v>
      </c>
      <c r="W25" s="38">
        <f>(S25+U25)-V25</f>
        <v>1</v>
      </c>
      <c r="X25" s="8">
        <v>1</v>
      </c>
      <c r="Y25" s="9">
        <v>1.1000000000000001</v>
      </c>
      <c r="Z25" s="31">
        <f>(V25+X25)-Y25</f>
        <v>0</v>
      </c>
      <c r="AA25" s="25"/>
      <c r="AC25" s="32">
        <f t="shared" si="0"/>
        <v>-0.22999999999999995</v>
      </c>
      <c r="AD25" s="4">
        <v>0.2</v>
      </c>
      <c r="AE25" s="32"/>
      <c r="AF25" s="32">
        <f t="shared" si="1"/>
        <v>1.0733333333333333</v>
      </c>
      <c r="AG25" s="4">
        <v>1</v>
      </c>
      <c r="AH25" s="32"/>
      <c r="AI25" s="32"/>
      <c r="AJ25" s="32"/>
    </row>
    <row r="26" spans="1:36" ht="14.25" customHeight="1" x14ac:dyDescent="0.2">
      <c r="A26" s="13">
        <v>1</v>
      </c>
      <c r="B26" s="14" t="s">
        <v>55</v>
      </c>
      <c r="C26" s="16">
        <v>360</v>
      </c>
      <c r="D26" s="15" t="s">
        <v>53</v>
      </c>
      <c r="E26" s="7" t="s">
        <v>28</v>
      </c>
      <c r="F26" s="8">
        <v>981694</v>
      </c>
      <c r="G26" s="5" t="s">
        <v>3</v>
      </c>
      <c r="H26" s="20">
        <v>1.8</v>
      </c>
      <c r="I26" s="8">
        <v>2</v>
      </c>
      <c r="J26" s="9">
        <v>1.5</v>
      </c>
      <c r="K26" s="38">
        <f>(H26+I26)-J26</f>
        <v>2.2999999999999998</v>
      </c>
      <c r="L26" s="25"/>
      <c r="M26" s="9">
        <v>0.4</v>
      </c>
      <c r="N26" s="31">
        <f>(J26+L26)-M26</f>
        <v>1.1000000000000001</v>
      </c>
      <c r="O26" s="8">
        <v>3</v>
      </c>
      <c r="P26" s="9">
        <v>1.5</v>
      </c>
      <c r="Q26" s="38">
        <f>(M26+O26)-P26</f>
        <v>1.9</v>
      </c>
      <c r="R26" s="8">
        <v>0</v>
      </c>
      <c r="S26" s="9">
        <v>1.2</v>
      </c>
      <c r="T26" s="31">
        <f>(P26+R26)-S26</f>
        <v>0.30000000000000004</v>
      </c>
      <c r="U26" s="8">
        <v>2</v>
      </c>
      <c r="V26" s="9">
        <v>1.5</v>
      </c>
      <c r="W26" s="38">
        <f>(S26+U26)-V26</f>
        <v>1.7000000000000002</v>
      </c>
      <c r="X26" s="8"/>
      <c r="Y26" s="9">
        <v>0.1</v>
      </c>
      <c r="Z26" s="31">
        <f>(V26+X26)-Y26</f>
        <v>1.4</v>
      </c>
      <c r="AA26" s="25"/>
      <c r="AC26" s="32">
        <f t="shared" si="0"/>
        <v>1.0733333333333333</v>
      </c>
      <c r="AD26" s="4">
        <v>2</v>
      </c>
      <c r="AE26" s="32"/>
      <c r="AF26" s="32">
        <f t="shared" si="1"/>
        <v>2.2616666666666667</v>
      </c>
      <c r="AG26" s="4">
        <v>2.5</v>
      </c>
      <c r="AH26" s="32"/>
      <c r="AI26" s="32"/>
      <c r="AJ26" s="32"/>
    </row>
    <row r="27" spans="1:36" ht="14.25" customHeight="1" x14ac:dyDescent="0.2">
      <c r="A27" s="13">
        <v>6</v>
      </c>
      <c r="B27" s="14" t="s">
        <v>55</v>
      </c>
      <c r="C27" s="16">
        <v>30</v>
      </c>
      <c r="D27" s="15" t="s">
        <v>53</v>
      </c>
      <c r="E27" s="7" t="s">
        <v>62</v>
      </c>
      <c r="F27" s="8">
        <v>517889</v>
      </c>
      <c r="G27" s="5" t="s">
        <v>3</v>
      </c>
      <c r="H27" s="20">
        <v>1.2</v>
      </c>
      <c r="I27" s="8">
        <v>3</v>
      </c>
      <c r="J27" s="9">
        <v>2</v>
      </c>
      <c r="K27" s="38">
        <f>(H27+I27)-J27</f>
        <v>2.2000000000000002</v>
      </c>
      <c r="L27" s="25"/>
      <c r="M27" s="9">
        <v>1.1000000000000001</v>
      </c>
      <c r="N27" s="31">
        <f>(J27+L27)-M27</f>
        <v>0.89999999999999991</v>
      </c>
      <c r="O27" s="8">
        <v>3</v>
      </c>
      <c r="P27" s="9">
        <v>1.1000000000000001</v>
      </c>
      <c r="Q27" s="38">
        <f>(M27+O27)-P27</f>
        <v>2.9999999999999996</v>
      </c>
      <c r="R27" s="8">
        <v>1</v>
      </c>
      <c r="S27" s="9">
        <v>2</v>
      </c>
      <c r="T27" s="31">
        <f>(P27+R27)-S27</f>
        <v>0.10000000000000009</v>
      </c>
      <c r="U27" s="8">
        <v>2</v>
      </c>
      <c r="V27" s="9">
        <v>1.5</v>
      </c>
      <c r="W27" s="38">
        <f>(S27+U27)-V27</f>
        <v>2.5</v>
      </c>
      <c r="X27" s="8"/>
      <c r="Y27" s="9">
        <v>1.1000000000000001</v>
      </c>
      <c r="Z27" s="31">
        <f>(V27+X27)-Y27</f>
        <v>0.39999999999999991</v>
      </c>
      <c r="AA27" s="25"/>
      <c r="AC27" s="32">
        <f t="shared" si="0"/>
        <v>0.53666666666666663</v>
      </c>
      <c r="AD27" s="4">
        <v>1.5</v>
      </c>
      <c r="AE27" s="32"/>
      <c r="AF27" s="32">
        <f t="shared" si="1"/>
        <v>2.9516666666666667</v>
      </c>
      <c r="AG27" s="4">
        <v>4</v>
      </c>
      <c r="AH27" s="32"/>
      <c r="AI27" s="32"/>
      <c r="AJ27" s="32"/>
    </row>
    <row r="28" spans="1:36" ht="14.25" customHeight="1" x14ac:dyDescent="0.2">
      <c r="A28" s="13">
        <v>4</v>
      </c>
      <c r="B28" s="14" t="s">
        <v>55</v>
      </c>
      <c r="C28" s="16">
        <v>5</v>
      </c>
      <c r="D28" s="15" t="s">
        <v>54</v>
      </c>
      <c r="E28" s="7" t="s">
        <v>17</v>
      </c>
      <c r="F28" s="8">
        <v>75430</v>
      </c>
      <c r="G28" s="5" t="s">
        <v>53</v>
      </c>
      <c r="H28" s="20">
        <v>5</v>
      </c>
      <c r="I28" s="8">
        <v>1</v>
      </c>
      <c r="J28" s="9">
        <v>5</v>
      </c>
      <c r="K28" s="38">
        <f>((I28*$A$28)+H28)-J28</f>
        <v>4</v>
      </c>
      <c r="L28" s="25"/>
      <c r="M28" s="9">
        <v>3</v>
      </c>
      <c r="N28" s="31">
        <f>((L28*$A$28)+J28)-M28</f>
        <v>2</v>
      </c>
      <c r="O28" s="8">
        <v>2</v>
      </c>
      <c r="P28" s="9">
        <v>3</v>
      </c>
      <c r="Q28" s="38">
        <f>((O28*$A$28)+M28)-P28</f>
        <v>8</v>
      </c>
      <c r="R28" s="8">
        <v>1</v>
      </c>
      <c r="S28" s="9">
        <v>4.3</v>
      </c>
      <c r="T28" s="31">
        <f>((R28*$A$28)+P28)-S28</f>
        <v>2.7</v>
      </c>
      <c r="U28" s="8">
        <v>2</v>
      </c>
      <c r="V28" s="9">
        <v>5</v>
      </c>
      <c r="W28" s="38">
        <f>((U28*$A$28)+S28)-V28</f>
        <v>7.3000000000000007</v>
      </c>
      <c r="X28" s="8">
        <v>1</v>
      </c>
      <c r="Y28" s="9">
        <v>7</v>
      </c>
      <c r="Z28" s="31">
        <f>((X28*$A$28)+V28)-Y28</f>
        <v>2</v>
      </c>
      <c r="AA28" s="25"/>
      <c r="AC28" s="32">
        <f t="shared" si="0"/>
        <v>2.5683333333333334</v>
      </c>
      <c r="AD28" s="4">
        <v>5</v>
      </c>
      <c r="AE28" s="32"/>
      <c r="AF28" s="32">
        <f t="shared" si="1"/>
        <v>7.3983333333333334</v>
      </c>
      <c r="AG28" s="4">
        <v>10</v>
      </c>
      <c r="AH28" s="32"/>
      <c r="AI28" s="32"/>
      <c r="AJ28" s="32"/>
    </row>
    <row r="29" spans="1:36" ht="14.25" customHeight="1" x14ac:dyDescent="0.2">
      <c r="A29" s="13">
        <v>8</v>
      </c>
      <c r="B29" s="14" t="s">
        <v>55</v>
      </c>
      <c r="C29" s="16">
        <v>12</v>
      </c>
      <c r="D29" s="15" t="s">
        <v>53</v>
      </c>
      <c r="E29" s="7" t="s">
        <v>19</v>
      </c>
      <c r="F29" s="8">
        <v>485251</v>
      </c>
      <c r="G29" s="5" t="s">
        <v>18</v>
      </c>
      <c r="H29" s="20">
        <v>17</v>
      </c>
      <c r="I29" s="8"/>
      <c r="J29" s="9">
        <v>18</v>
      </c>
      <c r="K29" s="38">
        <f>((I29*$A$29)+H29)-J29</f>
        <v>-1</v>
      </c>
      <c r="L29" s="25"/>
      <c r="M29" s="9">
        <v>15</v>
      </c>
      <c r="N29" s="31">
        <f>((L29*$A$29)+J29)-M29</f>
        <v>3</v>
      </c>
      <c r="O29" s="8">
        <v>0</v>
      </c>
      <c r="P29" s="9">
        <v>13</v>
      </c>
      <c r="Q29" s="38">
        <f>((O29*$A$29)+M29)-P29</f>
        <v>2</v>
      </c>
      <c r="R29" s="8">
        <v>0</v>
      </c>
      <c r="S29" s="9">
        <v>13</v>
      </c>
      <c r="T29" s="31">
        <f>((R29*$A$29)+P29)-S29</f>
        <v>0</v>
      </c>
      <c r="U29" s="8"/>
      <c r="V29" s="9">
        <v>11</v>
      </c>
      <c r="W29" s="38">
        <f>((U29*$A$29)+S29)-V29</f>
        <v>2</v>
      </c>
      <c r="X29" s="8"/>
      <c r="Y29" s="9">
        <v>8</v>
      </c>
      <c r="Z29" s="31">
        <f>((X29*$A$29)+V29)-Y29</f>
        <v>3</v>
      </c>
      <c r="AA29" s="25"/>
      <c r="AC29" s="32">
        <f t="shared" si="0"/>
        <v>2.2999999999999998</v>
      </c>
      <c r="AD29" s="4">
        <v>5</v>
      </c>
      <c r="AE29" s="32"/>
      <c r="AF29" s="32">
        <f t="shared" si="1"/>
        <v>1.1499999999999999</v>
      </c>
      <c r="AG29" s="4">
        <v>4</v>
      </c>
      <c r="AH29" s="32"/>
      <c r="AI29" s="32"/>
      <c r="AJ29" s="32"/>
    </row>
    <row r="30" spans="1:36" ht="14.25" customHeight="1" x14ac:dyDescent="0.2">
      <c r="A30" s="13">
        <v>16</v>
      </c>
      <c r="B30" s="14" t="s">
        <v>55</v>
      </c>
      <c r="C30" s="16">
        <v>12</v>
      </c>
      <c r="D30" s="15" t="s">
        <v>53</v>
      </c>
      <c r="E30" s="7" t="s">
        <v>66</v>
      </c>
      <c r="F30" s="8">
        <v>641889</v>
      </c>
      <c r="G30" s="5" t="s">
        <v>3</v>
      </c>
      <c r="H30" s="20">
        <v>44</v>
      </c>
      <c r="I30" s="8">
        <v>6</v>
      </c>
      <c r="J30" s="9">
        <v>19</v>
      </c>
      <c r="K30" s="38">
        <f t="shared" ref="K30:K35" si="2">(H30+I30)-J30</f>
        <v>31</v>
      </c>
      <c r="L30" s="25">
        <v>6</v>
      </c>
      <c r="M30" s="9">
        <v>14</v>
      </c>
      <c r="N30" s="31">
        <f t="shared" ref="N30:N35" si="3">(J30+L30)-M30</f>
        <v>11</v>
      </c>
      <c r="O30" s="8">
        <v>36</v>
      </c>
      <c r="P30" s="9">
        <v>18</v>
      </c>
      <c r="Q30" s="38">
        <f t="shared" ref="Q30:Q35" si="4">(M30+O30)-P30</f>
        <v>32</v>
      </c>
      <c r="R30" s="8">
        <v>45</v>
      </c>
      <c r="S30" s="9">
        <v>51</v>
      </c>
      <c r="T30" s="31">
        <f t="shared" ref="T30:T35" si="5">(P30+R30)-S30</f>
        <v>12</v>
      </c>
      <c r="U30" s="8"/>
      <c r="V30" s="9">
        <v>15</v>
      </c>
      <c r="W30" s="38">
        <f t="shared" ref="W30:W35" si="6">(S30+U30)-V30</f>
        <v>36</v>
      </c>
      <c r="X30" s="8">
        <v>36</v>
      </c>
      <c r="Y30" s="9">
        <v>43</v>
      </c>
      <c r="Z30" s="31">
        <f t="shared" ref="Z30:Z35" si="7">(V30+X30)-Y30</f>
        <v>8</v>
      </c>
      <c r="AA30" s="25"/>
      <c r="AC30" s="32">
        <f t="shared" si="0"/>
        <v>11.883333333333333</v>
      </c>
      <c r="AD30" s="4">
        <v>36</v>
      </c>
      <c r="AE30" s="32"/>
      <c r="AF30" s="32">
        <f t="shared" si="1"/>
        <v>37.949999999999996</v>
      </c>
      <c r="AG30" s="4">
        <v>48</v>
      </c>
      <c r="AH30" s="32"/>
      <c r="AI30" s="32"/>
      <c r="AJ30" s="32"/>
    </row>
    <row r="31" spans="1:36" ht="14.25" customHeight="1" x14ac:dyDescent="0.2">
      <c r="A31" s="13">
        <v>12</v>
      </c>
      <c r="B31" s="14" t="s">
        <v>55</v>
      </c>
      <c r="C31" s="16">
        <v>24</v>
      </c>
      <c r="D31" s="15" t="s">
        <v>53</v>
      </c>
      <c r="E31" s="7" t="s">
        <v>20</v>
      </c>
      <c r="F31" s="8">
        <v>41167</v>
      </c>
      <c r="G31" s="5" t="s">
        <v>3</v>
      </c>
      <c r="H31" s="20">
        <v>7</v>
      </c>
      <c r="I31" s="8"/>
      <c r="J31" s="9">
        <v>4</v>
      </c>
      <c r="K31" s="38">
        <f t="shared" si="2"/>
        <v>3</v>
      </c>
      <c r="L31" s="25"/>
      <c r="M31" s="9">
        <v>3</v>
      </c>
      <c r="N31" s="31">
        <f t="shared" si="3"/>
        <v>1</v>
      </c>
      <c r="O31" s="8">
        <v>2</v>
      </c>
      <c r="P31" s="9">
        <v>2</v>
      </c>
      <c r="Q31" s="38">
        <f t="shared" si="4"/>
        <v>3</v>
      </c>
      <c r="R31" s="8">
        <v>4</v>
      </c>
      <c r="S31" s="9">
        <v>5</v>
      </c>
      <c r="T31" s="31">
        <f t="shared" si="5"/>
        <v>1</v>
      </c>
      <c r="U31" s="8">
        <v>2</v>
      </c>
      <c r="V31" s="9">
        <v>2.5</v>
      </c>
      <c r="W31" s="38">
        <f t="shared" si="6"/>
        <v>4.5</v>
      </c>
      <c r="X31" s="8">
        <v>1</v>
      </c>
      <c r="Y31" s="9">
        <v>2.2999999999999998</v>
      </c>
      <c r="Z31" s="31">
        <f t="shared" si="7"/>
        <v>1.2000000000000002</v>
      </c>
      <c r="AA31" s="25"/>
      <c r="AC31" s="32">
        <f t="shared" si="0"/>
        <v>1.2266666666666666</v>
      </c>
      <c r="AD31" s="4">
        <v>4</v>
      </c>
      <c r="AE31" s="32"/>
      <c r="AF31" s="32">
        <f t="shared" si="1"/>
        <v>4.0249999999999995</v>
      </c>
      <c r="AG31" s="4">
        <v>5</v>
      </c>
      <c r="AH31" s="32"/>
      <c r="AI31" s="32"/>
      <c r="AJ31" s="32"/>
    </row>
    <row r="32" spans="1:36" ht="14.25" customHeight="1" x14ac:dyDescent="0.2">
      <c r="A32" s="13">
        <v>1</v>
      </c>
      <c r="B32" s="14" t="s">
        <v>55</v>
      </c>
      <c r="C32" s="16">
        <v>32</v>
      </c>
      <c r="D32" s="15" t="s">
        <v>54</v>
      </c>
      <c r="E32" s="7" t="s">
        <v>63</v>
      </c>
      <c r="F32" s="8">
        <v>41164</v>
      </c>
      <c r="G32" s="5" t="s">
        <v>3</v>
      </c>
      <c r="H32" s="20">
        <v>10</v>
      </c>
      <c r="I32" s="8">
        <v>2</v>
      </c>
      <c r="J32" s="9">
        <v>4.0999999999999996</v>
      </c>
      <c r="K32" s="38">
        <f t="shared" si="2"/>
        <v>7.9</v>
      </c>
      <c r="L32" s="25">
        <v>2</v>
      </c>
      <c r="M32" s="9">
        <v>3.7</v>
      </c>
      <c r="N32" s="31">
        <f t="shared" si="3"/>
        <v>2.3999999999999995</v>
      </c>
      <c r="O32" s="8">
        <v>8</v>
      </c>
      <c r="P32" s="9">
        <v>4.5</v>
      </c>
      <c r="Q32" s="38">
        <f t="shared" si="4"/>
        <v>7.1999999999999993</v>
      </c>
      <c r="R32" s="8">
        <v>12</v>
      </c>
      <c r="S32" s="9">
        <v>15</v>
      </c>
      <c r="T32" s="31">
        <f t="shared" si="5"/>
        <v>1.5</v>
      </c>
      <c r="U32" s="8">
        <v>1</v>
      </c>
      <c r="V32" s="9">
        <v>9.3000000000000007</v>
      </c>
      <c r="W32" s="38">
        <f t="shared" si="6"/>
        <v>6.6999999999999993</v>
      </c>
      <c r="X32" s="8"/>
      <c r="Y32" s="9">
        <v>7.2</v>
      </c>
      <c r="Z32" s="31">
        <f t="shared" si="7"/>
        <v>2.1000000000000005</v>
      </c>
      <c r="AA32" s="25"/>
      <c r="AC32" s="32">
        <f t="shared" si="0"/>
        <v>2.2999999999999998</v>
      </c>
      <c r="AD32" s="4">
        <v>4</v>
      </c>
      <c r="AE32" s="32"/>
      <c r="AF32" s="32">
        <f t="shared" si="1"/>
        <v>8.3566666666666656</v>
      </c>
      <c r="AG32" s="4">
        <v>10</v>
      </c>
      <c r="AH32" s="32"/>
      <c r="AI32" s="32"/>
      <c r="AJ32" s="32"/>
    </row>
    <row r="33" spans="1:36" ht="14.25" customHeight="1" x14ac:dyDescent="0.2">
      <c r="A33" s="13">
        <v>1</v>
      </c>
      <c r="B33" s="14" t="s">
        <v>55</v>
      </c>
      <c r="C33" s="16">
        <v>2000</v>
      </c>
      <c r="D33" s="15" t="s">
        <v>53</v>
      </c>
      <c r="E33" s="7" t="s">
        <v>31</v>
      </c>
      <c r="F33" s="8">
        <v>413360</v>
      </c>
      <c r="G33" s="5" t="s">
        <v>3</v>
      </c>
      <c r="H33" s="20">
        <v>0.6</v>
      </c>
      <c r="I33" s="8"/>
      <c r="J33" s="9">
        <v>0.5</v>
      </c>
      <c r="K33" s="38">
        <f t="shared" si="2"/>
        <v>9.9999999999999978E-2</v>
      </c>
      <c r="L33" s="25"/>
      <c r="M33" s="9">
        <v>0.1</v>
      </c>
      <c r="N33" s="31">
        <f t="shared" si="3"/>
        <v>0.4</v>
      </c>
      <c r="O33" s="8">
        <v>1</v>
      </c>
      <c r="P33" s="9">
        <v>0.5</v>
      </c>
      <c r="Q33" s="38">
        <f t="shared" si="4"/>
        <v>0.60000000000000009</v>
      </c>
      <c r="R33" s="8">
        <v>0</v>
      </c>
      <c r="S33" s="9">
        <v>0.5</v>
      </c>
      <c r="T33" s="31">
        <f t="shared" si="5"/>
        <v>0</v>
      </c>
      <c r="U33" s="8"/>
      <c r="V33" s="9">
        <v>0.7</v>
      </c>
      <c r="W33" s="38">
        <f t="shared" si="6"/>
        <v>-0.19999999999999996</v>
      </c>
      <c r="X33" s="8"/>
      <c r="Y33" s="9">
        <v>0.4</v>
      </c>
      <c r="Z33" s="31">
        <f t="shared" si="7"/>
        <v>0.29999999999999993</v>
      </c>
      <c r="AA33" s="25"/>
      <c r="AC33" s="32">
        <f t="shared" si="0"/>
        <v>0.26833333333333331</v>
      </c>
      <c r="AD33" s="4">
        <v>0.2</v>
      </c>
      <c r="AE33" s="32"/>
      <c r="AF33" s="32">
        <f t="shared" si="1"/>
        <v>0.19166666666666671</v>
      </c>
      <c r="AG33" s="4">
        <v>0.5</v>
      </c>
      <c r="AH33" s="32"/>
      <c r="AI33" s="32"/>
      <c r="AJ33" s="32"/>
    </row>
    <row r="34" spans="1:36" ht="14.25" customHeight="1" x14ac:dyDescent="0.2">
      <c r="A34" s="13">
        <v>1</v>
      </c>
      <c r="B34" s="14" t="s">
        <v>55</v>
      </c>
      <c r="C34" s="16">
        <v>500</v>
      </c>
      <c r="D34" s="15" t="s">
        <v>53</v>
      </c>
      <c r="E34" s="7" t="s">
        <v>32</v>
      </c>
      <c r="F34" s="8">
        <v>194578</v>
      </c>
      <c r="G34" s="5" t="s">
        <v>3</v>
      </c>
      <c r="H34" s="20">
        <v>0.9</v>
      </c>
      <c r="I34" s="8"/>
      <c r="J34" s="9">
        <v>1.1000000000000001</v>
      </c>
      <c r="K34" s="38">
        <f t="shared" si="2"/>
        <v>-0.20000000000000007</v>
      </c>
      <c r="L34" s="25"/>
      <c r="M34" s="9">
        <v>1</v>
      </c>
      <c r="N34" s="31">
        <f t="shared" si="3"/>
        <v>0.10000000000000009</v>
      </c>
      <c r="O34" s="8">
        <v>0</v>
      </c>
      <c r="P34" s="9">
        <v>1</v>
      </c>
      <c r="Q34" s="38">
        <f t="shared" si="4"/>
        <v>0</v>
      </c>
      <c r="R34" s="8">
        <v>0</v>
      </c>
      <c r="S34" s="9">
        <v>0.7</v>
      </c>
      <c r="T34" s="31">
        <f t="shared" si="5"/>
        <v>0.30000000000000004</v>
      </c>
      <c r="U34" s="8"/>
      <c r="V34" s="9">
        <v>0.5</v>
      </c>
      <c r="W34" s="38">
        <f t="shared" si="6"/>
        <v>0.19999999999999996</v>
      </c>
      <c r="X34" s="8"/>
      <c r="Y34" s="9">
        <v>0.7</v>
      </c>
      <c r="Z34" s="31">
        <f t="shared" si="7"/>
        <v>-0.19999999999999996</v>
      </c>
      <c r="AA34" s="25"/>
      <c r="AC34" s="32">
        <f t="shared" si="0"/>
        <v>7.666666666666673E-2</v>
      </c>
      <c r="AD34" s="4">
        <v>0.2</v>
      </c>
      <c r="AE34" s="32"/>
      <c r="AF34" s="32">
        <f t="shared" si="1"/>
        <v>0</v>
      </c>
      <c r="AG34" s="4">
        <v>0.5</v>
      </c>
      <c r="AH34" s="32"/>
      <c r="AI34" s="32"/>
      <c r="AJ34" s="32"/>
    </row>
    <row r="35" spans="1:36" ht="14.25" customHeight="1" x14ac:dyDescent="0.2">
      <c r="A35" s="13">
        <v>1</v>
      </c>
      <c r="B35" s="14" t="s">
        <v>55</v>
      </c>
      <c r="C35" s="16">
        <v>200</v>
      </c>
      <c r="D35" s="15" t="s">
        <v>53</v>
      </c>
      <c r="E35" s="7" t="s">
        <v>52</v>
      </c>
      <c r="F35" s="8">
        <v>26460</v>
      </c>
      <c r="G35" s="5" t="s">
        <v>3</v>
      </c>
      <c r="H35" s="20">
        <v>0.1</v>
      </c>
      <c r="I35" s="8">
        <v>1</v>
      </c>
      <c r="J35" s="9">
        <v>0.1</v>
      </c>
      <c r="K35" s="38">
        <f t="shared" si="2"/>
        <v>1</v>
      </c>
      <c r="L35" s="25"/>
      <c r="M35" s="9">
        <v>1.1000000000000001</v>
      </c>
      <c r="N35" s="31">
        <f t="shared" si="3"/>
        <v>-1</v>
      </c>
      <c r="O35" s="8">
        <v>0</v>
      </c>
      <c r="P35" s="9"/>
      <c r="Q35" s="38">
        <f t="shared" si="4"/>
        <v>1.1000000000000001</v>
      </c>
      <c r="R35" s="8">
        <v>0</v>
      </c>
      <c r="S35" s="9">
        <v>1</v>
      </c>
      <c r="T35" s="31">
        <f t="shared" si="5"/>
        <v>-1</v>
      </c>
      <c r="U35" s="8"/>
      <c r="V35" s="9">
        <v>1</v>
      </c>
      <c r="W35" s="38">
        <f t="shared" si="6"/>
        <v>0</v>
      </c>
      <c r="X35" s="8"/>
      <c r="Y35" s="9">
        <v>0.7</v>
      </c>
      <c r="Z35" s="31">
        <f t="shared" si="7"/>
        <v>0.30000000000000004</v>
      </c>
      <c r="AA35" s="25"/>
      <c r="AC35" s="32">
        <f t="shared" si="0"/>
        <v>-0.65166666666666662</v>
      </c>
      <c r="AD35" s="4">
        <v>0.1</v>
      </c>
      <c r="AE35" s="32"/>
      <c r="AF35" s="32">
        <f t="shared" si="1"/>
        <v>0.80500000000000005</v>
      </c>
      <c r="AG35" s="4">
        <v>0.1</v>
      </c>
      <c r="AH35" s="32"/>
      <c r="AI35" s="32"/>
      <c r="AJ35" s="32"/>
    </row>
    <row r="36" spans="1:36" ht="14.25" customHeight="1" x14ac:dyDescent="0.2">
      <c r="A36" s="13">
        <v>6</v>
      </c>
      <c r="B36" s="14" t="s">
        <v>55</v>
      </c>
      <c r="C36" s="16" t="s">
        <v>56</v>
      </c>
      <c r="D36" s="15" t="s">
        <v>23</v>
      </c>
      <c r="E36" s="7" t="s">
        <v>33</v>
      </c>
      <c r="F36" s="8">
        <v>231210</v>
      </c>
      <c r="G36" s="5" t="s">
        <v>53</v>
      </c>
      <c r="H36" s="20">
        <v>6</v>
      </c>
      <c r="I36" s="8"/>
      <c r="J36" s="9">
        <v>5</v>
      </c>
      <c r="K36" s="38">
        <f>((I36*$A$36)+H36)-J36</f>
        <v>1</v>
      </c>
      <c r="L36" s="25"/>
      <c r="M36" s="9">
        <v>4</v>
      </c>
      <c r="N36" s="31">
        <f>((L36*$A$36)+J36)-M36</f>
        <v>1</v>
      </c>
      <c r="O36" s="8">
        <v>0</v>
      </c>
      <c r="P36" s="9">
        <v>4</v>
      </c>
      <c r="Q36" s="38">
        <f>((O36*$A$36)+M36)-P36</f>
        <v>0</v>
      </c>
      <c r="R36" s="8">
        <v>0</v>
      </c>
      <c r="S36" s="9">
        <v>4</v>
      </c>
      <c r="T36" s="31">
        <f>((R36*$A$36)+P36)-S36</f>
        <v>0</v>
      </c>
      <c r="U36" s="8"/>
      <c r="V36" s="9">
        <v>3</v>
      </c>
      <c r="W36" s="38">
        <f>((U36*$A$36)+S36)-V36</f>
        <v>1</v>
      </c>
      <c r="X36" s="8"/>
      <c r="Y36" s="9">
        <v>3</v>
      </c>
      <c r="Z36" s="31">
        <f>((X36*$A$36)+V36)-Y36</f>
        <v>0</v>
      </c>
      <c r="AA36" s="25"/>
      <c r="AC36" s="32">
        <f t="shared" si="0"/>
        <v>0.3833333333333333</v>
      </c>
      <c r="AD36" s="4">
        <v>1</v>
      </c>
      <c r="AE36" s="32"/>
      <c r="AF36" s="32">
        <f t="shared" si="1"/>
        <v>0.76666666666666661</v>
      </c>
      <c r="AG36" s="4">
        <v>1</v>
      </c>
      <c r="AH36" s="32"/>
      <c r="AI36" s="32"/>
      <c r="AJ36" s="32"/>
    </row>
    <row r="37" spans="1:36" ht="14.25" customHeight="1" x14ac:dyDescent="0.2">
      <c r="A37" s="13">
        <v>6</v>
      </c>
      <c r="B37" s="14" t="s">
        <v>55</v>
      </c>
      <c r="C37" s="16">
        <v>5</v>
      </c>
      <c r="D37" s="15" t="s">
        <v>54</v>
      </c>
      <c r="E37" s="7" t="s">
        <v>34</v>
      </c>
      <c r="F37" s="8">
        <v>52374</v>
      </c>
      <c r="G37" s="5" t="s">
        <v>53</v>
      </c>
      <c r="H37" s="20">
        <v>7</v>
      </c>
      <c r="I37" s="8"/>
      <c r="J37" s="9">
        <v>4.7</v>
      </c>
      <c r="K37" s="38">
        <f>((I37*$A$37)+H37)-J37</f>
        <v>2.2999999999999998</v>
      </c>
      <c r="L37" s="25"/>
      <c r="M37" s="9">
        <v>4.2</v>
      </c>
      <c r="N37" s="31">
        <f>((L37*$A$37)+J37)-M37</f>
        <v>0.5</v>
      </c>
      <c r="O37" s="8">
        <v>0</v>
      </c>
      <c r="P37" s="9">
        <v>0.7</v>
      </c>
      <c r="Q37" s="38">
        <f>((O37*$A$37)+M37)-P37</f>
        <v>3.5</v>
      </c>
      <c r="R37" s="8">
        <v>1</v>
      </c>
      <c r="S37" s="9">
        <v>6.5</v>
      </c>
      <c r="T37" s="31">
        <f>((R37*$A$37)+P37)-S37</f>
        <v>0.20000000000000018</v>
      </c>
      <c r="U37" s="8"/>
      <c r="V37" s="9">
        <v>4.2</v>
      </c>
      <c r="W37" s="38">
        <f>((U37*$A$37)+S37)-V37</f>
        <v>2.2999999999999998</v>
      </c>
      <c r="X37" s="8"/>
      <c r="Y37" s="9">
        <v>4</v>
      </c>
      <c r="Z37" s="31">
        <f>((X37*$A$37)+V37)-Y37</f>
        <v>0.20000000000000018</v>
      </c>
      <c r="AA37" s="25"/>
      <c r="AC37" s="32">
        <f t="shared" si="0"/>
        <v>0.34500000000000008</v>
      </c>
      <c r="AD37" s="4">
        <v>0.5</v>
      </c>
      <c r="AE37" s="32"/>
      <c r="AF37" s="32">
        <f t="shared" si="1"/>
        <v>3.1049999999999995</v>
      </c>
      <c r="AG37" s="4">
        <v>4</v>
      </c>
      <c r="AH37" s="32"/>
      <c r="AI37" s="32"/>
      <c r="AJ37" s="32"/>
    </row>
    <row r="38" spans="1:36" ht="14.25" customHeight="1" x14ac:dyDescent="0.2">
      <c r="A38" s="13">
        <v>12</v>
      </c>
      <c r="B38" s="14" t="s">
        <v>55</v>
      </c>
      <c r="C38" s="16">
        <v>32</v>
      </c>
      <c r="D38" s="15" t="s">
        <v>57</v>
      </c>
      <c r="E38" s="7" t="s">
        <v>24</v>
      </c>
      <c r="F38" s="8">
        <v>314029</v>
      </c>
      <c r="G38" s="5" t="s">
        <v>53</v>
      </c>
      <c r="H38" s="20">
        <v>22</v>
      </c>
      <c r="I38" s="8"/>
      <c r="J38" s="9">
        <v>15</v>
      </c>
      <c r="K38" s="38">
        <f>((I38*$A$38)+H38)-J38</f>
        <v>7</v>
      </c>
      <c r="L38" s="25"/>
      <c r="M38" s="9">
        <v>11.3</v>
      </c>
      <c r="N38" s="31">
        <f>((L38*$A$38)+J38)-M38</f>
        <v>3.6999999999999993</v>
      </c>
      <c r="O38" s="8">
        <v>0</v>
      </c>
      <c r="P38" s="9">
        <v>2.2999999999999998</v>
      </c>
      <c r="Q38" s="38">
        <f>((O38*$A$38)+M38)-P38</f>
        <v>9</v>
      </c>
      <c r="R38" s="8">
        <v>1</v>
      </c>
      <c r="S38" s="9">
        <v>11.4</v>
      </c>
      <c r="T38" s="31">
        <f>((R38*$A$38)+P38)-S38</f>
        <v>2.9000000000000004</v>
      </c>
      <c r="U38" s="8"/>
      <c r="V38" s="9">
        <v>4.2</v>
      </c>
      <c r="W38" s="38">
        <f>((U38*$A$38)+S38)-V38</f>
        <v>7.2</v>
      </c>
      <c r="X38" s="8">
        <v>1</v>
      </c>
      <c r="Y38" s="9">
        <v>14.7</v>
      </c>
      <c r="Z38" s="31">
        <f>((X38*$A$38)+V38)-Y38</f>
        <v>1.5</v>
      </c>
      <c r="AA38" s="25"/>
      <c r="AC38" s="32">
        <f t="shared" si="0"/>
        <v>3.1049999999999995</v>
      </c>
      <c r="AD38" s="4">
        <v>4</v>
      </c>
      <c r="AE38" s="32"/>
      <c r="AF38" s="32">
        <f t="shared" si="1"/>
        <v>8.8933333333333326</v>
      </c>
      <c r="AG38" s="4">
        <v>10</v>
      </c>
      <c r="AH38" s="32"/>
      <c r="AI38" s="32"/>
      <c r="AJ38" s="32"/>
    </row>
    <row r="39" spans="1:36" ht="14.25" customHeight="1" x14ac:dyDescent="0.2">
      <c r="A39" s="13">
        <v>6</v>
      </c>
      <c r="B39" s="14" t="s">
        <v>55</v>
      </c>
      <c r="C39" s="16">
        <v>5</v>
      </c>
      <c r="D39" s="15" t="s">
        <v>54</v>
      </c>
      <c r="E39" s="7" t="s">
        <v>29</v>
      </c>
      <c r="F39" s="8">
        <v>197434</v>
      </c>
      <c r="G39" s="5" t="s">
        <v>53</v>
      </c>
      <c r="H39" s="20">
        <v>11</v>
      </c>
      <c r="I39" s="8"/>
      <c r="J39" s="9">
        <v>5</v>
      </c>
      <c r="K39" s="38">
        <f>((I39*$A$39)+H39)-J39</f>
        <v>6</v>
      </c>
      <c r="L39" s="25">
        <v>2</v>
      </c>
      <c r="M39" s="9">
        <v>11.5</v>
      </c>
      <c r="N39" s="31">
        <f>((L39*$A$39)+J39)-M39</f>
        <v>5.5</v>
      </c>
      <c r="O39" s="8">
        <v>0</v>
      </c>
      <c r="P39" s="9">
        <v>4.5</v>
      </c>
      <c r="Q39" s="38">
        <f>((O39*$A$39)+M39)-P39</f>
        <v>7</v>
      </c>
      <c r="R39" s="8">
        <v>1</v>
      </c>
      <c r="S39" s="9">
        <v>4.0999999999999996</v>
      </c>
      <c r="T39" s="31">
        <f>((R39*$A$39)+P39)-S39</f>
        <v>6.4</v>
      </c>
      <c r="U39" s="8">
        <v>1</v>
      </c>
      <c r="V39" s="9">
        <v>3</v>
      </c>
      <c r="W39" s="38">
        <f>((U39*$A$39)+S39)-V39</f>
        <v>7.1</v>
      </c>
      <c r="X39" s="8">
        <v>2</v>
      </c>
      <c r="Y39" s="9">
        <v>12.1</v>
      </c>
      <c r="Z39" s="31">
        <f>((X39*$A$39)+V39)-Y39</f>
        <v>2.9000000000000004</v>
      </c>
      <c r="AA39" s="25"/>
      <c r="AC39" s="32">
        <f t="shared" si="0"/>
        <v>5.6733333333333329</v>
      </c>
      <c r="AD39" s="4">
        <v>8</v>
      </c>
      <c r="AE39" s="32"/>
      <c r="AF39" s="32">
        <f t="shared" si="1"/>
        <v>7.7049999999999992</v>
      </c>
      <c r="AG39" s="4">
        <v>10</v>
      </c>
      <c r="AH39" s="32"/>
      <c r="AI39" s="32"/>
      <c r="AJ39" s="32"/>
    </row>
    <row r="40" spans="1:36" ht="14.25" customHeight="1" x14ac:dyDescent="0.2">
      <c r="A40" s="13">
        <v>48</v>
      </c>
      <c r="B40" s="14" t="s">
        <v>55</v>
      </c>
      <c r="C40" s="16">
        <v>2</v>
      </c>
      <c r="D40" s="15" t="s">
        <v>57</v>
      </c>
      <c r="E40" s="7" t="s">
        <v>50</v>
      </c>
      <c r="F40" s="8">
        <v>520556</v>
      </c>
      <c r="G40" s="5" t="s">
        <v>53</v>
      </c>
      <c r="H40" s="20">
        <v>25</v>
      </c>
      <c r="I40" s="8">
        <v>2</v>
      </c>
      <c r="J40" s="9">
        <v>52</v>
      </c>
      <c r="K40" s="38">
        <f>((I40*$A$40)+H40)-J40</f>
        <v>69</v>
      </c>
      <c r="L40" s="25"/>
      <c r="M40" s="9">
        <v>12</v>
      </c>
      <c r="N40" s="31">
        <f>((L40*$A$40)+J40)-M40</f>
        <v>40</v>
      </c>
      <c r="O40" s="8">
        <v>2</v>
      </c>
      <c r="P40" s="9">
        <v>25</v>
      </c>
      <c r="Q40" s="38">
        <f>((O40*$A$40)+M40)-P40</f>
        <v>83</v>
      </c>
      <c r="R40" s="8">
        <v>1</v>
      </c>
      <c r="S40" s="9">
        <v>2.4</v>
      </c>
      <c r="T40" s="31">
        <f>((R40*$A$40)+P40)-S40</f>
        <v>70.599999999999994</v>
      </c>
      <c r="U40" s="8">
        <v>2</v>
      </c>
      <c r="V40" s="9">
        <v>69</v>
      </c>
      <c r="W40" s="38">
        <f>((U40*$A$40)+S40)-V40</f>
        <v>29.400000000000006</v>
      </c>
      <c r="X40" s="8"/>
      <c r="Y40" s="9">
        <v>42</v>
      </c>
      <c r="Z40" s="31">
        <f>((X40*$A$40)+V40)-Y40</f>
        <v>27</v>
      </c>
      <c r="AA40" s="25"/>
      <c r="AC40" s="32">
        <f t="shared" si="0"/>
        <v>52.746666666666663</v>
      </c>
      <c r="AD40" s="4">
        <v>48</v>
      </c>
      <c r="AE40" s="32"/>
      <c r="AF40" s="32">
        <f t="shared" si="1"/>
        <v>69.536666666666662</v>
      </c>
      <c r="AG40" s="4">
        <v>96</v>
      </c>
      <c r="AH40" s="32"/>
      <c r="AI40" s="32"/>
      <c r="AJ40" s="32"/>
    </row>
    <row r="41" spans="1:36" ht="14.25" customHeight="1" x14ac:dyDescent="0.2">
      <c r="A41" s="13">
        <v>1</v>
      </c>
      <c r="B41" s="14" t="s">
        <v>55</v>
      </c>
      <c r="C41" s="16">
        <v>72</v>
      </c>
      <c r="D41" s="15" t="s">
        <v>53</v>
      </c>
      <c r="E41" s="7" t="s">
        <v>64</v>
      </c>
      <c r="F41" s="8">
        <v>284257</v>
      </c>
      <c r="G41" s="5" t="s">
        <v>53</v>
      </c>
      <c r="H41" s="20">
        <v>0</v>
      </c>
      <c r="I41" s="8"/>
      <c r="J41" s="9">
        <v>0</v>
      </c>
      <c r="K41" s="38">
        <f>((I41*$C$41)+H41)-J41</f>
        <v>0</v>
      </c>
      <c r="L41" s="25">
        <v>2</v>
      </c>
      <c r="M41" s="9">
        <v>1</v>
      </c>
      <c r="N41" s="31">
        <f>((L41*$C$41)+J41)-M41</f>
        <v>143</v>
      </c>
      <c r="O41" s="8">
        <v>0</v>
      </c>
      <c r="P41" s="9">
        <v>6</v>
      </c>
      <c r="Q41" s="38">
        <f>((O41*$C$41)+M41)-P41</f>
        <v>-5</v>
      </c>
      <c r="R41" s="8">
        <v>2</v>
      </c>
      <c r="S41" s="9">
        <v>12</v>
      </c>
      <c r="T41" s="31">
        <f>((R41*$C$41)+P41)-S41</f>
        <v>138</v>
      </c>
      <c r="U41" s="8"/>
      <c r="V41" s="9">
        <v>12</v>
      </c>
      <c r="W41" s="38">
        <f>((U41*$C$41)+S41)-V41</f>
        <v>0</v>
      </c>
      <c r="X41" s="8">
        <v>1</v>
      </c>
      <c r="Y41" s="9">
        <v>24</v>
      </c>
      <c r="Z41" s="31">
        <f>((X41*$C$41)+V41)-Y41</f>
        <v>60</v>
      </c>
      <c r="AA41" s="25"/>
      <c r="AC41" s="32">
        <f t="shared" si="0"/>
        <v>130.71666666666667</v>
      </c>
      <c r="AD41" s="4">
        <v>144</v>
      </c>
      <c r="AE41" s="32"/>
      <c r="AF41" s="32">
        <f t="shared" si="1"/>
        <v>-1.9166666666666665</v>
      </c>
      <c r="AG41" s="4">
        <v>72</v>
      </c>
      <c r="AH41" s="32"/>
      <c r="AI41" s="32"/>
      <c r="AJ41" s="32"/>
    </row>
    <row r="42" spans="1:36" ht="14.25" customHeight="1" x14ac:dyDescent="0.2">
      <c r="A42" s="13">
        <v>12</v>
      </c>
      <c r="B42" s="14" t="s">
        <v>55</v>
      </c>
      <c r="C42" s="16">
        <v>12</v>
      </c>
      <c r="D42" s="15" t="s">
        <v>57</v>
      </c>
      <c r="E42" s="7" t="s">
        <v>67</v>
      </c>
      <c r="F42" s="8">
        <v>419871</v>
      </c>
      <c r="G42" s="5" t="s">
        <v>53</v>
      </c>
      <c r="H42" s="21">
        <v>21</v>
      </c>
      <c r="I42" s="8">
        <v>3</v>
      </c>
      <c r="J42" s="18">
        <v>4</v>
      </c>
      <c r="K42" s="38">
        <f>((I42*$A$42)+H42)-J42</f>
        <v>53</v>
      </c>
      <c r="L42" s="25">
        <v>3</v>
      </c>
      <c r="M42" s="18">
        <v>23</v>
      </c>
      <c r="N42" s="31">
        <f>((L42*$A$42)+J42)-M42</f>
        <v>17</v>
      </c>
      <c r="O42" s="8">
        <v>2</v>
      </c>
      <c r="P42" s="18">
        <v>6</v>
      </c>
      <c r="Q42" s="38">
        <f>((O42*$A$42)+M42)-P42</f>
        <v>41</v>
      </c>
      <c r="R42" s="8">
        <v>4</v>
      </c>
      <c r="S42" s="18">
        <v>26</v>
      </c>
      <c r="T42" s="31">
        <f>((R42*$A$42)+P42)-S42</f>
        <v>28</v>
      </c>
      <c r="U42" s="8">
        <v>4</v>
      </c>
      <c r="V42" s="18">
        <v>43</v>
      </c>
      <c r="W42" s="38">
        <f>((U42*$A$42)+S42)-V42</f>
        <v>31</v>
      </c>
      <c r="X42" s="8">
        <v>1</v>
      </c>
      <c r="Y42" s="18">
        <v>38</v>
      </c>
      <c r="Z42" s="31">
        <f>((X42*$A$42)+V42)-Y42</f>
        <v>17</v>
      </c>
      <c r="AA42" s="25"/>
      <c r="AC42" s="32">
        <f t="shared" si="0"/>
        <v>23.766666666666666</v>
      </c>
      <c r="AD42" s="4">
        <v>36</v>
      </c>
      <c r="AE42" s="32"/>
      <c r="AF42" s="32">
        <f t="shared" si="1"/>
        <v>47.916666666666657</v>
      </c>
      <c r="AG42" s="4">
        <v>56</v>
      </c>
      <c r="AH42" s="32"/>
      <c r="AI42" s="32"/>
      <c r="AJ42" s="32"/>
    </row>
    <row r="43" spans="1:36" ht="14.25" customHeight="1" x14ac:dyDescent="0.2">
      <c r="A43" s="13">
        <v>6</v>
      </c>
      <c r="B43" s="14" t="s">
        <v>55</v>
      </c>
      <c r="C43" s="16">
        <v>12</v>
      </c>
      <c r="D43" s="15" t="s">
        <v>57</v>
      </c>
      <c r="E43" s="7" t="s">
        <v>68</v>
      </c>
      <c r="F43" s="8">
        <v>1020838</v>
      </c>
      <c r="G43" s="5" t="s">
        <v>53</v>
      </c>
      <c r="H43" s="21">
        <v>0</v>
      </c>
      <c r="I43" s="8">
        <v>3</v>
      </c>
      <c r="J43" s="18">
        <v>3</v>
      </c>
      <c r="K43" s="38">
        <f>((I43*$A$43)+H43)-J43</f>
        <v>15</v>
      </c>
      <c r="L43" s="25">
        <v>2</v>
      </c>
      <c r="M43" s="18">
        <v>0</v>
      </c>
      <c r="N43" s="31">
        <f>((L43*$A$43)+J43)-M43</f>
        <v>15</v>
      </c>
      <c r="O43" s="8">
        <v>3</v>
      </c>
      <c r="P43" s="18">
        <v>0</v>
      </c>
      <c r="Q43" s="38">
        <f>((O43*$A$43)+M43)-P43</f>
        <v>18</v>
      </c>
      <c r="R43" s="8">
        <v>4</v>
      </c>
      <c r="S43" s="18">
        <v>17</v>
      </c>
      <c r="T43" s="31">
        <f>((R43*$A$43)+P43)-S43</f>
        <v>7</v>
      </c>
      <c r="U43" s="8">
        <v>2</v>
      </c>
      <c r="V43" s="18">
        <v>13</v>
      </c>
      <c r="W43" s="38">
        <f>((U43*$A$43)+S43)-V43</f>
        <v>16</v>
      </c>
      <c r="X43" s="8">
        <v>1</v>
      </c>
      <c r="Y43" s="18">
        <v>15</v>
      </c>
      <c r="Z43" s="31">
        <f>((X43*$A$43)+V43)-Y43</f>
        <v>4</v>
      </c>
      <c r="AA43" s="25"/>
      <c r="AC43" s="32">
        <f t="shared" si="0"/>
        <v>9.966666666666665</v>
      </c>
      <c r="AD43" s="4">
        <v>15</v>
      </c>
      <c r="AE43" s="32"/>
      <c r="AF43" s="32">
        <f t="shared" si="1"/>
        <v>18.783333333333331</v>
      </c>
      <c r="AG43" s="4">
        <v>24</v>
      </c>
      <c r="AH43" s="32"/>
      <c r="AI43" s="32"/>
      <c r="AJ43" s="32"/>
    </row>
    <row r="44" spans="1:36" ht="14.25" customHeight="1" x14ac:dyDescent="0.2">
      <c r="A44" s="13">
        <v>6</v>
      </c>
      <c r="B44" s="14" t="s">
        <v>55</v>
      </c>
      <c r="C44" s="16">
        <v>12</v>
      </c>
      <c r="D44" s="15" t="s">
        <v>57</v>
      </c>
      <c r="E44" s="7" t="s">
        <v>69</v>
      </c>
      <c r="F44" s="8">
        <v>1020549</v>
      </c>
      <c r="G44" s="5" t="s">
        <v>53</v>
      </c>
      <c r="H44" s="21">
        <v>0</v>
      </c>
      <c r="I44" s="8">
        <v>3</v>
      </c>
      <c r="J44" s="18">
        <v>8</v>
      </c>
      <c r="K44" s="38">
        <f>((I44*$A$44)+H44)-J44</f>
        <v>10</v>
      </c>
      <c r="L44" s="25">
        <v>1</v>
      </c>
      <c r="M44" s="18">
        <v>11</v>
      </c>
      <c r="N44" s="31">
        <f>((L44*$A$44)+J44)-M44</f>
        <v>3</v>
      </c>
      <c r="O44" s="8">
        <v>0</v>
      </c>
      <c r="P44" s="18">
        <v>0</v>
      </c>
      <c r="Q44" s="38">
        <f>((O44*$A$44)+M44)-P44</f>
        <v>11</v>
      </c>
      <c r="R44" s="8">
        <v>4</v>
      </c>
      <c r="S44" s="18">
        <v>22</v>
      </c>
      <c r="T44" s="31">
        <f>((R44*$A$44)+P44)-S44</f>
        <v>2</v>
      </c>
      <c r="U44" s="8">
        <v>1</v>
      </c>
      <c r="V44" s="18">
        <v>20</v>
      </c>
      <c r="W44" s="38">
        <f>((U44*$A$44)+S44)-V44</f>
        <v>8</v>
      </c>
      <c r="X44" s="8"/>
      <c r="Y44" s="18">
        <v>18</v>
      </c>
      <c r="Z44" s="31">
        <f>((X44*$A$44)+V44)-Y44</f>
        <v>2</v>
      </c>
      <c r="AA44" s="25"/>
      <c r="AC44" s="32">
        <f t="shared" si="0"/>
        <v>2.6833333333333331</v>
      </c>
      <c r="AD44" s="4">
        <v>10</v>
      </c>
      <c r="AE44" s="32"/>
      <c r="AF44" s="32">
        <f t="shared" si="1"/>
        <v>11.116666666666665</v>
      </c>
      <c r="AG44" s="4">
        <v>18</v>
      </c>
      <c r="AH44" s="32"/>
      <c r="AI44" s="32"/>
      <c r="AJ44" s="32"/>
    </row>
    <row r="45" spans="1:36" ht="14.25" customHeight="1" x14ac:dyDescent="0.2">
      <c r="A45" s="13">
        <v>6</v>
      </c>
      <c r="B45" s="14" t="s">
        <v>55</v>
      </c>
      <c r="C45" s="16">
        <v>12</v>
      </c>
      <c r="D45" s="15" t="s">
        <v>57</v>
      </c>
      <c r="E45" s="7" t="s">
        <v>70</v>
      </c>
      <c r="F45" s="8">
        <v>1020535</v>
      </c>
      <c r="G45" s="5" t="s">
        <v>53</v>
      </c>
      <c r="H45" s="21">
        <v>0</v>
      </c>
      <c r="I45" s="8">
        <v>2</v>
      </c>
      <c r="J45" s="18">
        <v>9</v>
      </c>
      <c r="K45" s="38">
        <f>((I45*$A$45)+H45)-J45</f>
        <v>3</v>
      </c>
      <c r="L45" s="25"/>
      <c r="M45" s="18">
        <v>8</v>
      </c>
      <c r="N45" s="31">
        <f>((L45*$A$45)+J45)-M45</f>
        <v>1</v>
      </c>
      <c r="O45" s="8">
        <v>0</v>
      </c>
      <c r="P45" s="18">
        <v>0</v>
      </c>
      <c r="Q45" s="38">
        <f>((O45*$A$45)+M45)-P45</f>
        <v>8</v>
      </c>
      <c r="R45" s="8">
        <v>3</v>
      </c>
      <c r="S45" s="18">
        <v>0</v>
      </c>
      <c r="T45" s="31">
        <f>((R45*$A$45)+P45)-S45</f>
        <v>18</v>
      </c>
      <c r="U45" s="8">
        <v>3</v>
      </c>
      <c r="V45" s="18">
        <v>18</v>
      </c>
      <c r="W45" s="38">
        <f>((U45*$A$45)+S45)-V45</f>
        <v>0</v>
      </c>
      <c r="X45" s="8"/>
      <c r="Y45" s="18">
        <v>13</v>
      </c>
      <c r="Z45" s="31">
        <f>((X45*$A$45)+V45)-Y45</f>
        <v>5</v>
      </c>
      <c r="AA45" s="25"/>
      <c r="AC45" s="32">
        <f t="shared" si="0"/>
        <v>9.1999999999999993</v>
      </c>
      <c r="AD45" s="4">
        <v>6</v>
      </c>
      <c r="AE45" s="32"/>
      <c r="AF45" s="32">
        <f t="shared" si="1"/>
        <v>4.2166666666666659</v>
      </c>
      <c r="AG45" s="4">
        <v>12</v>
      </c>
      <c r="AH45" s="32"/>
      <c r="AI45" s="32"/>
      <c r="AJ45" s="32"/>
    </row>
    <row r="46" spans="1:36" ht="14.25" customHeight="1" x14ac:dyDescent="0.2">
      <c r="A46" s="13">
        <v>6</v>
      </c>
      <c r="B46" s="14" t="s">
        <v>55</v>
      </c>
      <c r="C46" s="16">
        <v>12</v>
      </c>
      <c r="D46" s="15" t="s">
        <v>57</v>
      </c>
      <c r="E46" s="7" t="s">
        <v>71</v>
      </c>
      <c r="F46" s="8">
        <v>1020522</v>
      </c>
      <c r="G46" s="5" t="s">
        <v>53</v>
      </c>
      <c r="H46" s="21">
        <v>2</v>
      </c>
      <c r="I46" s="8">
        <v>1</v>
      </c>
      <c r="J46" s="18">
        <v>3</v>
      </c>
      <c r="K46" s="38">
        <f>((I46*$A$46)+H46)-J46</f>
        <v>5</v>
      </c>
      <c r="L46" s="25">
        <v>1</v>
      </c>
      <c r="M46" s="18">
        <v>9</v>
      </c>
      <c r="N46" s="31">
        <f>((L46*$A$46)+J46)-M46</f>
        <v>0</v>
      </c>
      <c r="O46" s="8">
        <v>0</v>
      </c>
      <c r="P46" s="18">
        <v>0</v>
      </c>
      <c r="Q46" s="38">
        <f>((O46*$A$46)+M46)-P46</f>
        <v>9</v>
      </c>
      <c r="R46" s="8">
        <v>3</v>
      </c>
      <c r="S46" s="18">
        <v>6</v>
      </c>
      <c r="T46" s="31">
        <f>((R46*$A$46)+P46)-S46</f>
        <v>12</v>
      </c>
      <c r="U46" s="8">
        <v>1</v>
      </c>
      <c r="V46" s="18">
        <v>9</v>
      </c>
      <c r="W46" s="38">
        <f>((U46*$A$46)+S46)-V46</f>
        <v>3</v>
      </c>
      <c r="X46" s="8"/>
      <c r="Y46" s="18">
        <v>8</v>
      </c>
      <c r="Z46" s="31">
        <f>((X46*$A$46)+V46)-Y46</f>
        <v>1</v>
      </c>
      <c r="AA46" s="25"/>
      <c r="AC46" s="32">
        <f t="shared" si="0"/>
        <v>4.9833333333333325</v>
      </c>
      <c r="AD46" s="4">
        <v>6</v>
      </c>
      <c r="AE46" s="32"/>
      <c r="AF46" s="32">
        <f t="shared" si="1"/>
        <v>6.5166666666666666</v>
      </c>
      <c r="AG46" s="4">
        <v>12</v>
      </c>
      <c r="AH46" s="32"/>
      <c r="AI46" s="32"/>
      <c r="AJ46" s="32"/>
    </row>
  </sheetData>
  <sheetProtection selectLockedCells="1"/>
  <dataConsolidate/>
  <mergeCells count="1">
    <mergeCell ref="A4:D4"/>
  </mergeCells>
  <pageMargins left="0.25" right="0.25" top="0.96920289855072495" bottom="0.50724637681159401" header="0.3" footer="0.3"/>
  <pageSetup scale="72" orientation="portrait" r:id="rId1"/>
  <headerFooter>
    <oddHeader xml:space="preserve">&amp;L&amp;"Times New Roman,Bold"&amp;16NORTH&amp;C&amp;"Times New Roman,Bold"&amp;16PFG USAGE&amp;R&amp;"Times New Roman,Bold"&amp;16&amp;UCH&amp;"Times New Roman,Regular"&amp;11&amp;U
&amp;10 Printed &amp;D &amp;T
</oddHeader>
    <oddFooter>&amp;C&amp;"Times New Roman,Regular"&amp;8REP: MICHAEL MATTINGLY CELL: 703-789-0499 - EMAIL: AM_Michael.Mattingly@pfgc.com
Store Forms - Documents/Chantilly/INVENTORY ORDER FORMS/&amp;F(MG Rev.12/31/24)&amp;R&amp;"Times New Roman,Regular"&amp;8 1 Page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D8E9-61DA-4629-8C40-A5FF6B5A8B21}">
  <sheetPr>
    <tabColor rgb="FFFFCCFF"/>
  </sheetPr>
  <dimension ref="B3:C12"/>
  <sheetViews>
    <sheetView workbookViewId="0">
      <selection activeCell="C12" sqref="C12"/>
    </sheetView>
  </sheetViews>
  <sheetFormatPr defaultRowHeight="15" x14ac:dyDescent="0.25"/>
  <sheetData>
    <row r="3" spans="2:3" x14ac:dyDescent="0.25">
      <c r="B3" t="s">
        <v>36</v>
      </c>
      <c r="C3" t="s">
        <v>37</v>
      </c>
    </row>
    <row r="4" spans="2:3" x14ac:dyDescent="0.25">
      <c r="B4" t="s">
        <v>38</v>
      </c>
      <c r="C4" t="s">
        <v>39</v>
      </c>
    </row>
    <row r="5" spans="2:3" x14ac:dyDescent="0.25">
      <c r="B5" t="s">
        <v>40</v>
      </c>
    </row>
    <row r="6" spans="2:3" x14ac:dyDescent="0.25">
      <c r="B6" t="s">
        <v>41</v>
      </c>
    </row>
    <row r="7" spans="2:3" x14ac:dyDescent="0.25">
      <c r="B7" t="s">
        <v>42</v>
      </c>
    </row>
    <row r="8" spans="2:3" x14ac:dyDescent="0.25">
      <c r="B8" t="s">
        <v>43</v>
      </c>
    </row>
    <row r="9" spans="2:3" x14ac:dyDescent="0.25">
      <c r="B9" t="s">
        <v>48</v>
      </c>
    </row>
    <row r="10" spans="2:3" x14ac:dyDescent="0.25">
      <c r="B10" t="s">
        <v>44</v>
      </c>
    </row>
    <row r="11" spans="2:3" x14ac:dyDescent="0.25">
      <c r="B11" t="s">
        <v>45</v>
      </c>
    </row>
    <row r="12" spans="2:3" x14ac:dyDescent="0.25">
      <c r="B12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506EF4C5-A940-43EA-BF5B-83942EE52F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ADA8D3-9D6D-4979-95DD-83D9D0A5E9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91534A-FFC5-4CFE-B19D-867C7429F46E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PFG - NEW</vt:lpstr>
      <vt:lpstr>USAGE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2026-03-20T14:18:44Z</cp:lastPrinted>
  <dcterms:created xsi:type="dcterms:W3CDTF">2020-04-21T17:05:46Z</dcterms:created>
  <dcterms:modified xsi:type="dcterms:W3CDTF">2026-09-21T12:56:12Z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272800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