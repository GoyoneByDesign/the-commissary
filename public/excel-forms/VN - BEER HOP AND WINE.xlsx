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01. BEVERAGE INVENTORIES/"/>
    </mc:Choice>
  </mc:AlternateContent>
  <xr:revisionPtr revIDLastSave="1660" documentId="14_{617A3DE1-EBBD-4EB2-B159-0CB18D063696}" xr6:coauthVersionLast="47" xr6:coauthVersionMax="47" xr10:uidLastSave="{9DF846DA-EACC-41BF-B584-CC6F3432451F}"/>
  <bookViews>
    <workbookView xWindow="-120" yWindow="-120" windowWidth="29040" windowHeight="15720" xr2:uid="{24D1DD11-E396-47F5-9502-4E535F0A457F}"/>
  </bookViews>
  <sheets>
    <sheet name="HOP AND WINE" sheetId="2" r:id="rId1"/>
    <sheet name="PURCHASING ONL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A4" i="2" l="1"/>
  <c r="AOW4" i="2"/>
  <c r="AOY4" i="2" s="1"/>
  <c r="APA3" i="2"/>
  <c r="AOW3" i="2"/>
  <c r="AOY3" i="2" s="1"/>
  <c r="AOQ4" i="2" l="1"/>
  <c r="AOM4" i="2"/>
  <c r="AOO4" i="2" s="1"/>
  <c r="AOQ3" i="2"/>
  <c r="AOM3" i="2"/>
  <c r="AOO3" i="2" s="1"/>
  <c r="B1" i="2"/>
  <c r="AOG4" i="2" l="1"/>
  <c r="AOC4" i="2"/>
  <c r="AOE4" i="2" s="1"/>
  <c r="AOC3" i="2"/>
  <c r="AOE3" i="2" s="1"/>
  <c r="AOG3" i="2" s="1"/>
  <c r="ANW4" i="2" l="1"/>
  <c r="ANS4" i="2"/>
  <c r="ANU4" i="2" s="1"/>
  <c r="ANW3" i="2"/>
  <c r="ANS3" i="2"/>
  <c r="ANU3" i="2" s="1"/>
  <c r="ANI4" i="2" l="1"/>
  <c r="ANK4" i="2" s="1"/>
  <c r="ANM4" i="2" s="1"/>
  <c r="ANI3" i="2"/>
  <c r="ANK3" i="2" s="1"/>
  <c r="ANM3" i="2" s="1"/>
  <c r="ANC4" i="2"/>
  <c r="AMY4" i="2"/>
  <c r="ANA4" i="2" s="1"/>
  <c r="ANC3" i="2"/>
  <c r="AMY3" i="2"/>
  <c r="ANA3" i="2" s="1"/>
  <c r="AMS4" i="2" l="1"/>
  <c r="AMO4" i="2"/>
  <c r="AMQ4" i="2" s="1"/>
  <c r="AMS3" i="2"/>
  <c r="AMO3" i="2"/>
  <c r="AMQ3" i="2" s="1"/>
  <c r="AMI4" i="2"/>
  <c r="AME4" i="2"/>
  <c r="AMG4" i="2" s="1"/>
  <c r="AMI3" i="2"/>
  <c r="AME3" i="2"/>
  <c r="AMG3" i="2" s="1"/>
  <c r="ALU4" i="2" l="1"/>
  <c r="ALW4" i="2" s="1"/>
  <c r="ALY4" i="2" s="1"/>
  <c r="ALU3" i="2"/>
  <c r="ALW3" i="2" s="1"/>
  <c r="ALY3" i="2" s="1"/>
  <c r="ALK4" i="2" l="1"/>
  <c r="ALM4" i="2" s="1"/>
  <c r="ALO4" i="2" s="1"/>
  <c r="ALK3" i="2"/>
  <c r="ALM3" i="2" s="1"/>
  <c r="ALO3" i="2" s="1"/>
  <c r="ALE4" i="2" l="1"/>
  <c r="ALA4" i="2"/>
  <c r="ALC4" i="2" s="1"/>
  <c r="ALA3" i="2"/>
  <c r="AKU4" i="2" l="1"/>
  <c r="AKQ4" i="2"/>
  <c r="AKS4" i="2" s="1"/>
  <c r="AKQ3" i="2"/>
  <c r="AKS3" i="2" s="1"/>
  <c r="AKU3" i="2" s="1"/>
  <c r="AKK4" i="2"/>
  <c r="AKG4" i="2"/>
  <c r="AKI4" i="2" s="1"/>
  <c r="AKK3" i="2"/>
  <c r="AKG3" i="2"/>
  <c r="AKI3" i="2" s="1"/>
  <c r="AKA4" i="2"/>
  <c r="AJW4" i="2"/>
  <c r="AJY4" i="2" s="1"/>
  <c r="AJW3" i="2"/>
  <c r="ALC3" i="2" l="1"/>
  <c r="ALE3" i="2" s="1"/>
  <c r="AJQ4" i="2" l="1"/>
  <c r="AJM4" i="2"/>
  <c r="AJO4" i="2" s="1"/>
  <c r="AJM3" i="2"/>
  <c r="AJO3" i="2" l="1"/>
  <c r="AJQ3" i="2" s="1"/>
  <c r="AJY3" i="2"/>
  <c r="AKA3" i="2" s="1"/>
  <c r="AJG4" i="2"/>
  <c r="AJC4" i="2"/>
  <c r="AJE4" i="2" s="1"/>
  <c r="AJG3" i="2"/>
  <c r="AJC3" i="2"/>
  <c r="AJE3" i="2" s="1"/>
  <c r="AIW4" i="2" l="1"/>
  <c r="AIS4" i="2"/>
  <c r="AIU4" i="2" s="1"/>
  <c r="AIW3" i="2"/>
  <c r="AIS3" i="2"/>
  <c r="AIU3" i="2" s="1"/>
  <c r="AII4" i="2" l="1"/>
  <c r="AII3" i="2"/>
  <c r="AHY4" i="2" l="1"/>
  <c r="AIA4" i="2" s="1"/>
  <c r="AIC4" i="2" s="1"/>
  <c r="AHY3" i="2"/>
  <c r="AIA3" i="2" s="1"/>
  <c r="AIC3" i="2" s="1"/>
  <c r="AHS4" i="2"/>
  <c r="AHO4" i="2"/>
  <c r="AHQ4" i="2" s="1"/>
  <c r="AHS3" i="2"/>
  <c r="AHO3" i="2"/>
  <c r="AHQ3" i="2" s="1"/>
  <c r="AIK3" i="2" l="1"/>
  <c r="AIM3" i="2" s="1"/>
  <c r="AIK4" i="2"/>
  <c r="AIM4" i="2" s="1"/>
  <c r="AHE4" i="2"/>
  <c r="AHI3" i="2"/>
  <c r="AHE3" i="2"/>
  <c r="AHG3" i="2" s="1"/>
  <c r="AGU4" i="2"/>
  <c r="AGW4" i="2" s="1"/>
  <c r="AGY4" i="2" s="1"/>
  <c r="AGU3" i="2"/>
  <c r="AHG4" i="2" l="1"/>
  <c r="AHI4" i="2" s="1"/>
  <c r="AGO4" i="2"/>
  <c r="AGK4" i="2"/>
  <c r="AGM4" i="2" s="1"/>
  <c r="AGK3" i="2"/>
  <c r="AGM3" i="2" s="1"/>
  <c r="AGO3" i="2" s="1"/>
  <c r="AGE4" i="2"/>
  <c r="AGA4" i="2"/>
  <c r="AGC4" i="2" s="1"/>
  <c r="AGE3" i="2"/>
  <c r="AGA3" i="2"/>
  <c r="AGC3" i="2" s="1"/>
  <c r="AGW3" i="2" l="1"/>
  <c r="AGY3" i="2" s="1"/>
  <c r="AFU4" i="2"/>
  <c r="AFQ4" i="2"/>
  <c r="AFS4" i="2" s="1"/>
  <c r="AFQ3" i="2"/>
  <c r="AFG4" i="2" l="1"/>
  <c r="AFI4" i="2" s="1"/>
  <c r="AFK4" i="2" s="1"/>
  <c r="AFG3" i="2"/>
  <c r="AFI3" i="2" s="1"/>
  <c r="AFK3" i="2" s="1"/>
  <c r="AFS3" i="2" l="1"/>
  <c r="AFU3" i="2" s="1"/>
  <c r="AFA4" i="2"/>
  <c r="AEW4" i="2"/>
  <c r="AEY4" i="2" s="1"/>
  <c r="AFA3" i="2"/>
  <c r="AEW3" i="2"/>
  <c r="AEY3" i="2" s="1"/>
  <c r="AEQ4" i="2" l="1"/>
  <c r="AEM4" i="2"/>
  <c r="AEO4" i="2" s="1"/>
  <c r="AEM3" i="2"/>
  <c r="AEG4" i="2" l="1"/>
  <c r="AEC4" i="2"/>
  <c r="AEE4" i="2" s="1"/>
  <c r="AEC3" i="2"/>
  <c r="AEE3" i="2" s="1"/>
  <c r="AEG3" i="2" s="1"/>
  <c r="AEO3" i="2" l="1"/>
  <c r="AEQ3" i="2" s="1"/>
  <c r="ADW4" i="2"/>
  <c r="ADS4" i="2"/>
  <c r="ADU4" i="2" s="1"/>
  <c r="ADW3" i="2"/>
  <c r="ADS3" i="2"/>
  <c r="ADU3" i="2" s="1"/>
  <c r="ADM4" i="2" l="1"/>
  <c r="ADI4" i="2"/>
  <c r="ADK4" i="2" s="1"/>
  <c r="ADM3" i="2"/>
  <c r="ADI3" i="2"/>
  <c r="ADK3" i="2" s="1"/>
  <c r="ADC4" i="2" l="1"/>
  <c r="ACY4" i="2"/>
  <c r="ADA4" i="2" s="1"/>
  <c r="ADC3" i="2"/>
  <c r="ACY3" i="2"/>
  <c r="ADA3" i="2" s="1"/>
  <c r="ACS4" i="2" l="1"/>
  <c r="ACO4" i="2"/>
  <c r="ACQ4" i="2" s="1"/>
  <c r="ACS3" i="2"/>
  <c r="ACO3" i="2"/>
  <c r="ACQ3" i="2" s="1"/>
  <c r="ACI4" i="2" l="1"/>
  <c r="ACE4" i="2"/>
  <c r="ACG4" i="2" s="1"/>
  <c r="ACI3" i="2"/>
  <c r="ACE3" i="2"/>
  <c r="ACG3" i="2" s="1"/>
  <c r="ABU4" i="2" l="1"/>
  <c r="ABY3" i="2"/>
  <c r="ABU3" i="2"/>
  <c r="ABW3" i="2" s="1"/>
  <c r="ABK4" i="2" l="1"/>
  <c r="ABM4" i="2" s="1"/>
  <c r="ABO4" i="2" s="1"/>
  <c r="ABO3" i="2"/>
  <c r="ABK3" i="2"/>
  <c r="ABM3" i="2" s="1"/>
  <c r="ABW4" i="2" l="1"/>
  <c r="ABY4" i="2" s="1"/>
  <c r="ABA4" i="2"/>
  <c r="ABA3" i="2"/>
  <c r="AAQ4" i="2" l="1"/>
  <c r="AAS4" i="2" s="1"/>
  <c r="AAU4" i="2" s="1"/>
  <c r="AAQ3" i="2"/>
  <c r="ABC3" i="2" s="1"/>
  <c r="ABE3" i="2" s="1"/>
  <c r="ABC4" i="2" l="1"/>
  <c r="ABE4" i="2" s="1"/>
  <c r="AAK4" i="2"/>
  <c r="AAG4" i="2"/>
  <c r="AAI4" i="2" s="1"/>
  <c r="AAG3" i="2"/>
  <c r="AAS3" i="2" l="1"/>
  <c r="AAU3" i="2" s="1"/>
  <c r="ZW4" i="2"/>
  <c r="ZW3" i="2"/>
  <c r="ZY3" i="2" s="1"/>
  <c r="AAA3" i="2" s="1"/>
  <c r="AAI3" i="2" l="1"/>
  <c r="AAK3" i="2" s="1"/>
  <c r="ZM4" i="2"/>
  <c r="ZM3" i="2"/>
  <c r="ZO4" i="2" l="1"/>
  <c r="ZQ4" i="2" s="1"/>
  <c r="ZY4" i="2"/>
  <c r="AAA4" i="2" s="1"/>
  <c r="ZC4" i="2"/>
  <c r="ZC3" i="2"/>
  <c r="ZE3" i="2" s="1"/>
  <c r="ZG3" i="2" s="1"/>
  <c r="ZO3" i="2" l="1"/>
  <c r="ZQ3" i="2" s="1"/>
  <c r="YS4" i="2"/>
  <c r="YU4" i="2" s="1"/>
  <c r="YW4" i="2" s="1"/>
  <c r="YW3" i="2"/>
  <c r="YS3" i="2"/>
  <c r="YU3" i="2" s="1"/>
  <c r="ZE4" i="2" l="1"/>
  <c r="ZG4" i="2" s="1"/>
  <c r="YM4" i="2"/>
  <c r="YI4" i="2"/>
  <c r="YK4" i="2" s="1"/>
  <c r="YM3" i="2"/>
  <c r="YI3" i="2"/>
  <c r="YK3" i="2" s="1"/>
  <c r="XY4" i="2" l="1"/>
  <c r="XY3" i="2"/>
  <c r="XO4" i="2" l="1"/>
  <c r="XQ4" i="2" s="1"/>
  <c r="XS4" i="2" s="1"/>
  <c r="XO3" i="2"/>
  <c r="XQ3" i="2" s="1"/>
  <c r="XS3" i="2" s="1"/>
  <c r="YA4" i="2" l="1"/>
  <c r="YC4" i="2" s="1"/>
  <c r="YA3" i="2"/>
  <c r="YC3" i="2" s="1"/>
  <c r="XE4" i="2"/>
  <c r="XE3" i="2"/>
  <c r="XG3" i="2" l="1"/>
  <c r="XI3" i="2" s="1"/>
  <c r="WU4" i="2"/>
  <c r="WW4" i="2" s="1"/>
  <c r="WY4" i="2" s="1"/>
  <c r="WU3" i="2"/>
  <c r="WW3" i="2" s="1"/>
  <c r="WY3" i="2" s="1"/>
  <c r="XG4" i="2" l="1"/>
  <c r="XI4" i="2" s="1"/>
  <c r="WO4" i="2"/>
  <c r="WK4" i="2"/>
  <c r="WM4" i="2" s="1"/>
  <c r="WO3" i="2"/>
  <c r="WK3" i="2"/>
  <c r="WM3" i="2" s="1"/>
  <c r="WE4" i="2" l="1"/>
  <c r="WA4" i="2"/>
  <c r="WC4" i="2" s="1"/>
  <c r="WA3" i="2"/>
  <c r="VQ4" i="2"/>
  <c r="VQ3" i="2"/>
  <c r="WC3" i="2" l="1"/>
  <c r="WE3" i="2" s="1"/>
  <c r="VU4" i="2"/>
  <c r="VS4" i="2"/>
  <c r="VS3" i="2"/>
  <c r="VU3" i="2" s="1"/>
  <c r="VG4" i="2" l="1"/>
  <c r="VK3" i="2"/>
  <c r="VG3" i="2"/>
  <c r="VI3" i="2" s="1"/>
  <c r="UW4" i="2"/>
  <c r="UW3" i="2"/>
  <c r="VI4" i="2" l="1"/>
  <c r="VK4" i="2" s="1"/>
  <c r="UY3" i="2"/>
  <c r="VA3" i="2" s="1"/>
  <c r="UM4" i="2"/>
  <c r="UY4" i="2" s="1"/>
  <c r="VA4" i="2" s="1"/>
  <c r="UM3" i="2"/>
  <c r="UC4" i="2" l="1"/>
  <c r="UO4" i="2" s="1"/>
  <c r="UQ4" i="2" s="1"/>
  <c r="UC3" i="2"/>
  <c r="TS4" i="2"/>
  <c r="TU4" i="2" s="1"/>
  <c r="TW4" i="2" s="1"/>
  <c r="TS3" i="2"/>
  <c r="UE3" i="2" l="1"/>
  <c r="UG3" i="2" s="1"/>
  <c r="UO3" i="2"/>
  <c r="UQ3" i="2" s="1"/>
  <c r="UE4" i="2"/>
  <c r="UG4" i="2" s="1"/>
  <c r="TI4" i="2"/>
  <c r="TI3" i="2"/>
  <c r="TU3" i="2" s="1"/>
  <c r="TW3" i="2" s="1"/>
  <c r="Y11" i="3" l="1"/>
  <c r="SY4" i="2"/>
  <c r="TA4" i="2" s="1"/>
  <c r="TC4" i="2" s="1"/>
  <c r="SY3" i="2"/>
  <c r="SS4" i="2"/>
  <c r="SO4" i="2"/>
  <c r="SQ4" i="2" s="1"/>
  <c r="SO3" i="2"/>
  <c r="SQ3" i="2" s="1"/>
  <c r="SS3" i="2" s="1"/>
  <c r="SI4" i="2"/>
  <c r="SE4" i="2"/>
  <c r="SG4" i="2" s="1"/>
  <c r="SE3" i="2"/>
  <c r="SG3" i="2" s="1"/>
  <c r="SI3" i="2" s="1"/>
  <c r="RU4" i="2"/>
  <c r="RU3" i="2"/>
  <c r="TK4" i="2" l="1"/>
  <c r="TM4" i="2" s="1"/>
  <c r="TA3" i="2"/>
  <c r="TC3" i="2" s="1"/>
  <c r="TK3" i="2"/>
  <c r="TM3" i="2" s="1"/>
  <c r="RK4" i="2"/>
  <c r="RK3" i="2"/>
  <c r="RM3" i="2" s="1"/>
  <c r="RO3" i="2" s="1"/>
  <c r="RA4" i="2"/>
  <c r="RC4" i="2" s="1"/>
  <c r="RE4" i="2" s="1"/>
  <c r="RE3" i="2"/>
  <c r="RA3" i="2"/>
  <c r="RC3" i="2" s="1"/>
  <c r="RW3" i="2" l="1"/>
  <c r="RY3" i="2" s="1"/>
  <c r="RM4" i="2"/>
  <c r="RO4" i="2" s="1"/>
  <c r="RW4" i="2"/>
  <c r="RY4" i="2" s="1"/>
  <c r="QU4" i="2"/>
  <c r="QQ4" i="2"/>
  <c r="QS4" i="2" s="1"/>
  <c r="QQ3" i="2"/>
  <c r="QS3" i="2" l="1"/>
  <c r="QU3" i="2" s="1"/>
  <c r="QG4" i="2"/>
  <c r="QI4" i="2" s="1"/>
  <c r="QK4" i="2" s="1"/>
  <c r="QK3" i="2"/>
  <c r="QG3" i="2"/>
  <c r="QI3" i="2" s="1"/>
  <c r="QA4" i="2"/>
  <c r="PW4" i="2"/>
  <c r="PY4" i="2" s="1"/>
  <c r="QA3" i="2"/>
  <c r="PW3" i="2"/>
  <c r="PY3" i="2" s="1"/>
  <c r="PM4" i="2" l="1"/>
  <c r="PQ3" i="2"/>
  <c r="PM3" i="2"/>
  <c r="PO3" i="2" s="1"/>
  <c r="PC4" i="2" l="1"/>
  <c r="PE4" i="2" s="1"/>
  <c r="PG4" i="2" s="1"/>
  <c r="PC3" i="2"/>
  <c r="PO4" i="2" l="1"/>
  <c r="PQ4" i="2" s="1"/>
  <c r="PE3" i="2"/>
  <c r="PG3" i="2" s="1"/>
  <c r="OS4" i="2"/>
  <c r="OU4" i="2" s="1"/>
  <c r="OW4" i="2" s="1"/>
  <c r="OW3" i="2"/>
  <c r="OS3" i="2"/>
  <c r="OU3" i="2" s="1"/>
  <c r="OI4" i="2" l="1"/>
  <c r="OK4" i="2" s="1"/>
  <c r="OM4" i="2" s="1"/>
  <c r="OI3" i="2"/>
  <c r="OK3" i="2" s="1"/>
  <c r="OM3" i="2" s="1"/>
  <c r="OC4" i="2" l="1"/>
  <c r="NY4" i="2"/>
  <c r="OA4" i="2" s="1"/>
  <c r="OC3" i="2"/>
  <c r="NY3" i="2"/>
  <c r="OA3" i="2" s="1"/>
  <c r="NS4" i="2" l="1"/>
  <c r="NO4" i="2"/>
  <c r="NQ4" i="2" s="1"/>
  <c r="NS3" i="2"/>
  <c r="NO3" i="2"/>
  <c r="NQ3" i="2" s="1"/>
  <c r="NE4" i="2" l="1"/>
  <c r="NE3" i="2"/>
  <c r="MU4" i="2" l="1"/>
  <c r="MW4" i="2" s="1"/>
  <c r="MY4" i="2" s="1"/>
  <c r="MU3" i="2"/>
  <c r="NG3" i="2" l="1"/>
  <c r="NI3" i="2" s="1"/>
  <c r="NG4" i="2"/>
  <c r="NI4" i="2" s="1"/>
  <c r="MK4" i="2"/>
  <c r="MM4" i="2" s="1"/>
  <c r="MO4" i="2" s="1"/>
  <c r="MK3" i="2"/>
  <c r="MM3" i="2" s="1"/>
  <c r="MO3" i="2" s="1"/>
  <c r="MW3" i="2" l="1"/>
  <c r="MY3" i="2" s="1"/>
  <c r="ME4" i="2"/>
  <c r="MA4" i="2"/>
  <c r="MC4" i="2" s="1"/>
  <c r="ME3" i="2"/>
  <c r="MA3" i="2"/>
  <c r="MC3" i="2" s="1"/>
  <c r="LU4" i="2"/>
  <c r="LQ4" i="2"/>
  <c r="LS4" i="2" s="1"/>
  <c r="LU3" i="2"/>
  <c r="LQ3" i="2"/>
  <c r="LS3" i="2" s="1"/>
  <c r="LK4" i="2" l="1"/>
  <c r="LG4" i="2"/>
  <c r="LI4" i="2" s="1"/>
  <c r="LK3" i="2"/>
  <c r="LG3" i="2"/>
  <c r="LI3" i="2" s="1"/>
  <c r="KW4" i="2" l="1"/>
  <c r="KW3" i="2"/>
  <c r="KY3" i="2" s="1"/>
  <c r="LA3" i="2" s="1"/>
  <c r="KM4" i="2"/>
  <c r="KO4" i="2" s="1"/>
  <c r="KQ4" i="2" s="1"/>
  <c r="KM3" i="2"/>
  <c r="KO3" i="2" s="1"/>
  <c r="KQ3" i="2" s="1"/>
  <c r="KG4" i="2"/>
  <c r="KC4" i="2"/>
  <c r="KE4" i="2" s="1"/>
  <c r="KG3" i="2"/>
  <c r="KC3" i="2"/>
  <c r="KE3" i="2" s="1"/>
  <c r="KY4" i="2" l="1"/>
  <c r="LA4" i="2" s="1"/>
  <c r="JW4" i="2"/>
  <c r="JS4" i="2"/>
  <c r="JU4" i="2" s="1"/>
  <c r="JW3" i="2"/>
  <c r="JS3" i="2"/>
  <c r="JU3" i="2" s="1"/>
  <c r="JI4" i="2" l="1"/>
  <c r="JK4" i="2" s="1"/>
  <c r="JM4" i="2" s="1"/>
  <c r="JI3" i="2"/>
  <c r="JK3" i="2" s="1"/>
  <c r="JM3" i="2" s="1"/>
  <c r="JC4" i="2"/>
  <c r="IY4" i="2"/>
  <c r="JA4" i="2" s="1"/>
  <c r="JC3" i="2"/>
  <c r="IY3" i="2"/>
  <c r="JA3" i="2" s="1"/>
  <c r="IS4" i="2"/>
  <c r="IO4" i="2"/>
  <c r="IQ4" i="2" s="1"/>
  <c r="IS3" i="2"/>
  <c r="IO3" i="2"/>
  <c r="IQ3" i="2" s="1"/>
  <c r="II4" i="2"/>
  <c r="IE4" i="2"/>
  <c r="IG4" i="2" s="1"/>
  <c r="II3" i="2"/>
  <c r="IE3" i="2"/>
  <c r="IG3" i="2" s="1"/>
  <c r="HY4" i="2"/>
  <c r="HU4" i="2"/>
  <c r="HW4" i="2" s="1"/>
  <c r="HY3" i="2"/>
  <c r="HU3" i="2"/>
  <c r="HW3" i="2" s="1"/>
  <c r="HO4" i="2"/>
  <c r="HK4" i="2"/>
  <c r="HM4" i="2" s="1"/>
  <c r="HO3" i="2"/>
  <c r="HK3" i="2"/>
  <c r="HM3" i="2" s="1"/>
  <c r="W16" i="3" l="1"/>
  <c r="HA4" i="2" l="1"/>
  <c r="HC4" i="2" s="1"/>
  <c r="HE4" i="2" s="1"/>
  <c r="HA3" i="2"/>
  <c r="HC3" i="2" s="1"/>
  <c r="HE3" i="2" s="1"/>
  <c r="GQ4" i="2"/>
  <c r="GS4" i="2" s="1"/>
  <c r="GU4" i="2" s="1"/>
  <c r="GQ3" i="2"/>
  <c r="GS3" i="2" s="1"/>
  <c r="GU3" i="2" s="1"/>
  <c r="GK4" i="2"/>
  <c r="GG4" i="2"/>
  <c r="GI4" i="2" s="1"/>
  <c r="GK3" i="2"/>
  <c r="GG3" i="2"/>
  <c r="GI3" i="2" s="1"/>
  <c r="FO4" i="2"/>
  <c r="FQ4" i="2"/>
  <c r="FW4" i="2"/>
  <c r="FY4" i="2" s="1"/>
  <c r="GA4" i="2" s="1"/>
  <c r="GA3" i="2"/>
  <c r="FW3" i="2"/>
  <c r="FY3" i="2" s="1"/>
  <c r="FM4" i="2"/>
  <c r="FQ3" i="2"/>
  <c r="FM3" i="2"/>
  <c r="FO3" i="2" s="1"/>
  <c r="FC4" i="2"/>
  <c r="FC3" i="2"/>
  <c r="FE4" i="2" l="1"/>
  <c r="FG4" i="2" s="1"/>
  <c r="ES4" i="2"/>
  <c r="ES3" i="2"/>
  <c r="EU3" i="2" s="1"/>
  <c r="EW3" i="2" s="1"/>
  <c r="EI4" i="2"/>
  <c r="EI3" i="2"/>
  <c r="DY4" i="2"/>
  <c r="EA4" i="2" s="1"/>
  <c r="EC4" i="2" s="1"/>
  <c r="DY3" i="2"/>
  <c r="DS4" i="2"/>
  <c r="DO4" i="2"/>
  <c r="DQ4" i="2" s="1"/>
  <c r="DO3" i="2"/>
  <c r="DQ3" i="2" s="1"/>
  <c r="DS3" i="2" s="1"/>
  <c r="DE4" i="2"/>
  <c r="DE3" i="2"/>
  <c r="CU4" i="2"/>
  <c r="CU3" i="2"/>
  <c r="CW3" i="2" s="1"/>
  <c r="CY3" i="2" s="1"/>
  <c r="CK4" i="2"/>
  <c r="CK3" i="2"/>
  <c r="CA4" i="2"/>
  <c r="CA3" i="2"/>
  <c r="CM3" i="2" l="1"/>
  <c r="CO3" i="2" s="1"/>
  <c r="CW4" i="2"/>
  <c r="CY4" i="2" s="1"/>
  <c r="EK3" i="2"/>
  <c r="EM3" i="2" s="1"/>
  <c r="EU4" i="2"/>
  <c r="EW4" i="2" s="1"/>
  <c r="EA3" i="2"/>
  <c r="EC3" i="2" s="1"/>
  <c r="CC3" i="2"/>
  <c r="CE3" i="2" s="1"/>
  <c r="CM4" i="2"/>
  <c r="CO4" i="2" s="1"/>
  <c r="DG3" i="2"/>
  <c r="DI3" i="2" s="1"/>
  <c r="EK4" i="2"/>
  <c r="EM4" i="2" s="1"/>
  <c r="DG4" i="2"/>
  <c r="DI4" i="2" s="1"/>
  <c r="FE3" i="2"/>
  <c r="FG3" i="2" s="1"/>
  <c r="BQ4" i="2"/>
  <c r="BS4" i="2" s="1"/>
  <c r="BU4" i="2" s="1"/>
  <c r="BQ3" i="2"/>
  <c r="BG4" i="2"/>
  <c r="BG3" i="2"/>
  <c r="AW4" i="2"/>
  <c r="AW3" i="2"/>
  <c r="Y10" i="3"/>
  <c r="Y9" i="3"/>
  <c r="Y8" i="3"/>
  <c r="CC4" i="2" l="1"/>
  <c r="CE4" i="2" s="1"/>
  <c r="BS3" i="2"/>
  <c r="BU3" i="2" s="1"/>
  <c r="BI4" i="2"/>
  <c r="BK4" i="2" s="1"/>
  <c r="BI3" i="2"/>
  <c r="BK3" i="2" s="1"/>
  <c r="T4" i="3"/>
  <c r="P4" i="3"/>
  <c r="R4" i="3" s="1"/>
  <c r="T3" i="3"/>
  <c r="P3" i="3"/>
  <c r="R3" i="3" s="1"/>
  <c r="AM4" i="2"/>
  <c r="AY4" i="2" s="1"/>
  <c r="BA4" i="2" s="1"/>
  <c r="AM3" i="2"/>
  <c r="AY3" i="2" s="1"/>
  <c r="BA3" i="2" s="1"/>
  <c r="AC3" i="2" l="1"/>
  <c r="S3" i="2"/>
  <c r="M3" i="2"/>
  <c r="I3" i="2"/>
  <c r="U3" i="2" l="1"/>
  <c r="W3" i="2" s="1"/>
  <c r="AE3" i="2"/>
  <c r="AG3" i="2" s="1"/>
  <c r="AO3" i="2"/>
  <c r="AQ3" i="2" s="1"/>
  <c r="AC4" i="2"/>
  <c r="S4" i="2"/>
  <c r="M4" i="2"/>
  <c r="I4" i="2"/>
  <c r="AE4" i="2" l="1"/>
  <c r="AG4" i="2" s="1"/>
  <c r="AO4" i="2"/>
  <c r="AQ4" i="2" s="1"/>
  <c r="U4" i="2"/>
  <c r="W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tc={1C341501-0646-4BDB-A316-9FB6CA2E5B9B}</author>
    <author>tc={01CC4498-F5B2-4B37-9468-2999D9BC5A81}</author>
    <author>tc={F950732E-34CA-4E7B-8591-24A3332AA38B}</author>
    <author>tc={0ADD3353-70DF-4CB3-8B22-0DB94AFE5AE0}</author>
    <author>tc={D9ACB92F-29E0-4FBC-8EB2-2E0E66783ECA}</author>
    <author>tc={4BEFB5CC-26A2-4939-AF2A-A10065D6E141}</author>
    <author>tc={87882D0B-4BF6-4A81-964B-3317709A5BF9}</author>
    <author>tc={D921C3B4-513C-4818-A9BA-6358939CF143}</author>
    <author>tc={99E03553-8478-4D51-9AFB-628405BD9F93}</author>
    <author>tc={D8857ECD-E0BB-4BD2-A13B-3282CC1B8D8F}</author>
    <author>tc={13833695-6361-41FA-A2C1-5BED96D4F68C}</author>
    <author>tc={B0830741-0F9D-4FEB-BE9E-EF592AAA5634}</author>
    <author>tc={7B1BC3F4-2369-4B97-808E-89B81A88D0BF}</author>
    <author>tc={32E5DA96-7A1C-40C8-A9C6-EB1B740E422E}</author>
    <author>Purchasing Assistant</author>
    <author>tc={CA2C7F89-74BE-481A-8358-530A274A58A1}</author>
    <author>tc={2A066CEE-6DE0-497D-9920-E1E6281023DF}</author>
    <author>tc={FCA12BC5-C0CC-4BDC-8CD9-9A49CD286D48}</author>
    <author>tc={2A955A24-987A-4C22-9994-7DA525E8AE26}</author>
    <author>tc={878F7725-69A7-4F1B-B3D0-3C27333D3061}</author>
  </authors>
  <commentList>
    <comment ref="BC1" authorId="0" shapeId="0" xr:uid="{1C341501-0646-4BDB-A316-9FB6CA2E5B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fill out the Hop &amp; Wine Inventory!  Thank you!
Reply:
    @Vienna </t>
      </text>
    </comment>
    <comment ref="BO1" authorId="1" shapeId="0" xr:uid="{01CC4498-F5B2-4B37-9468-2999D9BC5A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fill out the Hop &amp; Wine! Thank you!
Reply:
    @Vienna 
Reply:
    Please do the Hop &amp; Wine inventory, thank you
Reply:
    @Vienna 
Reply:
    Done Giovanny I did it
</t>
      </text>
    </comment>
    <comment ref="DM1" authorId="2" shapeId="0" xr:uid="{F950732E-34CA-4E7B-8591-24A3332AA3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fill in the Inventory? Thank you!
Reply:
    @Vienna </t>
      </text>
    </comment>
    <comment ref="EQ1" authorId="3" shapeId="0" xr:uid="{0ADD3353-70DF-4CB3-8B22-0DB94AFE5A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inventory as soon as possible! Thank you!
Reply:
    @Vienna </t>
      </text>
    </comment>
    <comment ref="HI1" authorId="4" shapeId="0" xr:uid="{D9ACB92F-29E0-4FBC-8EB2-2E0E66783E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 Thank you!
Reply:
    @Vienna </t>
      </text>
    </comment>
    <comment ref="JG1" authorId="5" shapeId="0" xr:uid="{4BEFB5CC-26A2-4939-AF2A-A10065D6E1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fill out the inventory!  Thank you!
Reply:
    @Vienna 
Reply:
    Good morning,
i just went back and added again.  please let me know if it still does not appear
Reply:
    Thank you </t>
      </text>
    </comment>
    <comment ref="JQ1" authorId="6" shapeId="0" xr:uid="{87882D0B-4BF6-4A81-964B-3317709A5B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Hop&amp;Wine Inventory! Thank you!
Reply:
    @Vienna </t>
      </text>
    </comment>
    <comment ref="KA1" authorId="7" shapeId="0" xr:uid="{D921C3B4-513C-4818-A9BA-6358939CF1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Thank you!
Reply:
    @Vienna </t>
      </text>
    </comment>
    <comment ref="KK1" authorId="8" shapeId="0" xr:uid="{99E03553-8478-4D51-9AFB-628405BD9F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Thank you!
Reply:
    @Vienna </t>
      </text>
    </comment>
    <comment ref="KU1" authorId="9" shapeId="0" xr:uid="{D8857ECD-E0BB-4BD2-A13B-3282CC1B8D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Good afternoon, can you please enter the Hop &amp; Wine inventory as soon as possible? Thank you!
Reply:
    @Vienna </t>
      </text>
    </comment>
    <comment ref="MI1" authorId="10" shapeId="0" xr:uid="{13833695-6361-41FA-A2C1-5BED96D4F6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Thank you!
Reply:
    @Vienna 
Reply:
    Please recount the Lager, thank you!</t>
      </text>
    </comment>
    <comment ref="MS1" authorId="11" shapeId="0" xr:uid="{B0830741-0F9D-4FEB-BE9E-EF592AAA56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IPA. Thank you!
Reply:
    @Vienna </t>
      </text>
    </comment>
    <comment ref="NM1" authorId="12" shapeId="0" xr:uid="{7B1BC3F4-2369-4B97-808E-89B81A88D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 Hop and Wine inventory as soon as possible! Thank you!
Reply:
    @Vienna </t>
      </text>
    </comment>
    <comment ref="OG1" authorId="13" shapeId="0" xr:uid="{32E5DA96-7A1C-40C8-A9C6-EB1B740E422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you please recount the Lager, thank you!</t>
      </text>
    </comment>
    <comment ref="PA1" authorId="14" shapeId="0" xr:uid="{5D9F0988-1B13-446C-A76E-3CD5C2C3D7C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looks like they switched the item used, check next week</t>
        </r>
      </text>
    </comment>
    <comment ref="QE1" authorId="15" shapeId="0" xr:uid="{CA2C7F89-74BE-481A-8358-530A274A58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kegs. Thank you!
Reply:
    @Vienna 
Reply:
    done</t>
      </text>
    </comment>
    <comment ref="RS1" authorId="14" shapeId="0" xr:uid="{BEA106E8-969B-4B85-AAB7-5791FF68047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emailed to recount the kegs</t>
        </r>
      </text>
    </comment>
    <comment ref="SW1" authorId="16" shapeId="0" xr:uid="{2A066CEE-6DE0-497D-9920-E1E6281023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kegs. Thank you!</t>
      </text>
    </comment>
    <comment ref="TG1" authorId="17" shapeId="0" xr:uid="{FCA12BC5-C0CC-4BDC-8CD9-9A49CD286D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 for hop and wine. Thank you!</t>
      </text>
    </comment>
    <comment ref="UK1" authorId="18" shapeId="0" xr:uid="{2A955A24-987A-4C22-9994-7DA525E8AE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Kegs. Thank you!</t>
      </text>
    </comment>
    <comment ref="VO1" authorId="19" shapeId="0" xr:uid="{878F7725-69A7-4F1B-B3D0-3C27333D306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hop &amp; wine. Thank you
Reply:
    Cam you please recount Lager. Thank you!</t>
      </text>
    </comment>
    <comment ref="MB3" authorId="14" shapeId="0" xr:uid="{A57BF295-57DB-4037-A034-F07369E13D4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B/O 4/22 emailed hop &amp; wine, it has been switched out 1 of each ipa, lager
</t>
        </r>
      </text>
    </comment>
    <comment ref="TB3" authorId="14" shapeId="0" xr:uid="{5AEB7DBD-86F0-4F81-9F04-1FE9ED3BE7CF}">
      <text>
        <r>
          <rPr>
            <sz val="9"/>
            <color indexed="81"/>
            <rFont val="Tahoma"/>
            <family val="2"/>
          </rPr>
          <t xml:space="preserve">looks like they switch the drinks sale </t>
        </r>
      </text>
    </comment>
    <comment ref="ANT3" authorId="14" shapeId="0" xr:uid="{DD140C3E-E061-4544-972F-5B1FB03AAC8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shorted 1keg
cr received</t>
        </r>
      </text>
    </comment>
  </commentList>
</comments>
</file>

<file path=xl/sharedStrings.xml><?xml version="1.0" encoding="utf-8"?>
<sst xmlns="http://schemas.openxmlformats.org/spreadsheetml/2006/main" count="1949" uniqueCount="128">
  <si>
    <t>NAME</t>
  </si>
  <si>
    <t>DATE</t>
  </si>
  <si>
    <t xml:space="preserve">George </t>
  </si>
  <si>
    <t>Kevin</t>
  </si>
  <si>
    <t>George</t>
  </si>
  <si>
    <t xml:space="preserve">Matilde </t>
  </si>
  <si>
    <t>George C</t>
  </si>
  <si>
    <t>Maria Fernanda</t>
  </si>
  <si>
    <t>Jose Crespo</t>
  </si>
  <si>
    <t>Kevin Henriquez</t>
  </si>
  <si>
    <t>Kevin H.</t>
  </si>
  <si>
    <t>MF Rivera</t>
  </si>
  <si>
    <t>M.F. Rivera</t>
  </si>
  <si>
    <t xml:space="preserve">M.F. Rivera </t>
  </si>
  <si>
    <t>Matilde Cabrera</t>
  </si>
  <si>
    <t xml:space="preserve">Manuel </t>
  </si>
  <si>
    <t>03.18.25</t>
  </si>
  <si>
    <t>Manuel Cruz</t>
  </si>
  <si>
    <t>04.07.25</t>
  </si>
  <si>
    <t>4.14.25</t>
  </si>
  <si>
    <t xml:space="preserve">Manuel Cruz </t>
  </si>
  <si>
    <t>4.21.25</t>
  </si>
  <si>
    <t>04.29.25</t>
  </si>
  <si>
    <t>Matilde C</t>
  </si>
  <si>
    <t>05.20.25</t>
  </si>
  <si>
    <t>05.27.25</t>
  </si>
  <si>
    <t>06.10.25</t>
  </si>
  <si>
    <t>Andres Villanueva</t>
  </si>
  <si>
    <t>Edy Barros</t>
  </si>
  <si>
    <t>KEGS</t>
  </si>
  <si>
    <t>UNIT</t>
  </si>
  <si>
    <t>PAR</t>
  </si>
  <si>
    <t>WLK-IN</t>
  </si>
  <si>
    <t>BAR</t>
  </si>
  <si>
    <t>TOT</t>
  </si>
  <si>
    <t>ORD</t>
  </si>
  <si>
    <t>USE</t>
  </si>
  <si>
    <t>PMIX</t>
  </si>
  <si>
    <t>VAR</t>
  </si>
  <si>
    <t>OLD TOWN LAGER</t>
  </si>
  <si>
    <t>ea</t>
  </si>
  <si>
    <t>ORANGE STAR FISH IPA</t>
  </si>
  <si>
    <t>EMPTY KEGS</t>
  </si>
  <si>
    <t>THESE KEGS MUST BE RETURNED ON YOUR NEXT DELIVERY!</t>
  </si>
  <si>
    <t>TOT EMPTY KEGS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</si>
  <si>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</si>
  <si>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</si>
  <si>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</si>
  <si>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1/2 Kegs</t>
  </si>
  <si>
    <t>Dos Equis, Miller Lite (BK Only)</t>
  </si>
  <si>
    <t>1/4 Kegs</t>
  </si>
  <si>
    <t>Modelo Especial, Miller Lite, Pacifico</t>
  </si>
  <si>
    <t>1/6 Kegs</t>
  </si>
  <si>
    <t>Old Town Lager, Power Moves IPA</t>
  </si>
  <si>
    <t>Formulas</t>
  </si>
  <si>
    <t>Size</t>
  </si>
  <si>
    <t>Oz/KEG</t>
  </si>
  <si>
    <t>How Many Beers were sold?</t>
  </si>
  <si>
    <t>% Keg Usage</t>
  </si>
  <si>
    <t>TOTAL:</t>
  </si>
  <si>
    <t>07.14.25</t>
  </si>
  <si>
    <t>7.22.25</t>
  </si>
  <si>
    <t xml:space="preserve">kelly H </t>
  </si>
  <si>
    <t>7.28.25</t>
  </si>
  <si>
    <t>Andres V.</t>
  </si>
  <si>
    <t>8.4.25</t>
  </si>
  <si>
    <t>8.11.25</t>
  </si>
  <si>
    <t>8.18.25</t>
  </si>
  <si>
    <t>8.25.25</t>
  </si>
  <si>
    <t>IPA</t>
  </si>
  <si>
    <t>LAGER</t>
  </si>
  <si>
    <t>9.1.25</t>
  </si>
  <si>
    <t>09.08.25</t>
  </si>
  <si>
    <t>Stephany Urgel</t>
  </si>
  <si>
    <t>09.15.25</t>
  </si>
  <si>
    <t>Stephany U</t>
  </si>
  <si>
    <t>Stephany U.</t>
  </si>
  <si>
    <t>Stepany Urgel</t>
  </si>
  <si>
    <t>10.14.25</t>
  </si>
  <si>
    <t>10.27.25</t>
  </si>
  <si>
    <t>Kevin H</t>
  </si>
  <si>
    <t>kelly H</t>
  </si>
  <si>
    <t>11.10.25</t>
  </si>
  <si>
    <t>11.17.25</t>
  </si>
  <si>
    <t>11.24.25</t>
  </si>
  <si>
    <t xml:space="preserve">Kelly H </t>
  </si>
  <si>
    <t>12.1.25</t>
  </si>
  <si>
    <t>12.8.25</t>
  </si>
  <si>
    <t>12.15.25</t>
  </si>
  <si>
    <t>Edy B</t>
  </si>
  <si>
    <t>12.22.25</t>
  </si>
  <si>
    <t>Raul J</t>
  </si>
  <si>
    <t>Raul Jimenez</t>
  </si>
  <si>
    <t>02.02.26</t>
  </si>
  <si>
    <t>02.09.26</t>
  </si>
  <si>
    <t>02.16.26</t>
  </si>
  <si>
    <t>02.23.26</t>
  </si>
  <si>
    <t>03.02.26</t>
  </si>
  <si>
    <t>03.09.26</t>
  </si>
  <si>
    <t>03.16.26</t>
  </si>
  <si>
    <t>03.23.26</t>
  </si>
  <si>
    <t>03.30.26</t>
  </si>
  <si>
    <t>04.06.26</t>
  </si>
  <si>
    <t>04.14.26</t>
  </si>
  <si>
    <t xml:space="preserve">Keila </t>
  </si>
  <si>
    <t>04.27.26</t>
  </si>
  <si>
    <t>George Cabrera</t>
  </si>
  <si>
    <t xml:space="preserve">NEXT ORDER DATE: </t>
  </si>
  <si>
    <t>05.11.26</t>
  </si>
  <si>
    <t>05.18.26</t>
  </si>
  <si>
    <t>06.01.26</t>
  </si>
  <si>
    <t>RAUL JIMENEZ</t>
  </si>
  <si>
    <t>06.08.26</t>
  </si>
  <si>
    <t>06.15.26</t>
  </si>
  <si>
    <t>06.22.26</t>
  </si>
  <si>
    <t>06.29.26</t>
  </si>
  <si>
    <t>07.06.26</t>
  </si>
  <si>
    <t>07.13.26</t>
  </si>
  <si>
    <t>07.20.26</t>
  </si>
  <si>
    <t>07.27.26</t>
  </si>
  <si>
    <t>08.03.26</t>
  </si>
  <si>
    <t>8.10.26</t>
  </si>
  <si>
    <t>08.17.26</t>
  </si>
  <si>
    <t>08.24.26</t>
  </si>
  <si>
    <t>08.31.26</t>
  </si>
  <si>
    <t>09.07.26</t>
  </si>
  <si>
    <t>09.14.26</t>
  </si>
  <si>
    <t>09.21.26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</si>
</sst>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9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2" fontId="5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2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0" xfId="0" applyNumberFormat="1"/>
    <xf numFmtId="0" fontId="2" fillId="3" borderId="9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left" vertical="center"/>
      <protection locked="0"/>
    </xf>
    <xf numFmtId="0" fontId="2" fillId="0" borderId="4" xfId="0" applyFont="1" applyFill="1" applyBorder="1" applyAlignment="1" applyProtection="1">
      <alignment horizontal="left" vertical="center"/>
      <protection locked="0"/>
    </xf>
    <xf numFmtId="0" fontId="2" fillId="0" borderId="2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>
      <alignment horizontal="center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2" fillId="0" borderId="10" xfId="0" applyFont="1" applyFill="1" applyBorder="1" applyAlignment="1">
      <alignment horizontal="center" wrapText="1"/>
    </xf>
  </cellXfs>
  <cellStyles count="1">
    <cellStyle name="Normal" xfId="0" builtinId="0"/>
  </cellStyles>
  <dxfs count="1093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enna" id="{B9679F5A-DE38-4FFB-ACB1-20F91440F5EE}" userId="Vienna@anitascorp.com" providerId="PeoplePicker"/>
  <person displayName="Vienna" id="{8EEAA9A8-056C-4509-B8AB-C5FB8358636B}" userId="S::Vienna@anitascorp.com::1465daa8-2ca0-483c-b2a0-ea49381f03fd" providerId="AD"/>
  <person displayName="Vienna" id="{EC96C3A6-CFE6-4E2C-99FB-97D2634EB7AA}" userId="S::vienna@anitascorp.com::1465daa8-2ca0-483c-b2a0-ea49381f03fd" providerId="AD"/>
  <person displayName="Purchasing Assistant" id="{F65F5333-1F94-45ED-BC61-C8478E94E410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C1" dT="2024-09-25T10:16:33.23" personId="{F65F5333-1F94-45ED-BC61-C8478E94E410}" id="{1C341501-0646-4BDB-A316-9FB6CA2E5B9B}">
    <text>Morning, please don’t forget to fill out the Hop &amp; Wine Inventory!  Thank you!</text>
  </threadedComment>
  <threadedComment ref="BC1" dT="2024-09-25T10:16:39.67" personId="{F65F5333-1F94-45ED-BC61-C8478E94E410}" id="{E8ADE17A-A425-491A-B30E-5C511A8EB6CF}" parentId="{1C341501-0646-4BDB-A316-9FB6CA2E5B9B}">
    <text xml:space="preserve">@Vienna </text>
    <mentions>
      <mention mentionpersonId="{B9679F5A-DE38-4FFB-ACB1-20F91440F5EE}" mentionId="{16D8AE99-CAD8-4B3D-BE36-D83726FE206B}" startIndex="0" length="7"/>
    </mentions>
  </threadedComment>
  <threadedComment ref="BO1" dT="2024-09-30T10:41:57.20" personId="{F65F5333-1F94-45ED-BC61-C8478E94E410}" id="{01CC4498-F5B2-4B37-9468-2999D9BC5A81}">
    <text>Morning, please fill out the Hop &amp; Wine! Thank you!</text>
  </threadedComment>
  <threadedComment ref="BO1" dT="2024-09-30T10:42:04.18" personId="{F65F5333-1F94-45ED-BC61-C8478E94E410}" id="{255F2D3D-1DEA-43C4-93D3-1D155786205A}" parentId="{01CC4498-F5B2-4B37-9468-2999D9BC5A81}">
    <text xml:space="preserve">@Vienna </text>
    <mentions>
      <mention mentionpersonId="{B9679F5A-DE38-4FFB-ACB1-20F91440F5EE}" mentionId="{71CB8C22-00B2-4DB9-85EF-510296271B8B}" startIndex="0" length="7"/>
    </mentions>
  </threadedComment>
  <threadedComment ref="BO1" dT="2024-10-02T13:18:33.73" personId="{F65F5333-1F94-45ED-BC61-C8478E94E410}" id="{24FC8584-AE99-42E8-9D89-BA81DA875FFC}" parentId="{01CC4498-F5B2-4B37-9468-2999D9BC5A81}">
    <text>Please do the Hop &amp; Wine inventory, thank you</text>
  </threadedComment>
  <threadedComment ref="BO1" dT="2024-10-02T13:18:41.40" personId="{F65F5333-1F94-45ED-BC61-C8478E94E410}" id="{487E4BFE-B06D-4970-BDBB-8383DCA54279}" parentId="{01CC4498-F5B2-4B37-9468-2999D9BC5A81}">
    <text xml:space="preserve">@Vienna </text>
    <mentions>
      <mention mentionpersonId="{B9679F5A-DE38-4FFB-ACB1-20F91440F5EE}" mentionId="{E6F53BE9-B13B-4B1D-8A7E-1516165EEEAC}" startIndex="0" length="7"/>
    </mentions>
  </threadedComment>
  <threadedComment ref="BO1" dT="2024-10-02T17:30:52.02" personId="{8EEAA9A8-056C-4509-B8AB-C5FB8358636B}" id="{6FEABCC3-1ABC-462A-96BC-4D4BD71EC40B}" parentId="{01CC4498-F5B2-4B37-9468-2999D9BC5A81}">
    <text xml:space="preserve">Done Giovanny I did it
</text>
  </threadedComment>
  <threadedComment ref="DM1" dT="2024-11-06T11:23:33.34" personId="{F65F5333-1F94-45ED-BC61-C8478E94E410}" id="{F950732E-34CA-4E7B-8591-24A3332AA38B}">
    <text>Morning, can you please fill in the Inventory? Thank you!</text>
  </threadedComment>
  <threadedComment ref="DM1" dT="2024-11-06T11:23:41.15" personId="{F65F5333-1F94-45ED-BC61-C8478E94E410}" id="{0A2ACB3D-F512-455B-A230-CD97E6640D29}" parentId="{F950732E-34CA-4E7B-8591-24A3332AA38B}">
    <text xml:space="preserve">@Vienna </text>
    <mentions>
      <mention mentionpersonId="{B9679F5A-DE38-4FFB-ACB1-20F91440F5EE}" mentionId="{C9C3BD33-F431-47DD-96F8-57806C928F6C}" startIndex="0" length="7"/>
    </mentions>
  </threadedComment>
  <threadedComment ref="EQ1" dT="2024-11-27T11:39:49.81" personId="{F65F5333-1F94-45ED-BC61-C8478E94E410}" id="{0ADD3353-70DF-4CB3-8B22-0DB94AFE5AE0}">
    <text>Morning, please don’t forget to do the inventory as soon as possible! Thank you!</text>
  </threadedComment>
  <threadedComment ref="EQ1" dT="2024-11-27T11:40:06.62" personId="{F65F5333-1F94-45ED-BC61-C8478E94E410}" id="{1937C139-00BA-4177-A26A-9ED227D3450D}" parentId="{0ADD3353-70DF-4CB3-8B22-0DB94AFE5AE0}">
    <text xml:space="preserve">@Vienna </text>
    <mentions>
      <mention mentionpersonId="{B9679F5A-DE38-4FFB-ACB1-20F91440F5EE}" mentionId="{80DE1DDC-569F-46C7-8142-A526D65A95C9}" startIndex="0" length="7"/>
    </mentions>
  </threadedComment>
  <threadedComment ref="HI1" dT="2025-01-28T11:16:52.04" personId="{F65F5333-1F94-45ED-BC61-C8478E94E410}" id="{D9ACB92F-29E0-4FBC-8EB2-2E0E66783ECA}">
    <text xml:space="preserve">Morning, please don’t forget to do the Hop &amp; Wine inventory!  Thank you!
</text>
  </threadedComment>
  <threadedComment ref="HI1" dT="2025-01-28T11:17:01.00" personId="{F65F5333-1F94-45ED-BC61-C8478E94E410}" id="{2105BA15-D304-4E8D-A3E2-6C3D87481AA7}" parentId="{D9ACB92F-29E0-4FBC-8EB2-2E0E66783ECA}">
    <text xml:space="preserve">@Vienna </text>
    <mentions>
      <mention mentionpersonId="{B9679F5A-DE38-4FFB-ACB1-20F91440F5EE}" mentionId="{D76730B4-5F1D-4ECA-B75B-B12676B3D46E}" startIndex="0" length="7"/>
    </mentions>
  </threadedComment>
  <threadedComment ref="JG1" dT="2025-03-07T13:51:50.73" personId="{F65F5333-1F94-45ED-BC61-C8478E94E410}" id="{4BEFB5CC-26A2-4939-AF2A-A10065D6E141}">
    <text>Morning, please don’t forget to fill out the inventory!  Thank you!</text>
  </threadedComment>
  <threadedComment ref="JG1" dT="2025-03-07T13:52:19.34" personId="{F65F5333-1F94-45ED-BC61-C8478E94E410}" id="{E2954FE8-2B24-47D9-B0D6-86BDE077C73A}" parentId="{4BEFB5CC-26A2-4939-AF2A-A10065D6E141}">
    <text xml:space="preserve">@Vienna </text>
    <mentions>
      <mention mentionpersonId="{B9679F5A-DE38-4FFB-ACB1-20F91440F5EE}" mentionId="{0F698F99-067D-40DE-8971-2761A25EF1C5}" startIndex="0" length="7"/>
    </mentions>
  </threadedComment>
  <threadedComment ref="JG1" dT="2025-03-07T15:21:55.85" personId="{EC96C3A6-CFE6-4E2C-99FB-97D2634EB7AA}" id="{4C4934C4-6DFB-4E1D-9EC6-349D48238684}" parentId="{4BEFB5CC-26A2-4939-AF2A-A10065D6E141}">
    <text>Good morning,
i just went back and added again.  please let me know if it still does not appear</text>
  </threadedComment>
  <threadedComment ref="JG1" dT="2025-03-07T15:29:32.49" personId="{F65F5333-1F94-45ED-BC61-C8478E94E410}" id="{0876750B-739B-499A-A8E4-4DCF108ED597}" parentId="{4BEFB5CC-26A2-4939-AF2A-A10065D6E141}">
    <text xml:space="preserve">Thank you </text>
  </threadedComment>
  <threadedComment ref="JQ1" dT="2025-03-11T10:12:06.47" personId="{F65F5333-1F94-45ED-BC61-C8478E94E410}" id="{87882D0B-4BF6-4A81-964B-3317709A5BF9}">
    <text>Morning, please don’t forget to do the Hop&amp;Wine Inventory! Thank you!</text>
  </threadedComment>
  <threadedComment ref="JQ1" dT="2025-03-11T10:12:22.53" personId="{F65F5333-1F94-45ED-BC61-C8478E94E410}" id="{657CA600-33DE-4F3F-8BA7-8E630F094CEA}" parentId="{87882D0B-4BF6-4A81-964B-3317709A5BF9}">
    <text xml:space="preserve">@Vienna </text>
    <mentions>
      <mention mentionpersonId="{B9679F5A-DE38-4FFB-ACB1-20F91440F5EE}" mentionId="{3D8A3402-D1BA-47F0-907C-79F18BB6537F}" startIndex="0" length="7"/>
    </mentions>
  </threadedComment>
  <threadedComment ref="KA1" dT="2025-03-18T10:08:51.99" personId="{F65F5333-1F94-45ED-BC61-C8478E94E410}" id="{D921C3B4-513C-4818-A9BA-6358939CF143}">
    <text>Morning, please don’t forget to do the Hop &amp; Wine inventory! Thank you!</text>
  </threadedComment>
  <threadedComment ref="KA1" dT="2025-03-18T10:08:57.78" personId="{F65F5333-1F94-45ED-BC61-C8478E94E410}" id="{79AFB971-CD71-4E16-8D1F-8F8D8253E279}" parentId="{D921C3B4-513C-4818-A9BA-6358939CF143}">
    <text xml:space="preserve">@Vienna </text>
    <mentions>
      <mention mentionpersonId="{B9679F5A-DE38-4FFB-ACB1-20F91440F5EE}" mentionId="{16C9FCAF-5A44-4366-B0B9-5361AB14717F}" startIndex="0" length="7"/>
    </mentions>
  </threadedComment>
  <threadedComment ref="KK1" dT="2025-03-18T10:08:51.99" personId="{F65F5333-1F94-45ED-BC61-C8478E94E410}" id="{99E03553-8478-4D51-9AFB-628405BD9F93}">
    <text>Morning, please don’t forget to do the Hop &amp; Wine inventory! Thank you!</text>
  </threadedComment>
  <threadedComment ref="KK1" dT="2025-03-18T10:08:57.78" personId="{F65F5333-1F94-45ED-BC61-C8478E94E410}" id="{258526DA-CD16-41F5-8BBC-606B6ACF00A3}" parentId="{99E03553-8478-4D51-9AFB-628405BD9F93}">
    <text xml:space="preserve">@Vienna </text>
    <mentions>
      <mention mentionpersonId="{B9679F5A-DE38-4FFB-ACB1-20F91440F5EE}" mentionId="{0864BC4B-5A3A-4F32-B2DB-415267C81E98}" startIndex="0" length="7"/>
    </mentions>
  </threadedComment>
  <threadedComment ref="KU1" dT="2025-04-01T16:30:23.75" personId="{F65F5333-1F94-45ED-BC61-C8478E94E410}" id="{D8857ECD-E0BB-4BD2-A13B-3282CC1B8D8F}">
    <text>Good afternoon, can you please enter the Hop &amp; Wine inventory as soon as possible? Thank you!</text>
  </threadedComment>
  <threadedComment ref="KU1" dT="2025-04-01T16:30:29.73" personId="{F65F5333-1F94-45ED-BC61-C8478E94E410}" id="{C6E41E05-BBD7-4786-A10A-0131978D2EDA}" parentId="{D8857ECD-E0BB-4BD2-A13B-3282CC1B8D8F}">
    <text xml:space="preserve">@Vienna </text>
    <mentions>
      <mention mentionpersonId="{B9679F5A-DE38-4FFB-ACB1-20F91440F5EE}" mentionId="{EC523B19-0BDA-4971-8C23-FD8050C66E42}" startIndex="0" length="7"/>
    </mentions>
  </threadedComment>
  <threadedComment ref="MI1" dT="2025-04-29T10:06:55.28" personId="{F65F5333-1F94-45ED-BC61-C8478E94E410}" id="{13833695-6361-41FA-A2C1-5BED96D4F68C}">
    <text>Morning, please don’t forget to do the Hop &amp; Wine Inventory! Thank you!</text>
  </threadedComment>
  <threadedComment ref="MI1" dT="2025-04-29T10:07:08.64" personId="{F65F5333-1F94-45ED-BC61-C8478E94E410}" id="{C6B8CBBD-6632-4D96-88EB-A0A742F94CB7}" parentId="{13833695-6361-41FA-A2C1-5BED96D4F68C}">
    <text xml:space="preserve">@Vienna </text>
    <mentions>
      <mention mentionpersonId="{B9679F5A-DE38-4FFB-ACB1-20F91440F5EE}" mentionId="{16F93830-250B-4C5C-9B1B-43199C30DF5A}" startIndex="0" length="7"/>
    </mentions>
  </threadedComment>
  <threadedComment ref="MI1" dT="2025-04-29T15:51:18.55" personId="{F65F5333-1F94-45ED-BC61-C8478E94E410}" id="{A95041E1-794A-4ADE-BC62-BA2EF569ADAB}" parentId="{13833695-6361-41FA-A2C1-5BED96D4F68C}">
    <text>Please recount the Lager, thank you!</text>
  </threadedComment>
  <threadedComment ref="MS1" dT="2025-05-06T10:30:39.97" personId="{F65F5333-1F94-45ED-BC61-C8478E94E410}" id="{B0830741-0F9D-4FEB-BE9E-EF592AAA5634}">
    <text>Morning, please recount the IPA. Thank you!</text>
  </threadedComment>
  <threadedComment ref="MS1" dT="2025-05-06T10:30:44.40" personId="{F65F5333-1F94-45ED-BC61-C8478E94E410}" id="{9D2C3BF9-E80B-41E7-A322-36281B88705D}" parentId="{B0830741-0F9D-4FEB-BE9E-EF592AAA5634}">
    <text xml:space="preserve">@Vienna </text>
    <mentions>
      <mention mentionpersonId="{B9679F5A-DE38-4FFB-ACB1-20F91440F5EE}" mentionId="{FD98339A-3D72-4F35-BCDE-3CD4E4FBA9BF}" startIndex="0" length="7"/>
    </mentions>
  </threadedComment>
  <threadedComment ref="NM1" dT="2025-05-20T10:17:34.65" personId="{F65F5333-1F94-45ED-BC61-C8478E94E410}" id="{7B1BC3F4-2369-4B97-808E-89B81A88D0BF}">
    <text>Morning, please do Hop and Wine inventory as soon as possible! Thank you!</text>
  </threadedComment>
  <threadedComment ref="NM1" dT="2025-05-20T10:17:40.55" personId="{F65F5333-1F94-45ED-BC61-C8478E94E410}" id="{62D4EB25-3D1A-4CAB-844D-2D2648E1CED7}" parentId="{7B1BC3F4-2369-4B97-808E-89B81A88D0BF}">
    <text xml:space="preserve">@Vienna </text>
    <mentions>
      <mention mentionpersonId="{B9679F5A-DE38-4FFB-ACB1-20F91440F5EE}" mentionId="{70666CD3-8BAB-47C2-B0F0-BA811788EDB9}" startIndex="0" length="7"/>
    </mentions>
  </threadedComment>
  <threadedComment ref="OG1" dT="2025-06-03T16:30:35.50" personId="{F65F5333-1F94-45ED-BC61-C8478E94E410}" id="{32E5DA96-7A1C-40C8-A9C6-EB1B740E422E}">
    <text>Can you please recount the Lager, thank you!</text>
  </threadedComment>
  <threadedComment ref="QE1" dT="2025-07-08T13:51:58.54" personId="{F65F5333-1F94-45ED-BC61-C8478E94E410}" id="{CA2C7F89-74BE-481A-8358-530A274A58A1}">
    <text>Morning, please recount the kegs. Thank you!</text>
  </threadedComment>
  <threadedComment ref="QE1" dT="2025-07-08T13:52:02.75" personId="{F65F5333-1F94-45ED-BC61-C8478E94E410}" id="{ED9CC4CE-755C-4C1C-A3DE-0AB73A64931A}" parentId="{CA2C7F89-74BE-481A-8358-530A274A58A1}">
    <text xml:space="preserve">@Vienna </text>
    <mentions>
      <mention mentionpersonId="{B9679F5A-DE38-4FFB-ACB1-20F91440F5EE}" mentionId="{720C412E-0D79-42EB-A9CB-76372628AC32}" startIndex="0" length="7"/>
    </mentions>
  </threadedComment>
  <threadedComment ref="QE1" dT="2025-07-08T14:20:48.23" personId="{EC96C3A6-CFE6-4E2C-99FB-97D2634EB7AA}" id="{76488DF8-E0A2-470F-BA11-5AE97FF7E57A}" parentId="{CA2C7F89-74BE-481A-8358-530A274A58A1}">
    <text>done</text>
  </threadedComment>
  <threadedComment ref="SW1" dT="2025-08-26T10:09:04.36" personId="{F65F5333-1F94-45ED-BC61-C8478E94E410}" id="{2A066CEE-6DE0-497D-9920-E1E6281023DF}">
    <text>Morning, please recount the kegs. Thank you!</text>
  </threadedComment>
  <threadedComment ref="TG1" dT="2025-09-02T11:59:50.57" personId="{F65F5333-1F94-45ED-BC61-C8478E94E410}" id="{FCA12BC5-C0CC-4BDC-8CD9-9A49CD286D48}">
    <text>Morning, please recount the kegs for hop and wine. Thank you!</text>
  </threadedComment>
  <threadedComment ref="UK1" dT="2025-09-23T10:50:26.52" personId="{F65F5333-1F94-45ED-BC61-C8478E94E410}" id="{2A955A24-987A-4C22-9994-7DA525E8AE26}">
    <text>Morning, please recount the Kegs. Thank you!</text>
  </threadedComment>
  <threadedComment ref="VO1" dT="2025-10-14T10:17:44.13" personId="{F65F5333-1F94-45ED-BC61-C8478E94E410}" id="{878F7725-69A7-4F1B-B3D0-3C27333D3061}">
    <text>Morning, please inventory hop &amp; wine. Thank you</text>
  </threadedComment>
  <threadedComment ref="VO1" dT="2025-10-14T12:46:57.75" personId="{F65F5333-1F94-45ED-BC61-C8478E94E410}" id="{FC7950C4-533B-4D77-AFFA-DEAA2D126A22}" parentId="{878F7725-69A7-4F1B-B3D0-3C27333D3061}">
    <text>Cam you please recount Lager. Thank you!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APA13"/>
  <sheetViews>
    <sheetView tabSelected="1" view="pageLayout" zoomScale="130" zoomScaleNormal="130" zoomScalePageLayoutView="130" workbookViewId="0">
      <selection activeCell="ANQ1" sqref="ANQ1:ANS1"/>
    </sheetView>
  </sheetViews>
  <sheetFormatPr defaultColWidth="9.140625" defaultRowHeight="12.75" customHeight="1" x14ac:dyDescent="0.2"/>
  <cols>
    <col min="1" max="1" width="14.28515625" style="1" customWidth="1"/>
    <col min="2" max="3" width="3.140625" style="1" customWidth="1"/>
    <col min="4" max="4" width="1.28515625" style="1" hidden="1" customWidth="1"/>
    <col min="5" max="5" width="3.140625" style="9" hidden="1" customWidth="1"/>
    <col min="6" max="6" width="2.42578125" style="10" hidden="1" customWidth="1"/>
    <col min="7" max="7" width="3.14062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3.140625" style="9" hidden="1" customWidth="1"/>
    <col min="16" max="16" width="2.42578125" style="10" hidden="1" customWidth="1"/>
    <col min="17" max="17" width="3.14062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3.140625" style="9" hidden="1" customWidth="1"/>
    <col min="26" max="26" width="2.42578125" style="10" hidden="1" customWidth="1"/>
    <col min="27" max="27" width="3.14062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3.140625" style="9" hidden="1" customWidth="1"/>
    <col min="36" max="36" width="2.42578125" style="10" hidden="1" customWidth="1"/>
    <col min="37" max="37" width="3.14062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3.140625" style="9" hidden="1" customWidth="1"/>
    <col min="46" max="46" width="2.42578125" style="10" hidden="1" customWidth="1"/>
    <col min="47" max="47" width="3.14062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3.140625" style="9" hidden="1" customWidth="1"/>
    <col min="56" max="56" width="2.42578125" style="10" hidden="1" customWidth="1"/>
    <col min="57" max="57" width="3.14062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3.140625" style="9" hidden="1" customWidth="1"/>
    <col min="66" max="66" width="2.42578125" style="10" hidden="1" customWidth="1"/>
    <col min="67" max="67" width="3.14062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3.140625" style="9" hidden="1" customWidth="1"/>
    <col min="76" max="76" width="2.42578125" style="10" hidden="1" customWidth="1"/>
    <col min="77" max="77" width="3.14062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3.140625" style="9" hidden="1" customWidth="1"/>
    <col min="86" max="86" width="2.42578125" style="10" hidden="1" customWidth="1"/>
    <col min="87" max="87" width="3.14062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3.140625" style="9" hidden="1" customWidth="1"/>
    <col min="96" max="96" width="2.42578125" style="10" hidden="1" customWidth="1"/>
    <col min="97" max="97" width="3.140625" style="9" hidden="1" customWidth="1"/>
    <col min="98" max="98" width="2.42578125" style="10" hidden="1" customWidth="1"/>
    <col min="99" max="103" width="3.140625" style="9" hidden="1" customWidth="1"/>
    <col min="104" max="104" width="1.28515625" style="1" hidden="1" customWidth="1"/>
    <col min="105" max="105" width="3.140625" style="9" hidden="1" customWidth="1"/>
    <col min="106" max="106" width="2.42578125" style="10" hidden="1" customWidth="1"/>
    <col min="107" max="107" width="3.14062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3.140625" style="9" hidden="1" customWidth="1"/>
    <col min="116" max="116" width="2.42578125" style="10" hidden="1" customWidth="1"/>
    <col min="117" max="117" width="3.14062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3.140625" style="9" hidden="1" customWidth="1"/>
    <col min="126" max="126" width="2.42578125" style="10" hidden="1" customWidth="1"/>
    <col min="127" max="127" width="3.14062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3.140625" style="9" hidden="1" customWidth="1"/>
    <col min="136" max="136" width="2.42578125" style="10" hidden="1" customWidth="1"/>
    <col min="137" max="137" width="3.14062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3.140625" style="9" hidden="1" customWidth="1"/>
    <col min="146" max="146" width="2.42578125" style="10" hidden="1" customWidth="1"/>
    <col min="147" max="147" width="3.14062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3.140625" style="9" hidden="1" customWidth="1"/>
    <col min="156" max="156" width="2.42578125" style="10" hidden="1" customWidth="1"/>
    <col min="157" max="157" width="3.140625" style="9" hidden="1" customWidth="1"/>
    <col min="158" max="158" width="2.42578125" style="10" hidden="1" customWidth="1"/>
    <col min="159" max="163" width="3.140625" style="9" hidden="1" customWidth="1"/>
    <col min="164" max="164" width="1.28515625" style="1" hidden="1" customWidth="1"/>
    <col min="165" max="165" width="3.140625" style="9" hidden="1" customWidth="1"/>
    <col min="166" max="166" width="2.42578125" style="10" hidden="1" customWidth="1"/>
    <col min="167" max="167" width="3.140625" style="9" hidden="1" customWidth="1"/>
    <col min="168" max="168" width="2.42578125" style="10" hidden="1" customWidth="1"/>
    <col min="169" max="173" width="3.140625" style="9" hidden="1" customWidth="1"/>
    <col min="174" max="174" width="1.28515625" style="1" hidden="1" customWidth="1"/>
    <col min="175" max="175" width="3.140625" style="9" hidden="1" customWidth="1"/>
    <col min="176" max="176" width="2.42578125" style="10" hidden="1" customWidth="1"/>
    <col min="177" max="177" width="3.14062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3.140625" style="9" hidden="1" customWidth="1"/>
    <col min="186" max="186" width="2.42578125" style="10" hidden="1" customWidth="1"/>
    <col min="187" max="187" width="3.14062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3.140625" style="9" hidden="1" customWidth="1"/>
    <col min="196" max="196" width="2.42578125" style="10" hidden="1" customWidth="1"/>
    <col min="197" max="197" width="3.14062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3.140625" style="9" hidden="1" customWidth="1"/>
    <col min="206" max="206" width="2.42578125" style="10" hidden="1" customWidth="1"/>
    <col min="207" max="207" width="3.14062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3.140625" style="9" hidden="1" customWidth="1"/>
    <col min="216" max="216" width="2.42578125" style="10" hidden="1" customWidth="1"/>
    <col min="217" max="217" width="3.14062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3.140625" style="9" hidden="1" customWidth="1"/>
    <col min="226" max="226" width="2.42578125" style="10" hidden="1" customWidth="1"/>
    <col min="227" max="227" width="3.14062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3.140625" style="9" hidden="1" customWidth="1"/>
    <col min="236" max="236" width="2.42578125" style="10" hidden="1" customWidth="1"/>
    <col min="237" max="237" width="3.14062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3.140625" style="9" hidden="1" customWidth="1"/>
    <col min="246" max="246" width="2.42578125" style="10" hidden="1" customWidth="1"/>
    <col min="247" max="247" width="3.14062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3.140625" style="9" hidden="1" customWidth="1"/>
    <col min="256" max="256" width="2.42578125" style="10" hidden="1" customWidth="1"/>
    <col min="257" max="257" width="3.14062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3.140625" style="9" hidden="1" customWidth="1"/>
    <col min="266" max="266" width="2.42578125" style="10" hidden="1" customWidth="1"/>
    <col min="267" max="267" width="3.14062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3.140625" style="9" hidden="1" customWidth="1"/>
    <col min="276" max="276" width="2.42578125" style="10" hidden="1" customWidth="1"/>
    <col min="277" max="277" width="3.14062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3.140625" style="9" hidden="1" customWidth="1"/>
    <col min="286" max="286" width="2.42578125" style="10" hidden="1" customWidth="1"/>
    <col min="287" max="287" width="3.14062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3.140625" style="9" hidden="1" customWidth="1"/>
    <col min="296" max="296" width="2.42578125" style="10" hidden="1" customWidth="1"/>
    <col min="297" max="297" width="3.14062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3.140625" style="9" hidden="1" customWidth="1"/>
    <col min="306" max="306" width="2.42578125" style="10" hidden="1" customWidth="1"/>
    <col min="307" max="307" width="3.14062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3.140625" style="9" hidden="1" customWidth="1"/>
    <col min="316" max="316" width="2.42578125" style="10" hidden="1" customWidth="1"/>
    <col min="317" max="317" width="3.14062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3.140625" style="9" hidden="1" customWidth="1"/>
    <col min="326" max="326" width="2.42578125" style="10" hidden="1" customWidth="1"/>
    <col min="327" max="327" width="3.14062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3.140625" style="9" hidden="1" customWidth="1"/>
    <col min="336" max="336" width="2.42578125" style="10" hidden="1" customWidth="1"/>
    <col min="337" max="337" width="3.14062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3.140625" style="9" hidden="1" customWidth="1"/>
    <col min="346" max="346" width="2.42578125" style="10" hidden="1" customWidth="1"/>
    <col min="347" max="347" width="3.14062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3.140625" style="9" hidden="1" customWidth="1"/>
    <col min="356" max="356" width="2.42578125" style="10" hidden="1" customWidth="1"/>
    <col min="357" max="357" width="3.14062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3.140625" style="9" hidden="1" customWidth="1"/>
    <col min="366" max="366" width="2.42578125" style="10" hidden="1" customWidth="1"/>
    <col min="367" max="367" width="3.14062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3.140625" style="9" hidden="1" customWidth="1"/>
    <col min="376" max="376" width="2.42578125" style="10" hidden="1" customWidth="1"/>
    <col min="377" max="377" width="3.14062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3.140625" style="9" hidden="1" customWidth="1"/>
    <col min="386" max="386" width="2.42578125" style="10" hidden="1" customWidth="1"/>
    <col min="387" max="387" width="3.140625" style="9" hidden="1" customWidth="1"/>
    <col min="388" max="388" width="2.42578125" style="10" hidden="1" customWidth="1"/>
    <col min="389" max="393" width="3.140625" style="9" hidden="1" customWidth="1"/>
    <col min="394" max="394" width="1.28515625" style="1" hidden="1" customWidth="1"/>
    <col min="395" max="395" width="3.140625" style="9" hidden="1" customWidth="1"/>
    <col min="396" max="396" width="2.42578125" style="10" hidden="1" customWidth="1"/>
    <col min="397" max="397" width="3.14062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3.140625" style="9" hidden="1" customWidth="1"/>
    <col min="406" max="406" width="2.42578125" style="10" hidden="1" customWidth="1"/>
    <col min="407" max="407" width="3.14062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3.140625" style="9" hidden="1" customWidth="1"/>
    <col min="416" max="416" width="2.42578125" style="10" hidden="1" customWidth="1"/>
    <col min="417" max="417" width="3.14062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3.140625" style="9" hidden="1" customWidth="1"/>
    <col min="426" max="426" width="2.42578125" style="10" hidden="1" customWidth="1"/>
    <col min="427" max="427" width="3.140625" style="9" hidden="1" customWidth="1"/>
    <col min="428" max="428" width="2.42578125" style="10" hidden="1" customWidth="1"/>
    <col min="429" max="433" width="3.140625" style="9" hidden="1" customWidth="1"/>
    <col min="434" max="434" width="1.28515625" style="1" hidden="1" customWidth="1"/>
    <col min="435" max="435" width="3.140625" style="9" hidden="1" customWidth="1"/>
    <col min="436" max="436" width="2.42578125" style="10" hidden="1" customWidth="1"/>
    <col min="437" max="437" width="3.140625" style="9" hidden="1" customWidth="1"/>
    <col min="438" max="438" width="2.42578125" style="10" hidden="1" customWidth="1"/>
    <col min="439" max="443" width="3.140625" style="9" hidden="1" customWidth="1"/>
    <col min="444" max="444" width="1.28515625" style="1" hidden="1" customWidth="1"/>
    <col min="445" max="445" width="3.140625" style="9" hidden="1" customWidth="1"/>
    <col min="446" max="446" width="2.42578125" style="10" hidden="1" customWidth="1"/>
    <col min="447" max="447" width="3.140625" style="9" hidden="1" customWidth="1"/>
    <col min="448" max="448" width="2.42578125" style="10" hidden="1" customWidth="1"/>
    <col min="449" max="453" width="3.140625" style="9" hidden="1" customWidth="1"/>
    <col min="454" max="454" width="1.28515625" style="1" hidden="1" customWidth="1"/>
    <col min="455" max="455" width="3.140625" style="9" hidden="1" customWidth="1"/>
    <col min="456" max="456" width="2.42578125" style="10" hidden="1" customWidth="1"/>
    <col min="457" max="457" width="3.14062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3.140625" style="9" hidden="1" customWidth="1"/>
    <col min="466" max="466" width="2.42578125" style="10" hidden="1" customWidth="1"/>
    <col min="467" max="467" width="3.140625" style="9" hidden="1" customWidth="1"/>
    <col min="468" max="468" width="2.42578125" style="10" hidden="1" customWidth="1"/>
    <col min="469" max="473" width="3.140625" style="9" hidden="1" customWidth="1"/>
    <col min="474" max="474" width="1.28515625" style="1" hidden="1" customWidth="1"/>
    <col min="475" max="475" width="3.140625" style="9" hidden="1" customWidth="1"/>
    <col min="476" max="476" width="2.42578125" style="10" hidden="1" customWidth="1"/>
    <col min="477" max="477" width="3.14062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3.140625" style="9" hidden="1" customWidth="1"/>
    <col min="486" max="486" width="2.42578125" style="10" hidden="1" customWidth="1"/>
    <col min="487" max="487" width="3.140625" style="9" hidden="1" customWidth="1"/>
    <col min="488" max="488" width="2.42578125" style="10" hidden="1" customWidth="1"/>
    <col min="489" max="493" width="3.140625" style="9" hidden="1" customWidth="1"/>
    <col min="494" max="494" width="1.28515625" style="1" hidden="1" customWidth="1"/>
    <col min="495" max="495" width="3.140625" style="9" hidden="1" customWidth="1"/>
    <col min="496" max="496" width="2.42578125" style="10" hidden="1" customWidth="1"/>
    <col min="497" max="497" width="3.140625" style="9" hidden="1" customWidth="1"/>
    <col min="498" max="498" width="2.42578125" style="10" hidden="1" customWidth="1"/>
    <col min="499" max="503" width="3.140625" style="9" hidden="1" customWidth="1"/>
    <col min="504" max="504" width="1.28515625" style="1" hidden="1" customWidth="1"/>
    <col min="505" max="505" width="3.140625" style="9" hidden="1" customWidth="1"/>
    <col min="506" max="506" width="2.42578125" style="10" hidden="1" customWidth="1"/>
    <col min="507" max="507" width="3.140625" style="9" hidden="1" customWidth="1"/>
    <col min="508" max="508" width="2.42578125" style="10" hidden="1" customWidth="1"/>
    <col min="509" max="513" width="3.140625" style="9" hidden="1" customWidth="1"/>
    <col min="514" max="514" width="1.28515625" style="1" hidden="1" customWidth="1"/>
    <col min="515" max="515" width="3.140625" style="9" hidden="1" customWidth="1"/>
    <col min="516" max="516" width="2.42578125" style="10" hidden="1" customWidth="1"/>
    <col min="517" max="517" width="3.14062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3.140625" style="9" hidden="1" customWidth="1"/>
    <col min="526" max="526" width="2.42578125" style="10" hidden="1" customWidth="1"/>
    <col min="527" max="527" width="3.140625" style="9" hidden="1" customWidth="1"/>
    <col min="528" max="528" width="2.42578125" style="10" hidden="1" customWidth="1"/>
    <col min="529" max="533" width="3.140625" style="9" hidden="1" customWidth="1"/>
    <col min="534" max="534" width="1.28515625" style="1" hidden="1" customWidth="1"/>
    <col min="535" max="535" width="3.140625" style="9" hidden="1" customWidth="1"/>
    <col min="536" max="536" width="2.42578125" style="10" hidden="1" customWidth="1"/>
    <col min="537" max="537" width="3.14062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3.140625" style="9" hidden="1" customWidth="1"/>
    <col min="546" max="546" width="2.42578125" style="10" hidden="1" customWidth="1"/>
    <col min="547" max="547" width="3.140625" style="9" hidden="1" customWidth="1"/>
    <col min="548" max="548" width="2.42578125" style="10" hidden="1" customWidth="1"/>
    <col min="549" max="553" width="3.140625" style="9" hidden="1" customWidth="1"/>
    <col min="554" max="554" width="1.28515625" style="1" hidden="1" customWidth="1"/>
    <col min="555" max="555" width="3.140625" style="9" hidden="1" customWidth="1"/>
    <col min="556" max="556" width="2.42578125" style="10" hidden="1" customWidth="1"/>
    <col min="557" max="557" width="3.140625" style="9" hidden="1" customWidth="1"/>
    <col min="558" max="558" width="2.42578125" style="10" hidden="1" customWidth="1"/>
    <col min="559" max="563" width="3.140625" style="9" hidden="1" customWidth="1"/>
    <col min="564" max="564" width="1.28515625" style="1" hidden="1" customWidth="1"/>
    <col min="565" max="565" width="3.140625" style="9" hidden="1" customWidth="1"/>
    <col min="566" max="566" width="2.42578125" style="10" hidden="1" customWidth="1"/>
    <col min="567" max="567" width="3.14062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3.140625" style="9" hidden="1" customWidth="1"/>
    <col min="576" max="576" width="2.42578125" style="10" hidden="1" customWidth="1"/>
    <col min="577" max="577" width="3.140625" style="9" hidden="1" customWidth="1"/>
    <col min="578" max="578" width="2.42578125" style="10" hidden="1" customWidth="1"/>
    <col min="579" max="583" width="3.140625" style="9" hidden="1" customWidth="1"/>
    <col min="584" max="584" width="1.28515625" style="1" hidden="1" customWidth="1"/>
    <col min="585" max="585" width="3.140625" style="9" hidden="1" customWidth="1"/>
    <col min="586" max="586" width="2.42578125" style="10" hidden="1" customWidth="1"/>
    <col min="587" max="587" width="3.140625" style="9" hidden="1" customWidth="1"/>
    <col min="588" max="588" width="2.42578125" style="10" hidden="1" customWidth="1"/>
    <col min="589" max="593" width="3.140625" style="9" hidden="1" customWidth="1"/>
    <col min="594" max="594" width="1.28515625" style="1" hidden="1" customWidth="1"/>
    <col min="595" max="595" width="3.140625" style="9" hidden="1" customWidth="1"/>
    <col min="596" max="596" width="2.42578125" style="10" hidden="1" customWidth="1"/>
    <col min="597" max="597" width="3.140625" style="9" hidden="1" customWidth="1"/>
    <col min="598" max="598" width="2.42578125" style="10" hidden="1" customWidth="1"/>
    <col min="599" max="603" width="3.140625" style="9" hidden="1" customWidth="1"/>
    <col min="604" max="604" width="1.28515625" style="1" hidden="1" customWidth="1"/>
    <col min="605" max="605" width="3.140625" style="9" hidden="1" customWidth="1"/>
    <col min="606" max="606" width="2.42578125" style="10" hidden="1" customWidth="1"/>
    <col min="607" max="607" width="3.140625" style="9" hidden="1" customWidth="1"/>
    <col min="608" max="608" width="2.42578125" style="10" hidden="1" customWidth="1"/>
    <col min="609" max="613" width="3.140625" style="9" hidden="1" customWidth="1"/>
    <col min="614" max="614" width="1.28515625" style="1" hidden="1" customWidth="1"/>
    <col min="615" max="615" width="3.140625" style="9" hidden="1" customWidth="1"/>
    <col min="616" max="616" width="2.42578125" style="10" hidden="1" customWidth="1"/>
    <col min="617" max="617" width="3.140625" style="9" hidden="1" customWidth="1"/>
    <col min="618" max="618" width="2.42578125" style="10" hidden="1" customWidth="1"/>
    <col min="619" max="623" width="3.140625" style="9" hidden="1" customWidth="1"/>
    <col min="624" max="624" width="1.28515625" style="1" hidden="1" customWidth="1"/>
    <col min="625" max="625" width="3.140625" style="9" hidden="1" customWidth="1"/>
    <col min="626" max="626" width="2.42578125" style="10" hidden="1" customWidth="1"/>
    <col min="627" max="627" width="3.140625" style="9" hidden="1" customWidth="1"/>
    <col min="628" max="628" width="2.42578125" style="10" hidden="1" customWidth="1"/>
    <col min="629" max="633" width="3.140625" style="9" hidden="1" customWidth="1"/>
    <col min="634" max="634" width="1.28515625" style="1" hidden="1" customWidth="1"/>
    <col min="635" max="635" width="3.140625" style="9" hidden="1" customWidth="1"/>
    <col min="636" max="636" width="2.42578125" style="10" hidden="1" customWidth="1"/>
    <col min="637" max="637" width="3.140625" style="9" hidden="1" customWidth="1"/>
    <col min="638" max="638" width="2.42578125" style="10" hidden="1" customWidth="1"/>
    <col min="639" max="643" width="3.140625" style="9" hidden="1" customWidth="1"/>
    <col min="644" max="644" width="1.28515625" style="1" hidden="1" customWidth="1"/>
    <col min="645" max="645" width="3.140625" style="9" hidden="1" customWidth="1"/>
    <col min="646" max="646" width="2.42578125" style="10" hidden="1" customWidth="1"/>
    <col min="647" max="647" width="3.140625" style="9" hidden="1" customWidth="1"/>
    <col min="648" max="648" width="2.42578125" style="10" hidden="1" customWidth="1"/>
    <col min="649" max="653" width="3.140625" style="9" hidden="1" customWidth="1"/>
    <col min="654" max="654" width="1.28515625" style="1" hidden="1" customWidth="1"/>
    <col min="655" max="655" width="3.140625" style="9" hidden="1" customWidth="1"/>
    <col min="656" max="656" width="2.42578125" style="10" hidden="1" customWidth="1"/>
    <col min="657" max="657" width="3.140625" style="9" hidden="1" customWidth="1"/>
    <col min="658" max="658" width="2.42578125" style="10" hidden="1" customWidth="1"/>
    <col min="659" max="663" width="3.140625" style="9" hidden="1" customWidth="1"/>
    <col min="664" max="664" width="1.28515625" style="1" hidden="1" customWidth="1"/>
    <col min="665" max="665" width="3.140625" style="9" hidden="1" customWidth="1"/>
    <col min="666" max="666" width="2.42578125" style="10" hidden="1" customWidth="1"/>
    <col min="667" max="667" width="3.140625" style="9" hidden="1" customWidth="1"/>
    <col min="668" max="668" width="2.42578125" style="10" hidden="1" customWidth="1"/>
    <col min="669" max="673" width="3.140625" style="9" hidden="1" customWidth="1"/>
    <col min="674" max="674" width="1.28515625" style="1" hidden="1" customWidth="1"/>
    <col min="675" max="675" width="3.140625" style="9" hidden="1" customWidth="1"/>
    <col min="676" max="676" width="2.42578125" style="10" hidden="1" customWidth="1"/>
    <col min="677" max="677" width="3.140625" style="9" hidden="1" customWidth="1"/>
    <col min="678" max="678" width="2.42578125" style="10" hidden="1" customWidth="1"/>
    <col min="679" max="683" width="3.140625" style="9" hidden="1" customWidth="1"/>
    <col min="684" max="684" width="1.28515625" style="1" hidden="1" customWidth="1"/>
    <col min="685" max="685" width="3.140625" style="9" hidden="1" customWidth="1"/>
    <col min="686" max="686" width="2.42578125" style="10" hidden="1" customWidth="1"/>
    <col min="687" max="687" width="3.140625" style="9" hidden="1" customWidth="1"/>
    <col min="688" max="688" width="2.42578125" style="10" hidden="1" customWidth="1"/>
    <col min="689" max="693" width="3.140625" style="9" hidden="1" customWidth="1"/>
    <col min="694" max="694" width="1.28515625" style="1" hidden="1" customWidth="1"/>
    <col min="695" max="695" width="3.140625" style="9" hidden="1" customWidth="1"/>
    <col min="696" max="696" width="2.42578125" style="10" hidden="1" customWidth="1"/>
    <col min="697" max="697" width="3.140625" style="9" hidden="1" customWidth="1"/>
    <col min="698" max="698" width="2.42578125" style="10" hidden="1" customWidth="1"/>
    <col min="699" max="703" width="3.140625" style="9" hidden="1" customWidth="1"/>
    <col min="704" max="704" width="1.28515625" style="1" hidden="1" customWidth="1"/>
    <col min="705" max="705" width="3.140625" style="9" hidden="1" customWidth="1"/>
    <col min="706" max="706" width="2.42578125" style="10" hidden="1" customWidth="1"/>
    <col min="707" max="707" width="3.140625" style="9" hidden="1" customWidth="1"/>
    <col min="708" max="708" width="2.42578125" style="10" hidden="1" customWidth="1"/>
    <col min="709" max="713" width="3.140625" style="9" hidden="1" customWidth="1"/>
    <col min="714" max="714" width="1.28515625" style="1" hidden="1" customWidth="1"/>
    <col min="715" max="715" width="3.140625" style="9" hidden="1" customWidth="1"/>
    <col min="716" max="716" width="2.42578125" style="10" hidden="1" customWidth="1"/>
    <col min="717" max="717" width="3.140625" style="9" hidden="1" customWidth="1"/>
    <col min="718" max="718" width="2.42578125" style="10" hidden="1" customWidth="1"/>
    <col min="719" max="723" width="3.140625" style="9" hidden="1" customWidth="1"/>
    <col min="724" max="724" width="1.28515625" style="1" hidden="1" customWidth="1"/>
    <col min="725" max="725" width="3.140625" style="9" hidden="1" customWidth="1"/>
    <col min="726" max="726" width="2.42578125" style="10" hidden="1" customWidth="1"/>
    <col min="727" max="727" width="3.140625" style="9" hidden="1" customWidth="1"/>
    <col min="728" max="728" width="2.42578125" style="10" hidden="1" customWidth="1"/>
    <col min="729" max="733" width="3.140625" style="9" hidden="1" customWidth="1"/>
    <col min="734" max="734" width="1.28515625" style="1" hidden="1" customWidth="1"/>
    <col min="735" max="735" width="3.140625" style="9" hidden="1" customWidth="1"/>
    <col min="736" max="736" width="2.42578125" style="10" hidden="1" customWidth="1"/>
    <col min="737" max="737" width="3.140625" style="9" hidden="1" customWidth="1"/>
    <col min="738" max="738" width="2.42578125" style="10" hidden="1" customWidth="1"/>
    <col min="739" max="743" width="3.140625" style="9" hidden="1" customWidth="1"/>
    <col min="744" max="744" width="1.28515625" style="1" hidden="1" customWidth="1"/>
    <col min="745" max="745" width="3.140625" style="9" hidden="1" customWidth="1"/>
    <col min="746" max="746" width="2.42578125" style="10" hidden="1" customWidth="1"/>
    <col min="747" max="747" width="3.140625" style="9" hidden="1" customWidth="1"/>
    <col min="748" max="748" width="2.42578125" style="10" hidden="1" customWidth="1"/>
    <col min="749" max="753" width="3.140625" style="9" hidden="1" customWidth="1"/>
    <col min="754" max="754" width="1.28515625" style="1" hidden="1" customWidth="1"/>
    <col min="755" max="755" width="3.140625" style="9" hidden="1" customWidth="1"/>
    <col min="756" max="756" width="2.42578125" style="10" hidden="1" customWidth="1"/>
    <col min="757" max="757" width="3.140625" style="9" hidden="1" customWidth="1"/>
    <col min="758" max="758" width="2.42578125" style="10" hidden="1" customWidth="1"/>
    <col min="759" max="763" width="3.140625" style="9" hidden="1" customWidth="1"/>
    <col min="764" max="764" width="1.28515625" style="1" hidden="1" customWidth="1"/>
    <col min="765" max="765" width="3.140625" style="9" hidden="1" customWidth="1"/>
    <col min="766" max="766" width="2.42578125" style="10" hidden="1" customWidth="1"/>
    <col min="767" max="767" width="3.140625" style="9" hidden="1" customWidth="1"/>
    <col min="768" max="768" width="2.42578125" style="10" hidden="1" customWidth="1"/>
    <col min="769" max="773" width="3.140625" style="9" hidden="1" customWidth="1"/>
    <col min="774" max="774" width="1.28515625" style="1" hidden="1" customWidth="1"/>
    <col min="775" max="775" width="3.140625" style="9" hidden="1" customWidth="1"/>
    <col min="776" max="776" width="2.42578125" style="10" hidden="1" customWidth="1"/>
    <col min="777" max="777" width="3.140625" style="9" hidden="1" customWidth="1"/>
    <col min="778" max="778" width="2.42578125" style="10" hidden="1" customWidth="1"/>
    <col min="779" max="783" width="3.140625" style="9" hidden="1" customWidth="1"/>
    <col min="784" max="784" width="1.28515625" style="1" hidden="1" customWidth="1"/>
    <col min="785" max="785" width="3.140625" style="9" hidden="1" customWidth="1"/>
    <col min="786" max="786" width="2.42578125" style="10" hidden="1" customWidth="1"/>
    <col min="787" max="787" width="3.140625" style="9" hidden="1" customWidth="1"/>
    <col min="788" max="788" width="2.42578125" style="10" hidden="1" customWidth="1"/>
    <col min="789" max="793" width="3.140625" style="9" hidden="1" customWidth="1"/>
    <col min="794" max="794" width="1.28515625" style="1" hidden="1" customWidth="1"/>
    <col min="795" max="795" width="3.140625" style="9" hidden="1" customWidth="1"/>
    <col min="796" max="796" width="2.42578125" style="10" hidden="1" customWidth="1"/>
    <col min="797" max="797" width="3.140625" style="9" hidden="1" customWidth="1"/>
    <col min="798" max="798" width="2.42578125" style="10" hidden="1" customWidth="1"/>
    <col min="799" max="803" width="3.140625" style="9" hidden="1" customWidth="1"/>
    <col min="804" max="804" width="1.28515625" style="1" hidden="1" customWidth="1"/>
    <col min="805" max="805" width="3.140625" style="9" hidden="1" customWidth="1"/>
    <col min="806" max="806" width="2.42578125" style="10" hidden="1" customWidth="1"/>
    <col min="807" max="807" width="3.140625" style="9" hidden="1" customWidth="1"/>
    <col min="808" max="808" width="2.42578125" style="10" hidden="1" customWidth="1"/>
    <col min="809" max="813" width="3.140625" style="9" hidden="1" customWidth="1"/>
    <col min="814" max="814" width="1.28515625" style="1" hidden="1" customWidth="1"/>
    <col min="815" max="815" width="3.140625" style="9" hidden="1" customWidth="1"/>
    <col min="816" max="816" width="2.42578125" style="10" hidden="1" customWidth="1"/>
    <col min="817" max="817" width="3.140625" style="9" hidden="1" customWidth="1"/>
    <col min="818" max="818" width="2.42578125" style="10" hidden="1" customWidth="1"/>
    <col min="819" max="823" width="3.140625" style="9" hidden="1" customWidth="1"/>
    <col min="824" max="824" width="1.28515625" style="1" hidden="1" customWidth="1"/>
    <col min="825" max="825" width="3.140625" style="9" hidden="1" customWidth="1"/>
    <col min="826" max="826" width="2.42578125" style="10" hidden="1" customWidth="1"/>
    <col min="827" max="827" width="3.140625" style="9" hidden="1" customWidth="1"/>
    <col min="828" max="828" width="2.42578125" style="10" hidden="1" customWidth="1"/>
    <col min="829" max="833" width="3.140625" style="9" hidden="1" customWidth="1"/>
    <col min="834" max="834" width="1.28515625" style="1" hidden="1" customWidth="1"/>
    <col min="835" max="835" width="3.140625" style="9" hidden="1" customWidth="1"/>
    <col min="836" max="836" width="2.42578125" style="10" hidden="1" customWidth="1"/>
    <col min="837" max="837" width="3.140625" style="9" hidden="1" customWidth="1"/>
    <col min="838" max="838" width="2.42578125" style="10" hidden="1" customWidth="1"/>
    <col min="839" max="843" width="3.140625" style="9" hidden="1" customWidth="1"/>
    <col min="844" max="844" width="1.28515625" style="1" hidden="1" customWidth="1"/>
    <col min="845" max="845" width="3.140625" style="9" hidden="1" customWidth="1"/>
    <col min="846" max="846" width="2.42578125" style="10" hidden="1" customWidth="1"/>
    <col min="847" max="847" width="3.140625" style="9" hidden="1" customWidth="1"/>
    <col min="848" max="848" width="2.42578125" style="10" hidden="1" customWidth="1"/>
    <col min="849" max="853" width="3.140625" style="9" hidden="1" customWidth="1"/>
    <col min="854" max="854" width="1.28515625" style="1" hidden="1" customWidth="1"/>
    <col min="855" max="855" width="3.140625" style="9" hidden="1" customWidth="1"/>
    <col min="856" max="856" width="2.42578125" style="10" hidden="1" customWidth="1"/>
    <col min="857" max="857" width="3.140625" style="9" hidden="1" customWidth="1"/>
    <col min="858" max="858" width="2.42578125" style="10" hidden="1" customWidth="1"/>
    <col min="859" max="863" width="3.140625" style="9" hidden="1" customWidth="1"/>
    <col min="864" max="864" width="1.28515625" style="1" hidden="1" customWidth="1"/>
    <col min="865" max="865" width="3.140625" style="9" hidden="1" customWidth="1"/>
    <col min="866" max="866" width="2.42578125" style="10" hidden="1" customWidth="1"/>
    <col min="867" max="867" width="3.140625" style="9" hidden="1" customWidth="1"/>
    <col min="868" max="868" width="2.42578125" style="10" hidden="1" customWidth="1"/>
    <col min="869" max="873" width="3.140625" style="9" hidden="1" customWidth="1"/>
    <col min="874" max="874" width="1.28515625" style="1" hidden="1" customWidth="1"/>
    <col min="875" max="875" width="3.140625" style="9" hidden="1" customWidth="1"/>
    <col min="876" max="876" width="2.42578125" style="10" hidden="1" customWidth="1"/>
    <col min="877" max="877" width="3.140625" style="9" hidden="1" customWidth="1"/>
    <col min="878" max="878" width="2.42578125" style="10" hidden="1" customWidth="1"/>
    <col min="879" max="883" width="3.140625" style="9" hidden="1" customWidth="1"/>
    <col min="884" max="884" width="1.28515625" style="1" hidden="1" customWidth="1"/>
    <col min="885" max="885" width="3.140625" style="9" hidden="1" customWidth="1"/>
    <col min="886" max="886" width="2.42578125" style="10" hidden="1" customWidth="1"/>
    <col min="887" max="887" width="3.140625" style="9" hidden="1" customWidth="1"/>
    <col min="888" max="888" width="2.42578125" style="10" hidden="1" customWidth="1"/>
    <col min="889" max="893" width="3.140625" style="9" hidden="1" customWidth="1"/>
    <col min="894" max="894" width="1.28515625" style="1" hidden="1" customWidth="1"/>
    <col min="895" max="895" width="3.140625" style="9" hidden="1" customWidth="1"/>
    <col min="896" max="896" width="2.42578125" style="10" hidden="1" customWidth="1"/>
    <col min="897" max="897" width="3.140625" style="9" hidden="1" customWidth="1"/>
    <col min="898" max="898" width="2.42578125" style="10" hidden="1" customWidth="1"/>
    <col min="899" max="903" width="3.140625" style="9" hidden="1" customWidth="1"/>
    <col min="904" max="904" width="1.28515625" style="1" hidden="1" customWidth="1"/>
    <col min="905" max="905" width="3.140625" style="9" hidden="1" customWidth="1"/>
    <col min="906" max="906" width="2.42578125" style="10" hidden="1" customWidth="1"/>
    <col min="907" max="907" width="3.140625" style="9" hidden="1" customWidth="1"/>
    <col min="908" max="908" width="2.42578125" style="10" hidden="1" customWidth="1"/>
    <col min="909" max="913" width="3.140625" style="9" hidden="1" customWidth="1"/>
    <col min="914" max="914" width="1.28515625" style="1" hidden="1" customWidth="1"/>
    <col min="915" max="915" width="3.140625" style="9" hidden="1" customWidth="1"/>
    <col min="916" max="916" width="2.42578125" style="10" hidden="1" customWidth="1"/>
    <col min="917" max="917" width="3.140625" style="9" hidden="1" customWidth="1"/>
    <col min="918" max="918" width="2.42578125" style="10" hidden="1" customWidth="1"/>
    <col min="919" max="923" width="3.140625" style="9" hidden="1" customWidth="1"/>
    <col min="924" max="924" width="1.28515625" style="1" hidden="1" customWidth="1"/>
    <col min="925" max="925" width="3.140625" style="9" hidden="1" customWidth="1"/>
    <col min="926" max="926" width="2.42578125" style="10" hidden="1" customWidth="1"/>
    <col min="927" max="927" width="3.140625" style="9" hidden="1" customWidth="1"/>
    <col min="928" max="928" width="2.42578125" style="10" hidden="1" customWidth="1"/>
    <col min="929" max="933" width="3.140625" style="9" hidden="1" customWidth="1"/>
    <col min="934" max="934" width="1.28515625" style="1" hidden="1" customWidth="1"/>
    <col min="935" max="935" width="3.140625" style="9" hidden="1" customWidth="1"/>
    <col min="936" max="936" width="2.42578125" style="10" hidden="1" customWidth="1"/>
    <col min="937" max="937" width="3.140625" style="9" hidden="1" customWidth="1"/>
    <col min="938" max="938" width="2.42578125" style="10" hidden="1" customWidth="1"/>
    <col min="939" max="943" width="3.140625" style="9" hidden="1" customWidth="1"/>
    <col min="944" max="944" width="1.28515625" style="1" hidden="1" customWidth="1"/>
    <col min="945" max="945" width="3.140625" style="9" hidden="1" customWidth="1"/>
    <col min="946" max="946" width="2.42578125" style="10" hidden="1" customWidth="1"/>
    <col min="947" max="947" width="3.140625" style="9" hidden="1" customWidth="1"/>
    <col min="948" max="948" width="2.42578125" style="10" hidden="1" customWidth="1"/>
    <col min="949" max="953" width="3.140625" style="9" hidden="1" customWidth="1"/>
    <col min="954" max="954" width="1.28515625" style="1" hidden="1" customWidth="1"/>
    <col min="955" max="955" width="3.140625" style="9" hidden="1" customWidth="1"/>
    <col min="956" max="956" width="2.42578125" style="10" hidden="1" customWidth="1"/>
    <col min="957" max="957" width="3.140625" style="9" hidden="1" customWidth="1"/>
    <col min="958" max="958" width="2.42578125" style="10" hidden="1" customWidth="1"/>
    <col min="959" max="963" width="3.140625" style="9" hidden="1" customWidth="1"/>
    <col min="964" max="964" width="1.28515625" style="1" hidden="1" customWidth="1"/>
    <col min="965" max="965" width="3.140625" style="9" hidden="1" customWidth="1"/>
    <col min="966" max="966" width="2.42578125" style="10" hidden="1" customWidth="1"/>
    <col min="967" max="967" width="3.140625" style="9" hidden="1" customWidth="1"/>
    <col min="968" max="968" width="2.42578125" style="10" hidden="1" customWidth="1"/>
    <col min="969" max="973" width="3.140625" style="9" hidden="1" customWidth="1"/>
    <col min="974" max="974" width="1.28515625" style="1" hidden="1" customWidth="1"/>
    <col min="975" max="975" width="3.140625" style="9" hidden="1" customWidth="1"/>
    <col min="976" max="976" width="2.42578125" style="10" hidden="1" customWidth="1"/>
    <col min="977" max="977" width="3.140625" style="9" hidden="1" customWidth="1"/>
    <col min="978" max="978" width="2.42578125" style="10" hidden="1" customWidth="1"/>
    <col min="979" max="983" width="3.140625" style="9" hidden="1" customWidth="1"/>
    <col min="984" max="984" width="1.28515625" style="1" hidden="1" customWidth="1"/>
    <col min="985" max="985" width="3.140625" style="9" hidden="1" customWidth="1"/>
    <col min="986" max="986" width="2.42578125" style="10" hidden="1" customWidth="1"/>
    <col min="987" max="987" width="3.140625" style="9" hidden="1" customWidth="1"/>
    <col min="988" max="988" width="2.42578125" style="10" hidden="1" customWidth="1"/>
    <col min="989" max="993" width="3.140625" style="9" hidden="1" customWidth="1"/>
    <col min="994" max="994" width="1.28515625" style="1" hidden="1" customWidth="1"/>
    <col min="995" max="995" width="3.140625" style="9" hidden="1" customWidth="1"/>
    <col min="996" max="996" width="2.42578125" style="10" hidden="1" customWidth="1"/>
    <col min="997" max="997" width="3.140625" style="9" hidden="1" customWidth="1"/>
    <col min="998" max="998" width="2.42578125" style="10" hidden="1" customWidth="1"/>
    <col min="999" max="1003" width="3.140625" style="9" hidden="1" customWidth="1"/>
    <col min="1004" max="1004" width="1.28515625" style="1" hidden="1" customWidth="1"/>
    <col min="1005" max="1005" width="3.140625" style="9" hidden="1" customWidth="1"/>
    <col min="1006" max="1006" width="2.42578125" style="10" hidden="1" customWidth="1"/>
    <col min="1007" max="1007" width="3.140625" style="9" hidden="1" customWidth="1"/>
    <col min="1008" max="1008" width="2.42578125" style="10" hidden="1" customWidth="1"/>
    <col min="1009" max="1013" width="3.140625" style="9" hidden="1" customWidth="1"/>
    <col min="1014" max="1014" width="1.28515625" style="1" hidden="1" customWidth="1"/>
    <col min="1015" max="1015" width="3.140625" style="9" hidden="1" customWidth="1"/>
    <col min="1016" max="1016" width="2.42578125" style="10" hidden="1" customWidth="1"/>
    <col min="1017" max="1017" width="3.140625" style="9" hidden="1" customWidth="1"/>
    <col min="1018" max="1018" width="2.42578125" style="10" hidden="1" customWidth="1"/>
    <col min="1019" max="1023" width="3.140625" style="9" hidden="1" customWidth="1"/>
    <col min="1024" max="1024" width="1.28515625" style="1" hidden="1" customWidth="1"/>
    <col min="1025" max="1025" width="3.140625" style="9" hidden="1" customWidth="1"/>
    <col min="1026" max="1026" width="2.42578125" style="10" hidden="1" customWidth="1"/>
    <col min="1027" max="1027" width="3.140625" style="9" hidden="1" customWidth="1"/>
    <col min="1028" max="1028" width="2.42578125" style="10" hidden="1" customWidth="1"/>
    <col min="1029" max="1033" width="3.140625" style="9" hidden="1" customWidth="1"/>
    <col min="1034" max="1034" width="1.28515625" style="1" hidden="1" customWidth="1"/>
    <col min="1035" max="1035" width="3.140625" style="9" hidden="1" customWidth="1"/>
    <col min="1036" max="1036" width="2.42578125" style="10" hidden="1" customWidth="1"/>
    <col min="1037" max="1037" width="3.140625" style="9" hidden="1" customWidth="1"/>
    <col min="1038" max="1038" width="2.42578125" style="10" hidden="1" customWidth="1"/>
    <col min="1039" max="1043" width="3.140625" style="9" hidden="1" customWidth="1"/>
    <col min="1044" max="1044" width="1.28515625" style="1" hidden="1" customWidth="1"/>
    <col min="1045" max="1045" width="3.140625" style="9" hidden="1" customWidth="1"/>
    <col min="1046" max="1046" width="2.42578125" style="10" hidden="1" customWidth="1"/>
    <col min="1047" max="1047" width="3.140625" style="9" hidden="1" customWidth="1"/>
    <col min="1048" max="1048" width="2.42578125" style="10" hidden="1" customWidth="1"/>
    <col min="1049" max="1053" width="3.140625" style="9" hidden="1" customWidth="1"/>
    <col min="1054" max="1054" width="1.28515625" style="1" customWidth="1"/>
    <col min="1055" max="1055" width="3.140625" style="9" customWidth="1"/>
    <col min="1056" max="1056" width="2.42578125" style="10" customWidth="1"/>
    <col min="1057" max="1057" width="3.140625" style="9" customWidth="1"/>
    <col min="1058" max="1058" width="2.42578125" style="10" customWidth="1"/>
    <col min="1059" max="1063" width="3.140625" style="9" customWidth="1"/>
    <col min="1064" max="1064" width="1.28515625" style="1" customWidth="1"/>
    <col min="1065" max="1065" width="3.140625" style="9" customWidth="1"/>
    <col min="1066" max="1066" width="2.42578125" style="10" customWidth="1"/>
    <col min="1067" max="1067" width="3.140625" style="9" customWidth="1"/>
    <col min="1068" max="1068" width="2.42578125" style="10" customWidth="1"/>
    <col min="1069" max="1073" width="3.140625" style="9" customWidth="1"/>
    <col min="1074" max="1074" width="1.28515625" style="1" customWidth="1"/>
    <col min="1075" max="1075" width="3.140625" style="9" customWidth="1"/>
    <col min="1076" max="1076" width="2.42578125" style="10" customWidth="1"/>
    <col min="1077" max="1077" width="3.140625" style="9" customWidth="1"/>
    <col min="1078" max="1078" width="2.42578125" style="10" customWidth="1"/>
    <col min="1079" max="1083" width="3.140625" style="9" customWidth="1"/>
    <col min="1084" max="1084" width="1.28515625" style="1" customWidth="1"/>
    <col min="1085" max="1085" width="3.140625" style="9" customWidth="1"/>
    <col min="1086" max="1086" width="2.42578125" style="10" customWidth="1"/>
    <col min="1087" max="1087" width="3.140625" style="9" customWidth="1"/>
    <col min="1088" max="1088" width="2.42578125" style="10" customWidth="1"/>
    <col min="1089" max="1093" width="3.140625" style="9" customWidth="1"/>
    <col min="1094" max="16384" width="9.140625" style="1"/>
  </cols>
  <sheetData>
    <row r="1" spans="1:1023 1025:1093" ht="11.25" x14ac:dyDescent="0.2">
      <c r="A1" s="33" t="s">
        <v>107</v>
      </c>
      <c r="B1" s="55" t="str">
        <f ca="1">_xlfn.LET(_xlpm.anchor,DATE(2026,6,30),_xlpm.cycle,14,_xlpm.next,_xlpm.anchor+_xlfn.CEILING.MATH(MAX(0,TODAY()-_xlpm.anchor),_xlpm.cycle),IF(_xlpm.next=TODAY(),"DUE TODAY",_xlpm.next))</f>
        <v>DUE TODAY</v>
      </c>
      <c r="C1" s="55"/>
      <c r="D1" s="55"/>
      <c r="E1" s="47" t="s">
        <v>0</v>
      </c>
      <c r="F1" s="48"/>
      <c r="G1" s="47"/>
      <c r="H1" s="54"/>
      <c r="I1" s="48"/>
      <c r="J1" s="52" t="s">
        <v>1</v>
      </c>
      <c r="K1" s="52"/>
      <c r="L1" s="53">
        <v>45517</v>
      </c>
      <c r="M1" s="53"/>
      <c r="O1" s="47" t="s">
        <v>0</v>
      </c>
      <c r="P1" s="48"/>
      <c r="Q1" s="47"/>
      <c r="R1" s="54"/>
      <c r="S1" s="48"/>
      <c r="T1" s="52" t="s">
        <v>1</v>
      </c>
      <c r="U1" s="52"/>
      <c r="V1" s="53">
        <v>45524</v>
      </c>
      <c r="W1" s="53"/>
      <c r="Y1" s="47" t="s">
        <v>0</v>
      </c>
      <c r="Z1" s="48"/>
      <c r="AA1" s="47" t="s">
        <v>2</v>
      </c>
      <c r="AB1" s="54"/>
      <c r="AC1" s="48"/>
      <c r="AD1" s="52" t="s">
        <v>1</v>
      </c>
      <c r="AE1" s="52"/>
      <c r="AF1" s="53">
        <v>45538</v>
      </c>
      <c r="AG1" s="53"/>
      <c r="AI1" s="47" t="s">
        <v>0</v>
      </c>
      <c r="AJ1" s="48"/>
      <c r="AK1" s="47" t="s">
        <v>3</v>
      </c>
      <c r="AL1" s="54"/>
      <c r="AM1" s="48"/>
      <c r="AN1" s="52" t="s">
        <v>1</v>
      </c>
      <c r="AO1" s="52"/>
      <c r="AP1" s="53">
        <v>45545</v>
      </c>
      <c r="AQ1" s="53"/>
      <c r="AS1" s="47" t="s">
        <v>0</v>
      </c>
      <c r="AT1" s="48"/>
      <c r="AU1" s="47" t="s">
        <v>2</v>
      </c>
      <c r="AV1" s="54"/>
      <c r="AW1" s="48"/>
      <c r="AX1" s="52" t="s">
        <v>1</v>
      </c>
      <c r="AY1" s="52"/>
      <c r="AZ1" s="53">
        <v>45552</v>
      </c>
      <c r="BA1" s="53"/>
      <c r="BC1" s="47" t="s">
        <v>0</v>
      </c>
      <c r="BD1" s="48"/>
      <c r="BE1" s="47" t="s">
        <v>4</v>
      </c>
      <c r="BF1" s="54"/>
      <c r="BG1" s="48"/>
      <c r="BH1" s="52" t="s">
        <v>1</v>
      </c>
      <c r="BI1" s="52"/>
      <c r="BJ1" s="53">
        <v>45560</v>
      </c>
      <c r="BK1" s="53"/>
      <c r="BM1" s="47" t="s">
        <v>0</v>
      </c>
      <c r="BN1" s="48"/>
      <c r="BO1" s="49" t="s">
        <v>5</v>
      </c>
      <c r="BP1" s="50"/>
      <c r="BQ1" s="51"/>
      <c r="BR1" s="52" t="s">
        <v>1</v>
      </c>
      <c r="BS1" s="52"/>
      <c r="BT1" s="53">
        <v>45567</v>
      </c>
      <c r="BU1" s="53"/>
      <c r="BW1" s="47" t="s">
        <v>0</v>
      </c>
      <c r="BX1" s="48"/>
      <c r="BY1" s="49" t="s">
        <v>6</v>
      </c>
      <c r="BZ1" s="50"/>
      <c r="CA1" s="51"/>
      <c r="CB1" s="52" t="s">
        <v>1</v>
      </c>
      <c r="CC1" s="52"/>
      <c r="CD1" s="53">
        <v>45573</v>
      </c>
      <c r="CE1" s="53"/>
      <c r="CG1" s="47" t="s">
        <v>0</v>
      </c>
      <c r="CH1" s="48"/>
      <c r="CI1" s="49" t="s">
        <v>6</v>
      </c>
      <c r="CJ1" s="50"/>
      <c r="CK1" s="51"/>
      <c r="CL1" s="52" t="s">
        <v>1</v>
      </c>
      <c r="CM1" s="52"/>
      <c r="CN1" s="53">
        <v>45580</v>
      </c>
      <c r="CO1" s="53"/>
      <c r="CQ1" s="47" t="s">
        <v>0</v>
      </c>
      <c r="CR1" s="48"/>
      <c r="CS1" s="49" t="s">
        <v>7</v>
      </c>
      <c r="CT1" s="50"/>
      <c r="CU1" s="51"/>
      <c r="CV1" s="52" t="s">
        <v>1</v>
      </c>
      <c r="CW1" s="52"/>
      <c r="CX1" s="53">
        <v>45587</v>
      </c>
      <c r="CY1" s="53"/>
      <c r="DA1" s="47" t="s">
        <v>0</v>
      </c>
      <c r="DB1" s="48"/>
      <c r="DC1" s="49" t="s">
        <v>8</v>
      </c>
      <c r="DD1" s="50"/>
      <c r="DE1" s="51"/>
      <c r="DF1" s="52" t="s">
        <v>1</v>
      </c>
      <c r="DG1" s="52"/>
      <c r="DH1" s="53">
        <v>45594</v>
      </c>
      <c r="DI1" s="53"/>
      <c r="DK1" s="47" t="s">
        <v>0</v>
      </c>
      <c r="DL1" s="48"/>
      <c r="DM1" s="49" t="s">
        <v>9</v>
      </c>
      <c r="DN1" s="50"/>
      <c r="DO1" s="51"/>
      <c r="DP1" s="52" t="s">
        <v>1</v>
      </c>
      <c r="DQ1" s="52"/>
      <c r="DR1" s="53">
        <v>45601</v>
      </c>
      <c r="DS1" s="53"/>
      <c r="DU1" s="47" t="s">
        <v>0</v>
      </c>
      <c r="DV1" s="48"/>
      <c r="DW1" s="49" t="s">
        <v>7</v>
      </c>
      <c r="DX1" s="50"/>
      <c r="DY1" s="51"/>
      <c r="DZ1" s="52" t="s">
        <v>1</v>
      </c>
      <c r="EA1" s="52"/>
      <c r="EB1" s="53">
        <v>45608</v>
      </c>
      <c r="EC1" s="53"/>
      <c r="EE1" s="47" t="s">
        <v>0</v>
      </c>
      <c r="EF1" s="48"/>
      <c r="EG1" s="49" t="s">
        <v>7</v>
      </c>
      <c r="EH1" s="50"/>
      <c r="EI1" s="51"/>
      <c r="EJ1" s="52" t="s">
        <v>1</v>
      </c>
      <c r="EK1" s="52"/>
      <c r="EL1" s="53">
        <v>45615</v>
      </c>
      <c r="EM1" s="53"/>
      <c r="EO1" s="47" t="s">
        <v>0</v>
      </c>
      <c r="EP1" s="48"/>
      <c r="EQ1" s="49" t="s">
        <v>10</v>
      </c>
      <c r="ER1" s="50"/>
      <c r="ES1" s="51"/>
      <c r="ET1" s="52" t="s">
        <v>1</v>
      </c>
      <c r="EU1" s="52"/>
      <c r="EV1" s="53">
        <v>45623</v>
      </c>
      <c r="EW1" s="53"/>
      <c r="EY1" s="47" t="s">
        <v>0</v>
      </c>
      <c r="EZ1" s="48"/>
      <c r="FA1" s="49" t="s">
        <v>11</v>
      </c>
      <c r="FB1" s="50"/>
      <c r="FC1" s="51"/>
      <c r="FD1" s="52" t="s">
        <v>1</v>
      </c>
      <c r="FE1" s="52"/>
      <c r="FF1" s="53">
        <v>45629</v>
      </c>
      <c r="FG1" s="53"/>
      <c r="FI1" s="47" t="s">
        <v>0</v>
      </c>
      <c r="FJ1" s="48"/>
      <c r="FK1" s="49" t="s">
        <v>12</v>
      </c>
      <c r="FL1" s="50"/>
      <c r="FM1" s="51"/>
      <c r="FN1" s="52" t="s">
        <v>1</v>
      </c>
      <c r="FO1" s="52"/>
      <c r="FP1" s="53">
        <v>45636</v>
      </c>
      <c r="FQ1" s="53"/>
      <c r="FS1" s="47" t="s">
        <v>0</v>
      </c>
      <c r="FT1" s="48"/>
      <c r="FU1" s="49" t="s">
        <v>13</v>
      </c>
      <c r="FV1" s="50"/>
      <c r="FW1" s="51"/>
      <c r="FX1" s="52" t="s">
        <v>1</v>
      </c>
      <c r="FY1" s="52"/>
      <c r="FZ1" s="53">
        <v>45643</v>
      </c>
      <c r="GA1" s="53"/>
      <c r="GC1" s="47" t="s">
        <v>0</v>
      </c>
      <c r="GD1" s="48"/>
      <c r="GE1" s="49" t="s">
        <v>2</v>
      </c>
      <c r="GF1" s="50"/>
      <c r="GG1" s="51"/>
      <c r="GH1" s="52" t="s">
        <v>1</v>
      </c>
      <c r="GI1" s="52"/>
      <c r="GJ1" s="53">
        <v>45664</v>
      </c>
      <c r="GK1" s="53"/>
      <c r="GM1" s="47" t="s">
        <v>0</v>
      </c>
      <c r="GN1" s="48"/>
      <c r="GO1" s="36" t="s">
        <v>12</v>
      </c>
      <c r="GP1" s="37"/>
      <c r="GQ1" s="38"/>
      <c r="GR1" s="52" t="s">
        <v>1</v>
      </c>
      <c r="GS1" s="52"/>
      <c r="GT1" s="40">
        <v>45671</v>
      </c>
      <c r="GU1" s="40"/>
      <c r="GW1" s="47" t="s">
        <v>0</v>
      </c>
      <c r="GX1" s="48"/>
      <c r="GY1" s="49" t="s">
        <v>13</v>
      </c>
      <c r="GZ1" s="50"/>
      <c r="HA1" s="51"/>
      <c r="HB1" s="52" t="s">
        <v>1</v>
      </c>
      <c r="HC1" s="52"/>
      <c r="HD1" s="53">
        <v>45678</v>
      </c>
      <c r="HE1" s="53"/>
      <c r="HG1" s="47" t="s">
        <v>0</v>
      </c>
      <c r="HH1" s="48"/>
      <c r="HI1" s="49" t="s">
        <v>14</v>
      </c>
      <c r="HJ1" s="50"/>
      <c r="HK1" s="51"/>
      <c r="HL1" s="52" t="s">
        <v>1</v>
      </c>
      <c r="HM1" s="52"/>
      <c r="HN1" s="53">
        <v>45685</v>
      </c>
      <c r="HO1" s="53"/>
      <c r="HQ1" s="47" t="s">
        <v>0</v>
      </c>
      <c r="HR1" s="48"/>
      <c r="HS1" s="49" t="s">
        <v>13</v>
      </c>
      <c r="HT1" s="50"/>
      <c r="HU1" s="51"/>
      <c r="HV1" s="52" t="s">
        <v>1</v>
      </c>
      <c r="HW1" s="52"/>
      <c r="HX1" s="53">
        <v>45691</v>
      </c>
      <c r="HY1" s="53"/>
      <c r="IA1" s="47" t="s">
        <v>0</v>
      </c>
      <c r="IB1" s="48"/>
      <c r="IC1" s="49" t="s">
        <v>13</v>
      </c>
      <c r="ID1" s="50"/>
      <c r="IE1" s="51"/>
      <c r="IF1" s="52" t="s">
        <v>1</v>
      </c>
      <c r="IG1" s="52"/>
      <c r="IH1" s="53">
        <v>45698</v>
      </c>
      <c r="II1" s="53"/>
      <c r="IK1" s="47" t="s">
        <v>0</v>
      </c>
      <c r="IL1" s="48"/>
      <c r="IM1" s="49" t="s">
        <v>13</v>
      </c>
      <c r="IN1" s="50"/>
      <c r="IO1" s="51"/>
      <c r="IP1" s="52" t="s">
        <v>1</v>
      </c>
      <c r="IQ1" s="52"/>
      <c r="IR1" s="53">
        <v>45705</v>
      </c>
      <c r="IS1" s="53"/>
      <c r="IU1" s="47" t="s">
        <v>0</v>
      </c>
      <c r="IV1" s="48"/>
      <c r="IW1" s="49" t="s">
        <v>13</v>
      </c>
      <c r="IX1" s="50"/>
      <c r="IY1" s="51"/>
      <c r="IZ1" s="52" t="s">
        <v>1</v>
      </c>
      <c r="JA1" s="52"/>
      <c r="JB1" s="53">
        <v>45712</v>
      </c>
      <c r="JC1" s="53"/>
      <c r="JE1" s="47" t="s">
        <v>0</v>
      </c>
      <c r="JF1" s="48"/>
      <c r="JG1" s="36" t="s">
        <v>7</v>
      </c>
      <c r="JH1" s="37"/>
      <c r="JI1" s="38"/>
      <c r="JJ1" s="52" t="s">
        <v>1</v>
      </c>
      <c r="JK1" s="52"/>
      <c r="JL1" s="40">
        <v>45720</v>
      </c>
      <c r="JM1" s="40"/>
      <c r="JO1" s="47" t="s">
        <v>0</v>
      </c>
      <c r="JP1" s="48"/>
      <c r="JQ1" s="49" t="s">
        <v>9</v>
      </c>
      <c r="JR1" s="50"/>
      <c r="JS1" s="51"/>
      <c r="JT1" s="52" t="s">
        <v>1</v>
      </c>
      <c r="JU1" s="52"/>
      <c r="JV1" s="53">
        <v>45727</v>
      </c>
      <c r="JW1" s="53"/>
      <c r="JY1" s="47" t="s">
        <v>0</v>
      </c>
      <c r="JZ1" s="48"/>
      <c r="KA1" s="36" t="s">
        <v>15</v>
      </c>
      <c r="KB1" s="37"/>
      <c r="KC1" s="38"/>
      <c r="KD1" s="52" t="s">
        <v>1</v>
      </c>
      <c r="KE1" s="52"/>
      <c r="KF1" s="40" t="s">
        <v>16</v>
      </c>
      <c r="KG1" s="40"/>
      <c r="KI1" s="47" t="s">
        <v>0</v>
      </c>
      <c r="KJ1" s="48"/>
      <c r="KK1" s="49" t="s">
        <v>17</v>
      </c>
      <c r="KL1" s="50"/>
      <c r="KM1" s="51"/>
      <c r="KN1" s="52" t="s">
        <v>1</v>
      </c>
      <c r="KO1" s="52"/>
      <c r="KP1" s="53">
        <v>45740</v>
      </c>
      <c r="KQ1" s="53"/>
      <c r="KS1" s="47" t="s">
        <v>0</v>
      </c>
      <c r="KT1" s="48"/>
      <c r="KU1" s="49" t="s">
        <v>9</v>
      </c>
      <c r="KV1" s="50"/>
      <c r="KW1" s="51"/>
      <c r="KX1" s="52" t="s">
        <v>1</v>
      </c>
      <c r="KY1" s="52"/>
      <c r="KZ1" s="53">
        <v>45748</v>
      </c>
      <c r="LA1" s="53"/>
      <c r="LC1" s="47" t="s">
        <v>0</v>
      </c>
      <c r="LD1" s="48"/>
      <c r="LE1" s="49" t="s">
        <v>17</v>
      </c>
      <c r="LF1" s="50"/>
      <c r="LG1" s="51"/>
      <c r="LH1" s="52" t="s">
        <v>1</v>
      </c>
      <c r="LI1" s="52"/>
      <c r="LJ1" s="53" t="s">
        <v>18</v>
      </c>
      <c r="LK1" s="53"/>
      <c r="LM1" s="47" t="s">
        <v>0</v>
      </c>
      <c r="LN1" s="48"/>
      <c r="LO1" s="49" t="s">
        <v>17</v>
      </c>
      <c r="LP1" s="50"/>
      <c r="LQ1" s="51"/>
      <c r="LR1" s="52" t="s">
        <v>1</v>
      </c>
      <c r="LS1" s="52"/>
      <c r="LT1" s="53" t="s">
        <v>19</v>
      </c>
      <c r="LU1" s="53"/>
      <c r="LW1" s="47" t="s">
        <v>0</v>
      </c>
      <c r="LX1" s="48"/>
      <c r="LY1" s="49" t="s">
        <v>20</v>
      </c>
      <c r="LZ1" s="50"/>
      <c r="MA1" s="51"/>
      <c r="MB1" s="52" t="s">
        <v>1</v>
      </c>
      <c r="MC1" s="52"/>
      <c r="MD1" s="53" t="s">
        <v>21</v>
      </c>
      <c r="ME1" s="53"/>
      <c r="MG1" s="47" t="s">
        <v>0</v>
      </c>
      <c r="MH1" s="48"/>
      <c r="MI1" s="49" t="s">
        <v>9</v>
      </c>
      <c r="MJ1" s="50"/>
      <c r="MK1" s="51"/>
      <c r="ML1" s="52" t="s">
        <v>1</v>
      </c>
      <c r="MM1" s="52"/>
      <c r="MN1" s="53" t="s">
        <v>22</v>
      </c>
      <c r="MO1" s="53"/>
      <c r="MQ1" s="47" t="s">
        <v>0</v>
      </c>
      <c r="MR1" s="48"/>
      <c r="MS1" s="49" t="s">
        <v>9</v>
      </c>
      <c r="MT1" s="50"/>
      <c r="MU1" s="51"/>
      <c r="MV1" s="52" t="s">
        <v>1</v>
      </c>
      <c r="MW1" s="52"/>
      <c r="MX1" s="53">
        <v>45781</v>
      </c>
      <c r="MY1" s="53"/>
      <c r="NA1" s="47" t="s">
        <v>0</v>
      </c>
      <c r="NB1" s="48"/>
      <c r="NC1" s="49" t="s">
        <v>23</v>
      </c>
      <c r="ND1" s="50"/>
      <c r="NE1" s="51"/>
      <c r="NF1" s="52" t="s">
        <v>1</v>
      </c>
      <c r="NG1" s="52"/>
      <c r="NH1" s="53">
        <v>45790</v>
      </c>
      <c r="NI1" s="53"/>
      <c r="NK1" s="47" t="s">
        <v>0</v>
      </c>
      <c r="NL1" s="48"/>
      <c r="NM1" s="49" t="s">
        <v>9</v>
      </c>
      <c r="NN1" s="50"/>
      <c r="NO1" s="51"/>
      <c r="NP1" s="52" t="s">
        <v>1</v>
      </c>
      <c r="NQ1" s="52"/>
      <c r="NR1" s="53" t="s">
        <v>24</v>
      </c>
      <c r="NS1" s="53"/>
      <c r="NU1" s="47" t="s">
        <v>0</v>
      </c>
      <c r="NV1" s="48"/>
      <c r="NW1" s="49" t="s">
        <v>9</v>
      </c>
      <c r="NX1" s="50"/>
      <c r="NY1" s="51"/>
      <c r="NZ1" s="52" t="s">
        <v>1</v>
      </c>
      <c r="OA1" s="52"/>
      <c r="OB1" s="53" t="s">
        <v>25</v>
      </c>
      <c r="OC1" s="53"/>
      <c r="OE1" s="47" t="s">
        <v>0</v>
      </c>
      <c r="OF1" s="48"/>
      <c r="OG1" s="36" t="s">
        <v>9</v>
      </c>
      <c r="OH1" s="37"/>
      <c r="OI1" s="38"/>
      <c r="OJ1" s="52" t="s">
        <v>1</v>
      </c>
      <c r="OK1" s="52"/>
      <c r="OL1" s="40">
        <v>45809</v>
      </c>
      <c r="OM1" s="40"/>
      <c r="OO1" s="47" t="s">
        <v>0</v>
      </c>
      <c r="OP1" s="48"/>
      <c r="OQ1" s="49" t="s">
        <v>9</v>
      </c>
      <c r="OR1" s="50"/>
      <c r="OS1" s="51"/>
      <c r="OT1" s="52" t="s">
        <v>1</v>
      </c>
      <c r="OU1" s="52"/>
      <c r="OV1" s="53" t="s">
        <v>26</v>
      </c>
      <c r="OW1" s="53"/>
      <c r="OY1" s="47" t="s">
        <v>0</v>
      </c>
      <c r="OZ1" s="48"/>
      <c r="PA1" s="49" t="s">
        <v>27</v>
      </c>
      <c r="PB1" s="50"/>
      <c r="PC1" s="51"/>
      <c r="PD1" s="52" t="s">
        <v>1</v>
      </c>
      <c r="PE1" s="52"/>
      <c r="PF1" s="53">
        <v>45824</v>
      </c>
      <c r="PG1" s="53"/>
      <c r="PI1" s="47" t="s">
        <v>0</v>
      </c>
      <c r="PJ1" s="48"/>
      <c r="PK1" s="49" t="s">
        <v>27</v>
      </c>
      <c r="PL1" s="50"/>
      <c r="PM1" s="51"/>
      <c r="PN1" s="52" t="s">
        <v>1</v>
      </c>
      <c r="PO1" s="52"/>
      <c r="PP1" s="53">
        <v>45831</v>
      </c>
      <c r="PQ1" s="53"/>
      <c r="PS1" s="47" t="s">
        <v>0</v>
      </c>
      <c r="PT1" s="48"/>
      <c r="PU1" s="36" t="s">
        <v>28</v>
      </c>
      <c r="PV1" s="37"/>
      <c r="PW1" s="38"/>
      <c r="PX1" s="52" t="s">
        <v>1</v>
      </c>
      <c r="PY1" s="52"/>
      <c r="PZ1" s="40">
        <v>45838</v>
      </c>
      <c r="QA1" s="40"/>
      <c r="QC1" s="47" t="s">
        <v>0</v>
      </c>
      <c r="QD1" s="48"/>
      <c r="QE1" s="36" t="s">
        <v>27</v>
      </c>
      <c r="QF1" s="37"/>
      <c r="QG1" s="38"/>
      <c r="QH1" s="52" t="s">
        <v>1</v>
      </c>
      <c r="QI1" s="52"/>
      <c r="QJ1" s="40">
        <v>45845</v>
      </c>
      <c r="QK1" s="40"/>
      <c r="QM1" s="47" t="s">
        <v>0</v>
      </c>
      <c r="QN1" s="48"/>
      <c r="QO1" s="49" t="s">
        <v>9</v>
      </c>
      <c r="QP1" s="50"/>
      <c r="QQ1" s="51"/>
      <c r="QR1" s="52" t="s">
        <v>1</v>
      </c>
      <c r="QS1" s="52"/>
      <c r="QT1" s="53" t="s">
        <v>60</v>
      </c>
      <c r="QU1" s="53"/>
      <c r="QW1" s="47" t="s">
        <v>0</v>
      </c>
      <c r="QX1" s="48"/>
      <c r="QY1" s="49" t="s">
        <v>9</v>
      </c>
      <c r="QZ1" s="50"/>
      <c r="RA1" s="51"/>
      <c r="RB1" s="52" t="s">
        <v>1</v>
      </c>
      <c r="RC1" s="52"/>
      <c r="RD1" s="53" t="s">
        <v>61</v>
      </c>
      <c r="RE1" s="53"/>
      <c r="RG1" s="47" t="s">
        <v>0</v>
      </c>
      <c r="RH1" s="48"/>
      <c r="RI1" s="49" t="s">
        <v>62</v>
      </c>
      <c r="RJ1" s="50"/>
      <c r="RK1" s="51"/>
      <c r="RL1" s="52" t="s">
        <v>1</v>
      </c>
      <c r="RM1" s="52"/>
      <c r="RN1" s="53" t="s">
        <v>63</v>
      </c>
      <c r="RO1" s="53"/>
      <c r="RQ1" s="47" t="s">
        <v>0</v>
      </c>
      <c r="RR1" s="48"/>
      <c r="RS1" s="36" t="s">
        <v>64</v>
      </c>
      <c r="RT1" s="37"/>
      <c r="RU1" s="38"/>
      <c r="RV1" s="52" t="s">
        <v>1</v>
      </c>
      <c r="RW1" s="52"/>
      <c r="RX1" s="40" t="s">
        <v>65</v>
      </c>
      <c r="RY1" s="40"/>
      <c r="SA1" s="47" t="s">
        <v>0</v>
      </c>
      <c r="SB1" s="48"/>
      <c r="SC1" s="49" t="s">
        <v>64</v>
      </c>
      <c r="SD1" s="50"/>
      <c r="SE1" s="51"/>
      <c r="SF1" s="52" t="s">
        <v>1</v>
      </c>
      <c r="SG1" s="52"/>
      <c r="SH1" s="53" t="s">
        <v>66</v>
      </c>
      <c r="SI1" s="53"/>
      <c r="SK1" s="47" t="s">
        <v>0</v>
      </c>
      <c r="SL1" s="48"/>
      <c r="SM1" s="49" t="s">
        <v>6</v>
      </c>
      <c r="SN1" s="50"/>
      <c r="SO1" s="51"/>
      <c r="SP1" s="52" t="s">
        <v>1</v>
      </c>
      <c r="SQ1" s="52"/>
      <c r="SR1" s="53" t="s">
        <v>67</v>
      </c>
      <c r="SS1" s="53"/>
      <c r="SU1" s="47" t="s">
        <v>0</v>
      </c>
      <c r="SV1" s="48"/>
      <c r="SW1" s="49" t="s">
        <v>64</v>
      </c>
      <c r="SX1" s="50"/>
      <c r="SY1" s="51"/>
      <c r="SZ1" s="52" t="s">
        <v>1</v>
      </c>
      <c r="TA1" s="52"/>
      <c r="TB1" s="53" t="s">
        <v>68</v>
      </c>
      <c r="TC1" s="53"/>
      <c r="TE1" s="47" t="s">
        <v>0</v>
      </c>
      <c r="TF1" s="48"/>
      <c r="TG1" s="36" t="s">
        <v>64</v>
      </c>
      <c r="TH1" s="37"/>
      <c r="TI1" s="38"/>
      <c r="TJ1" s="52" t="s">
        <v>1</v>
      </c>
      <c r="TK1" s="52"/>
      <c r="TL1" s="40" t="s">
        <v>71</v>
      </c>
      <c r="TM1" s="40"/>
      <c r="TO1" s="47" t="s">
        <v>0</v>
      </c>
      <c r="TP1" s="48"/>
      <c r="TQ1" s="49" t="s">
        <v>9</v>
      </c>
      <c r="TR1" s="50"/>
      <c r="TS1" s="51"/>
      <c r="TT1" s="52" t="s">
        <v>1</v>
      </c>
      <c r="TU1" s="52"/>
      <c r="TV1" s="53" t="s">
        <v>72</v>
      </c>
      <c r="TW1" s="53"/>
      <c r="TY1" s="47" t="s">
        <v>0</v>
      </c>
      <c r="TZ1" s="48"/>
      <c r="UA1" s="36" t="s">
        <v>73</v>
      </c>
      <c r="UB1" s="37"/>
      <c r="UC1" s="38"/>
      <c r="UD1" s="52" t="s">
        <v>1</v>
      </c>
      <c r="UE1" s="52"/>
      <c r="UF1" s="40" t="s">
        <v>74</v>
      </c>
      <c r="UG1" s="40"/>
      <c r="UI1" s="47" t="s">
        <v>0</v>
      </c>
      <c r="UJ1" s="48"/>
      <c r="UK1" s="36" t="s">
        <v>75</v>
      </c>
      <c r="UL1" s="37"/>
      <c r="UM1" s="38"/>
      <c r="UN1" s="52" t="s">
        <v>1</v>
      </c>
      <c r="UO1" s="52"/>
      <c r="UP1" s="40">
        <v>45922</v>
      </c>
      <c r="UQ1" s="40"/>
      <c r="US1" s="47" t="s">
        <v>0</v>
      </c>
      <c r="UT1" s="48"/>
      <c r="UU1" s="49" t="s">
        <v>76</v>
      </c>
      <c r="UV1" s="50"/>
      <c r="UW1" s="51"/>
      <c r="UX1" s="52" t="s">
        <v>1</v>
      </c>
      <c r="UY1" s="52"/>
      <c r="UZ1" s="53">
        <v>45929</v>
      </c>
      <c r="VA1" s="53"/>
      <c r="VC1" s="47" t="s">
        <v>0</v>
      </c>
      <c r="VD1" s="48"/>
      <c r="VE1" s="49" t="s">
        <v>75</v>
      </c>
      <c r="VF1" s="50"/>
      <c r="VG1" s="51"/>
      <c r="VH1" s="52" t="s">
        <v>1</v>
      </c>
      <c r="VI1" s="52"/>
      <c r="VJ1" s="53">
        <v>45936</v>
      </c>
      <c r="VK1" s="53"/>
      <c r="VM1" s="47" t="s">
        <v>0</v>
      </c>
      <c r="VN1" s="48"/>
      <c r="VO1" s="36" t="s">
        <v>77</v>
      </c>
      <c r="VP1" s="37"/>
      <c r="VQ1" s="38"/>
      <c r="VR1" s="52" t="s">
        <v>1</v>
      </c>
      <c r="VS1" s="52"/>
      <c r="VT1" s="40" t="s">
        <v>78</v>
      </c>
      <c r="VU1" s="40"/>
      <c r="VW1" s="47" t="s">
        <v>0</v>
      </c>
      <c r="VX1" s="48"/>
      <c r="VY1" s="49" t="s">
        <v>75</v>
      </c>
      <c r="VZ1" s="50"/>
      <c r="WA1" s="51"/>
      <c r="WB1" s="52" t="s">
        <v>1</v>
      </c>
      <c r="WC1" s="52"/>
      <c r="WD1" s="53">
        <v>45950</v>
      </c>
      <c r="WE1" s="53"/>
      <c r="WG1" s="47" t="s">
        <v>0</v>
      </c>
      <c r="WH1" s="48"/>
      <c r="WI1" s="49" t="s">
        <v>9</v>
      </c>
      <c r="WJ1" s="50"/>
      <c r="WK1" s="51"/>
      <c r="WL1" s="52" t="s">
        <v>1</v>
      </c>
      <c r="WM1" s="52"/>
      <c r="WN1" s="53" t="s">
        <v>79</v>
      </c>
      <c r="WO1" s="53"/>
      <c r="WQ1" s="47" t="s">
        <v>0</v>
      </c>
      <c r="WR1" s="48"/>
      <c r="WS1" s="49" t="s">
        <v>80</v>
      </c>
      <c r="WT1" s="50"/>
      <c r="WU1" s="51"/>
      <c r="WV1" s="52" t="s">
        <v>1</v>
      </c>
      <c r="WW1" s="52"/>
      <c r="WX1" s="53">
        <v>45965</v>
      </c>
      <c r="WY1" s="53"/>
      <c r="XA1" s="47" t="s">
        <v>0</v>
      </c>
      <c r="XB1" s="48"/>
      <c r="XC1" s="49" t="s">
        <v>81</v>
      </c>
      <c r="XD1" s="50"/>
      <c r="XE1" s="51"/>
      <c r="XF1" s="52" t="s">
        <v>1</v>
      </c>
      <c r="XG1" s="52"/>
      <c r="XH1" s="53" t="s">
        <v>82</v>
      </c>
      <c r="XI1" s="53"/>
      <c r="XK1" s="47" t="s">
        <v>0</v>
      </c>
      <c r="XL1" s="48"/>
      <c r="XM1" s="49" t="s">
        <v>62</v>
      </c>
      <c r="XN1" s="50"/>
      <c r="XO1" s="51"/>
      <c r="XP1" s="52" t="s">
        <v>1</v>
      </c>
      <c r="XQ1" s="52"/>
      <c r="XR1" s="53" t="s">
        <v>83</v>
      </c>
      <c r="XS1" s="53"/>
      <c r="XU1" s="47" t="s">
        <v>0</v>
      </c>
      <c r="XV1" s="48"/>
      <c r="XW1" s="49" t="s">
        <v>62</v>
      </c>
      <c r="XX1" s="50"/>
      <c r="XY1" s="51"/>
      <c r="XZ1" s="52" t="s">
        <v>1</v>
      </c>
      <c r="YA1" s="52"/>
      <c r="YB1" s="53" t="s">
        <v>84</v>
      </c>
      <c r="YC1" s="53"/>
      <c r="YE1" s="47" t="s">
        <v>0</v>
      </c>
      <c r="YF1" s="48"/>
      <c r="YG1" s="49" t="s">
        <v>85</v>
      </c>
      <c r="YH1" s="50"/>
      <c r="YI1" s="51"/>
      <c r="YJ1" s="52" t="s">
        <v>1</v>
      </c>
      <c r="YK1" s="52"/>
      <c r="YL1" s="53" t="s">
        <v>86</v>
      </c>
      <c r="YM1" s="53"/>
      <c r="YO1" s="47" t="s">
        <v>0</v>
      </c>
      <c r="YP1" s="48"/>
      <c r="YQ1" s="49" t="s">
        <v>6</v>
      </c>
      <c r="YR1" s="50"/>
      <c r="YS1" s="51"/>
      <c r="YT1" s="52" t="s">
        <v>1</v>
      </c>
      <c r="YU1" s="52"/>
      <c r="YV1" s="53" t="s">
        <v>87</v>
      </c>
      <c r="YW1" s="53"/>
      <c r="YY1" s="47" t="s">
        <v>0</v>
      </c>
      <c r="YZ1" s="48"/>
      <c r="ZA1" s="49" t="s">
        <v>14</v>
      </c>
      <c r="ZB1" s="50"/>
      <c r="ZC1" s="51"/>
      <c r="ZD1" s="52" t="s">
        <v>1</v>
      </c>
      <c r="ZE1" s="52"/>
      <c r="ZF1" s="53" t="s">
        <v>88</v>
      </c>
      <c r="ZG1" s="53"/>
      <c r="ZI1" s="47" t="s">
        <v>0</v>
      </c>
      <c r="ZJ1" s="48"/>
      <c r="ZK1" s="49" t="s">
        <v>89</v>
      </c>
      <c r="ZL1" s="50"/>
      <c r="ZM1" s="51"/>
      <c r="ZN1" s="52" t="s">
        <v>1</v>
      </c>
      <c r="ZO1" s="52"/>
      <c r="ZP1" s="53" t="s">
        <v>90</v>
      </c>
      <c r="ZQ1" s="53"/>
      <c r="ZS1" s="47" t="s">
        <v>0</v>
      </c>
      <c r="ZT1" s="48"/>
      <c r="ZU1" s="49" t="s">
        <v>6</v>
      </c>
      <c r="ZV1" s="50"/>
      <c r="ZW1" s="51"/>
      <c r="ZX1" s="52" t="s">
        <v>1</v>
      </c>
      <c r="ZY1" s="52"/>
      <c r="ZZ1" s="53">
        <v>46020</v>
      </c>
      <c r="AAA1" s="53"/>
      <c r="AAC1" s="47" t="s">
        <v>0</v>
      </c>
      <c r="AAD1" s="48"/>
      <c r="AAE1" s="49" t="s">
        <v>6</v>
      </c>
      <c r="AAF1" s="50"/>
      <c r="AAG1" s="51"/>
      <c r="AAH1" s="52" t="s">
        <v>1</v>
      </c>
      <c r="AAI1" s="52"/>
      <c r="AAJ1" s="53">
        <v>46027</v>
      </c>
      <c r="AAK1" s="53"/>
      <c r="AAM1" s="47" t="s">
        <v>0</v>
      </c>
      <c r="AAN1" s="48"/>
      <c r="AAO1" s="49" t="s">
        <v>91</v>
      </c>
      <c r="AAP1" s="50"/>
      <c r="AAQ1" s="51"/>
      <c r="AAR1" s="52" t="s">
        <v>1</v>
      </c>
      <c r="AAS1" s="52"/>
      <c r="AAT1" s="53">
        <v>46034</v>
      </c>
      <c r="AAU1" s="53"/>
      <c r="AAW1" s="47" t="s">
        <v>0</v>
      </c>
      <c r="AAX1" s="48"/>
      <c r="AAY1" s="49" t="s">
        <v>92</v>
      </c>
      <c r="AAZ1" s="50"/>
      <c r="ABA1" s="51"/>
      <c r="ABB1" s="52" t="s">
        <v>1</v>
      </c>
      <c r="ABC1" s="52"/>
      <c r="ABD1" s="53">
        <v>46041</v>
      </c>
      <c r="ABE1" s="53"/>
      <c r="ABG1" s="47" t="s">
        <v>0</v>
      </c>
      <c r="ABH1" s="48"/>
      <c r="ABI1" s="36" t="s">
        <v>9</v>
      </c>
      <c r="ABJ1" s="37"/>
      <c r="ABK1" s="38"/>
      <c r="ABL1" s="52" t="s">
        <v>1</v>
      </c>
      <c r="ABM1" s="52"/>
      <c r="ABN1" s="40">
        <v>46049</v>
      </c>
      <c r="ABO1" s="40"/>
      <c r="ABQ1" s="47" t="s">
        <v>0</v>
      </c>
      <c r="ABR1" s="48"/>
      <c r="ABS1" s="49" t="s">
        <v>92</v>
      </c>
      <c r="ABT1" s="50"/>
      <c r="ABU1" s="51"/>
      <c r="ABV1" s="52" t="s">
        <v>1</v>
      </c>
      <c r="ABW1" s="52"/>
      <c r="ABX1" s="53" t="s">
        <v>93</v>
      </c>
      <c r="ABY1" s="53"/>
      <c r="ACA1" s="47" t="s">
        <v>0</v>
      </c>
      <c r="ACB1" s="48"/>
      <c r="ACC1" s="49" t="s">
        <v>92</v>
      </c>
      <c r="ACD1" s="50"/>
      <c r="ACE1" s="51"/>
      <c r="ACF1" s="52" t="s">
        <v>1</v>
      </c>
      <c r="ACG1" s="52"/>
      <c r="ACH1" s="53" t="s">
        <v>94</v>
      </c>
      <c r="ACI1" s="53"/>
      <c r="ACK1" s="47" t="s">
        <v>0</v>
      </c>
      <c r="ACL1" s="48"/>
      <c r="ACM1" s="49" t="s">
        <v>92</v>
      </c>
      <c r="ACN1" s="50"/>
      <c r="ACO1" s="51"/>
      <c r="ACP1" s="52" t="s">
        <v>1</v>
      </c>
      <c r="ACQ1" s="52"/>
      <c r="ACR1" s="53" t="s">
        <v>95</v>
      </c>
      <c r="ACS1" s="53"/>
      <c r="ACU1" s="47" t="s">
        <v>0</v>
      </c>
      <c r="ACV1" s="48"/>
      <c r="ACW1" s="49" t="s">
        <v>92</v>
      </c>
      <c r="ACX1" s="50"/>
      <c r="ACY1" s="51"/>
      <c r="ACZ1" s="52" t="s">
        <v>1</v>
      </c>
      <c r="ADA1" s="52"/>
      <c r="ADB1" s="53" t="s">
        <v>96</v>
      </c>
      <c r="ADC1" s="53"/>
      <c r="ADE1" s="47" t="s">
        <v>0</v>
      </c>
      <c r="ADF1" s="48"/>
      <c r="ADG1" s="49" t="s">
        <v>92</v>
      </c>
      <c r="ADH1" s="50"/>
      <c r="ADI1" s="51"/>
      <c r="ADJ1" s="52" t="s">
        <v>1</v>
      </c>
      <c r="ADK1" s="52"/>
      <c r="ADL1" s="53" t="s">
        <v>97</v>
      </c>
      <c r="ADM1" s="53"/>
      <c r="ADO1" s="47" t="s">
        <v>0</v>
      </c>
      <c r="ADP1" s="48"/>
      <c r="ADQ1" s="49" t="s">
        <v>92</v>
      </c>
      <c r="ADR1" s="50"/>
      <c r="ADS1" s="51"/>
      <c r="ADT1" s="52" t="s">
        <v>1</v>
      </c>
      <c r="ADU1" s="52"/>
      <c r="ADV1" s="53" t="s">
        <v>98</v>
      </c>
      <c r="ADW1" s="53"/>
      <c r="ADY1" s="47" t="s">
        <v>0</v>
      </c>
      <c r="ADZ1" s="48"/>
      <c r="AEA1" s="49" t="s">
        <v>92</v>
      </c>
      <c r="AEB1" s="50"/>
      <c r="AEC1" s="51"/>
      <c r="AED1" s="52" t="s">
        <v>1</v>
      </c>
      <c r="AEE1" s="52"/>
      <c r="AEF1" s="53" t="s">
        <v>99</v>
      </c>
      <c r="AEG1" s="53"/>
      <c r="AEI1" s="47" t="s">
        <v>0</v>
      </c>
      <c r="AEJ1" s="48"/>
      <c r="AEK1" s="49" t="s">
        <v>92</v>
      </c>
      <c r="AEL1" s="50"/>
      <c r="AEM1" s="51"/>
      <c r="AEN1" s="52" t="s">
        <v>1</v>
      </c>
      <c r="AEO1" s="52"/>
      <c r="AEP1" s="53" t="s">
        <v>100</v>
      </c>
      <c r="AEQ1" s="53"/>
      <c r="AES1" s="47" t="s">
        <v>0</v>
      </c>
      <c r="AET1" s="48"/>
      <c r="AEU1" s="49" t="s">
        <v>92</v>
      </c>
      <c r="AEV1" s="50"/>
      <c r="AEW1" s="51"/>
      <c r="AEX1" s="52" t="s">
        <v>1</v>
      </c>
      <c r="AEY1" s="52"/>
      <c r="AEZ1" s="53" t="s">
        <v>101</v>
      </c>
      <c r="AFA1" s="53"/>
      <c r="AFC1" s="47" t="s">
        <v>0</v>
      </c>
      <c r="AFD1" s="48"/>
      <c r="AFE1" s="49" t="s">
        <v>92</v>
      </c>
      <c r="AFF1" s="50"/>
      <c r="AFG1" s="51"/>
      <c r="AFH1" s="52" t="s">
        <v>1</v>
      </c>
      <c r="AFI1" s="52"/>
      <c r="AFJ1" s="53" t="s">
        <v>102</v>
      </c>
      <c r="AFK1" s="53"/>
      <c r="AFM1" s="47" t="s">
        <v>0</v>
      </c>
      <c r="AFN1" s="48"/>
      <c r="AFO1" s="49" t="s">
        <v>9</v>
      </c>
      <c r="AFP1" s="50"/>
      <c r="AFQ1" s="51"/>
      <c r="AFR1" s="52" t="s">
        <v>1</v>
      </c>
      <c r="AFS1" s="52"/>
      <c r="AFT1" s="53" t="s">
        <v>103</v>
      </c>
      <c r="AFU1" s="53"/>
      <c r="AFW1" s="47" t="s">
        <v>0</v>
      </c>
      <c r="AFX1" s="48"/>
      <c r="AFY1" s="49" t="s">
        <v>104</v>
      </c>
      <c r="AFZ1" s="50"/>
      <c r="AGA1" s="51"/>
      <c r="AGB1" s="52" t="s">
        <v>1</v>
      </c>
      <c r="AGC1" s="52"/>
      <c r="AGD1" s="53">
        <v>46132</v>
      </c>
      <c r="AGE1" s="53"/>
      <c r="AGG1" s="47" t="s">
        <v>0</v>
      </c>
      <c r="AGH1" s="48"/>
      <c r="AGI1" s="49" t="s">
        <v>28</v>
      </c>
      <c r="AGJ1" s="50"/>
      <c r="AGK1" s="51"/>
      <c r="AGL1" s="52" t="s">
        <v>1</v>
      </c>
      <c r="AGM1" s="52"/>
      <c r="AGN1" s="53" t="s">
        <v>105</v>
      </c>
      <c r="AGO1" s="53"/>
      <c r="AGQ1" s="47" t="s">
        <v>0</v>
      </c>
      <c r="AGR1" s="48"/>
      <c r="AGS1" s="36" t="s">
        <v>106</v>
      </c>
      <c r="AGT1" s="37"/>
      <c r="AGU1" s="38"/>
      <c r="AGV1" s="52" t="s">
        <v>1</v>
      </c>
      <c r="AGW1" s="52"/>
      <c r="AGX1" s="40">
        <v>46146</v>
      </c>
      <c r="AGY1" s="40"/>
      <c r="AHA1" s="47" t="s">
        <v>0</v>
      </c>
      <c r="AHB1" s="48"/>
      <c r="AHC1" s="36" t="s">
        <v>28</v>
      </c>
      <c r="AHD1" s="37"/>
      <c r="AHE1" s="38"/>
      <c r="AHF1" s="52" t="s">
        <v>1</v>
      </c>
      <c r="AHG1" s="52"/>
      <c r="AHH1" s="40" t="s">
        <v>108</v>
      </c>
      <c r="AHI1" s="40"/>
      <c r="AHK1" s="47" t="s">
        <v>0</v>
      </c>
      <c r="AHL1" s="48"/>
      <c r="AHM1" s="49" t="s">
        <v>92</v>
      </c>
      <c r="AHN1" s="50"/>
      <c r="AHO1" s="51"/>
      <c r="AHP1" s="52" t="s">
        <v>1</v>
      </c>
      <c r="AHQ1" s="52"/>
      <c r="AHR1" s="53" t="s">
        <v>109</v>
      </c>
      <c r="AHS1" s="53"/>
      <c r="AHU1" s="47" t="s">
        <v>0</v>
      </c>
      <c r="AHV1" s="48"/>
      <c r="AHW1" s="49" t="s">
        <v>6</v>
      </c>
      <c r="AHX1" s="50"/>
      <c r="AHY1" s="51"/>
      <c r="AHZ1" s="52" t="s">
        <v>1</v>
      </c>
      <c r="AIA1" s="52"/>
      <c r="AIB1" s="53">
        <v>46167</v>
      </c>
      <c r="AIC1" s="53"/>
      <c r="AIE1" s="47" t="s">
        <v>0</v>
      </c>
      <c r="AIF1" s="48"/>
      <c r="AIG1" s="36" t="s">
        <v>92</v>
      </c>
      <c r="AIH1" s="37"/>
      <c r="AII1" s="38"/>
      <c r="AIJ1" s="52" t="s">
        <v>1</v>
      </c>
      <c r="AIK1" s="52"/>
      <c r="AIL1" s="40" t="s">
        <v>110</v>
      </c>
      <c r="AIM1" s="40"/>
      <c r="AIO1" s="47" t="s">
        <v>0</v>
      </c>
      <c r="AIP1" s="48"/>
      <c r="AIQ1" s="49" t="s">
        <v>111</v>
      </c>
      <c r="AIR1" s="50"/>
      <c r="AIS1" s="51"/>
      <c r="AIT1" s="52" t="s">
        <v>1</v>
      </c>
      <c r="AIU1" s="52"/>
      <c r="AIV1" s="53" t="s">
        <v>112</v>
      </c>
      <c r="AIW1" s="53"/>
      <c r="AIY1" s="47" t="s">
        <v>0</v>
      </c>
      <c r="AIZ1" s="48"/>
      <c r="AJA1" s="49" t="s">
        <v>92</v>
      </c>
      <c r="AJB1" s="50"/>
      <c r="AJC1" s="51"/>
      <c r="AJD1" s="52" t="s">
        <v>1</v>
      </c>
      <c r="AJE1" s="52"/>
      <c r="AJF1" s="53" t="s">
        <v>113</v>
      </c>
      <c r="AJG1" s="53"/>
      <c r="AJI1" s="47" t="s">
        <v>0</v>
      </c>
      <c r="AJJ1" s="48"/>
      <c r="AJK1" s="36" t="s">
        <v>92</v>
      </c>
      <c r="AJL1" s="37"/>
      <c r="AJM1" s="38"/>
      <c r="AJN1" s="52" t="s">
        <v>1</v>
      </c>
      <c r="AJO1" s="52"/>
      <c r="AJP1" s="40" t="s">
        <v>114</v>
      </c>
      <c r="AJQ1" s="40"/>
      <c r="AJS1" s="47" t="s">
        <v>0</v>
      </c>
      <c r="AJT1" s="48"/>
      <c r="AJU1" s="49" t="s">
        <v>92</v>
      </c>
      <c r="AJV1" s="50"/>
      <c r="AJW1" s="51"/>
      <c r="AJX1" s="52" t="s">
        <v>1</v>
      </c>
      <c r="AJY1" s="52"/>
      <c r="AJZ1" s="53" t="s">
        <v>115</v>
      </c>
      <c r="AKA1" s="53"/>
      <c r="AKC1" s="47" t="s">
        <v>0</v>
      </c>
      <c r="AKD1" s="48"/>
      <c r="AKE1" s="36" t="s">
        <v>92</v>
      </c>
      <c r="AKF1" s="37"/>
      <c r="AKG1" s="38"/>
      <c r="AKH1" s="52" t="s">
        <v>1</v>
      </c>
      <c r="AKI1" s="52"/>
      <c r="AKJ1" s="40" t="s">
        <v>116</v>
      </c>
      <c r="AKK1" s="40"/>
      <c r="AKM1" s="47" t="s">
        <v>0</v>
      </c>
      <c r="AKN1" s="48"/>
      <c r="AKO1" s="49" t="s">
        <v>92</v>
      </c>
      <c r="AKP1" s="50"/>
      <c r="AKQ1" s="51"/>
      <c r="AKR1" s="52" t="s">
        <v>1</v>
      </c>
      <c r="AKS1" s="52"/>
      <c r="AKT1" s="53" t="s">
        <v>117</v>
      </c>
      <c r="AKU1" s="53"/>
      <c r="AKW1" s="47" t="s">
        <v>0</v>
      </c>
      <c r="AKX1" s="48"/>
      <c r="AKY1" s="49" t="s">
        <v>92</v>
      </c>
      <c r="AKZ1" s="50"/>
      <c r="ALA1" s="51"/>
      <c r="ALB1" s="52" t="s">
        <v>1</v>
      </c>
      <c r="ALC1" s="52"/>
      <c r="ALD1" s="53" t="s">
        <v>118</v>
      </c>
      <c r="ALE1" s="53"/>
      <c r="ALG1" s="47" t="s">
        <v>0</v>
      </c>
      <c r="ALH1" s="48"/>
      <c r="ALI1" s="36" t="s">
        <v>92</v>
      </c>
      <c r="ALJ1" s="37"/>
      <c r="ALK1" s="38"/>
      <c r="ALL1" s="52" t="s">
        <v>1</v>
      </c>
      <c r="ALM1" s="52"/>
      <c r="ALN1" s="40" t="s">
        <v>119</v>
      </c>
      <c r="ALO1" s="40"/>
      <c r="ALQ1" s="47" t="s">
        <v>0</v>
      </c>
      <c r="ALR1" s="48"/>
      <c r="ALS1" s="36" t="s">
        <v>28</v>
      </c>
      <c r="ALT1" s="37"/>
      <c r="ALU1" s="38"/>
      <c r="ALV1" s="52" t="s">
        <v>1</v>
      </c>
      <c r="ALW1" s="52"/>
      <c r="ALX1" s="40" t="s">
        <v>120</v>
      </c>
      <c r="ALY1" s="40"/>
      <c r="AMA1" s="47" t="s">
        <v>0</v>
      </c>
      <c r="AMB1" s="48"/>
      <c r="AMC1" s="49" t="s">
        <v>28</v>
      </c>
      <c r="AMD1" s="50"/>
      <c r="AME1" s="51"/>
      <c r="AMF1" s="52" t="s">
        <v>1</v>
      </c>
      <c r="AMG1" s="52"/>
      <c r="AMH1" s="53" t="s">
        <v>121</v>
      </c>
      <c r="AMI1" s="53"/>
      <c r="AMK1" s="47" t="s">
        <v>0</v>
      </c>
      <c r="AML1" s="48"/>
      <c r="AMM1" s="49" t="s">
        <v>28</v>
      </c>
      <c r="AMN1" s="50"/>
      <c r="AMO1" s="51"/>
      <c r="AMP1" s="52" t="s">
        <v>1</v>
      </c>
      <c r="AMQ1" s="52"/>
      <c r="AMR1" s="53" t="s">
        <v>122</v>
      </c>
      <c r="AMS1" s="53"/>
      <c r="AMU1" s="47" t="s">
        <v>0</v>
      </c>
      <c r="AMV1" s="48"/>
      <c r="AMW1" s="36" t="s">
        <v>92</v>
      </c>
      <c r="AMX1" s="37"/>
      <c r="AMY1" s="38"/>
      <c r="AMZ1" s="52" t="s">
        <v>1</v>
      </c>
      <c r="ANA1" s="52"/>
      <c r="ANB1" s="40" t="s">
        <v>123</v>
      </c>
      <c r="ANC1" s="40"/>
      <c r="ANE1" s="47" t="s">
        <v>0</v>
      </c>
      <c r="ANF1" s="48"/>
      <c r="ANG1" s="49" t="s">
        <v>92</v>
      </c>
      <c r="ANH1" s="50"/>
      <c r="ANI1" s="51"/>
      <c r="ANJ1" s="52" t="s">
        <v>1</v>
      </c>
      <c r="ANK1" s="52"/>
      <c r="ANL1" s="53" t="s">
        <v>124</v>
      </c>
      <c r="ANM1" s="53"/>
      <c r="ANO1" s="47" t="s">
        <v>0</v>
      </c>
      <c r="ANP1" s="48"/>
      <c r="ANQ1" s="36" t="s">
        <v>92</v>
      </c>
      <c r="ANR1" s="37"/>
      <c r="ANS1" s="38"/>
      <c r="ANT1" s="52" t="s">
        <v>1</v>
      </c>
      <c r="ANU1" s="52"/>
      <c r="ANV1" s="40" t="s">
        <v>125</v>
      </c>
      <c r="ANW1" s="40"/>
      <c r="ANY1" s="47" t="s">
        <v>0</v>
      </c>
      <c r="ANZ1" s="48"/>
      <c r="AOA1" s="49" t="s">
        <v>92</v>
      </c>
      <c r="AOB1" s="50"/>
      <c r="AOC1" s="51"/>
      <c r="AOD1" s="52" t="s">
        <v>1</v>
      </c>
      <c r="AOE1" s="52"/>
      <c r="AOF1" s="53" t="s">
        <v>126</v>
      </c>
      <c r="AOG1" s="53"/>
      <c r="AOI1" s="62" t="s">
        <v>0</v>
      </c>
      <c r="AOJ1" s="63"/>
      <c r="AOK1" s="64" t="s">
        <v>92</v>
      </c>
      <c r="AOL1" s="65"/>
      <c r="AOM1" s="66"/>
      <c r="AON1" s="67" t="s">
        <v>1</v>
      </c>
      <c r="AOO1" s="67"/>
      <c r="AOP1" s="68" t="s">
        <v>127</v>
      </c>
      <c r="AOQ1" s="68"/>
      <c r="AOS1" s="34" t="s">
        <v>0</v>
      </c>
      <c r="AOT1" s="35"/>
      <c r="AOU1" s="36"/>
      <c r="AOV1" s="37"/>
      <c r="AOW1" s="38"/>
      <c r="AOX1" s="39" t="s">
        <v>1</v>
      </c>
      <c r="AOY1" s="39"/>
      <c r="AOZ1" s="40"/>
      <c r="APA1" s="40"/>
    </row>
    <row r="2" spans="1:1023 1025:1093" ht="11.25" x14ac:dyDescent="0.2">
      <c r="A2" s="3" t="s">
        <v>29</v>
      </c>
      <c r="B2" s="5" t="s">
        <v>30</v>
      </c>
      <c r="C2" s="4" t="s">
        <v>31</v>
      </c>
      <c r="E2" s="47" t="s">
        <v>32</v>
      </c>
      <c r="F2" s="48"/>
      <c r="G2" s="47" t="s">
        <v>33</v>
      </c>
      <c r="H2" s="48"/>
      <c r="I2" s="4" t="s">
        <v>34</v>
      </c>
      <c r="J2" s="4" t="s">
        <v>35</v>
      </c>
      <c r="K2" s="4" t="s">
        <v>36</v>
      </c>
      <c r="L2" s="5" t="s">
        <v>37</v>
      </c>
      <c r="M2" s="4" t="s">
        <v>38</v>
      </c>
      <c r="O2" s="47" t="s">
        <v>32</v>
      </c>
      <c r="P2" s="48"/>
      <c r="Q2" s="47" t="s">
        <v>33</v>
      </c>
      <c r="R2" s="48"/>
      <c r="S2" s="4" t="s">
        <v>34</v>
      </c>
      <c r="T2" s="4" t="s">
        <v>35</v>
      </c>
      <c r="U2" s="4" t="s">
        <v>36</v>
      </c>
      <c r="V2" s="5" t="s">
        <v>37</v>
      </c>
      <c r="W2" s="4" t="s">
        <v>38</v>
      </c>
      <c r="Y2" s="47" t="s">
        <v>32</v>
      </c>
      <c r="Z2" s="48"/>
      <c r="AA2" s="47" t="s">
        <v>33</v>
      </c>
      <c r="AB2" s="48"/>
      <c r="AC2" s="4" t="s">
        <v>34</v>
      </c>
      <c r="AD2" s="4" t="s">
        <v>35</v>
      </c>
      <c r="AE2" s="4" t="s">
        <v>36</v>
      </c>
      <c r="AF2" s="5" t="s">
        <v>37</v>
      </c>
      <c r="AG2" s="4" t="s">
        <v>38</v>
      </c>
      <c r="AI2" s="47" t="s">
        <v>32</v>
      </c>
      <c r="AJ2" s="48"/>
      <c r="AK2" s="47" t="s">
        <v>33</v>
      </c>
      <c r="AL2" s="48"/>
      <c r="AM2" s="4" t="s">
        <v>34</v>
      </c>
      <c r="AN2" s="4" t="s">
        <v>35</v>
      </c>
      <c r="AO2" s="4" t="s">
        <v>36</v>
      </c>
      <c r="AP2" s="5" t="s">
        <v>37</v>
      </c>
      <c r="AQ2" s="4" t="s">
        <v>38</v>
      </c>
      <c r="AS2" s="47" t="s">
        <v>32</v>
      </c>
      <c r="AT2" s="48"/>
      <c r="AU2" s="47" t="s">
        <v>33</v>
      </c>
      <c r="AV2" s="48"/>
      <c r="AW2" s="4" t="s">
        <v>34</v>
      </c>
      <c r="AX2" s="4" t="s">
        <v>35</v>
      </c>
      <c r="AY2" s="4" t="s">
        <v>36</v>
      </c>
      <c r="AZ2" s="5" t="s">
        <v>37</v>
      </c>
      <c r="BA2" s="4" t="s">
        <v>38</v>
      </c>
      <c r="BC2" s="47" t="s">
        <v>32</v>
      </c>
      <c r="BD2" s="48"/>
      <c r="BE2" s="47" t="s">
        <v>33</v>
      </c>
      <c r="BF2" s="48"/>
      <c r="BG2" s="4" t="s">
        <v>34</v>
      </c>
      <c r="BH2" s="4" t="s">
        <v>35</v>
      </c>
      <c r="BI2" s="4" t="s">
        <v>36</v>
      </c>
      <c r="BJ2" s="5" t="s">
        <v>37</v>
      </c>
      <c r="BK2" s="4" t="s">
        <v>38</v>
      </c>
      <c r="BM2" s="47" t="s">
        <v>32</v>
      </c>
      <c r="BN2" s="48"/>
      <c r="BO2" s="47" t="s">
        <v>33</v>
      </c>
      <c r="BP2" s="48"/>
      <c r="BQ2" s="4" t="s">
        <v>34</v>
      </c>
      <c r="BR2" s="4" t="s">
        <v>35</v>
      </c>
      <c r="BS2" s="4" t="s">
        <v>36</v>
      </c>
      <c r="BT2" s="5" t="s">
        <v>37</v>
      </c>
      <c r="BU2" s="4" t="s">
        <v>38</v>
      </c>
      <c r="BW2" s="47" t="s">
        <v>32</v>
      </c>
      <c r="BX2" s="48"/>
      <c r="BY2" s="47" t="s">
        <v>33</v>
      </c>
      <c r="BZ2" s="48"/>
      <c r="CA2" s="4" t="s">
        <v>34</v>
      </c>
      <c r="CB2" s="4" t="s">
        <v>35</v>
      </c>
      <c r="CC2" s="4" t="s">
        <v>36</v>
      </c>
      <c r="CD2" s="5" t="s">
        <v>37</v>
      </c>
      <c r="CE2" s="4" t="s">
        <v>38</v>
      </c>
      <c r="CG2" s="47" t="s">
        <v>32</v>
      </c>
      <c r="CH2" s="48"/>
      <c r="CI2" s="47" t="s">
        <v>33</v>
      </c>
      <c r="CJ2" s="48"/>
      <c r="CK2" s="4" t="s">
        <v>34</v>
      </c>
      <c r="CL2" s="4" t="s">
        <v>35</v>
      </c>
      <c r="CM2" s="4" t="s">
        <v>36</v>
      </c>
      <c r="CN2" s="5" t="s">
        <v>37</v>
      </c>
      <c r="CO2" s="4" t="s">
        <v>38</v>
      </c>
      <c r="CQ2" s="47" t="s">
        <v>32</v>
      </c>
      <c r="CR2" s="48"/>
      <c r="CS2" s="47" t="s">
        <v>33</v>
      </c>
      <c r="CT2" s="48"/>
      <c r="CU2" s="4" t="s">
        <v>34</v>
      </c>
      <c r="CV2" s="4" t="s">
        <v>35</v>
      </c>
      <c r="CW2" s="4" t="s">
        <v>36</v>
      </c>
      <c r="CX2" s="5" t="s">
        <v>37</v>
      </c>
      <c r="CY2" s="4" t="s">
        <v>38</v>
      </c>
      <c r="DA2" s="47" t="s">
        <v>32</v>
      </c>
      <c r="DB2" s="48"/>
      <c r="DC2" s="47" t="s">
        <v>33</v>
      </c>
      <c r="DD2" s="48"/>
      <c r="DE2" s="4" t="s">
        <v>34</v>
      </c>
      <c r="DF2" s="4" t="s">
        <v>35</v>
      </c>
      <c r="DG2" s="4" t="s">
        <v>36</v>
      </c>
      <c r="DH2" s="5" t="s">
        <v>37</v>
      </c>
      <c r="DI2" s="4" t="s">
        <v>38</v>
      </c>
      <c r="DK2" s="47" t="s">
        <v>32</v>
      </c>
      <c r="DL2" s="48"/>
      <c r="DM2" s="47" t="s">
        <v>33</v>
      </c>
      <c r="DN2" s="48"/>
      <c r="DO2" s="4" t="s">
        <v>34</v>
      </c>
      <c r="DP2" s="4" t="s">
        <v>35</v>
      </c>
      <c r="DQ2" s="4" t="s">
        <v>36</v>
      </c>
      <c r="DR2" s="5" t="s">
        <v>37</v>
      </c>
      <c r="DS2" s="4" t="s">
        <v>38</v>
      </c>
      <c r="DU2" s="47" t="s">
        <v>32</v>
      </c>
      <c r="DV2" s="48"/>
      <c r="DW2" s="47" t="s">
        <v>33</v>
      </c>
      <c r="DX2" s="48"/>
      <c r="DY2" s="4" t="s">
        <v>34</v>
      </c>
      <c r="DZ2" s="4" t="s">
        <v>35</v>
      </c>
      <c r="EA2" s="4" t="s">
        <v>36</v>
      </c>
      <c r="EB2" s="5" t="s">
        <v>37</v>
      </c>
      <c r="EC2" s="4" t="s">
        <v>38</v>
      </c>
      <c r="EE2" s="47" t="s">
        <v>32</v>
      </c>
      <c r="EF2" s="48"/>
      <c r="EG2" s="47" t="s">
        <v>33</v>
      </c>
      <c r="EH2" s="48"/>
      <c r="EI2" s="4" t="s">
        <v>34</v>
      </c>
      <c r="EJ2" s="4" t="s">
        <v>35</v>
      </c>
      <c r="EK2" s="4" t="s">
        <v>36</v>
      </c>
      <c r="EL2" s="5" t="s">
        <v>37</v>
      </c>
      <c r="EM2" s="4" t="s">
        <v>38</v>
      </c>
      <c r="EO2" s="47" t="s">
        <v>32</v>
      </c>
      <c r="EP2" s="48"/>
      <c r="EQ2" s="47" t="s">
        <v>33</v>
      </c>
      <c r="ER2" s="48"/>
      <c r="ES2" s="4" t="s">
        <v>34</v>
      </c>
      <c r="ET2" s="4" t="s">
        <v>35</v>
      </c>
      <c r="EU2" s="4" t="s">
        <v>36</v>
      </c>
      <c r="EV2" s="5" t="s">
        <v>37</v>
      </c>
      <c r="EW2" s="4" t="s">
        <v>38</v>
      </c>
      <c r="EY2" s="47" t="s">
        <v>32</v>
      </c>
      <c r="EZ2" s="48"/>
      <c r="FA2" s="47" t="s">
        <v>33</v>
      </c>
      <c r="FB2" s="48"/>
      <c r="FC2" s="4" t="s">
        <v>34</v>
      </c>
      <c r="FD2" s="4" t="s">
        <v>35</v>
      </c>
      <c r="FE2" s="4" t="s">
        <v>36</v>
      </c>
      <c r="FF2" s="5" t="s">
        <v>37</v>
      </c>
      <c r="FG2" s="4" t="s">
        <v>38</v>
      </c>
      <c r="FI2" s="47" t="s">
        <v>32</v>
      </c>
      <c r="FJ2" s="48"/>
      <c r="FK2" s="47" t="s">
        <v>33</v>
      </c>
      <c r="FL2" s="48"/>
      <c r="FM2" s="4" t="s">
        <v>34</v>
      </c>
      <c r="FN2" s="4" t="s">
        <v>35</v>
      </c>
      <c r="FO2" s="4" t="s">
        <v>36</v>
      </c>
      <c r="FP2" s="5" t="s">
        <v>37</v>
      </c>
      <c r="FQ2" s="4" t="s">
        <v>38</v>
      </c>
      <c r="FS2" s="47" t="s">
        <v>32</v>
      </c>
      <c r="FT2" s="48"/>
      <c r="FU2" s="47" t="s">
        <v>33</v>
      </c>
      <c r="FV2" s="48"/>
      <c r="FW2" s="4" t="s">
        <v>34</v>
      </c>
      <c r="FX2" s="4" t="s">
        <v>35</v>
      </c>
      <c r="FY2" s="4" t="s">
        <v>36</v>
      </c>
      <c r="FZ2" s="5" t="s">
        <v>37</v>
      </c>
      <c r="GA2" s="4" t="s">
        <v>38</v>
      </c>
      <c r="GC2" s="47" t="s">
        <v>32</v>
      </c>
      <c r="GD2" s="48"/>
      <c r="GE2" s="47" t="s">
        <v>33</v>
      </c>
      <c r="GF2" s="48"/>
      <c r="GG2" s="4" t="s">
        <v>34</v>
      </c>
      <c r="GH2" s="4" t="s">
        <v>35</v>
      </c>
      <c r="GI2" s="4" t="s">
        <v>36</v>
      </c>
      <c r="GJ2" s="5" t="s">
        <v>37</v>
      </c>
      <c r="GK2" s="4" t="s">
        <v>38</v>
      </c>
      <c r="GM2" s="47" t="s">
        <v>32</v>
      </c>
      <c r="GN2" s="48"/>
      <c r="GO2" s="47" t="s">
        <v>33</v>
      </c>
      <c r="GP2" s="48"/>
      <c r="GQ2" s="4" t="s">
        <v>34</v>
      </c>
      <c r="GR2" s="4" t="s">
        <v>35</v>
      </c>
      <c r="GS2" s="4" t="s">
        <v>36</v>
      </c>
      <c r="GT2" s="5" t="s">
        <v>37</v>
      </c>
      <c r="GU2" s="4" t="s">
        <v>38</v>
      </c>
      <c r="GW2" s="47" t="s">
        <v>32</v>
      </c>
      <c r="GX2" s="48"/>
      <c r="GY2" s="47" t="s">
        <v>33</v>
      </c>
      <c r="GZ2" s="48"/>
      <c r="HA2" s="4" t="s">
        <v>34</v>
      </c>
      <c r="HB2" s="4" t="s">
        <v>35</v>
      </c>
      <c r="HC2" s="4" t="s">
        <v>36</v>
      </c>
      <c r="HD2" s="5" t="s">
        <v>37</v>
      </c>
      <c r="HE2" s="4" t="s">
        <v>38</v>
      </c>
      <c r="HG2" s="47" t="s">
        <v>32</v>
      </c>
      <c r="HH2" s="48"/>
      <c r="HI2" s="47" t="s">
        <v>33</v>
      </c>
      <c r="HJ2" s="48"/>
      <c r="HK2" s="4" t="s">
        <v>34</v>
      </c>
      <c r="HL2" s="4" t="s">
        <v>35</v>
      </c>
      <c r="HM2" s="4" t="s">
        <v>36</v>
      </c>
      <c r="HN2" s="5" t="s">
        <v>37</v>
      </c>
      <c r="HO2" s="4" t="s">
        <v>38</v>
      </c>
      <c r="HQ2" s="47" t="s">
        <v>32</v>
      </c>
      <c r="HR2" s="48"/>
      <c r="HS2" s="47" t="s">
        <v>33</v>
      </c>
      <c r="HT2" s="48"/>
      <c r="HU2" s="4" t="s">
        <v>34</v>
      </c>
      <c r="HV2" s="4" t="s">
        <v>35</v>
      </c>
      <c r="HW2" s="4" t="s">
        <v>36</v>
      </c>
      <c r="HX2" s="5" t="s">
        <v>37</v>
      </c>
      <c r="HY2" s="4" t="s">
        <v>38</v>
      </c>
      <c r="IA2" s="47" t="s">
        <v>32</v>
      </c>
      <c r="IB2" s="48"/>
      <c r="IC2" s="47" t="s">
        <v>33</v>
      </c>
      <c r="ID2" s="48"/>
      <c r="IE2" s="4" t="s">
        <v>34</v>
      </c>
      <c r="IF2" s="4" t="s">
        <v>35</v>
      </c>
      <c r="IG2" s="4" t="s">
        <v>36</v>
      </c>
      <c r="IH2" s="5" t="s">
        <v>37</v>
      </c>
      <c r="II2" s="4" t="s">
        <v>38</v>
      </c>
      <c r="IK2" s="47" t="s">
        <v>32</v>
      </c>
      <c r="IL2" s="48"/>
      <c r="IM2" s="47" t="s">
        <v>33</v>
      </c>
      <c r="IN2" s="48"/>
      <c r="IO2" s="4" t="s">
        <v>34</v>
      </c>
      <c r="IP2" s="4" t="s">
        <v>35</v>
      </c>
      <c r="IQ2" s="4" t="s">
        <v>36</v>
      </c>
      <c r="IR2" s="5" t="s">
        <v>37</v>
      </c>
      <c r="IS2" s="4" t="s">
        <v>38</v>
      </c>
      <c r="IU2" s="47" t="s">
        <v>32</v>
      </c>
      <c r="IV2" s="48"/>
      <c r="IW2" s="47" t="s">
        <v>33</v>
      </c>
      <c r="IX2" s="48"/>
      <c r="IY2" s="4" t="s">
        <v>34</v>
      </c>
      <c r="IZ2" s="4" t="s">
        <v>35</v>
      </c>
      <c r="JA2" s="4" t="s">
        <v>36</v>
      </c>
      <c r="JB2" s="5" t="s">
        <v>37</v>
      </c>
      <c r="JC2" s="4" t="s">
        <v>38</v>
      </c>
      <c r="JE2" s="47" t="s">
        <v>32</v>
      </c>
      <c r="JF2" s="48"/>
      <c r="JG2" s="47" t="s">
        <v>33</v>
      </c>
      <c r="JH2" s="48"/>
      <c r="JI2" s="4" t="s">
        <v>34</v>
      </c>
      <c r="JJ2" s="4" t="s">
        <v>35</v>
      </c>
      <c r="JK2" s="4" t="s">
        <v>36</v>
      </c>
      <c r="JL2" s="5" t="s">
        <v>37</v>
      </c>
      <c r="JM2" s="4" t="s">
        <v>38</v>
      </c>
      <c r="JO2" s="47" t="s">
        <v>32</v>
      </c>
      <c r="JP2" s="48"/>
      <c r="JQ2" s="47" t="s">
        <v>33</v>
      </c>
      <c r="JR2" s="48"/>
      <c r="JS2" s="4" t="s">
        <v>34</v>
      </c>
      <c r="JT2" s="4" t="s">
        <v>35</v>
      </c>
      <c r="JU2" s="4" t="s">
        <v>36</v>
      </c>
      <c r="JV2" s="5" t="s">
        <v>37</v>
      </c>
      <c r="JW2" s="4" t="s">
        <v>38</v>
      </c>
      <c r="JY2" s="47" t="s">
        <v>32</v>
      </c>
      <c r="JZ2" s="48"/>
      <c r="KA2" s="47" t="s">
        <v>33</v>
      </c>
      <c r="KB2" s="48"/>
      <c r="KC2" s="4" t="s">
        <v>34</v>
      </c>
      <c r="KD2" s="4" t="s">
        <v>35</v>
      </c>
      <c r="KE2" s="4" t="s">
        <v>36</v>
      </c>
      <c r="KF2" s="5" t="s">
        <v>37</v>
      </c>
      <c r="KG2" s="4" t="s">
        <v>38</v>
      </c>
      <c r="KI2" s="47" t="s">
        <v>32</v>
      </c>
      <c r="KJ2" s="48"/>
      <c r="KK2" s="47" t="s">
        <v>33</v>
      </c>
      <c r="KL2" s="48"/>
      <c r="KM2" s="4" t="s">
        <v>34</v>
      </c>
      <c r="KN2" s="4" t="s">
        <v>35</v>
      </c>
      <c r="KO2" s="4" t="s">
        <v>36</v>
      </c>
      <c r="KP2" s="5" t="s">
        <v>37</v>
      </c>
      <c r="KQ2" s="4" t="s">
        <v>38</v>
      </c>
      <c r="KS2" s="47" t="s">
        <v>32</v>
      </c>
      <c r="KT2" s="48"/>
      <c r="KU2" s="47" t="s">
        <v>33</v>
      </c>
      <c r="KV2" s="48"/>
      <c r="KW2" s="4" t="s">
        <v>34</v>
      </c>
      <c r="KX2" s="4" t="s">
        <v>35</v>
      </c>
      <c r="KY2" s="4" t="s">
        <v>36</v>
      </c>
      <c r="KZ2" s="5" t="s">
        <v>37</v>
      </c>
      <c r="LA2" s="4" t="s">
        <v>38</v>
      </c>
      <c r="LC2" s="47" t="s">
        <v>32</v>
      </c>
      <c r="LD2" s="48"/>
      <c r="LE2" s="47" t="s">
        <v>33</v>
      </c>
      <c r="LF2" s="48"/>
      <c r="LG2" s="4" t="s">
        <v>34</v>
      </c>
      <c r="LH2" s="4" t="s">
        <v>35</v>
      </c>
      <c r="LI2" s="4" t="s">
        <v>36</v>
      </c>
      <c r="LJ2" s="5" t="s">
        <v>37</v>
      </c>
      <c r="LK2" s="4" t="s">
        <v>38</v>
      </c>
      <c r="LM2" s="47" t="s">
        <v>32</v>
      </c>
      <c r="LN2" s="48"/>
      <c r="LO2" s="47" t="s">
        <v>33</v>
      </c>
      <c r="LP2" s="48"/>
      <c r="LQ2" s="4" t="s">
        <v>34</v>
      </c>
      <c r="LR2" s="4" t="s">
        <v>35</v>
      </c>
      <c r="LS2" s="4" t="s">
        <v>36</v>
      </c>
      <c r="LT2" s="5" t="s">
        <v>37</v>
      </c>
      <c r="LU2" s="4" t="s">
        <v>38</v>
      </c>
      <c r="LW2" s="47" t="s">
        <v>32</v>
      </c>
      <c r="LX2" s="48"/>
      <c r="LY2" s="47" t="s">
        <v>33</v>
      </c>
      <c r="LZ2" s="48"/>
      <c r="MA2" s="4" t="s">
        <v>34</v>
      </c>
      <c r="MB2" s="4" t="s">
        <v>35</v>
      </c>
      <c r="MC2" s="4" t="s">
        <v>36</v>
      </c>
      <c r="MD2" s="5" t="s">
        <v>37</v>
      </c>
      <c r="ME2" s="4" t="s">
        <v>38</v>
      </c>
      <c r="MG2" s="47" t="s">
        <v>32</v>
      </c>
      <c r="MH2" s="48"/>
      <c r="MI2" s="47" t="s">
        <v>33</v>
      </c>
      <c r="MJ2" s="48"/>
      <c r="MK2" s="4" t="s">
        <v>34</v>
      </c>
      <c r="ML2" s="4" t="s">
        <v>35</v>
      </c>
      <c r="MM2" s="4" t="s">
        <v>36</v>
      </c>
      <c r="MN2" s="5" t="s">
        <v>37</v>
      </c>
      <c r="MO2" s="4" t="s">
        <v>38</v>
      </c>
      <c r="MQ2" s="47" t="s">
        <v>32</v>
      </c>
      <c r="MR2" s="48"/>
      <c r="MS2" s="47" t="s">
        <v>33</v>
      </c>
      <c r="MT2" s="48"/>
      <c r="MU2" s="4" t="s">
        <v>34</v>
      </c>
      <c r="MV2" s="4" t="s">
        <v>35</v>
      </c>
      <c r="MW2" s="4" t="s">
        <v>36</v>
      </c>
      <c r="MX2" s="5" t="s">
        <v>37</v>
      </c>
      <c r="MY2" s="4" t="s">
        <v>38</v>
      </c>
      <c r="NA2" s="47" t="s">
        <v>32</v>
      </c>
      <c r="NB2" s="48"/>
      <c r="NC2" s="47" t="s">
        <v>33</v>
      </c>
      <c r="ND2" s="48"/>
      <c r="NE2" s="4" t="s">
        <v>34</v>
      </c>
      <c r="NF2" s="4" t="s">
        <v>35</v>
      </c>
      <c r="NG2" s="4" t="s">
        <v>36</v>
      </c>
      <c r="NH2" s="5" t="s">
        <v>37</v>
      </c>
      <c r="NI2" s="4" t="s">
        <v>38</v>
      </c>
      <c r="NK2" s="47" t="s">
        <v>32</v>
      </c>
      <c r="NL2" s="48"/>
      <c r="NM2" s="47" t="s">
        <v>33</v>
      </c>
      <c r="NN2" s="48"/>
      <c r="NO2" s="4" t="s">
        <v>34</v>
      </c>
      <c r="NP2" s="4" t="s">
        <v>35</v>
      </c>
      <c r="NQ2" s="4" t="s">
        <v>36</v>
      </c>
      <c r="NR2" s="5" t="s">
        <v>37</v>
      </c>
      <c r="NS2" s="4" t="s">
        <v>38</v>
      </c>
      <c r="NU2" s="47" t="s">
        <v>32</v>
      </c>
      <c r="NV2" s="48"/>
      <c r="NW2" s="47" t="s">
        <v>33</v>
      </c>
      <c r="NX2" s="48"/>
      <c r="NY2" s="4" t="s">
        <v>34</v>
      </c>
      <c r="NZ2" s="4" t="s">
        <v>35</v>
      </c>
      <c r="OA2" s="4" t="s">
        <v>36</v>
      </c>
      <c r="OB2" s="5" t="s">
        <v>37</v>
      </c>
      <c r="OC2" s="4" t="s">
        <v>38</v>
      </c>
      <c r="OE2" s="47" t="s">
        <v>32</v>
      </c>
      <c r="OF2" s="48"/>
      <c r="OG2" s="47" t="s">
        <v>33</v>
      </c>
      <c r="OH2" s="48"/>
      <c r="OI2" s="4" t="s">
        <v>34</v>
      </c>
      <c r="OJ2" s="4" t="s">
        <v>35</v>
      </c>
      <c r="OK2" s="4" t="s">
        <v>36</v>
      </c>
      <c r="OL2" s="5" t="s">
        <v>37</v>
      </c>
      <c r="OM2" s="4" t="s">
        <v>38</v>
      </c>
      <c r="OO2" s="47" t="s">
        <v>32</v>
      </c>
      <c r="OP2" s="48"/>
      <c r="OQ2" s="47" t="s">
        <v>33</v>
      </c>
      <c r="OR2" s="48"/>
      <c r="OS2" s="4" t="s">
        <v>34</v>
      </c>
      <c r="OT2" s="4" t="s">
        <v>35</v>
      </c>
      <c r="OU2" s="4" t="s">
        <v>36</v>
      </c>
      <c r="OV2" s="5" t="s">
        <v>37</v>
      </c>
      <c r="OW2" s="4" t="s">
        <v>38</v>
      </c>
      <c r="OY2" s="47" t="s">
        <v>32</v>
      </c>
      <c r="OZ2" s="48"/>
      <c r="PA2" s="47" t="s">
        <v>33</v>
      </c>
      <c r="PB2" s="48"/>
      <c r="PC2" s="4" t="s">
        <v>34</v>
      </c>
      <c r="PD2" s="4" t="s">
        <v>35</v>
      </c>
      <c r="PE2" s="4" t="s">
        <v>36</v>
      </c>
      <c r="PF2" s="5" t="s">
        <v>37</v>
      </c>
      <c r="PG2" s="4" t="s">
        <v>38</v>
      </c>
      <c r="PI2" s="47" t="s">
        <v>32</v>
      </c>
      <c r="PJ2" s="48"/>
      <c r="PK2" s="47" t="s">
        <v>33</v>
      </c>
      <c r="PL2" s="48"/>
      <c r="PM2" s="4" t="s">
        <v>34</v>
      </c>
      <c r="PN2" s="4" t="s">
        <v>35</v>
      </c>
      <c r="PO2" s="4" t="s">
        <v>36</v>
      </c>
      <c r="PP2" s="5" t="s">
        <v>37</v>
      </c>
      <c r="PQ2" s="4" t="s">
        <v>38</v>
      </c>
      <c r="PS2" s="47" t="s">
        <v>32</v>
      </c>
      <c r="PT2" s="48"/>
      <c r="PU2" s="47" t="s">
        <v>33</v>
      </c>
      <c r="PV2" s="48"/>
      <c r="PW2" s="4" t="s">
        <v>34</v>
      </c>
      <c r="PX2" s="4" t="s">
        <v>35</v>
      </c>
      <c r="PY2" s="4" t="s">
        <v>36</v>
      </c>
      <c r="PZ2" s="5" t="s">
        <v>37</v>
      </c>
      <c r="QA2" s="4" t="s">
        <v>38</v>
      </c>
      <c r="QC2" s="47" t="s">
        <v>32</v>
      </c>
      <c r="QD2" s="48"/>
      <c r="QE2" s="47" t="s">
        <v>33</v>
      </c>
      <c r="QF2" s="48"/>
      <c r="QG2" s="4" t="s">
        <v>34</v>
      </c>
      <c r="QH2" s="4" t="s">
        <v>35</v>
      </c>
      <c r="QI2" s="4" t="s">
        <v>36</v>
      </c>
      <c r="QJ2" s="5" t="s">
        <v>37</v>
      </c>
      <c r="QK2" s="4" t="s">
        <v>38</v>
      </c>
      <c r="QM2" s="47" t="s">
        <v>32</v>
      </c>
      <c r="QN2" s="48"/>
      <c r="QO2" s="47" t="s">
        <v>33</v>
      </c>
      <c r="QP2" s="48"/>
      <c r="QQ2" s="4" t="s">
        <v>34</v>
      </c>
      <c r="QR2" s="4" t="s">
        <v>35</v>
      </c>
      <c r="QS2" s="4" t="s">
        <v>36</v>
      </c>
      <c r="QT2" s="5" t="s">
        <v>37</v>
      </c>
      <c r="QU2" s="4" t="s">
        <v>38</v>
      </c>
      <c r="QW2" s="47" t="s">
        <v>32</v>
      </c>
      <c r="QX2" s="48"/>
      <c r="QY2" s="47" t="s">
        <v>33</v>
      </c>
      <c r="QZ2" s="48"/>
      <c r="RA2" s="4" t="s">
        <v>34</v>
      </c>
      <c r="RB2" s="4" t="s">
        <v>35</v>
      </c>
      <c r="RC2" s="4" t="s">
        <v>36</v>
      </c>
      <c r="RD2" s="5" t="s">
        <v>37</v>
      </c>
      <c r="RE2" s="4" t="s">
        <v>38</v>
      </c>
      <c r="RG2" s="47" t="s">
        <v>32</v>
      </c>
      <c r="RH2" s="48"/>
      <c r="RI2" s="47" t="s">
        <v>33</v>
      </c>
      <c r="RJ2" s="48"/>
      <c r="RK2" s="4" t="s">
        <v>34</v>
      </c>
      <c r="RL2" s="4" t="s">
        <v>35</v>
      </c>
      <c r="RM2" s="4" t="s">
        <v>36</v>
      </c>
      <c r="RN2" s="5" t="s">
        <v>37</v>
      </c>
      <c r="RO2" s="4" t="s">
        <v>38</v>
      </c>
      <c r="RQ2" s="47" t="s">
        <v>32</v>
      </c>
      <c r="RR2" s="48"/>
      <c r="RS2" s="47" t="s">
        <v>33</v>
      </c>
      <c r="RT2" s="48"/>
      <c r="RU2" s="4" t="s">
        <v>34</v>
      </c>
      <c r="RV2" s="4" t="s">
        <v>35</v>
      </c>
      <c r="RW2" s="4" t="s">
        <v>36</v>
      </c>
      <c r="RX2" s="5" t="s">
        <v>37</v>
      </c>
      <c r="RY2" s="4" t="s">
        <v>38</v>
      </c>
      <c r="SA2" s="47" t="s">
        <v>32</v>
      </c>
      <c r="SB2" s="48"/>
      <c r="SC2" s="47" t="s">
        <v>33</v>
      </c>
      <c r="SD2" s="48"/>
      <c r="SE2" s="4" t="s">
        <v>34</v>
      </c>
      <c r="SF2" s="4" t="s">
        <v>35</v>
      </c>
      <c r="SG2" s="4" t="s">
        <v>36</v>
      </c>
      <c r="SH2" s="5" t="s">
        <v>37</v>
      </c>
      <c r="SI2" s="4" t="s">
        <v>38</v>
      </c>
      <c r="SK2" s="47" t="s">
        <v>32</v>
      </c>
      <c r="SL2" s="48"/>
      <c r="SM2" s="47" t="s">
        <v>33</v>
      </c>
      <c r="SN2" s="48"/>
      <c r="SO2" s="4" t="s">
        <v>34</v>
      </c>
      <c r="SP2" s="4" t="s">
        <v>35</v>
      </c>
      <c r="SQ2" s="4" t="s">
        <v>36</v>
      </c>
      <c r="SR2" s="5" t="s">
        <v>37</v>
      </c>
      <c r="SS2" s="4" t="s">
        <v>38</v>
      </c>
      <c r="SU2" s="47" t="s">
        <v>32</v>
      </c>
      <c r="SV2" s="48"/>
      <c r="SW2" s="47" t="s">
        <v>33</v>
      </c>
      <c r="SX2" s="48"/>
      <c r="SY2" s="4" t="s">
        <v>34</v>
      </c>
      <c r="SZ2" s="4" t="s">
        <v>35</v>
      </c>
      <c r="TA2" s="4" t="s">
        <v>36</v>
      </c>
      <c r="TB2" s="5" t="s">
        <v>37</v>
      </c>
      <c r="TC2" s="4" t="s">
        <v>38</v>
      </c>
      <c r="TE2" s="47" t="s">
        <v>32</v>
      </c>
      <c r="TF2" s="48"/>
      <c r="TG2" s="47" t="s">
        <v>33</v>
      </c>
      <c r="TH2" s="48"/>
      <c r="TI2" s="4" t="s">
        <v>34</v>
      </c>
      <c r="TJ2" s="4" t="s">
        <v>35</v>
      </c>
      <c r="TK2" s="4" t="s">
        <v>36</v>
      </c>
      <c r="TL2" s="5" t="s">
        <v>37</v>
      </c>
      <c r="TM2" s="4" t="s">
        <v>38</v>
      </c>
      <c r="TO2" s="47" t="s">
        <v>32</v>
      </c>
      <c r="TP2" s="48"/>
      <c r="TQ2" s="47" t="s">
        <v>33</v>
      </c>
      <c r="TR2" s="48"/>
      <c r="TS2" s="4" t="s">
        <v>34</v>
      </c>
      <c r="TT2" s="4" t="s">
        <v>35</v>
      </c>
      <c r="TU2" s="4" t="s">
        <v>36</v>
      </c>
      <c r="TV2" s="5" t="s">
        <v>37</v>
      </c>
      <c r="TW2" s="4" t="s">
        <v>38</v>
      </c>
      <c r="TY2" s="47" t="s">
        <v>32</v>
      </c>
      <c r="TZ2" s="48"/>
      <c r="UA2" s="47" t="s">
        <v>33</v>
      </c>
      <c r="UB2" s="48"/>
      <c r="UC2" s="4" t="s">
        <v>34</v>
      </c>
      <c r="UD2" s="4" t="s">
        <v>35</v>
      </c>
      <c r="UE2" s="4" t="s">
        <v>36</v>
      </c>
      <c r="UF2" s="5" t="s">
        <v>37</v>
      </c>
      <c r="UG2" s="4" t="s">
        <v>38</v>
      </c>
      <c r="UI2" s="47" t="s">
        <v>32</v>
      </c>
      <c r="UJ2" s="48"/>
      <c r="UK2" s="47" t="s">
        <v>33</v>
      </c>
      <c r="UL2" s="48"/>
      <c r="UM2" s="4" t="s">
        <v>34</v>
      </c>
      <c r="UN2" s="4" t="s">
        <v>35</v>
      </c>
      <c r="UO2" s="4" t="s">
        <v>36</v>
      </c>
      <c r="UP2" s="5" t="s">
        <v>37</v>
      </c>
      <c r="UQ2" s="4" t="s">
        <v>38</v>
      </c>
      <c r="US2" s="47" t="s">
        <v>32</v>
      </c>
      <c r="UT2" s="48"/>
      <c r="UU2" s="47" t="s">
        <v>33</v>
      </c>
      <c r="UV2" s="48"/>
      <c r="UW2" s="4" t="s">
        <v>34</v>
      </c>
      <c r="UX2" s="4" t="s">
        <v>35</v>
      </c>
      <c r="UY2" s="4" t="s">
        <v>36</v>
      </c>
      <c r="UZ2" s="5" t="s">
        <v>37</v>
      </c>
      <c r="VA2" s="4" t="s">
        <v>38</v>
      </c>
      <c r="VC2" s="47" t="s">
        <v>32</v>
      </c>
      <c r="VD2" s="48"/>
      <c r="VE2" s="47" t="s">
        <v>33</v>
      </c>
      <c r="VF2" s="48"/>
      <c r="VG2" s="4" t="s">
        <v>34</v>
      </c>
      <c r="VH2" s="4" t="s">
        <v>35</v>
      </c>
      <c r="VI2" s="4" t="s">
        <v>36</v>
      </c>
      <c r="VJ2" s="5" t="s">
        <v>37</v>
      </c>
      <c r="VK2" s="4" t="s">
        <v>38</v>
      </c>
      <c r="VM2" s="47" t="s">
        <v>32</v>
      </c>
      <c r="VN2" s="48"/>
      <c r="VO2" s="47" t="s">
        <v>33</v>
      </c>
      <c r="VP2" s="48"/>
      <c r="VQ2" s="4" t="s">
        <v>34</v>
      </c>
      <c r="VR2" s="4" t="s">
        <v>35</v>
      </c>
      <c r="VS2" s="4" t="s">
        <v>36</v>
      </c>
      <c r="VT2" s="5" t="s">
        <v>37</v>
      </c>
      <c r="VU2" s="4" t="s">
        <v>38</v>
      </c>
      <c r="VW2" s="47" t="s">
        <v>32</v>
      </c>
      <c r="VX2" s="48"/>
      <c r="VY2" s="47" t="s">
        <v>33</v>
      </c>
      <c r="VZ2" s="48"/>
      <c r="WA2" s="4" t="s">
        <v>34</v>
      </c>
      <c r="WB2" s="4" t="s">
        <v>35</v>
      </c>
      <c r="WC2" s="4" t="s">
        <v>36</v>
      </c>
      <c r="WD2" s="5" t="s">
        <v>37</v>
      </c>
      <c r="WE2" s="4" t="s">
        <v>38</v>
      </c>
      <c r="WG2" s="47" t="s">
        <v>32</v>
      </c>
      <c r="WH2" s="48"/>
      <c r="WI2" s="47" t="s">
        <v>33</v>
      </c>
      <c r="WJ2" s="48"/>
      <c r="WK2" s="4" t="s">
        <v>34</v>
      </c>
      <c r="WL2" s="4" t="s">
        <v>35</v>
      </c>
      <c r="WM2" s="4" t="s">
        <v>36</v>
      </c>
      <c r="WN2" s="5" t="s">
        <v>37</v>
      </c>
      <c r="WO2" s="4" t="s">
        <v>38</v>
      </c>
      <c r="WQ2" s="47" t="s">
        <v>32</v>
      </c>
      <c r="WR2" s="48"/>
      <c r="WS2" s="47" t="s">
        <v>33</v>
      </c>
      <c r="WT2" s="48"/>
      <c r="WU2" s="4" t="s">
        <v>34</v>
      </c>
      <c r="WV2" s="4" t="s">
        <v>35</v>
      </c>
      <c r="WW2" s="4" t="s">
        <v>36</v>
      </c>
      <c r="WX2" s="5" t="s">
        <v>37</v>
      </c>
      <c r="WY2" s="4" t="s">
        <v>38</v>
      </c>
      <c r="XA2" s="47" t="s">
        <v>32</v>
      </c>
      <c r="XB2" s="48"/>
      <c r="XC2" s="47" t="s">
        <v>33</v>
      </c>
      <c r="XD2" s="48"/>
      <c r="XE2" s="4" t="s">
        <v>34</v>
      </c>
      <c r="XF2" s="4" t="s">
        <v>35</v>
      </c>
      <c r="XG2" s="4" t="s">
        <v>36</v>
      </c>
      <c r="XH2" s="5" t="s">
        <v>37</v>
      </c>
      <c r="XI2" s="4" t="s">
        <v>38</v>
      </c>
      <c r="XK2" s="47" t="s">
        <v>32</v>
      </c>
      <c r="XL2" s="48"/>
      <c r="XM2" s="47" t="s">
        <v>33</v>
      </c>
      <c r="XN2" s="48"/>
      <c r="XO2" s="4" t="s">
        <v>34</v>
      </c>
      <c r="XP2" s="4" t="s">
        <v>35</v>
      </c>
      <c r="XQ2" s="4" t="s">
        <v>36</v>
      </c>
      <c r="XR2" s="5" t="s">
        <v>37</v>
      </c>
      <c r="XS2" s="4" t="s">
        <v>38</v>
      </c>
      <c r="XU2" s="47" t="s">
        <v>32</v>
      </c>
      <c r="XV2" s="48"/>
      <c r="XW2" s="47" t="s">
        <v>33</v>
      </c>
      <c r="XX2" s="48"/>
      <c r="XY2" s="4" t="s">
        <v>34</v>
      </c>
      <c r="XZ2" s="4" t="s">
        <v>35</v>
      </c>
      <c r="YA2" s="4" t="s">
        <v>36</v>
      </c>
      <c r="YB2" s="5" t="s">
        <v>37</v>
      </c>
      <c r="YC2" s="4" t="s">
        <v>38</v>
      </c>
      <c r="YE2" s="47" t="s">
        <v>32</v>
      </c>
      <c r="YF2" s="48"/>
      <c r="YG2" s="47" t="s">
        <v>33</v>
      </c>
      <c r="YH2" s="48"/>
      <c r="YI2" s="4" t="s">
        <v>34</v>
      </c>
      <c r="YJ2" s="4" t="s">
        <v>35</v>
      </c>
      <c r="YK2" s="4" t="s">
        <v>36</v>
      </c>
      <c r="YL2" s="5" t="s">
        <v>37</v>
      </c>
      <c r="YM2" s="4" t="s">
        <v>38</v>
      </c>
      <c r="YO2" s="47" t="s">
        <v>32</v>
      </c>
      <c r="YP2" s="48"/>
      <c r="YQ2" s="47" t="s">
        <v>33</v>
      </c>
      <c r="YR2" s="48"/>
      <c r="YS2" s="4" t="s">
        <v>34</v>
      </c>
      <c r="YT2" s="4" t="s">
        <v>35</v>
      </c>
      <c r="YU2" s="4" t="s">
        <v>36</v>
      </c>
      <c r="YV2" s="5" t="s">
        <v>37</v>
      </c>
      <c r="YW2" s="4" t="s">
        <v>38</v>
      </c>
      <c r="YY2" s="47" t="s">
        <v>32</v>
      </c>
      <c r="YZ2" s="48"/>
      <c r="ZA2" s="47" t="s">
        <v>33</v>
      </c>
      <c r="ZB2" s="48"/>
      <c r="ZC2" s="4" t="s">
        <v>34</v>
      </c>
      <c r="ZD2" s="4" t="s">
        <v>35</v>
      </c>
      <c r="ZE2" s="4" t="s">
        <v>36</v>
      </c>
      <c r="ZF2" s="5" t="s">
        <v>37</v>
      </c>
      <c r="ZG2" s="4" t="s">
        <v>38</v>
      </c>
      <c r="ZI2" s="47" t="s">
        <v>32</v>
      </c>
      <c r="ZJ2" s="48"/>
      <c r="ZK2" s="47" t="s">
        <v>33</v>
      </c>
      <c r="ZL2" s="48"/>
      <c r="ZM2" s="4" t="s">
        <v>34</v>
      </c>
      <c r="ZN2" s="4" t="s">
        <v>35</v>
      </c>
      <c r="ZO2" s="4" t="s">
        <v>36</v>
      </c>
      <c r="ZP2" s="5" t="s">
        <v>37</v>
      </c>
      <c r="ZQ2" s="4" t="s">
        <v>38</v>
      </c>
      <c r="ZS2" s="47" t="s">
        <v>32</v>
      </c>
      <c r="ZT2" s="48"/>
      <c r="ZU2" s="47" t="s">
        <v>33</v>
      </c>
      <c r="ZV2" s="48"/>
      <c r="ZW2" s="4" t="s">
        <v>34</v>
      </c>
      <c r="ZX2" s="4" t="s">
        <v>35</v>
      </c>
      <c r="ZY2" s="4" t="s">
        <v>36</v>
      </c>
      <c r="ZZ2" s="5" t="s">
        <v>37</v>
      </c>
      <c r="AAA2" s="4" t="s">
        <v>38</v>
      </c>
      <c r="AAC2" s="47" t="s">
        <v>32</v>
      </c>
      <c r="AAD2" s="48"/>
      <c r="AAE2" s="47" t="s">
        <v>33</v>
      </c>
      <c r="AAF2" s="48"/>
      <c r="AAG2" s="4" t="s">
        <v>34</v>
      </c>
      <c r="AAH2" s="4" t="s">
        <v>35</v>
      </c>
      <c r="AAI2" s="4" t="s">
        <v>36</v>
      </c>
      <c r="AAJ2" s="5" t="s">
        <v>37</v>
      </c>
      <c r="AAK2" s="4" t="s">
        <v>38</v>
      </c>
      <c r="AAM2" s="47" t="s">
        <v>32</v>
      </c>
      <c r="AAN2" s="48"/>
      <c r="AAO2" s="47" t="s">
        <v>33</v>
      </c>
      <c r="AAP2" s="48"/>
      <c r="AAQ2" s="4" t="s">
        <v>34</v>
      </c>
      <c r="AAR2" s="4" t="s">
        <v>35</v>
      </c>
      <c r="AAS2" s="4" t="s">
        <v>36</v>
      </c>
      <c r="AAT2" s="5" t="s">
        <v>37</v>
      </c>
      <c r="AAU2" s="4" t="s">
        <v>38</v>
      </c>
      <c r="AAW2" s="47" t="s">
        <v>32</v>
      </c>
      <c r="AAX2" s="48"/>
      <c r="AAY2" s="47" t="s">
        <v>33</v>
      </c>
      <c r="AAZ2" s="48"/>
      <c r="ABA2" s="4" t="s">
        <v>34</v>
      </c>
      <c r="ABB2" s="4" t="s">
        <v>35</v>
      </c>
      <c r="ABC2" s="4" t="s">
        <v>36</v>
      </c>
      <c r="ABD2" s="5" t="s">
        <v>37</v>
      </c>
      <c r="ABE2" s="4" t="s">
        <v>38</v>
      </c>
      <c r="ABG2" s="47" t="s">
        <v>32</v>
      </c>
      <c r="ABH2" s="48"/>
      <c r="ABI2" s="47" t="s">
        <v>33</v>
      </c>
      <c r="ABJ2" s="48"/>
      <c r="ABK2" s="4" t="s">
        <v>34</v>
      </c>
      <c r="ABL2" s="4" t="s">
        <v>35</v>
      </c>
      <c r="ABM2" s="4" t="s">
        <v>36</v>
      </c>
      <c r="ABN2" s="5" t="s">
        <v>37</v>
      </c>
      <c r="ABO2" s="4" t="s">
        <v>38</v>
      </c>
      <c r="ABQ2" s="47" t="s">
        <v>32</v>
      </c>
      <c r="ABR2" s="48"/>
      <c r="ABS2" s="47" t="s">
        <v>33</v>
      </c>
      <c r="ABT2" s="48"/>
      <c r="ABU2" s="4" t="s">
        <v>34</v>
      </c>
      <c r="ABV2" s="4" t="s">
        <v>35</v>
      </c>
      <c r="ABW2" s="4" t="s">
        <v>36</v>
      </c>
      <c r="ABX2" s="5" t="s">
        <v>37</v>
      </c>
      <c r="ABY2" s="4" t="s">
        <v>38</v>
      </c>
      <c r="ACA2" s="47" t="s">
        <v>32</v>
      </c>
      <c r="ACB2" s="48"/>
      <c r="ACC2" s="47" t="s">
        <v>33</v>
      </c>
      <c r="ACD2" s="48"/>
      <c r="ACE2" s="4" t="s">
        <v>34</v>
      </c>
      <c r="ACF2" s="4" t="s">
        <v>35</v>
      </c>
      <c r="ACG2" s="4" t="s">
        <v>36</v>
      </c>
      <c r="ACH2" s="5" t="s">
        <v>37</v>
      </c>
      <c r="ACI2" s="4" t="s">
        <v>38</v>
      </c>
      <c r="ACK2" s="47" t="s">
        <v>32</v>
      </c>
      <c r="ACL2" s="48"/>
      <c r="ACM2" s="47" t="s">
        <v>33</v>
      </c>
      <c r="ACN2" s="48"/>
      <c r="ACO2" s="4" t="s">
        <v>34</v>
      </c>
      <c r="ACP2" s="4" t="s">
        <v>35</v>
      </c>
      <c r="ACQ2" s="4" t="s">
        <v>36</v>
      </c>
      <c r="ACR2" s="5" t="s">
        <v>37</v>
      </c>
      <c r="ACS2" s="4" t="s">
        <v>38</v>
      </c>
      <c r="ACU2" s="47" t="s">
        <v>32</v>
      </c>
      <c r="ACV2" s="48"/>
      <c r="ACW2" s="47" t="s">
        <v>33</v>
      </c>
      <c r="ACX2" s="48"/>
      <c r="ACY2" s="4" t="s">
        <v>34</v>
      </c>
      <c r="ACZ2" s="4" t="s">
        <v>35</v>
      </c>
      <c r="ADA2" s="4" t="s">
        <v>36</v>
      </c>
      <c r="ADB2" s="5" t="s">
        <v>37</v>
      </c>
      <c r="ADC2" s="4" t="s">
        <v>38</v>
      </c>
      <c r="ADE2" s="47" t="s">
        <v>32</v>
      </c>
      <c r="ADF2" s="48"/>
      <c r="ADG2" s="47" t="s">
        <v>33</v>
      </c>
      <c r="ADH2" s="48"/>
      <c r="ADI2" s="4" t="s">
        <v>34</v>
      </c>
      <c r="ADJ2" s="4" t="s">
        <v>35</v>
      </c>
      <c r="ADK2" s="4" t="s">
        <v>36</v>
      </c>
      <c r="ADL2" s="5" t="s">
        <v>37</v>
      </c>
      <c r="ADM2" s="4" t="s">
        <v>38</v>
      </c>
      <c r="ADO2" s="47" t="s">
        <v>32</v>
      </c>
      <c r="ADP2" s="48"/>
      <c r="ADQ2" s="47" t="s">
        <v>33</v>
      </c>
      <c r="ADR2" s="48"/>
      <c r="ADS2" s="4" t="s">
        <v>34</v>
      </c>
      <c r="ADT2" s="4" t="s">
        <v>35</v>
      </c>
      <c r="ADU2" s="4" t="s">
        <v>36</v>
      </c>
      <c r="ADV2" s="5" t="s">
        <v>37</v>
      </c>
      <c r="ADW2" s="4" t="s">
        <v>38</v>
      </c>
      <c r="ADY2" s="47" t="s">
        <v>32</v>
      </c>
      <c r="ADZ2" s="48"/>
      <c r="AEA2" s="47" t="s">
        <v>33</v>
      </c>
      <c r="AEB2" s="48"/>
      <c r="AEC2" s="4" t="s">
        <v>34</v>
      </c>
      <c r="AED2" s="4" t="s">
        <v>35</v>
      </c>
      <c r="AEE2" s="4" t="s">
        <v>36</v>
      </c>
      <c r="AEF2" s="5" t="s">
        <v>37</v>
      </c>
      <c r="AEG2" s="4" t="s">
        <v>38</v>
      </c>
      <c r="AEI2" s="47" t="s">
        <v>32</v>
      </c>
      <c r="AEJ2" s="48"/>
      <c r="AEK2" s="47" t="s">
        <v>33</v>
      </c>
      <c r="AEL2" s="48"/>
      <c r="AEM2" s="4" t="s">
        <v>34</v>
      </c>
      <c r="AEN2" s="4" t="s">
        <v>35</v>
      </c>
      <c r="AEO2" s="4" t="s">
        <v>36</v>
      </c>
      <c r="AEP2" s="5" t="s">
        <v>37</v>
      </c>
      <c r="AEQ2" s="4" t="s">
        <v>38</v>
      </c>
      <c r="AES2" s="47" t="s">
        <v>32</v>
      </c>
      <c r="AET2" s="48"/>
      <c r="AEU2" s="47" t="s">
        <v>33</v>
      </c>
      <c r="AEV2" s="48"/>
      <c r="AEW2" s="4" t="s">
        <v>34</v>
      </c>
      <c r="AEX2" s="4" t="s">
        <v>35</v>
      </c>
      <c r="AEY2" s="4" t="s">
        <v>36</v>
      </c>
      <c r="AEZ2" s="5" t="s">
        <v>37</v>
      </c>
      <c r="AFA2" s="4" t="s">
        <v>38</v>
      </c>
      <c r="AFC2" s="47" t="s">
        <v>32</v>
      </c>
      <c r="AFD2" s="48"/>
      <c r="AFE2" s="47" t="s">
        <v>33</v>
      </c>
      <c r="AFF2" s="48"/>
      <c r="AFG2" s="4" t="s">
        <v>34</v>
      </c>
      <c r="AFH2" s="4" t="s">
        <v>35</v>
      </c>
      <c r="AFI2" s="4" t="s">
        <v>36</v>
      </c>
      <c r="AFJ2" s="5" t="s">
        <v>37</v>
      </c>
      <c r="AFK2" s="4" t="s">
        <v>38</v>
      </c>
      <c r="AFM2" s="47" t="s">
        <v>32</v>
      </c>
      <c r="AFN2" s="48"/>
      <c r="AFO2" s="47" t="s">
        <v>33</v>
      </c>
      <c r="AFP2" s="48"/>
      <c r="AFQ2" s="4" t="s">
        <v>34</v>
      </c>
      <c r="AFR2" s="4" t="s">
        <v>35</v>
      </c>
      <c r="AFS2" s="4" t="s">
        <v>36</v>
      </c>
      <c r="AFT2" s="5" t="s">
        <v>37</v>
      </c>
      <c r="AFU2" s="4" t="s">
        <v>38</v>
      </c>
      <c r="AFW2" s="47" t="s">
        <v>32</v>
      </c>
      <c r="AFX2" s="48"/>
      <c r="AFY2" s="47" t="s">
        <v>33</v>
      </c>
      <c r="AFZ2" s="48"/>
      <c r="AGA2" s="4" t="s">
        <v>34</v>
      </c>
      <c r="AGB2" s="4" t="s">
        <v>35</v>
      </c>
      <c r="AGC2" s="4" t="s">
        <v>36</v>
      </c>
      <c r="AGD2" s="5" t="s">
        <v>37</v>
      </c>
      <c r="AGE2" s="4" t="s">
        <v>38</v>
      </c>
      <c r="AGG2" s="47" t="s">
        <v>32</v>
      </c>
      <c r="AGH2" s="48"/>
      <c r="AGI2" s="47" t="s">
        <v>33</v>
      </c>
      <c r="AGJ2" s="48"/>
      <c r="AGK2" s="4" t="s">
        <v>34</v>
      </c>
      <c r="AGL2" s="4" t="s">
        <v>35</v>
      </c>
      <c r="AGM2" s="4" t="s">
        <v>36</v>
      </c>
      <c r="AGN2" s="5" t="s">
        <v>37</v>
      </c>
      <c r="AGO2" s="4" t="s">
        <v>38</v>
      </c>
      <c r="AGQ2" s="47" t="s">
        <v>32</v>
      </c>
      <c r="AGR2" s="48"/>
      <c r="AGS2" s="47" t="s">
        <v>33</v>
      </c>
      <c r="AGT2" s="48"/>
      <c r="AGU2" s="4" t="s">
        <v>34</v>
      </c>
      <c r="AGV2" s="4" t="s">
        <v>35</v>
      </c>
      <c r="AGW2" s="4" t="s">
        <v>36</v>
      </c>
      <c r="AGX2" s="5" t="s">
        <v>37</v>
      </c>
      <c r="AGY2" s="4" t="s">
        <v>38</v>
      </c>
      <c r="AHA2" s="47" t="s">
        <v>32</v>
      </c>
      <c r="AHB2" s="48"/>
      <c r="AHC2" s="47" t="s">
        <v>33</v>
      </c>
      <c r="AHD2" s="48"/>
      <c r="AHE2" s="4" t="s">
        <v>34</v>
      </c>
      <c r="AHF2" s="4" t="s">
        <v>35</v>
      </c>
      <c r="AHG2" s="4" t="s">
        <v>36</v>
      </c>
      <c r="AHH2" s="5" t="s">
        <v>37</v>
      </c>
      <c r="AHI2" s="4" t="s">
        <v>38</v>
      </c>
      <c r="AHK2" s="47" t="s">
        <v>32</v>
      </c>
      <c r="AHL2" s="48"/>
      <c r="AHM2" s="47" t="s">
        <v>33</v>
      </c>
      <c r="AHN2" s="48"/>
      <c r="AHO2" s="4" t="s">
        <v>34</v>
      </c>
      <c r="AHP2" s="4" t="s">
        <v>35</v>
      </c>
      <c r="AHQ2" s="4" t="s">
        <v>36</v>
      </c>
      <c r="AHR2" s="5" t="s">
        <v>37</v>
      </c>
      <c r="AHS2" s="4" t="s">
        <v>38</v>
      </c>
      <c r="AHU2" s="47" t="s">
        <v>32</v>
      </c>
      <c r="AHV2" s="48"/>
      <c r="AHW2" s="47" t="s">
        <v>33</v>
      </c>
      <c r="AHX2" s="48"/>
      <c r="AHY2" s="4" t="s">
        <v>34</v>
      </c>
      <c r="AHZ2" s="4" t="s">
        <v>35</v>
      </c>
      <c r="AIA2" s="4" t="s">
        <v>36</v>
      </c>
      <c r="AIB2" s="5" t="s">
        <v>37</v>
      </c>
      <c r="AIC2" s="4" t="s">
        <v>38</v>
      </c>
      <c r="AIE2" s="47" t="s">
        <v>32</v>
      </c>
      <c r="AIF2" s="48"/>
      <c r="AIG2" s="47" t="s">
        <v>33</v>
      </c>
      <c r="AIH2" s="48"/>
      <c r="AII2" s="4" t="s">
        <v>34</v>
      </c>
      <c r="AIJ2" s="4" t="s">
        <v>35</v>
      </c>
      <c r="AIK2" s="4" t="s">
        <v>36</v>
      </c>
      <c r="AIL2" s="5" t="s">
        <v>37</v>
      </c>
      <c r="AIM2" s="4" t="s">
        <v>38</v>
      </c>
      <c r="AIO2" s="47" t="s">
        <v>32</v>
      </c>
      <c r="AIP2" s="48"/>
      <c r="AIQ2" s="47" t="s">
        <v>33</v>
      </c>
      <c r="AIR2" s="48"/>
      <c r="AIS2" s="4" t="s">
        <v>34</v>
      </c>
      <c r="AIT2" s="4" t="s">
        <v>35</v>
      </c>
      <c r="AIU2" s="4" t="s">
        <v>36</v>
      </c>
      <c r="AIV2" s="5" t="s">
        <v>37</v>
      </c>
      <c r="AIW2" s="4" t="s">
        <v>38</v>
      </c>
      <c r="AIY2" s="47" t="s">
        <v>32</v>
      </c>
      <c r="AIZ2" s="48"/>
      <c r="AJA2" s="47" t="s">
        <v>33</v>
      </c>
      <c r="AJB2" s="48"/>
      <c r="AJC2" s="4" t="s">
        <v>34</v>
      </c>
      <c r="AJD2" s="4" t="s">
        <v>35</v>
      </c>
      <c r="AJE2" s="4" t="s">
        <v>36</v>
      </c>
      <c r="AJF2" s="5" t="s">
        <v>37</v>
      </c>
      <c r="AJG2" s="4" t="s">
        <v>38</v>
      </c>
      <c r="AJI2" s="47" t="s">
        <v>32</v>
      </c>
      <c r="AJJ2" s="48"/>
      <c r="AJK2" s="47" t="s">
        <v>33</v>
      </c>
      <c r="AJL2" s="48"/>
      <c r="AJM2" s="4" t="s">
        <v>34</v>
      </c>
      <c r="AJN2" s="4" t="s">
        <v>35</v>
      </c>
      <c r="AJO2" s="4" t="s">
        <v>36</v>
      </c>
      <c r="AJP2" s="5" t="s">
        <v>37</v>
      </c>
      <c r="AJQ2" s="4" t="s">
        <v>38</v>
      </c>
      <c r="AJS2" s="47" t="s">
        <v>32</v>
      </c>
      <c r="AJT2" s="48"/>
      <c r="AJU2" s="47" t="s">
        <v>33</v>
      </c>
      <c r="AJV2" s="48"/>
      <c r="AJW2" s="4" t="s">
        <v>34</v>
      </c>
      <c r="AJX2" s="4" t="s">
        <v>35</v>
      </c>
      <c r="AJY2" s="4" t="s">
        <v>36</v>
      </c>
      <c r="AJZ2" s="5" t="s">
        <v>37</v>
      </c>
      <c r="AKA2" s="4" t="s">
        <v>38</v>
      </c>
      <c r="AKC2" s="47" t="s">
        <v>32</v>
      </c>
      <c r="AKD2" s="48"/>
      <c r="AKE2" s="47" t="s">
        <v>33</v>
      </c>
      <c r="AKF2" s="48"/>
      <c r="AKG2" s="4" t="s">
        <v>34</v>
      </c>
      <c r="AKH2" s="4" t="s">
        <v>35</v>
      </c>
      <c r="AKI2" s="4" t="s">
        <v>36</v>
      </c>
      <c r="AKJ2" s="5" t="s">
        <v>37</v>
      </c>
      <c r="AKK2" s="4" t="s">
        <v>38</v>
      </c>
      <c r="AKM2" s="47" t="s">
        <v>32</v>
      </c>
      <c r="AKN2" s="48"/>
      <c r="AKO2" s="47" t="s">
        <v>33</v>
      </c>
      <c r="AKP2" s="48"/>
      <c r="AKQ2" s="4" t="s">
        <v>34</v>
      </c>
      <c r="AKR2" s="4" t="s">
        <v>35</v>
      </c>
      <c r="AKS2" s="4" t="s">
        <v>36</v>
      </c>
      <c r="AKT2" s="5" t="s">
        <v>37</v>
      </c>
      <c r="AKU2" s="4" t="s">
        <v>38</v>
      </c>
      <c r="AKW2" s="47" t="s">
        <v>32</v>
      </c>
      <c r="AKX2" s="48"/>
      <c r="AKY2" s="47" t="s">
        <v>33</v>
      </c>
      <c r="AKZ2" s="48"/>
      <c r="ALA2" s="4" t="s">
        <v>34</v>
      </c>
      <c r="ALB2" s="4" t="s">
        <v>35</v>
      </c>
      <c r="ALC2" s="4" t="s">
        <v>36</v>
      </c>
      <c r="ALD2" s="5" t="s">
        <v>37</v>
      </c>
      <c r="ALE2" s="4" t="s">
        <v>38</v>
      </c>
      <c r="ALG2" s="47" t="s">
        <v>32</v>
      </c>
      <c r="ALH2" s="48"/>
      <c r="ALI2" s="47" t="s">
        <v>33</v>
      </c>
      <c r="ALJ2" s="48"/>
      <c r="ALK2" s="4" t="s">
        <v>34</v>
      </c>
      <c r="ALL2" s="4" t="s">
        <v>35</v>
      </c>
      <c r="ALM2" s="4" t="s">
        <v>36</v>
      </c>
      <c r="ALN2" s="5" t="s">
        <v>37</v>
      </c>
      <c r="ALO2" s="4" t="s">
        <v>38</v>
      </c>
      <c r="ALQ2" s="47" t="s">
        <v>32</v>
      </c>
      <c r="ALR2" s="48"/>
      <c r="ALS2" s="47" t="s">
        <v>33</v>
      </c>
      <c r="ALT2" s="48"/>
      <c r="ALU2" s="4" t="s">
        <v>34</v>
      </c>
      <c r="ALV2" s="4" t="s">
        <v>35</v>
      </c>
      <c r="ALW2" s="4" t="s">
        <v>36</v>
      </c>
      <c r="ALX2" s="5" t="s">
        <v>37</v>
      </c>
      <c r="ALY2" s="4" t="s">
        <v>38</v>
      </c>
      <c r="AMA2" s="47" t="s">
        <v>32</v>
      </c>
      <c r="AMB2" s="48"/>
      <c r="AMC2" s="47" t="s">
        <v>33</v>
      </c>
      <c r="AMD2" s="48"/>
      <c r="AME2" s="4" t="s">
        <v>34</v>
      </c>
      <c r="AMF2" s="4" t="s">
        <v>35</v>
      </c>
      <c r="AMG2" s="4" t="s">
        <v>36</v>
      </c>
      <c r="AMH2" s="5" t="s">
        <v>37</v>
      </c>
      <c r="AMI2" s="4" t="s">
        <v>38</v>
      </c>
      <c r="AMK2" s="47" t="s">
        <v>32</v>
      </c>
      <c r="AML2" s="48"/>
      <c r="AMM2" s="47" t="s">
        <v>33</v>
      </c>
      <c r="AMN2" s="48"/>
      <c r="AMO2" s="4" t="s">
        <v>34</v>
      </c>
      <c r="AMP2" s="4" t="s">
        <v>35</v>
      </c>
      <c r="AMQ2" s="4" t="s">
        <v>36</v>
      </c>
      <c r="AMR2" s="5" t="s">
        <v>37</v>
      </c>
      <c r="AMS2" s="4" t="s">
        <v>38</v>
      </c>
      <c r="AMU2" s="47" t="s">
        <v>32</v>
      </c>
      <c r="AMV2" s="48"/>
      <c r="AMW2" s="47" t="s">
        <v>33</v>
      </c>
      <c r="AMX2" s="48"/>
      <c r="AMY2" s="4" t="s">
        <v>34</v>
      </c>
      <c r="AMZ2" s="4" t="s">
        <v>35</v>
      </c>
      <c r="ANA2" s="4" t="s">
        <v>36</v>
      </c>
      <c r="ANB2" s="5" t="s">
        <v>37</v>
      </c>
      <c r="ANC2" s="4" t="s">
        <v>38</v>
      </c>
      <c r="ANE2" s="47" t="s">
        <v>32</v>
      </c>
      <c r="ANF2" s="48"/>
      <c r="ANG2" s="47" t="s">
        <v>33</v>
      </c>
      <c r="ANH2" s="48"/>
      <c r="ANI2" s="4" t="s">
        <v>34</v>
      </c>
      <c r="ANJ2" s="4" t="s">
        <v>35</v>
      </c>
      <c r="ANK2" s="4" t="s">
        <v>36</v>
      </c>
      <c r="ANL2" s="5" t="s">
        <v>37</v>
      </c>
      <c r="ANM2" s="4" t="s">
        <v>38</v>
      </c>
      <c r="ANO2" s="47" t="s">
        <v>32</v>
      </c>
      <c r="ANP2" s="48"/>
      <c r="ANQ2" s="47" t="s">
        <v>33</v>
      </c>
      <c r="ANR2" s="48"/>
      <c r="ANS2" s="4" t="s">
        <v>34</v>
      </c>
      <c r="ANT2" s="4" t="s">
        <v>35</v>
      </c>
      <c r="ANU2" s="4" t="s">
        <v>36</v>
      </c>
      <c r="ANV2" s="5" t="s">
        <v>37</v>
      </c>
      <c r="ANW2" s="4" t="s">
        <v>38</v>
      </c>
      <c r="ANY2" s="47" t="s">
        <v>32</v>
      </c>
      <c r="ANZ2" s="48"/>
      <c r="AOA2" s="47" t="s">
        <v>33</v>
      </c>
      <c r="AOB2" s="48"/>
      <c r="AOC2" s="4" t="s">
        <v>34</v>
      </c>
      <c r="AOD2" s="4" t="s">
        <v>35</v>
      </c>
      <c r="AOE2" s="4" t="s">
        <v>36</v>
      </c>
      <c r="AOF2" s="5" t="s">
        <v>37</v>
      </c>
      <c r="AOG2" s="4" t="s">
        <v>38</v>
      </c>
      <c r="AOI2" s="62" t="s">
        <v>32</v>
      </c>
      <c r="AOJ2" s="63"/>
      <c r="AOK2" s="62" t="s">
        <v>33</v>
      </c>
      <c r="AOL2" s="63"/>
      <c r="AOM2" s="69" t="s">
        <v>34</v>
      </c>
      <c r="AON2" s="69" t="s">
        <v>35</v>
      </c>
      <c r="AOO2" s="69" t="s">
        <v>36</v>
      </c>
      <c r="AOP2" s="70" t="s">
        <v>37</v>
      </c>
      <c r="AOQ2" s="69" t="s">
        <v>38</v>
      </c>
      <c r="AOS2" s="34" t="s">
        <v>32</v>
      </c>
      <c r="AOT2" s="35"/>
      <c r="AOU2" s="34" t="s">
        <v>33</v>
      </c>
      <c r="AOV2" s="35"/>
      <c r="AOW2" s="4" t="s">
        <v>34</v>
      </c>
      <c r="AOX2" s="4" t="s">
        <v>35</v>
      </c>
      <c r="AOY2" s="4" t="s">
        <v>36</v>
      </c>
      <c r="AOZ2" s="5" t="s">
        <v>37</v>
      </c>
      <c r="APA2" s="4" t="s">
        <v>38</v>
      </c>
    </row>
    <row r="3" spans="1:1023 1025:1093" ht="12.75" customHeight="1" x14ac:dyDescent="0.2">
      <c r="A3" s="6" t="s">
        <v>39</v>
      </c>
      <c r="B3" s="18">
        <v>0.16666666666666666</v>
      </c>
      <c r="C3" s="7">
        <v>1.5</v>
      </c>
      <c r="E3" s="19"/>
      <c r="F3" s="8" t="s">
        <v>40</v>
      </c>
      <c r="G3" s="19">
        <v>0.2</v>
      </c>
      <c r="H3" s="8" t="s">
        <v>40</v>
      </c>
      <c r="I3" s="7">
        <f t="shared" ref="I3" si="0">IF(OR(ISNUMBER(E3), ISNUMBER(G3)), IF(ISNUMBER(E3), E3, 0) + IF(ISNUMBER(G3), G3, 0), "")</f>
        <v>0.2</v>
      </c>
      <c r="J3" s="4">
        <v>2</v>
      </c>
      <c r="K3" s="11"/>
      <c r="L3" s="7">
        <v>0.2</v>
      </c>
      <c r="M3" s="11">
        <f t="shared" ref="M3" si="1">IF(ISNUMBER(L3), L3-K3, "")</f>
        <v>0.2</v>
      </c>
      <c r="O3" s="19"/>
      <c r="P3" s="8" t="s">
        <v>40</v>
      </c>
      <c r="Q3" s="19">
        <v>2.1</v>
      </c>
      <c r="R3" s="8" t="s">
        <v>40</v>
      </c>
      <c r="S3" s="7">
        <f t="shared" ref="S3" si="2">IF(OR(ISNUMBER(O3), ISNUMBER(Q3)), IF(ISNUMBER(O3), O3, 0) + IF(ISNUMBER(Q3), Q3, 0), "")</f>
        <v>2.1</v>
      </c>
      <c r="T3" s="4">
        <v>1</v>
      </c>
      <c r="U3" s="11">
        <f t="shared" ref="U3" si="3">IF(ISNUMBER(S3), (I3+J3)-S3, "")</f>
        <v>0.10000000000000009</v>
      </c>
      <c r="V3" s="7">
        <v>0.3</v>
      </c>
      <c r="W3" s="11">
        <f t="shared" ref="W3" si="4">IF(ISNUMBER(V3), V3-U3, "")</f>
        <v>0.1999999999999999</v>
      </c>
      <c r="Y3" s="19">
        <v>2</v>
      </c>
      <c r="Z3" s="8" t="s">
        <v>40</v>
      </c>
      <c r="AA3" s="19">
        <v>0.3</v>
      </c>
      <c r="AB3" s="8" t="s">
        <v>40</v>
      </c>
      <c r="AC3" s="7">
        <f t="shared" ref="AC3" si="5">IF(OR(ISNUMBER(Y3), ISNUMBER(AA3)), IF(ISNUMBER(Y3), Y3, 0) + IF(ISNUMBER(AA3), AA3, 0), "")</f>
        <v>2.2999999999999998</v>
      </c>
      <c r="AD3" s="4"/>
      <c r="AE3" s="11">
        <f t="shared" ref="AE3" si="6">IF(ISNUMBER(AC3), (S3+T3)-AC3, "")</f>
        <v>0.80000000000000027</v>
      </c>
      <c r="AF3" s="7">
        <v>0.6</v>
      </c>
      <c r="AG3" s="11">
        <f t="shared" ref="AG3" si="7">IF(ISNUMBER(AF3), AF3-AE3, "")</f>
        <v>-0.20000000000000029</v>
      </c>
      <c r="AI3" s="19">
        <v>2</v>
      </c>
      <c r="AJ3" s="8" t="s">
        <v>40</v>
      </c>
      <c r="AK3" s="19">
        <v>0.3</v>
      </c>
      <c r="AL3" s="8" t="s">
        <v>40</v>
      </c>
      <c r="AM3" s="7">
        <f>IF(OR(ISNUMBER(AI3), ISNUMBER(AK3)), IF(ISNUMBER(AI3), AI3, 0) + IF(ISNUMBER(AK3), AK3, 0), "")</f>
        <v>2.2999999999999998</v>
      </c>
      <c r="AN3" s="4"/>
      <c r="AO3" s="11">
        <f t="shared" ref="AO3:AO4" si="8">IF(ISNUMBER(AM3), (AC3+AD3)-AM3, "")</f>
        <v>0</v>
      </c>
      <c r="AP3" s="7">
        <v>0.19</v>
      </c>
      <c r="AQ3" s="11">
        <f t="shared" ref="AQ3:AQ4" si="9">IF(ISNUMBER(AP3), AP3-AO3, "")</f>
        <v>0.19</v>
      </c>
      <c r="AS3" s="19">
        <v>2</v>
      </c>
      <c r="AT3" s="8" t="s">
        <v>40</v>
      </c>
      <c r="AU3" s="19">
        <v>0.4</v>
      </c>
      <c r="AV3" s="8" t="s">
        <v>40</v>
      </c>
      <c r="AW3" s="7">
        <f>IF(OR(ISNUMBER(AS3), ISNUMBER(AU3)), IF(ISNUMBER(AS3), AS3, 0) + IF(ISNUMBER(AU3), AU3, 0), "")</f>
        <v>2.4</v>
      </c>
      <c r="AX3" s="4"/>
      <c r="AY3" s="11">
        <f t="shared" ref="AY3:AY4" si="10">IF(ISNUMBER(AW3), (AM3+AN3)-AW3, "")</f>
        <v>-0.10000000000000009</v>
      </c>
      <c r="AZ3" s="7">
        <v>0.24</v>
      </c>
      <c r="BA3" s="11">
        <f t="shared" ref="BA3:BA4" si="11">IF(ISNUMBER(AZ3), AZ3-AY3, "")</f>
        <v>0.34000000000000008</v>
      </c>
      <c r="BC3" s="19">
        <v>1</v>
      </c>
      <c r="BD3" s="8" t="s">
        <v>40</v>
      </c>
      <c r="BE3" s="19">
        <v>0.7</v>
      </c>
      <c r="BF3" s="8" t="s">
        <v>40</v>
      </c>
      <c r="BG3" s="7">
        <f>IF(OR(ISNUMBER(BC3), ISNUMBER(BE3)), IF(ISNUMBER(BC3), BC3, 0) + IF(ISNUMBER(BE3), BE3, 0), "")</f>
        <v>1.7</v>
      </c>
      <c r="BH3" s="4"/>
      <c r="BI3" s="11">
        <f t="shared" ref="BI3:BI4" si="12">IF(ISNUMBER(BG3), (AW3+AX3)-BG3, "")</f>
        <v>0.7</v>
      </c>
      <c r="BJ3" s="7">
        <v>0.43</v>
      </c>
      <c r="BK3" s="11">
        <f t="shared" ref="BK3:BK4" si="13">IF(ISNUMBER(BJ3), BJ3-BI3, "")</f>
        <v>-0.26999999999999996</v>
      </c>
      <c r="BM3" s="19">
        <v>0</v>
      </c>
      <c r="BN3" s="8" t="s">
        <v>40</v>
      </c>
      <c r="BO3" s="19">
        <v>0.2</v>
      </c>
      <c r="BP3" s="8" t="s">
        <v>40</v>
      </c>
      <c r="BQ3" s="7">
        <f>IF(OR(ISNUMBER(BM3), ISNUMBER(BO3)), IF(ISNUMBER(BM3), BM3, 0) + IF(ISNUMBER(BO3), BO3, 0), "")</f>
        <v>0.2</v>
      </c>
      <c r="BR3" s="4"/>
      <c r="BS3" s="11">
        <f t="shared" ref="BS3:BS4" si="14">IF(ISNUMBER(BQ3), (BG3+BH3)-BQ3, "")</f>
        <v>1.5</v>
      </c>
      <c r="BT3" s="7">
        <v>0.4</v>
      </c>
      <c r="BU3" s="11">
        <f t="shared" ref="BU3:BU4" si="15">IF(ISNUMBER(BT3), BT3-BS3, "")</f>
        <v>-1.1000000000000001</v>
      </c>
      <c r="BW3" s="19">
        <v>1</v>
      </c>
      <c r="BX3" s="8" t="s">
        <v>40</v>
      </c>
      <c r="BY3" s="19">
        <v>0.1</v>
      </c>
      <c r="BZ3" s="8" t="s">
        <v>40</v>
      </c>
      <c r="CA3" s="7">
        <f>IF(OR(ISNUMBER(BW3), ISNUMBER(BY3)), IF(ISNUMBER(BW3), BW3, 0) + IF(ISNUMBER(BY3), BY3, 0), "")</f>
        <v>1.1000000000000001</v>
      </c>
      <c r="CB3" s="4"/>
      <c r="CC3" s="11">
        <f t="shared" ref="CC3:CC4" si="16">IF(ISNUMBER(CA3), (BQ3+BR3)-CA3, "")</f>
        <v>-0.90000000000000013</v>
      </c>
      <c r="CD3" s="7">
        <v>0.24</v>
      </c>
      <c r="CE3" s="11">
        <f t="shared" ref="CE3:CE4" si="17">IF(ISNUMBER(CD3), CD3-CC3, "")</f>
        <v>1.1400000000000001</v>
      </c>
      <c r="CG3" s="19"/>
      <c r="CH3" s="8" t="s">
        <v>40</v>
      </c>
      <c r="CI3" s="19">
        <v>0.8</v>
      </c>
      <c r="CJ3" s="8" t="s">
        <v>40</v>
      </c>
      <c r="CK3" s="7">
        <f>IF(OR(ISNUMBER(CG3), ISNUMBER(CI3)), IF(ISNUMBER(CG3), CG3, 0) + IF(ISNUMBER(CI3), CI3, 0), "")</f>
        <v>0.8</v>
      </c>
      <c r="CL3" s="4"/>
      <c r="CM3" s="11">
        <f t="shared" ref="CM3:CM4" si="18">IF(ISNUMBER(CK3), (CA3+CB3)-CK3, "")</f>
        <v>0.30000000000000004</v>
      </c>
      <c r="CN3" s="7">
        <v>0.21</v>
      </c>
      <c r="CO3" s="11">
        <f t="shared" ref="CO3:CO4" si="19">IF(ISNUMBER(CN3), CN3-CM3, "")</f>
        <v>-9.0000000000000052E-2</v>
      </c>
      <c r="CQ3" s="19">
        <v>0</v>
      </c>
      <c r="CR3" s="8" t="s">
        <v>40</v>
      </c>
      <c r="CS3" s="19">
        <v>0.6</v>
      </c>
      <c r="CT3" s="8" t="s">
        <v>40</v>
      </c>
      <c r="CU3" s="7">
        <f>IF(OR(ISNUMBER(CQ3), ISNUMBER(CS3)), IF(ISNUMBER(CQ3), CQ3, 0) + IF(ISNUMBER(CS3), CS3, 0), "")</f>
        <v>0.6</v>
      </c>
      <c r="CV3" s="4"/>
      <c r="CW3" s="11">
        <f t="shared" ref="CW3:CW4" si="20">IF(ISNUMBER(CU3), (CK3+CL3)-CU3, "")</f>
        <v>0.20000000000000007</v>
      </c>
      <c r="CX3" s="7">
        <v>0.28999999999999998</v>
      </c>
      <c r="CY3" s="11">
        <f t="shared" ref="CY3:CY4" si="21">IF(ISNUMBER(CX3), CX3-CW3, "")</f>
        <v>8.9999999999999913E-2</v>
      </c>
      <c r="DA3" s="19">
        <v>0</v>
      </c>
      <c r="DB3" s="8" t="s">
        <v>40</v>
      </c>
      <c r="DC3" s="19">
        <v>0.2</v>
      </c>
      <c r="DD3" s="8" t="s">
        <v>40</v>
      </c>
      <c r="DE3" s="7">
        <f>IF(OR(ISNUMBER(DA3), ISNUMBER(DC3)), IF(ISNUMBER(DA3), DA3, 0) + IF(ISNUMBER(DC3), DC3, 0), "")</f>
        <v>0.2</v>
      </c>
      <c r="DF3" s="4">
        <v>1</v>
      </c>
      <c r="DG3" s="11">
        <f t="shared" ref="DG3:DG4" si="22">IF(ISNUMBER(DE3), (CU3+CV3)-DE3, "")</f>
        <v>0.39999999999999997</v>
      </c>
      <c r="DH3" s="7">
        <v>0.19</v>
      </c>
      <c r="DI3" s="11">
        <f t="shared" ref="DI3:DI4" si="23">IF(ISNUMBER(DH3), DH3-DG3, "")</f>
        <v>-0.20999999999999996</v>
      </c>
      <c r="DK3" s="19">
        <v>1</v>
      </c>
      <c r="DL3" s="8" t="s">
        <v>40</v>
      </c>
      <c r="DM3" s="19">
        <v>0.1</v>
      </c>
      <c r="DN3" s="8" t="s">
        <v>40</v>
      </c>
      <c r="DO3" s="7">
        <f>IF(OR(ISNUMBER(DK3), ISNUMBER(DM3)), IF(ISNUMBER(DK3), DK3, 0) + IF(ISNUMBER(DM3), DM3, 0), "")</f>
        <v>1.1000000000000001</v>
      </c>
      <c r="DP3" s="4"/>
      <c r="DQ3" s="11">
        <f t="shared" ref="DQ3:DQ4" si="24">IF(ISNUMBER(DO3), (DE3+DF3)-DO3, "")</f>
        <v>9.9999999999999867E-2</v>
      </c>
      <c r="DR3" s="7">
        <v>0.24</v>
      </c>
      <c r="DS3" s="11">
        <f t="shared" ref="DS3:DS4" si="25">IF(ISNUMBER(DR3), DR3-DQ3, "")</f>
        <v>0.14000000000000012</v>
      </c>
      <c r="DU3" s="19">
        <v>0</v>
      </c>
      <c r="DV3" s="8" t="s">
        <v>40</v>
      </c>
      <c r="DW3" s="19">
        <v>0.8</v>
      </c>
      <c r="DX3" s="8" t="s">
        <v>40</v>
      </c>
      <c r="DY3" s="7">
        <f>IF(OR(ISNUMBER(DU3), ISNUMBER(DW3)), IF(ISNUMBER(DU3), DU3, 0) + IF(ISNUMBER(DW3), DW3, 0), "")</f>
        <v>0.8</v>
      </c>
      <c r="DZ3" s="4">
        <v>1</v>
      </c>
      <c r="EA3" s="11">
        <f t="shared" ref="EA3:EA4" si="26">IF(ISNUMBER(DY3), (DO3+DP3)-DY3, "")</f>
        <v>0.30000000000000004</v>
      </c>
      <c r="EB3" s="7">
        <v>0.43</v>
      </c>
      <c r="EC3" s="11">
        <f t="shared" ref="EC3:EC4" si="27">IF(ISNUMBER(EB3), EB3-EA3, "")</f>
        <v>0.12999999999999995</v>
      </c>
      <c r="EE3" s="19">
        <v>1</v>
      </c>
      <c r="EF3" s="8" t="s">
        <v>40</v>
      </c>
      <c r="EG3" s="19">
        <v>0.5</v>
      </c>
      <c r="EH3" s="8" t="s">
        <v>40</v>
      </c>
      <c r="EI3" s="7">
        <f>IF(OR(ISNUMBER(EE3), ISNUMBER(EG3)), IF(ISNUMBER(EE3), EE3, 0) + IF(ISNUMBER(EG3), EG3, 0), "")</f>
        <v>1.5</v>
      </c>
      <c r="EJ3" s="4"/>
      <c r="EK3" s="11">
        <f t="shared" ref="EK3:EK4" si="28">IF(ISNUMBER(EI3), (DY3+DZ3)-EI3, "")</f>
        <v>0.30000000000000004</v>
      </c>
      <c r="EL3" s="7">
        <v>0.37</v>
      </c>
      <c r="EM3" s="11">
        <f t="shared" ref="EM3:EM4" si="29">IF(ISNUMBER(EL3), EL3-EK3, "")</f>
        <v>6.9999999999999951E-2</v>
      </c>
      <c r="EO3" s="19">
        <v>0</v>
      </c>
      <c r="EP3" s="8" t="s">
        <v>40</v>
      </c>
      <c r="EQ3" s="19">
        <v>0.5</v>
      </c>
      <c r="ER3" s="8" t="s">
        <v>40</v>
      </c>
      <c r="ES3" s="7">
        <f>IF(OR(ISNUMBER(EO3), ISNUMBER(EQ3)), IF(ISNUMBER(EO3), EO3, 0) + IF(ISNUMBER(EQ3), EQ3, 0), "")</f>
        <v>0.5</v>
      </c>
      <c r="ET3" s="4"/>
      <c r="EU3" s="11">
        <f t="shared" ref="EU3:EU4" si="30">IF(ISNUMBER(ES3), (EI3+EJ3)-ES3, "")</f>
        <v>1</v>
      </c>
      <c r="EV3" s="7">
        <v>0.61</v>
      </c>
      <c r="EW3" s="11">
        <f t="shared" ref="EW3:EW4" si="31">IF(ISNUMBER(EV3), EV3-EU3, "")</f>
        <v>-0.39</v>
      </c>
      <c r="EY3" s="19">
        <v>0</v>
      </c>
      <c r="EZ3" s="8" t="s">
        <v>40</v>
      </c>
      <c r="FA3" s="19">
        <v>0.3</v>
      </c>
      <c r="FB3" s="8" t="s">
        <v>40</v>
      </c>
      <c r="FC3" s="7">
        <f>IF(OR(ISNUMBER(EY3), ISNUMBER(FA3)), IF(ISNUMBER(EY3), EY3, 0) + IF(ISNUMBER(FA3), FA3, 0), "")</f>
        <v>0.3</v>
      </c>
      <c r="FD3" s="4">
        <v>1</v>
      </c>
      <c r="FE3" s="11">
        <f t="shared" ref="FE3:FE4" si="32">IF(ISNUMBER(FC3), (ES3+ET3)-FC3, "")</f>
        <v>0.2</v>
      </c>
      <c r="FF3" s="7">
        <v>0.19</v>
      </c>
      <c r="FG3" s="11">
        <f t="shared" ref="FG3:FG4" si="33">IF(ISNUMBER(FF3), FF3-FE3, "")</f>
        <v>-1.0000000000000009E-2</v>
      </c>
      <c r="FI3" s="19">
        <v>1</v>
      </c>
      <c r="FJ3" s="8" t="s">
        <v>40</v>
      </c>
      <c r="FK3" s="19">
        <v>0.2</v>
      </c>
      <c r="FL3" s="8" t="s">
        <v>40</v>
      </c>
      <c r="FM3" s="7">
        <f>IF(OR(ISNUMBER(FI3), ISNUMBER(FK3)), IF(ISNUMBER(FI3), FI3, 0) + IF(ISNUMBER(FK3), FK3, 0), "")</f>
        <v>1.2</v>
      </c>
      <c r="FN3" s="4"/>
      <c r="FO3" s="11">
        <f t="shared" ref="FO3:FO4" si="34">IF(ISNUMBER(FM3), (FC3+FD3)-FM3, "")</f>
        <v>0.10000000000000009</v>
      </c>
      <c r="FP3" s="7">
        <v>0.19</v>
      </c>
      <c r="FQ3" s="11">
        <f t="shared" ref="FQ3:FQ4" si="35">IF(ISNUMBER(FP3), FP3-FO3, "")</f>
        <v>8.9999999999999913E-2</v>
      </c>
      <c r="FS3" s="19">
        <v>1</v>
      </c>
      <c r="FT3" s="8" t="s">
        <v>40</v>
      </c>
      <c r="FU3" s="19">
        <v>0.1</v>
      </c>
      <c r="FV3" s="8" t="s">
        <v>40</v>
      </c>
      <c r="FW3" s="7">
        <f>IF(OR(ISNUMBER(FS3), ISNUMBER(FU3)), IF(ISNUMBER(FS3), FS3, 0) + IF(ISNUMBER(FU3), FU3, 0), "")</f>
        <v>1.1000000000000001</v>
      </c>
      <c r="FX3" s="4"/>
      <c r="FY3" s="11">
        <f t="shared" ref="FY3:FY4" si="36">IF(ISNUMBER(FW3), (FM3+FN3)-FW3, "")</f>
        <v>9.9999999999999867E-2</v>
      </c>
      <c r="FZ3" s="7">
        <v>0.56000000000000005</v>
      </c>
      <c r="GA3" s="11">
        <f t="shared" ref="GA3:GA4" si="37">IF(ISNUMBER(FZ3), FZ3-FY3, "")</f>
        <v>0.46000000000000019</v>
      </c>
      <c r="GC3" s="19">
        <v>0</v>
      </c>
      <c r="GD3" s="8" t="s">
        <v>40</v>
      </c>
      <c r="GE3" s="19">
        <v>0</v>
      </c>
      <c r="GF3" s="8" t="s">
        <v>40</v>
      </c>
      <c r="GG3" s="7">
        <f>IF(OR(ISNUMBER(GC3), ISNUMBER(GE3)), IF(ISNUMBER(GC3), GC3, 0) + IF(ISNUMBER(GE3), GE3, 0), "")</f>
        <v>0</v>
      </c>
      <c r="GH3" s="4">
        <v>1</v>
      </c>
      <c r="GI3" s="11">
        <f t="shared" ref="GI3:GI4" si="38">IF(ISNUMBER(GG3), (FW3+FX3)-GG3, "")</f>
        <v>1.1000000000000001</v>
      </c>
      <c r="GJ3" s="7">
        <v>0.64</v>
      </c>
      <c r="GK3" s="11">
        <f t="shared" ref="GK3:GK4" si="39">IF(ISNUMBER(GJ3), GJ3-GI3, "")</f>
        <v>-0.46000000000000008</v>
      </c>
      <c r="GM3" s="2">
        <v>0</v>
      </c>
      <c r="GN3" s="8" t="s">
        <v>40</v>
      </c>
      <c r="GO3" s="2">
        <v>1</v>
      </c>
      <c r="GP3" s="8" t="s">
        <v>40</v>
      </c>
      <c r="GQ3" s="7">
        <f>IF(OR(ISNUMBER(GM3), ISNUMBER(GO3)), IF(ISNUMBER(GM3), GM3, 0) + IF(ISNUMBER(GO3), GO3, 0), "")</f>
        <v>1</v>
      </c>
      <c r="GR3" s="4"/>
      <c r="GS3" s="11">
        <f t="shared" ref="GS3:GS4" si="40">IF(ISNUMBER(GQ3), (GG3+GH3)-GQ3, "")</f>
        <v>0</v>
      </c>
      <c r="GT3" s="7">
        <v>0.45</v>
      </c>
      <c r="GU3" s="11">
        <f t="shared" ref="GU3:GU4" si="41">IF(ISNUMBER(GT3), GT3-GS3, "")</f>
        <v>0.45</v>
      </c>
      <c r="GW3" s="19">
        <v>0</v>
      </c>
      <c r="GX3" s="8" t="s">
        <v>40</v>
      </c>
      <c r="GY3" s="19">
        <v>0.6</v>
      </c>
      <c r="GZ3" s="8" t="s">
        <v>40</v>
      </c>
      <c r="HA3" s="7">
        <f>IF(OR(ISNUMBER(GW3), ISNUMBER(GY3)), IF(ISNUMBER(GW3), GW3, 0) + IF(ISNUMBER(GY3), GY3, 0), "")</f>
        <v>0.6</v>
      </c>
      <c r="HB3" s="4"/>
      <c r="HC3" s="11">
        <f t="shared" ref="HC3:HC4" si="42">IF(ISNUMBER(HA3), (GQ3+GR3)-HA3, "")</f>
        <v>0.4</v>
      </c>
      <c r="HD3" s="7">
        <v>0.32</v>
      </c>
      <c r="HE3" s="11">
        <f t="shared" ref="HE3:HE4" si="43">IF(ISNUMBER(HD3), HD3-HC3, "")</f>
        <v>-8.0000000000000016E-2</v>
      </c>
      <c r="HG3" s="19">
        <v>0</v>
      </c>
      <c r="HH3" s="8" t="s">
        <v>40</v>
      </c>
      <c r="HI3" s="19">
        <v>0</v>
      </c>
      <c r="HJ3" s="8" t="s">
        <v>40</v>
      </c>
      <c r="HK3" s="7">
        <f>IF(OR(ISNUMBER(HG3), ISNUMBER(HI3)), IF(ISNUMBER(HG3), HG3, 0) + IF(ISNUMBER(HI3), HI3, 0), "")</f>
        <v>0</v>
      </c>
      <c r="HL3" s="4">
        <v>2</v>
      </c>
      <c r="HM3" s="11">
        <f t="shared" ref="HM3:HM4" si="44">IF(ISNUMBER(HK3), (HA3+HB3)-HK3, "")</f>
        <v>0.6</v>
      </c>
      <c r="HN3" s="7">
        <v>0.27</v>
      </c>
      <c r="HO3" s="11">
        <f t="shared" ref="HO3:HO4" si="45">IF(ISNUMBER(HN3), HN3-HM3, "")</f>
        <v>-0.32999999999999996</v>
      </c>
      <c r="HQ3" s="19">
        <v>1</v>
      </c>
      <c r="HR3" s="8" t="s">
        <v>40</v>
      </c>
      <c r="HS3" s="19">
        <v>1</v>
      </c>
      <c r="HT3" s="8" t="s">
        <v>40</v>
      </c>
      <c r="HU3" s="7">
        <f>IF(OR(ISNUMBER(HQ3), ISNUMBER(HS3)), IF(ISNUMBER(HQ3), HQ3, 0) + IF(ISNUMBER(HS3), HS3, 0), "")</f>
        <v>2</v>
      </c>
      <c r="HV3" s="4"/>
      <c r="HW3" s="11">
        <f t="shared" ref="HW3:HW4" si="46">IF(ISNUMBER(HU3), (HK3+HL3)-HU3, "")</f>
        <v>0</v>
      </c>
      <c r="HX3" s="7"/>
      <c r="HY3" s="11" t="str">
        <f t="shared" ref="HY3:HY4" si="47">IF(ISNUMBER(HX3), HX3-HW3, "")</f>
        <v/>
      </c>
      <c r="IA3" s="19">
        <v>1</v>
      </c>
      <c r="IB3" s="8" t="s">
        <v>40</v>
      </c>
      <c r="IC3" s="19">
        <v>0.8</v>
      </c>
      <c r="ID3" s="8" t="s">
        <v>40</v>
      </c>
      <c r="IE3" s="7">
        <f>IF(OR(ISNUMBER(IA3), ISNUMBER(IC3)), IF(ISNUMBER(IA3), IA3, 0) + IF(ISNUMBER(IC3), IC3, 0), "")</f>
        <v>1.8</v>
      </c>
      <c r="IF3" s="4"/>
      <c r="IG3" s="11">
        <f t="shared" ref="IG3:IG4" si="48">IF(ISNUMBER(IE3), (HU3+HV3)-IE3, "")</f>
        <v>0.19999999999999996</v>
      </c>
      <c r="IH3" s="7">
        <v>0.21</v>
      </c>
      <c r="II3" s="11">
        <f t="shared" ref="II3:II4" si="49">IF(ISNUMBER(IH3), IH3-IG3, "")</f>
        <v>1.0000000000000037E-2</v>
      </c>
      <c r="IK3" s="19">
        <v>1</v>
      </c>
      <c r="IL3" s="8" t="s">
        <v>40</v>
      </c>
      <c r="IM3" s="19">
        <v>0.6</v>
      </c>
      <c r="IN3" s="8" t="s">
        <v>40</v>
      </c>
      <c r="IO3" s="7">
        <f>IF(OR(ISNUMBER(IK3), ISNUMBER(IM3)), IF(ISNUMBER(IK3), IK3, 0) + IF(ISNUMBER(IM3), IM3, 0), "")</f>
        <v>1.6</v>
      </c>
      <c r="IP3" s="4"/>
      <c r="IQ3" s="11">
        <f t="shared" ref="IQ3:IQ4" si="50">IF(ISNUMBER(IO3), (IE3+IF3)-IO3, "")</f>
        <v>0.19999999999999996</v>
      </c>
      <c r="IR3" s="7">
        <v>0.48</v>
      </c>
      <c r="IS3" s="11">
        <f t="shared" ref="IS3:IS4" si="51">IF(ISNUMBER(IR3), IR3-IQ3, "")</f>
        <v>0.28000000000000003</v>
      </c>
      <c r="IU3" s="19">
        <v>0</v>
      </c>
      <c r="IV3" s="8" t="s">
        <v>40</v>
      </c>
      <c r="IW3" s="19">
        <v>0.8</v>
      </c>
      <c r="IX3" s="8" t="s">
        <v>40</v>
      </c>
      <c r="IY3" s="7">
        <f>IF(OR(ISNUMBER(IU3), ISNUMBER(IW3)), IF(ISNUMBER(IU3), IU3, 0) + IF(ISNUMBER(IW3), IW3, 0), "")</f>
        <v>0.8</v>
      </c>
      <c r="IZ3" s="4"/>
      <c r="JA3" s="11">
        <f t="shared" ref="JA3:JA4" si="52">IF(ISNUMBER(IY3), (IO3+IP3)-IY3, "")</f>
        <v>0.8</v>
      </c>
      <c r="JB3" s="7">
        <v>0.35</v>
      </c>
      <c r="JC3" s="11">
        <f t="shared" ref="JC3:JC4" si="53">IF(ISNUMBER(JB3), JB3-JA3, "")</f>
        <v>-0.45000000000000007</v>
      </c>
      <c r="JE3" s="2"/>
      <c r="JF3" s="8" t="s">
        <v>40</v>
      </c>
      <c r="JG3" s="2">
        <v>0.5</v>
      </c>
      <c r="JH3" s="8" t="s">
        <v>40</v>
      </c>
      <c r="JI3" s="7">
        <f>IF(OR(ISNUMBER(JE3), ISNUMBER(JG3)), IF(ISNUMBER(JE3), JE3, 0) + IF(ISNUMBER(JG3), JG3, 0), "")</f>
        <v>0.5</v>
      </c>
      <c r="JJ3" s="4">
        <v>1</v>
      </c>
      <c r="JK3" s="11">
        <f t="shared" ref="JK3:JK4" si="54">IF(ISNUMBER(JI3), (IY3+IZ3)-JI3, "")</f>
        <v>0.30000000000000004</v>
      </c>
      <c r="JL3" s="7">
        <v>0.37</v>
      </c>
      <c r="JM3" s="11">
        <f t="shared" ref="JM3:JM4" si="55">IF(ISNUMBER(JL3), JL3-JK3, "")</f>
        <v>6.9999999999999951E-2</v>
      </c>
      <c r="JO3" s="19">
        <v>1</v>
      </c>
      <c r="JP3" s="8" t="s">
        <v>40</v>
      </c>
      <c r="JQ3" s="19">
        <v>0.1</v>
      </c>
      <c r="JR3" s="8" t="s">
        <v>40</v>
      </c>
      <c r="JS3" s="7">
        <f>IF(OR(ISNUMBER(JO3), ISNUMBER(JQ3)), IF(ISNUMBER(JO3), JO3, 0) + IF(ISNUMBER(JQ3), JQ3, 0), "")</f>
        <v>1.1000000000000001</v>
      </c>
      <c r="JT3" s="4"/>
      <c r="JU3" s="11">
        <f t="shared" ref="JU3:JU4" si="56">IF(ISNUMBER(JS3), (JI3+JJ3)-JS3, "")</f>
        <v>0.39999999999999991</v>
      </c>
      <c r="JV3" s="7">
        <v>0.24</v>
      </c>
      <c r="JW3" s="11">
        <f t="shared" ref="JW3:JW4" si="57">IF(ISNUMBER(JV3), JV3-JU3, "")</f>
        <v>-0.15999999999999992</v>
      </c>
      <c r="JY3" s="2">
        <v>1</v>
      </c>
      <c r="JZ3" s="8" t="s">
        <v>40</v>
      </c>
      <c r="KA3" s="2">
        <v>0.1</v>
      </c>
      <c r="KB3" s="8" t="s">
        <v>40</v>
      </c>
      <c r="KC3" s="7">
        <f>IF(OR(ISNUMBER(JY3), ISNUMBER(KA3)), IF(ISNUMBER(JY3), JY3, 0) + IF(ISNUMBER(KA3), KA3, 0), "")</f>
        <v>1.1000000000000001</v>
      </c>
      <c r="KD3" s="4"/>
      <c r="KE3" s="11">
        <f t="shared" ref="KE3:KE4" si="58">IF(ISNUMBER(KC3), (JS3+JT3)-KC3, "")</f>
        <v>0</v>
      </c>
      <c r="KF3" s="7">
        <v>0.13</v>
      </c>
      <c r="KG3" s="11">
        <f t="shared" ref="KG3:KG4" si="59">IF(ISNUMBER(KF3), KF3-KE3, "")</f>
        <v>0.13</v>
      </c>
      <c r="KI3" s="19">
        <v>1</v>
      </c>
      <c r="KJ3" s="8" t="s">
        <v>40</v>
      </c>
      <c r="KK3" s="19">
        <v>0.3</v>
      </c>
      <c r="KL3" s="8" t="s">
        <v>40</v>
      </c>
      <c r="KM3" s="7">
        <f>IF(OR(ISNUMBER(KI3), ISNUMBER(KK3)), IF(ISNUMBER(KI3), KI3, 0) + IF(ISNUMBER(KK3), KK3, 0), "")</f>
        <v>1.3</v>
      </c>
      <c r="KN3" s="4"/>
      <c r="KO3" s="11">
        <f t="shared" ref="KO3:KO4" si="60">IF(ISNUMBER(KM3), (KC3+KD3)-KM3, "")</f>
        <v>-0.19999999999999996</v>
      </c>
      <c r="KP3" s="7">
        <v>0.28999999999999998</v>
      </c>
      <c r="KQ3" s="11">
        <f t="shared" ref="KQ3:KQ4" si="61">IF(ISNUMBER(KP3), KP3-KO3, "")</f>
        <v>0.48999999999999994</v>
      </c>
      <c r="KS3" s="19">
        <v>0</v>
      </c>
      <c r="KT3" s="8" t="s">
        <v>40</v>
      </c>
      <c r="KU3" s="19">
        <v>0</v>
      </c>
      <c r="KV3" s="8" t="s">
        <v>40</v>
      </c>
      <c r="KW3" s="7">
        <f>IF(OR(ISNUMBER(KS3), ISNUMBER(KU3)), IF(ISNUMBER(KS3), KS3, 0) + IF(ISNUMBER(KU3), KU3, 0), "")</f>
        <v>0</v>
      </c>
      <c r="KX3" s="4">
        <v>2</v>
      </c>
      <c r="KY3" s="11">
        <f t="shared" ref="KY3:KY4" si="62">IF(ISNUMBER(KW3), (KM3+KN3)-KW3, "")</f>
        <v>1.3</v>
      </c>
      <c r="KZ3" s="7">
        <v>0.24</v>
      </c>
      <c r="LA3" s="11">
        <f t="shared" ref="LA3:LA4" si="63">IF(ISNUMBER(KZ3), KZ3-KY3, "")</f>
        <v>-1.06</v>
      </c>
      <c r="LC3" s="19">
        <v>1</v>
      </c>
      <c r="LD3" s="8" t="s">
        <v>40</v>
      </c>
      <c r="LE3" s="19">
        <v>0.7</v>
      </c>
      <c r="LF3" s="8" t="s">
        <v>40</v>
      </c>
      <c r="LG3" s="7">
        <f>IF(OR(ISNUMBER(LC3), ISNUMBER(LE3)), IF(ISNUMBER(LC3), LC3, 0) + IF(ISNUMBER(LE3), LE3, 0), "")</f>
        <v>1.7</v>
      </c>
      <c r="LH3" s="4"/>
      <c r="LI3" s="11">
        <f t="shared" ref="LI3:LI4" si="64">IF(ISNUMBER(LG3), (KW3+KX3)-LG3, "")</f>
        <v>0.30000000000000004</v>
      </c>
      <c r="LJ3" s="7">
        <v>0.43</v>
      </c>
      <c r="LK3" s="11">
        <f t="shared" ref="LK3:LK4" si="65">IF(ISNUMBER(LJ3), LJ3-LI3, "")</f>
        <v>0.12999999999999995</v>
      </c>
      <c r="LM3" s="19">
        <v>1</v>
      </c>
      <c r="LN3" s="8" t="s">
        <v>40</v>
      </c>
      <c r="LO3" s="19">
        <v>0.4</v>
      </c>
      <c r="LP3" s="8" t="s">
        <v>40</v>
      </c>
      <c r="LQ3" s="7">
        <f>IF(OR(ISNUMBER(LM3), ISNUMBER(LO3)), IF(ISNUMBER(LM3), LM3, 0) + IF(ISNUMBER(LO3), LO3, 0), "")</f>
        <v>1.4</v>
      </c>
      <c r="LR3" s="4"/>
      <c r="LS3" s="11">
        <f t="shared" ref="LS3:LS4" si="66">IF(ISNUMBER(LQ3), (LG3+LH3)-LQ3, "")</f>
        <v>0.30000000000000004</v>
      </c>
      <c r="LT3" s="7">
        <v>0.37</v>
      </c>
      <c r="LU3" s="11">
        <f t="shared" ref="LU3:LU4" si="67">IF(ISNUMBER(LT3), LT3-LS3, "")</f>
        <v>6.9999999999999951E-2</v>
      </c>
      <c r="LW3" s="19">
        <v>1</v>
      </c>
      <c r="LX3" s="8" t="s">
        <v>40</v>
      </c>
      <c r="LY3" s="19">
        <v>0.1</v>
      </c>
      <c r="LZ3" s="8" t="s">
        <v>40</v>
      </c>
      <c r="MA3" s="7">
        <f>IF(OR(ISNUMBER(LW3), ISNUMBER(LY3)), IF(ISNUMBER(LW3), LW3, 0) + IF(ISNUMBER(LY3), LY3, 0), "")</f>
        <v>1.1000000000000001</v>
      </c>
      <c r="MB3" s="4">
        <v>1</v>
      </c>
      <c r="MC3" s="11">
        <f t="shared" ref="MC3:MC4" si="68">IF(ISNUMBER(MA3), (LQ3+LR3)-MA3, "")</f>
        <v>0.29999999999999982</v>
      </c>
      <c r="MD3" s="7">
        <v>0.57999999999999996</v>
      </c>
      <c r="ME3" s="11">
        <f t="shared" ref="ME3:ME4" si="69">IF(ISNUMBER(MD3), MD3-MC3, "")</f>
        <v>0.28000000000000014</v>
      </c>
      <c r="MG3" s="19">
        <v>1</v>
      </c>
      <c r="MH3" s="8"/>
      <c r="MI3" s="19">
        <v>0.5</v>
      </c>
      <c r="MJ3" s="8" t="s">
        <v>40</v>
      </c>
      <c r="MK3" s="7">
        <f>IF(OR(ISNUMBER(MG3), ISNUMBER(MI3)), IF(ISNUMBER(MG3), MG3, 0) + IF(ISNUMBER(MI3), MI3, 0), "")</f>
        <v>1.5</v>
      </c>
      <c r="ML3" s="4">
        <v>1</v>
      </c>
      <c r="MM3" s="11">
        <f t="shared" ref="MM3:MM4" si="70">IF(ISNUMBER(MK3), (MA3+MB3)-MK3, "")</f>
        <v>0.60000000000000009</v>
      </c>
      <c r="MN3" s="7">
        <v>0.21</v>
      </c>
      <c r="MO3" s="11">
        <f t="shared" ref="MO3:MO4" si="71">IF(ISNUMBER(MN3), MN3-MM3, "")</f>
        <v>-0.39000000000000012</v>
      </c>
      <c r="MQ3" s="19">
        <v>2</v>
      </c>
      <c r="MR3" s="8" t="s">
        <v>40</v>
      </c>
      <c r="MS3" s="19">
        <v>0.2</v>
      </c>
      <c r="MT3" s="8" t="s">
        <v>40</v>
      </c>
      <c r="MU3" s="7">
        <f>IF(OR(ISNUMBER(MQ3), ISNUMBER(MS3)), IF(ISNUMBER(MQ3), MQ3, 0) + IF(ISNUMBER(MS3), MS3, 0), "")</f>
        <v>2.2000000000000002</v>
      </c>
      <c r="MV3" s="4"/>
      <c r="MW3" s="11">
        <f t="shared" ref="MW3:MW4" si="72">IF(ISNUMBER(MU3), (MK3+ML3)-MU3, "")</f>
        <v>0.29999999999999982</v>
      </c>
      <c r="MX3" s="7">
        <v>0.27</v>
      </c>
      <c r="MY3" s="11">
        <f t="shared" ref="MY3:MY4" si="73">IF(ISNUMBER(MX3), MX3-MW3, "")</f>
        <v>-2.9999999999999805E-2</v>
      </c>
      <c r="NA3" s="19">
        <v>1</v>
      </c>
      <c r="NB3" s="8" t="s">
        <v>40</v>
      </c>
      <c r="NC3" s="19">
        <v>0.8</v>
      </c>
      <c r="ND3" s="8" t="s">
        <v>40</v>
      </c>
      <c r="NE3" s="7">
        <f>IF(OR(ISNUMBER(NA3), ISNUMBER(NC3)), IF(ISNUMBER(NA3), NA3, 0) + IF(ISNUMBER(NC3), NC3, 0), "")</f>
        <v>1.8</v>
      </c>
      <c r="NF3" s="4"/>
      <c r="NG3" s="11">
        <f t="shared" ref="NG3:NG4" si="74">IF(ISNUMBER(NE3), (MU3+MV3)-NE3, "")</f>
        <v>0.40000000000000013</v>
      </c>
      <c r="NH3" s="7">
        <v>0.4</v>
      </c>
      <c r="NI3" s="11">
        <f t="shared" ref="NI3:NI4" si="75">IF(ISNUMBER(NH3), NH3-NG3, "")</f>
        <v>-1.1102230246251565E-16</v>
      </c>
      <c r="NK3" s="19">
        <v>1</v>
      </c>
      <c r="NL3" s="8" t="s">
        <v>40</v>
      </c>
      <c r="NM3" s="19">
        <v>0.1</v>
      </c>
      <c r="NN3" s="8" t="s">
        <v>40</v>
      </c>
      <c r="NO3" s="7">
        <f>IF(OR(ISNUMBER(NK3), ISNUMBER(NM3)), IF(ISNUMBER(NK3), NK3, 0) + IF(ISNUMBER(NM3), NM3, 0), "")</f>
        <v>1.1000000000000001</v>
      </c>
      <c r="NP3" s="4"/>
      <c r="NQ3" s="11">
        <f t="shared" ref="NQ3:NQ4" si="76">IF(ISNUMBER(NO3), (NE3+NF3)-NO3, "")</f>
        <v>0.7</v>
      </c>
      <c r="NR3" s="7">
        <v>0.53</v>
      </c>
      <c r="NS3" s="11">
        <f t="shared" ref="NS3:NS4" si="77">IF(ISNUMBER(NR3), NR3-NQ3, "")</f>
        <v>-0.16999999999999993</v>
      </c>
      <c r="NU3" s="19">
        <v>0</v>
      </c>
      <c r="NV3" s="8" t="s">
        <v>40</v>
      </c>
      <c r="NW3" s="19">
        <v>1</v>
      </c>
      <c r="NX3" s="8" t="s">
        <v>40</v>
      </c>
      <c r="NY3" s="7">
        <f>IF(OR(ISNUMBER(NU3), ISNUMBER(NW3)), IF(ISNUMBER(NU3), NU3, 0) + IF(ISNUMBER(NW3), NW3, 0), "")</f>
        <v>1</v>
      </c>
      <c r="NZ3" s="4"/>
      <c r="OA3" s="11">
        <f t="shared" ref="OA3:OA4" si="78">IF(ISNUMBER(NY3), (NO3+NP3)-NY3, "")</f>
        <v>0.10000000000000009</v>
      </c>
      <c r="OB3" s="7">
        <v>0.24</v>
      </c>
      <c r="OC3" s="11">
        <f t="shared" ref="OC3:OC4" si="79">IF(ISNUMBER(OB3), OB3-OA3, "")</f>
        <v>0.1399999999999999</v>
      </c>
      <c r="OE3" s="2">
        <v>0</v>
      </c>
      <c r="OF3" s="8" t="s">
        <v>40</v>
      </c>
      <c r="OG3" s="2">
        <v>0.1</v>
      </c>
      <c r="OH3" s="8" t="s">
        <v>40</v>
      </c>
      <c r="OI3" s="7">
        <f>IF(OR(ISNUMBER(OE3), ISNUMBER(OG3)), IF(ISNUMBER(OE3), OE3, 0) + IF(ISNUMBER(OG3), OG3, 0), "")</f>
        <v>0.1</v>
      </c>
      <c r="OJ3" s="4">
        <v>2</v>
      </c>
      <c r="OK3" s="11">
        <f t="shared" ref="OK3:OK4" si="80">IF(ISNUMBER(OI3), (NY3+NZ3)-OI3, "")</f>
        <v>0.9</v>
      </c>
      <c r="OL3" s="7">
        <v>0.32</v>
      </c>
      <c r="OM3" s="11">
        <f t="shared" ref="OM3:OM4" si="81">IF(ISNUMBER(OL3), OL3-OK3, "")</f>
        <v>-0.58000000000000007</v>
      </c>
      <c r="OO3" s="19">
        <v>2</v>
      </c>
      <c r="OP3" s="8" t="s">
        <v>40</v>
      </c>
      <c r="OQ3" s="19">
        <v>0.1</v>
      </c>
      <c r="OR3" s="8" t="s">
        <v>40</v>
      </c>
      <c r="OS3" s="7">
        <f>IF(OR(ISNUMBER(OO3), ISNUMBER(OQ3)), IF(ISNUMBER(OO3), OO3, 0) + IF(ISNUMBER(OQ3), OQ3, 0), "")</f>
        <v>2.1</v>
      </c>
      <c r="OT3" s="4"/>
      <c r="OU3" s="11">
        <f t="shared" ref="OU3:OU4" si="82">IF(ISNUMBER(OS3), (OI3+OJ3)-OS3, "")</f>
        <v>0</v>
      </c>
      <c r="OV3" s="7">
        <v>0.05</v>
      </c>
      <c r="OW3" s="11">
        <f t="shared" ref="OW3:OW4" si="83">IF(ISNUMBER(OV3), OV3-OU3, "")</f>
        <v>0.05</v>
      </c>
      <c r="OY3" s="19">
        <v>2</v>
      </c>
      <c r="OZ3" s="8" t="s">
        <v>40</v>
      </c>
      <c r="PA3" s="19">
        <v>0.1</v>
      </c>
      <c r="PB3" s="8" t="s">
        <v>40</v>
      </c>
      <c r="PC3" s="7">
        <f>IF(OR(ISNUMBER(OY3), ISNUMBER(PA3)), IF(ISNUMBER(OY3), OY3, 0) + IF(ISNUMBER(PA3), PA3, 0), "")</f>
        <v>2.1</v>
      </c>
      <c r="PD3" s="4"/>
      <c r="PE3" s="11">
        <f t="shared" ref="PE3:PE4" si="84">IF(ISNUMBER(PC3), (OS3+OT3)-PC3, "")</f>
        <v>0</v>
      </c>
      <c r="PF3" s="7">
        <v>0.43</v>
      </c>
      <c r="PG3" s="11">
        <f t="shared" ref="PG3:PG4" si="85">IF(ISNUMBER(PF3), PF3-PE3, "")</f>
        <v>0.43</v>
      </c>
      <c r="PI3" s="19">
        <v>1</v>
      </c>
      <c r="PJ3" s="8" t="s">
        <v>40</v>
      </c>
      <c r="PK3" s="19">
        <v>0.7</v>
      </c>
      <c r="PL3" s="8" t="s">
        <v>40</v>
      </c>
      <c r="PM3" s="7">
        <f>IF(OR(ISNUMBER(PI3), ISNUMBER(PK3)), IF(ISNUMBER(PI3), PI3, 0) + IF(ISNUMBER(PK3), PK3, 0), "")</f>
        <v>1.7</v>
      </c>
      <c r="PN3" s="4">
        <v>1</v>
      </c>
      <c r="PO3" s="11">
        <f t="shared" ref="PO3:PO4" si="86">IF(ISNUMBER(PM3), (PC3+PD3)-PM3, "")</f>
        <v>0.40000000000000013</v>
      </c>
      <c r="PP3" s="7">
        <v>0.21</v>
      </c>
      <c r="PQ3" s="11">
        <f t="shared" ref="PQ3:PQ4" si="87">IF(ISNUMBER(PP3), PP3-PO3, "")</f>
        <v>-0.19000000000000014</v>
      </c>
      <c r="PS3" s="2">
        <v>2</v>
      </c>
      <c r="PT3" s="8" t="s">
        <v>40</v>
      </c>
      <c r="PU3" s="2">
        <v>0.2</v>
      </c>
      <c r="PV3" s="8" t="s">
        <v>40</v>
      </c>
      <c r="PW3" s="7">
        <f>IF(OR(ISNUMBER(PS3), ISNUMBER(PU3)), IF(ISNUMBER(PS3), PS3, 0) + IF(ISNUMBER(PU3), PU3, 0), "")</f>
        <v>2.2000000000000002</v>
      </c>
      <c r="PX3" s="4"/>
      <c r="PY3" s="11">
        <f t="shared" ref="PY3:PY4" si="88">IF(ISNUMBER(PW3), (PM3+PN3)-PW3, "")</f>
        <v>0.5</v>
      </c>
      <c r="PZ3" s="7">
        <v>0.35</v>
      </c>
      <c r="QA3" s="11">
        <f t="shared" ref="QA3:QA4" si="89">IF(ISNUMBER(PZ3), PZ3-PY3, "")</f>
        <v>-0.15000000000000002</v>
      </c>
      <c r="QC3" s="2">
        <v>1</v>
      </c>
      <c r="QD3" s="8" t="s">
        <v>40</v>
      </c>
      <c r="QE3" s="2">
        <v>0.7</v>
      </c>
      <c r="QF3" s="8" t="s">
        <v>40</v>
      </c>
      <c r="QG3" s="7">
        <f>IF(OR(ISNUMBER(QC3), ISNUMBER(QE3)), IF(ISNUMBER(QC3), QC3, 0) + IF(ISNUMBER(QE3), QE3, 0), "")</f>
        <v>1.7</v>
      </c>
      <c r="QH3" s="4"/>
      <c r="QI3" s="11">
        <f t="shared" ref="QI3:QI4" si="90">IF(ISNUMBER(QG3), (PW3+PX3)-QG3, "")</f>
        <v>0.50000000000000022</v>
      </c>
      <c r="QJ3" s="7">
        <v>0.35</v>
      </c>
      <c r="QK3" s="11">
        <f t="shared" ref="QK3:QK4" si="91">IF(ISNUMBER(QJ3), QJ3-QI3, "")</f>
        <v>-0.15000000000000024</v>
      </c>
      <c r="QM3" s="19">
        <v>1</v>
      </c>
      <c r="QN3" s="8" t="s">
        <v>40</v>
      </c>
      <c r="QO3" s="19">
        <v>0.3</v>
      </c>
      <c r="QP3" s="8" t="s">
        <v>40</v>
      </c>
      <c r="QQ3" s="7">
        <f>IF(OR(ISNUMBER(QM3), ISNUMBER(QO3)), IF(ISNUMBER(QM3), QM3, 0) + IF(ISNUMBER(QO3), QO3, 0), "")</f>
        <v>1.3</v>
      </c>
      <c r="QR3" s="4"/>
      <c r="QS3" s="11">
        <f t="shared" ref="QS3:QS4" si="92">IF(ISNUMBER(QQ3), (QG3+QH3)-QQ3, "")</f>
        <v>0.39999999999999991</v>
      </c>
      <c r="QT3" s="7">
        <v>0.35</v>
      </c>
      <c r="QU3" s="11">
        <f t="shared" ref="QU3:QU4" si="93">IF(ISNUMBER(QT3), QT3-QS3, "")</f>
        <v>-4.9999999999999933E-2</v>
      </c>
      <c r="QW3" s="19">
        <v>1</v>
      </c>
      <c r="QX3" s="8" t="s">
        <v>40</v>
      </c>
      <c r="QY3" s="19">
        <v>0.2</v>
      </c>
      <c r="QZ3" s="8" t="s">
        <v>40</v>
      </c>
      <c r="RA3" s="7">
        <f>IF(OR(ISNUMBER(QW3), ISNUMBER(QY3)), IF(ISNUMBER(QW3), QW3, 0) + IF(ISNUMBER(QY3), QY3, 0), "")</f>
        <v>1.2</v>
      </c>
      <c r="RB3" s="4"/>
      <c r="RC3" s="11">
        <f t="shared" ref="RC3:RC4" si="94">IF(ISNUMBER(RA3), (QQ3+QR3)-RA3, "")</f>
        <v>0.10000000000000009</v>
      </c>
      <c r="RD3" s="7">
        <v>0.27</v>
      </c>
      <c r="RE3" s="11">
        <f t="shared" ref="RE3:RE4" si="95">IF(ISNUMBER(RD3), RD3-RC3, "")</f>
        <v>0.16999999999999993</v>
      </c>
      <c r="RG3" s="19">
        <v>1</v>
      </c>
      <c r="RH3" s="8" t="s">
        <v>40</v>
      </c>
      <c r="RI3" s="19">
        <v>0</v>
      </c>
      <c r="RJ3" s="8" t="s">
        <v>40</v>
      </c>
      <c r="RK3" s="7">
        <f>IF(OR(ISNUMBER(RG3), ISNUMBER(RI3)), IF(ISNUMBER(RG3), RG3, 0) + IF(ISNUMBER(RI3), RI3, 0), "")</f>
        <v>1</v>
      </c>
      <c r="RL3" s="4"/>
      <c r="RM3" s="11">
        <f t="shared" ref="RM3:RM4" si="96">IF(ISNUMBER(RK3), (RA3+RB3)-RK3, "")</f>
        <v>0.19999999999999996</v>
      </c>
      <c r="RN3" s="7">
        <v>0.24</v>
      </c>
      <c r="RO3" s="11">
        <f t="shared" ref="RO3:RO4" si="97">IF(ISNUMBER(RN3), RN3-RM3, "")</f>
        <v>4.0000000000000036E-2</v>
      </c>
      <c r="RQ3" s="2">
        <v>0</v>
      </c>
      <c r="RR3" s="8" t="s">
        <v>40</v>
      </c>
      <c r="RS3" s="2">
        <v>0.4</v>
      </c>
      <c r="RT3" s="8" t="s">
        <v>40</v>
      </c>
      <c r="RU3" s="7">
        <f>IF(OR(ISNUMBER(RQ3), ISNUMBER(RS3)), IF(ISNUMBER(RQ3), RQ3, 0) + IF(ISNUMBER(RS3), RS3, 0), "")</f>
        <v>0.4</v>
      </c>
      <c r="RV3" s="4"/>
      <c r="RW3" s="11">
        <f t="shared" ref="RW3:RW4" si="98">IF(ISNUMBER(RU3), (RK3+RL3)-RU3, "")</f>
        <v>0.6</v>
      </c>
      <c r="RX3" s="7">
        <v>0.05</v>
      </c>
      <c r="RY3" s="11">
        <f t="shared" ref="RY3:RY4" si="99">IF(ISNUMBER(RX3), RX3-RW3, "")</f>
        <v>-0.54999999999999993</v>
      </c>
      <c r="SA3" s="19">
        <v>0</v>
      </c>
      <c r="SB3" s="8" t="s">
        <v>40</v>
      </c>
      <c r="SC3" s="19">
        <v>0.2</v>
      </c>
      <c r="SD3" s="8" t="s">
        <v>40</v>
      </c>
      <c r="SE3" s="7">
        <f>IF(OR(ISNUMBER(SA3), ISNUMBER(SC3)), IF(ISNUMBER(SA3), SA3, 0) + IF(ISNUMBER(SC3), SC3, 0), "")</f>
        <v>0.2</v>
      </c>
      <c r="SF3" s="4">
        <v>2</v>
      </c>
      <c r="SG3" s="11">
        <f t="shared" ref="SG3:SG4" si="100">IF(ISNUMBER(SE3), (RU3+RV3)-SE3, "")</f>
        <v>0.2</v>
      </c>
      <c r="SH3" s="7">
        <v>0.21</v>
      </c>
      <c r="SI3" s="11">
        <f t="shared" ref="SI3:SI4" si="101">IF(ISNUMBER(SH3), SH3-SG3, "")</f>
        <v>9.9999999999999811E-3</v>
      </c>
      <c r="SK3" s="19">
        <v>2</v>
      </c>
      <c r="SL3" s="8" t="s">
        <v>40</v>
      </c>
      <c r="SM3" s="19">
        <v>0.1</v>
      </c>
      <c r="SN3" s="8" t="s">
        <v>40</v>
      </c>
      <c r="SO3" s="7">
        <f>IF(OR(ISNUMBER(SK3), ISNUMBER(SM3)), IF(ISNUMBER(SK3), SK3, 0) + IF(ISNUMBER(SM3), SM3, 0), "")</f>
        <v>2.1</v>
      </c>
      <c r="SP3" s="4"/>
      <c r="SQ3" s="11">
        <f t="shared" ref="SQ3:SQ4" si="102">IF(ISNUMBER(SO3), (SE3+SF3)-SO3, "")</f>
        <v>0.10000000000000009</v>
      </c>
      <c r="SR3" s="7">
        <v>0.05</v>
      </c>
      <c r="SS3" s="11">
        <f t="shared" ref="SS3:SS4" si="103">IF(ISNUMBER(SR3), SR3-SQ3, "")</f>
        <v>-5.0000000000000086E-2</v>
      </c>
      <c r="SU3" s="19">
        <v>1</v>
      </c>
      <c r="SV3" s="8" t="s">
        <v>40</v>
      </c>
      <c r="SW3" s="19">
        <v>0.9</v>
      </c>
      <c r="SX3" s="8" t="s">
        <v>40</v>
      </c>
      <c r="SY3" s="7">
        <f>IF(OR(ISNUMBER(SU3), ISNUMBER(SW3)), IF(ISNUMBER(SU3), SU3, 0) + IF(ISNUMBER(SW3), SW3, 0), "")</f>
        <v>1.9</v>
      </c>
      <c r="SZ3" s="4"/>
      <c r="TA3" s="11">
        <f t="shared" ref="TA3:TA4" si="104">IF(ISNUMBER(SY3), (SO3+SP3)-SY3, "")</f>
        <v>0.20000000000000018</v>
      </c>
      <c r="TB3" s="7">
        <v>0.19</v>
      </c>
      <c r="TC3" s="11">
        <f t="shared" ref="TC3:TC4" si="105">IF(ISNUMBER(TB3), TB3-TA3, "")</f>
        <v>-1.0000000000000175E-2</v>
      </c>
      <c r="TE3" s="2">
        <v>2</v>
      </c>
      <c r="TF3" s="8" t="s">
        <v>40</v>
      </c>
      <c r="TG3" s="2">
        <v>0.1</v>
      </c>
      <c r="TH3" s="8" t="s">
        <v>40</v>
      </c>
      <c r="TI3" s="7">
        <f>IF(OR(ISNUMBER(TE3), ISNUMBER(TG3)), IF(ISNUMBER(TE3), TE3, 0) + IF(ISNUMBER(TG3), TG3, 0), "")</f>
        <v>2.1</v>
      </c>
      <c r="TJ3" s="4"/>
      <c r="TK3" s="11">
        <f t="shared" ref="TK3:TK4" si="106">IF(ISNUMBER(TI3), (SY3+SZ3)-TI3, "")</f>
        <v>-0.20000000000000018</v>
      </c>
      <c r="TL3" s="7">
        <v>0.27</v>
      </c>
      <c r="TM3" s="11">
        <f t="shared" ref="TM3:TM4" si="107">IF(ISNUMBER(TL3), TL3-TK3, "")</f>
        <v>0.4700000000000002</v>
      </c>
      <c r="TO3" s="19">
        <v>1</v>
      </c>
      <c r="TP3" s="8" t="s">
        <v>40</v>
      </c>
      <c r="TQ3" s="19">
        <v>1</v>
      </c>
      <c r="TR3" s="8" t="s">
        <v>40</v>
      </c>
      <c r="TS3" s="7">
        <f>IF(OR(ISNUMBER(TO3), ISNUMBER(TQ3)), IF(ISNUMBER(TO3), TO3, 0) + IF(ISNUMBER(TQ3), TQ3, 0), "")</f>
        <v>2</v>
      </c>
      <c r="TT3" s="4"/>
      <c r="TU3" s="11">
        <f t="shared" ref="TU3:TU4" si="108">IF(ISNUMBER(TS3), (TI3+TJ3)-TS3, "")</f>
        <v>0.10000000000000009</v>
      </c>
      <c r="TV3" s="7">
        <v>0.24</v>
      </c>
      <c r="TW3" s="11">
        <f t="shared" ref="TW3:TW4" si="109">IF(ISNUMBER(TV3), TV3-TU3, "")</f>
        <v>0.1399999999999999</v>
      </c>
      <c r="TY3" s="2">
        <v>1</v>
      </c>
      <c r="TZ3" s="8" t="s">
        <v>40</v>
      </c>
      <c r="UA3" s="2">
        <v>0.8</v>
      </c>
      <c r="UB3" s="8" t="s">
        <v>40</v>
      </c>
      <c r="UC3" s="7">
        <f>IF(OR(ISNUMBER(TY3), ISNUMBER(UA3)), IF(ISNUMBER(TY3), TY3, 0) + IF(ISNUMBER(UA3), UA3, 0), "")</f>
        <v>1.8</v>
      </c>
      <c r="UD3" s="4"/>
      <c r="UE3" s="11">
        <f t="shared" ref="UE3:UE4" si="110">IF(ISNUMBER(UC3), (TS3+TT3)-UC3, "")</f>
        <v>0.19999999999999996</v>
      </c>
      <c r="UF3" s="7">
        <v>0.32</v>
      </c>
      <c r="UG3" s="11">
        <f t="shared" ref="UG3:UG4" si="111">IF(ISNUMBER(UF3), UF3-UE3, "")</f>
        <v>0.12000000000000005</v>
      </c>
      <c r="UI3" s="2">
        <v>1</v>
      </c>
      <c r="UJ3" s="8" t="s">
        <v>40</v>
      </c>
      <c r="UK3" s="2">
        <v>0.1</v>
      </c>
      <c r="UL3" s="8" t="s">
        <v>40</v>
      </c>
      <c r="UM3" s="7">
        <f>IF(OR(ISNUMBER(UI3), ISNUMBER(UK3)), IF(ISNUMBER(UI3), UI3, 0) + IF(ISNUMBER(UK3), UK3, 0), "")</f>
        <v>1.1000000000000001</v>
      </c>
      <c r="UN3" s="4">
        <v>1</v>
      </c>
      <c r="UO3" s="11">
        <f t="shared" ref="UO3:UO4" si="112">IF(ISNUMBER(UM3), (UC3+UD3)-UM3, "")</f>
        <v>0.7</v>
      </c>
      <c r="UP3" s="7">
        <v>0.61</v>
      </c>
      <c r="UQ3" s="11">
        <f t="shared" ref="UQ3:UQ4" si="113">IF(ISNUMBER(UP3), UP3-UO3, "")</f>
        <v>-8.9999999999999969E-2</v>
      </c>
      <c r="US3" s="19">
        <v>1</v>
      </c>
      <c r="UT3" s="8" t="s">
        <v>40</v>
      </c>
      <c r="UU3" s="19">
        <v>0.7</v>
      </c>
      <c r="UV3" s="8" t="s">
        <v>40</v>
      </c>
      <c r="UW3" s="7">
        <f>IF(OR(ISNUMBER(US3), ISNUMBER(UU3)), IF(ISNUMBER(US3), US3, 0) + IF(ISNUMBER(UU3), UU3, 0), "")</f>
        <v>1.7</v>
      </c>
      <c r="UX3" s="4"/>
      <c r="UY3" s="11">
        <f t="shared" ref="UY3:UY4" si="114">IF(ISNUMBER(UW3), (UM3+UN3)-UW3, "")</f>
        <v>0.40000000000000013</v>
      </c>
      <c r="UZ3" s="7">
        <v>0.35</v>
      </c>
      <c r="VA3" s="11">
        <f t="shared" ref="VA3:VA4" si="115">IF(ISNUMBER(UZ3), UZ3-UY3, "")</f>
        <v>-5.0000000000000155E-2</v>
      </c>
      <c r="VC3" s="19">
        <v>1</v>
      </c>
      <c r="VD3" s="8" t="s">
        <v>40</v>
      </c>
      <c r="VE3" s="19">
        <v>0.5</v>
      </c>
      <c r="VF3" s="8" t="s">
        <v>40</v>
      </c>
      <c r="VG3" s="7">
        <f>IF(OR(ISNUMBER(VC3), ISNUMBER(VE3)), IF(ISNUMBER(VC3), VC3, 0) + IF(ISNUMBER(VE3), VE3, 0), "")</f>
        <v>1.5</v>
      </c>
      <c r="VH3" s="4"/>
      <c r="VI3" s="11">
        <f t="shared" ref="VI3:VI4" si="116">IF(ISNUMBER(VG3), (UW3+UX3)-VG3, "")</f>
        <v>0.19999999999999996</v>
      </c>
      <c r="VJ3" s="7">
        <v>0.21</v>
      </c>
      <c r="VK3" s="11">
        <f t="shared" ref="VK3:VK4" si="117">IF(ISNUMBER(VJ3), VJ3-VI3, "")</f>
        <v>1.0000000000000037E-2</v>
      </c>
      <c r="VM3" s="2">
        <v>1</v>
      </c>
      <c r="VN3" s="8" t="s">
        <v>40</v>
      </c>
      <c r="VO3" s="2">
        <v>0.2</v>
      </c>
      <c r="VP3" s="8" t="s">
        <v>40</v>
      </c>
      <c r="VQ3" s="7">
        <f>IF(OR(ISNUMBER(VM3), ISNUMBER(VO3)), IF(ISNUMBER(VM3), VM3, 0) + IF(ISNUMBER(VO3), VO3, 0), "")</f>
        <v>1.2</v>
      </c>
      <c r="VR3" s="4"/>
      <c r="VS3" s="11">
        <f t="shared" ref="VS3:VS4" si="118">IF(ISNUMBER(VQ3), (VG3+VH3)-VQ3, "")</f>
        <v>0.30000000000000004</v>
      </c>
      <c r="VT3" s="7">
        <v>0.21</v>
      </c>
      <c r="VU3" s="11">
        <f t="shared" ref="VU3:VU4" si="119">IF(ISNUMBER(VT3), VT3-VS3, "")</f>
        <v>-9.0000000000000052E-2</v>
      </c>
      <c r="VW3" s="19"/>
      <c r="VX3" s="8" t="s">
        <v>40</v>
      </c>
      <c r="VY3" s="19">
        <v>0.9</v>
      </c>
      <c r="VZ3" s="8" t="s">
        <v>40</v>
      </c>
      <c r="WA3" s="7">
        <f>IF(OR(ISNUMBER(VW3), ISNUMBER(VY3)), IF(ISNUMBER(VW3), VW3, 0) + IF(ISNUMBER(VY3), VY3, 0), "")</f>
        <v>0.9</v>
      </c>
      <c r="WB3" s="4">
        <v>1</v>
      </c>
      <c r="WC3" s="11">
        <f t="shared" ref="WC3:WC4" si="120">IF(ISNUMBER(WA3), (VQ3+VR3)-WA3, "")</f>
        <v>0.29999999999999993</v>
      </c>
      <c r="WD3" s="7">
        <v>0.28999999999999998</v>
      </c>
      <c r="WE3" s="11">
        <f t="shared" ref="WE3:WE4" si="121">IF(ISNUMBER(WD3), WD3-WC3, "")</f>
        <v>-9.9999999999999534E-3</v>
      </c>
      <c r="WG3" s="19">
        <v>1</v>
      </c>
      <c r="WH3" s="8" t="s">
        <v>40</v>
      </c>
      <c r="WI3" s="19">
        <v>0.7</v>
      </c>
      <c r="WJ3" s="8" t="s">
        <v>40</v>
      </c>
      <c r="WK3" s="7">
        <f>IF(OR(ISNUMBER(WG3), ISNUMBER(WI3)), IF(ISNUMBER(WG3), WG3, 0) + IF(ISNUMBER(WI3), WI3, 0), "")</f>
        <v>1.7</v>
      </c>
      <c r="WL3" s="4"/>
      <c r="WM3" s="11">
        <f t="shared" ref="WM3:WM4" si="122">IF(ISNUMBER(WK3), (WA3+WB3)-WK3, "")</f>
        <v>0.19999999999999996</v>
      </c>
      <c r="WN3" s="7">
        <v>0.16</v>
      </c>
      <c r="WO3" s="11">
        <f t="shared" ref="WO3:WO4" si="123">IF(ISNUMBER(WN3), WN3-WM3, "")</f>
        <v>-3.9999999999999952E-2</v>
      </c>
      <c r="WQ3" s="19">
        <v>1</v>
      </c>
      <c r="WR3" s="8" t="s">
        <v>40</v>
      </c>
      <c r="WS3" s="19">
        <v>0.4</v>
      </c>
      <c r="WT3" s="8" t="s">
        <v>40</v>
      </c>
      <c r="WU3" s="7">
        <f>IF(OR(ISNUMBER(WQ3), ISNUMBER(WS3)), IF(ISNUMBER(WQ3), WQ3, 0) + IF(ISNUMBER(WS3), WS3, 0), "")</f>
        <v>1.4</v>
      </c>
      <c r="WV3" s="4"/>
      <c r="WW3" s="11">
        <f t="shared" ref="WW3:WW4" si="124">IF(ISNUMBER(WU3), (WK3+WL3)-WU3, "")</f>
        <v>0.30000000000000004</v>
      </c>
      <c r="WX3" s="7">
        <v>0.21</v>
      </c>
      <c r="WY3" s="11">
        <f t="shared" ref="WY3:WY4" si="125">IF(ISNUMBER(WX3), WX3-WW3, "")</f>
        <v>-9.0000000000000052E-2</v>
      </c>
      <c r="XA3" s="19">
        <v>1</v>
      </c>
      <c r="XB3" s="8" t="s">
        <v>40</v>
      </c>
      <c r="XC3" s="19">
        <v>0.1</v>
      </c>
      <c r="XD3" s="8" t="s">
        <v>40</v>
      </c>
      <c r="XE3" s="7">
        <f>IF(OR(ISNUMBER(XA3), ISNUMBER(XC3)), IF(ISNUMBER(XA3), XA3, 0) + IF(ISNUMBER(XC3), XC3, 0), "")</f>
        <v>1.1000000000000001</v>
      </c>
      <c r="XF3" s="4"/>
      <c r="XG3" s="11">
        <f t="shared" ref="XG3:XG4" si="126">IF(ISNUMBER(XE3), (WU3+WV3)-XE3, "")</f>
        <v>0.29999999999999982</v>
      </c>
      <c r="XH3" s="7">
        <v>0.32</v>
      </c>
      <c r="XI3" s="11">
        <f t="shared" ref="XI3:XI4" si="127">IF(ISNUMBER(XH3), XH3-XG3, "")</f>
        <v>2.0000000000000184E-2</v>
      </c>
      <c r="XK3" s="19">
        <v>0</v>
      </c>
      <c r="XL3" s="8" t="s">
        <v>40</v>
      </c>
      <c r="XM3" s="19">
        <v>0.9</v>
      </c>
      <c r="XN3" s="8" t="s">
        <v>40</v>
      </c>
      <c r="XO3" s="7">
        <f>IF(OR(ISNUMBER(XK3), ISNUMBER(XM3)), IF(ISNUMBER(XK3), XK3, 0) + IF(ISNUMBER(XM3), XM3, 0), "")</f>
        <v>0.9</v>
      </c>
      <c r="XP3" s="4"/>
      <c r="XQ3" s="11">
        <f t="shared" ref="XQ3:XQ4" si="128">IF(ISNUMBER(XO3), (XE3+XF3)-XO3, "")</f>
        <v>0.20000000000000007</v>
      </c>
      <c r="XR3" s="7">
        <v>0.32</v>
      </c>
      <c r="XS3" s="11">
        <f t="shared" ref="XS3:XS4" si="129">IF(ISNUMBER(XR3), XR3-XQ3, "")</f>
        <v>0.11999999999999994</v>
      </c>
      <c r="XU3" s="19">
        <v>0</v>
      </c>
      <c r="XV3" s="8" t="s">
        <v>40</v>
      </c>
      <c r="XW3" s="19">
        <v>0.6</v>
      </c>
      <c r="XX3" s="8" t="s">
        <v>40</v>
      </c>
      <c r="XY3" s="7">
        <f>IF(OR(ISNUMBER(XU3), ISNUMBER(XW3)), IF(ISNUMBER(XU3), XU3, 0) + IF(ISNUMBER(XW3), XW3, 0), "")</f>
        <v>0.6</v>
      </c>
      <c r="XZ3" s="4"/>
      <c r="YA3" s="11">
        <f t="shared" ref="YA3:YA4" si="130">IF(ISNUMBER(XY3), (XO3+XP3)-XY3, "")</f>
        <v>0.30000000000000004</v>
      </c>
      <c r="YB3" s="7">
        <v>0.28999999999999998</v>
      </c>
      <c r="YC3" s="11">
        <f t="shared" ref="YC3:YC4" si="131">IF(ISNUMBER(YB3), YB3-YA3, "")</f>
        <v>-1.0000000000000064E-2</v>
      </c>
      <c r="YE3" s="19">
        <v>0</v>
      </c>
      <c r="YF3" s="8" t="s">
        <v>40</v>
      </c>
      <c r="YG3" s="19">
        <v>0.4</v>
      </c>
      <c r="YH3" s="8" t="s">
        <v>40</v>
      </c>
      <c r="YI3" s="7">
        <f>IF(OR(ISNUMBER(YE3), ISNUMBER(YG3)), IF(ISNUMBER(YE3), YE3, 0) + IF(ISNUMBER(YG3), YG3, 0), "")</f>
        <v>0.4</v>
      </c>
      <c r="YJ3" s="4"/>
      <c r="YK3" s="11">
        <f t="shared" ref="YK3:YK4" si="132">IF(ISNUMBER(YI3), (XY3+XZ3)-YI3, "")</f>
        <v>0.19999999999999996</v>
      </c>
      <c r="YL3" s="7">
        <v>0.19</v>
      </c>
      <c r="YM3" s="11">
        <f t="shared" ref="YM3:YM4" si="133">IF(ISNUMBER(YL3), YL3-YK3, "")</f>
        <v>-9.9999999999999534E-3</v>
      </c>
      <c r="YO3" s="19"/>
      <c r="YP3" s="8" t="s">
        <v>40</v>
      </c>
      <c r="YQ3" s="19">
        <v>0.1</v>
      </c>
      <c r="YR3" s="8" t="s">
        <v>40</v>
      </c>
      <c r="YS3" s="7">
        <f>IF(OR(ISNUMBER(YO3), ISNUMBER(YQ3)), IF(ISNUMBER(YO3), YO3, 0) + IF(ISNUMBER(YQ3), YQ3, 0), "")</f>
        <v>0.1</v>
      </c>
      <c r="YT3" s="4">
        <v>2</v>
      </c>
      <c r="YU3" s="11">
        <f t="shared" ref="YU3:YU4" si="134">IF(ISNUMBER(YS3), (YI3+YJ3)-YS3, "")</f>
        <v>0.30000000000000004</v>
      </c>
      <c r="YV3" s="7">
        <v>0.13</v>
      </c>
      <c r="YW3" s="11">
        <f t="shared" ref="YW3:YW4" si="135">IF(ISNUMBER(YV3), YV3-YU3, "")</f>
        <v>-0.17000000000000004</v>
      </c>
      <c r="YY3" s="19">
        <v>1</v>
      </c>
      <c r="YZ3" s="8" t="s">
        <v>40</v>
      </c>
      <c r="ZA3" s="19">
        <v>0.8</v>
      </c>
      <c r="ZB3" s="8" t="s">
        <v>40</v>
      </c>
      <c r="ZC3" s="7">
        <f>IF(OR(ISNUMBER(YY3), ISNUMBER(ZA3)), IF(ISNUMBER(YY3), YY3, 0) + IF(ISNUMBER(ZA3), ZA3, 0), "")</f>
        <v>1.8</v>
      </c>
      <c r="ZD3" s="4"/>
      <c r="ZE3" s="11">
        <f t="shared" ref="ZE3:ZE4" si="136">IF(ISNUMBER(ZC3), (YS3+YT3)-ZC3, "")</f>
        <v>0.30000000000000004</v>
      </c>
      <c r="ZF3" s="7">
        <v>0.08</v>
      </c>
      <c r="ZG3" s="11">
        <f t="shared" ref="ZG3:ZG4" si="137">IF(ISNUMBER(ZF3), ZF3-ZE3, "")</f>
        <v>-0.22000000000000003</v>
      </c>
      <c r="ZI3" s="19">
        <v>1</v>
      </c>
      <c r="ZJ3" s="8" t="s">
        <v>40</v>
      </c>
      <c r="ZK3" s="19">
        <v>0.5</v>
      </c>
      <c r="ZL3" s="8" t="s">
        <v>40</v>
      </c>
      <c r="ZM3" s="7">
        <f>IF(OR(ISNUMBER(ZI3), ISNUMBER(ZK3)), IF(ISNUMBER(ZI3), ZI3, 0) + IF(ISNUMBER(ZK3), ZK3, 0), "")</f>
        <v>1.5</v>
      </c>
      <c r="ZN3" s="4"/>
      <c r="ZO3" s="11">
        <f t="shared" ref="ZO3:ZO4" si="138">IF(ISNUMBER(ZM3), (ZC3+ZD3)-ZM3, "")</f>
        <v>0.30000000000000004</v>
      </c>
      <c r="ZP3" s="7">
        <v>0.28999999999999998</v>
      </c>
      <c r="ZQ3" s="11">
        <f t="shared" ref="ZQ3:ZQ4" si="139">IF(ISNUMBER(ZP3), ZP3-ZO3, "")</f>
        <v>-1.0000000000000064E-2</v>
      </c>
      <c r="ZS3" s="19">
        <v>1</v>
      </c>
      <c r="ZT3" s="8" t="s">
        <v>40</v>
      </c>
      <c r="ZU3" s="19">
        <v>0.2</v>
      </c>
      <c r="ZV3" s="8" t="s">
        <v>40</v>
      </c>
      <c r="ZW3" s="7">
        <f>IF(OR(ISNUMBER(ZS3), ISNUMBER(ZU3)), IF(ISNUMBER(ZS3), ZS3, 0) + IF(ISNUMBER(ZU3), ZU3, 0), "")</f>
        <v>1.2</v>
      </c>
      <c r="ZX3" s="4"/>
      <c r="ZY3" s="11">
        <f t="shared" ref="ZY3:ZY4" si="140">IF(ISNUMBER(ZW3), (ZM3+ZN3)-ZW3, "")</f>
        <v>0.30000000000000004</v>
      </c>
      <c r="ZZ3" s="7">
        <v>0.19</v>
      </c>
      <c r="AAA3" s="11">
        <f t="shared" ref="AAA3:AAA4" si="141">IF(ISNUMBER(ZZ3), ZZ3-ZY3, "")</f>
        <v>-0.11000000000000004</v>
      </c>
      <c r="AAC3" s="19">
        <v>1</v>
      </c>
      <c r="AAD3" s="8" t="s">
        <v>40</v>
      </c>
      <c r="AAE3" s="19">
        <v>0.1</v>
      </c>
      <c r="AAF3" s="8" t="s">
        <v>40</v>
      </c>
      <c r="AAG3" s="7">
        <f>IF(OR(ISNUMBER(AAC3), ISNUMBER(AAE3)), IF(ISNUMBER(AAC3), AAC3, 0) + IF(ISNUMBER(AAE3), AAE3, 0), "")</f>
        <v>1.1000000000000001</v>
      </c>
      <c r="AAH3" s="4"/>
      <c r="AAI3" s="11">
        <f t="shared" ref="AAI3:AAI4" si="142">IF(ISNUMBER(AAG3), (ZW3+ZX3)-AAG3, "")</f>
        <v>9.9999999999999867E-2</v>
      </c>
      <c r="AAJ3" s="7">
        <v>0.03</v>
      </c>
      <c r="AAK3" s="11">
        <f t="shared" ref="AAK3:AAK4" si="143">IF(ISNUMBER(AAJ3), AAJ3-AAI3, "")</f>
        <v>-6.9999999999999868E-2</v>
      </c>
      <c r="AAM3" s="19">
        <v>0</v>
      </c>
      <c r="AAN3" s="8" t="s">
        <v>40</v>
      </c>
      <c r="AAO3" s="19">
        <v>0.7</v>
      </c>
      <c r="AAP3" s="8" t="s">
        <v>40</v>
      </c>
      <c r="AAQ3" s="7">
        <f>IF(OR(ISNUMBER(AAM3), ISNUMBER(AAO3)), IF(ISNUMBER(AAM3), AAM3, 0) + IF(ISNUMBER(AAO3), AAO3, 0), "")</f>
        <v>0.7</v>
      </c>
      <c r="AAR3" s="4">
        <v>1</v>
      </c>
      <c r="AAS3" s="11">
        <f t="shared" ref="AAS3:AAS4" si="144">IF(ISNUMBER(AAQ3), (AAG3+AAH3)-AAQ3, "")</f>
        <v>0.40000000000000013</v>
      </c>
      <c r="AAT3" s="7">
        <v>0.43</v>
      </c>
      <c r="AAU3" s="11">
        <f t="shared" ref="AAU3:AAU4" si="145">IF(ISNUMBER(AAT3), AAT3-AAS3, "")</f>
        <v>2.999999999999986E-2</v>
      </c>
      <c r="AAW3" s="19">
        <v>1</v>
      </c>
      <c r="AAX3" s="8" t="s">
        <v>40</v>
      </c>
      <c r="AAY3" s="19">
        <v>0.3</v>
      </c>
      <c r="AAZ3" s="8" t="s">
        <v>40</v>
      </c>
      <c r="ABA3" s="7">
        <f>IF(OR(ISNUMBER(AAW3), ISNUMBER(AAY3)), IF(ISNUMBER(AAW3), AAW3, 0) + IF(ISNUMBER(AAY3), AAY3, 0), "")</f>
        <v>1.3</v>
      </c>
      <c r="ABB3" s="4"/>
      <c r="ABC3" s="11">
        <f t="shared" ref="ABC3:ABC4" si="146">IF(ISNUMBER(ABA3), (AAQ3+AAR3)-ABA3, "")</f>
        <v>0.39999999999999991</v>
      </c>
      <c r="ABD3" s="7">
        <v>0.19</v>
      </c>
      <c r="ABE3" s="11">
        <f t="shared" ref="ABE3:ABE4" si="147">IF(ISNUMBER(ABD3), ABD3-ABC3, "")</f>
        <v>-0.20999999999999991</v>
      </c>
      <c r="ABG3" s="2">
        <v>1</v>
      </c>
      <c r="ABH3" s="8" t="s">
        <v>40</v>
      </c>
      <c r="ABI3" s="2">
        <v>0.3</v>
      </c>
      <c r="ABJ3" s="8" t="s">
        <v>40</v>
      </c>
      <c r="ABK3" s="7">
        <f>IF(OR(ISNUMBER(ABG3), ISNUMBER(ABI3)), IF(ISNUMBER(ABG3), ABG3, 0) + IF(ISNUMBER(ABI3), ABI3, 0), "")</f>
        <v>1.3</v>
      </c>
      <c r="ABL3" s="4"/>
      <c r="ABM3" s="11">
        <f t="shared" ref="ABM3:ABM4" si="148">IF(ISNUMBER(ABK3), (ABA3+ABB3)-ABK3, "")</f>
        <v>0</v>
      </c>
      <c r="ABN3" s="7">
        <v>0.28999999999999998</v>
      </c>
      <c r="ABO3" s="11">
        <f t="shared" ref="ABO3:ABO4" si="149">IF(ISNUMBER(ABN3), ABN3-ABM3, "")</f>
        <v>0.28999999999999998</v>
      </c>
      <c r="ABQ3" s="19">
        <v>1</v>
      </c>
      <c r="ABR3" s="8" t="s">
        <v>40</v>
      </c>
      <c r="ABS3" s="19">
        <v>0.1</v>
      </c>
      <c r="ABT3" s="8" t="s">
        <v>40</v>
      </c>
      <c r="ABU3" s="7">
        <f>IF(OR(ISNUMBER(ABQ3), ISNUMBER(ABS3)), IF(ISNUMBER(ABQ3), ABQ3, 0) + IF(ISNUMBER(ABS3), ABS3, 0), "")</f>
        <v>1.1000000000000001</v>
      </c>
      <c r="ABV3" s="4"/>
      <c r="ABW3" s="11">
        <f t="shared" ref="ABW3:ABW4" si="150">IF(ISNUMBER(ABU3), (ABK3+ABL3)-ABU3, "")</f>
        <v>0.19999999999999996</v>
      </c>
      <c r="ABX3" s="7">
        <v>0.21</v>
      </c>
      <c r="ABY3" s="11">
        <f t="shared" ref="ABY3:ABY4" si="151">IF(ISNUMBER(ABX3), ABX3-ABW3, "")</f>
        <v>1.0000000000000037E-2</v>
      </c>
      <c r="ACA3" s="19">
        <v>0</v>
      </c>
      <c r="ACB3" s="8" t="s">
        <v>40</v>
      </c>
      <c r="ACC3" s="19">
        <v>1</v>
      </c>
      <c r="ACD3" s="8" t="s">
        <v>40</v>
      </c>
      <c r="ACE3" s="7">
        <f>IF(OR(ISNUMBER(ACA3), ISNUMBER(ACC3)), IF(ISNUMBER(ACA3), ACA3, 0) + IF(ISNUMBER(ACC3), ACC3, 0), "")</f>
        <v>1</v>
      </c>
      <c r="ACF3" s="4"/>
      <c r="ACG3" s="11">
        <f t="shared" ref="ACG3:ACG4" si="152">IF(ISNUMBER(ACE3), (ABU3+ABV3)-ACE3, "")</f>
        <v>0.10000000000000009</v>
      </c>
      <c r="ACH3" s="7">
        <v>0.24</v>
      </c>
      <c r="ACI3" s="11">
        <f t="shared" ref="ACI3:ACI4" si="153">IF(ISNUMBER(ACH3), ACH3-ACG3, "")</f>
        <v>0.1399999999999999</v>
      </c>
      <c r="ACK3" s="19">
        <v>0</v>
      </c>
      <c r="ACL3" s="8" t="s">
        <v>40</v>
      </c>
      <c r="ACM3" s="19">
        <v>0.9</v>
      </c>
      <c r="ACN3" s="8" t="s">
        <v>40</v>
      </c>
      <c r="ACO3" s="7">
        <f>IF(OR(ISNUMBER(ACK3), ISNUMBER(ACM3)), IF(ISNUMBER(ACK3), ACK3, 0) + IF(ISNUMBER(ACM3), ACM3, 0), "")</f>
        <v>0.9</v>
      </c>
      <c r="ACP3" s="4"/>
      <c r="ACQ3" s="11">
        <f t="shared" ref="ACQ3:ACQ4" si="154">IF(ISNUMBER(ACO3), (ACE3+ACF3)-ACO3, "")</f>
        <v>9.9999999999999978E-2</v>
      </c>
      <c r="ACR3" s="7">
        <v>0.35</v>
      </c>
      <c r="ACS3" s="11">
        <f t="shared" ref="ACS3:ACS4" si="155">IF(ISNUMBER(ACR3), ACR3-ACQ3, "")</f>
        <v>0.25</v>
      </c>
      <c r="ACU3" s="19">
        <v>0</v>
      </c>
      <c r="ACV3" s="8" t="s">
        <v>40</v>
      </c>
      <c r="ACW3" s="19">
        <v>0.8</v>
      </c>
      <c r="ACX3" s="8" t="s">
        <v>40</v>
      </c>
      <c r="ACY3" s="7">
        <f>IF(OR(ISNUMBER(ACU3), ISNUMBER(ACW3)), IF(ISNUMBER(ACU3), ACU3, 0) + IF(ISNUMBER(ACW3), ACW3, 0), "")</f>
        <v>0.8</v>
      </c>
      <c r="ACZ3" s="4"/>
      <c r="ADA3" s="11">
        <f t="shared" ref="ADA3:ADA4" si="156">IF(ISNUMBER(ACY3), (ACO3+ACP3)-ACY3, "")</f>
        <v>9.9999999999999978E-2</v>
      </c>
      <c r="ADB3" s="7">
        <v>0.13</v>
      </c>
      <c r="ADC3" s="11">
        <f t="shared" ref="ADC3:ADC4" si="157">IF(ISNUMBER(ADB3), ADB3-ADA3, "")</f>
        <v>3.0000000000000027E-2</v>
      </c>
      <c r="ADE3" s="19">
        <v>0</v>
      </c>
      <c r="ADF3" s="8" t="s">
        <v>40</v>
      </c>
      <c r="ADG3" s="19">
        <v>0.2</v>
      </c>
      <c r="ADH3" s="8" t="s">
        <v>40</v>
      </c>
      <c r="ADI3" s="7">
        <f>IF(OR(ISNUMBER(ADE3), ISNUMBER(ADG3)), IF(ISNUMBER(ADE3), ADE3, 0) + IF(ISNUMBER(ADG3), ADG3, 0), "")</f>
        <v>0.2</v>
      </c>
      <c r="ADJ3" s="4">
        <v>2</v>
      </c>
      <c r="ADK3" s="11">
        <f t="shared" ref="ADK3:ADK4" si="158">IF(ISNUMBER(ADI3), (ACY3+ACZ3)-ADI3, "")</f>
        <v>0.60000000000000009</v>
      </c>
      <c r="ADL3" s="7">
        <v>0.32</v>
      </c>
      <c r="ADM3" s="11">
        <f t="shared" ref="ADM3:ADM4" si="159">IF(ISNUMBER(ADL3), ADL3-ADK3, "")</f>
        <v>-0.28000000000000008</v>
      </c>
      <c r="ADO3" s="19">
        <v>2</v>
      </c>
      <c r="ADP3" s="8" t="s">
        <v>40</v>
      </c>
      <c r="ADQ3" s="19">
        <v>0.1</v>
      </c>
      <c r="ADR3" s="8" t="s">
        <v>40</v>
      </c>
      <c r="ADS3" s="7">
        <f>IF(OR(ISNUMBER(ADO3), ISNUMBER(ADQ3)), IF(ISNUMBER(ADO3), ADO3, 0) + IF(ISNUMBER(ADQ3), ADQ3, 0), "")</f>
        <v>2.1</v>
      </c>
      <c r="ADT3" s="4"/>
      <c r="ADU3" s="11">
        <f t="shared" ref="ADU3:ADU4" si="160">IF(ISNUMBER(ADS3), (ADI3+ADJ3)-ADS3, "")</f>
        <v>0.10000000000000009</v>
      </c>
      <c r="ADV3" s="7">
        <v>0.11</v>
      </c>
      <c r="ADW3" s="11">
        <f t="shared" ref="ADW3:ADW4" si="161">IF(ISNUMBER(ADV3), ADV3-ADU3, "")</f>
        <v>9.9999999999999117E-3</v>
      </c>
      <c r="ADY3" s="19">
        <v>1</v>
      </c>
      <c r="ADZ3" s="8" t="s">
        <v>40</v>
      </c>
      <c r="AEA3" s="19">
        <v>1</v>
      </c>
      <c r="AEB3" s="8" t="s">
        <v>40</v>
      </c>
      <c r="AEC3" s="7">
        <f>IF(OR(ISNUMBER(ADY3), ISNUMBER(AEA3)), IF(ISNUMBER(ADY3), ADY3, 0) + IF(ISNUMBER(AEA3), AEA3, 0), "")</f>
        <v>2</v>
      </c>
      <c r="AED3" s="4"/>
      <c r="AEE3" s="11">
        <f t="shared" ref="AEE3:AEE4" si="162">IF(ISNUMBER(AEC3), (ADS3+ADT3)-AEC3, "")</f>
        <v>0.10000000000000009</v>
      </c>
      <c r="AEF3" s="7">
        <v>0.13</v>
      </c>
      <c r="AEG3" s="11">
        <f t="shared" ref="AEG3:AEG4" si="163">IF(ISNUMBER(AEF3), AEF3-AEE3, "")</f>
        <v>2.9999999999999916E-2</v>
      </c>
      <c r="AEI3" s="19">
        <v>1</v>
      </c>
      <c r="AEJ3" s="8" t="s">
        <v>40</v>
      </c>
      <c r="AEK3" s="19">
        <v>0.7</v>
      </c>
      <c r="AEL3" s="8" t="s">
        <v>40</v>
      </c>
      <c r="AEM3" s="7">
        <f>IF(OR(ISNUMBER(AEI3), ISNUMBER(AEK3)), IF(ISNUMBER(AEI3), AEI3, 0) + IF(ISNUMBER(AEK3), AEK3, 0), "")</f>
        <v>1.7</v>
      </c>
      <c r="AEN3" s="4"/>
      <c r="AEO3" s="11">
        <f t="shared" ref="AEO3:AEO4" si="164">IF(ISNUMBER(AEM3), (AEC3+AED3)-AEM3, "")</f>
        <v>0.30000000000000004</v>
      </c>
      <c r="AEP3" s="7">
        <v>0.27</v>
      </c>
      <c r="AEQ3" s="11">
        <f t="shared" ref="AEQ3:AEQ4" si="165">IF(ISNUMBER(AEP3), AEP3-AEO3, "")</f>
        <v>-3.0000000000000027E-2</v>
      </c>
      <c r="AES3" s="19">
        <v>1</v>
      </c>
      <c r="AET3" s="8" t="s">
        <v>40</v>
      </c>
      <c r="AEU3" s="19">
        <v>0.5</v>
      </c>
      <c r="AEV3" s="8" t="s">
        <v>40</v>
      </c>
      <c r="AEW3" s="7">
        <f>IF(OR(ISNUMBER(AES3), ISNUMBER(AEU3)), IF(ISNUMBER(AES3), AES3, 0) + IF(ISNUMBER(AEU3), AEU3, 0), "")</f>
        <v>1.5</v>
      </c>
      <c r="AEX3" s="4"/>
      <c r="AEY3" s="11">
        <f t="shared" ref="AEY3:AEY4" si="166">IF(ISNUMBER(AEW3), (AEM3+AEN3)-AEW3, "")</f>
        <v>0.19999999999999996</v>
      </c>
      <c r="AEZ3" s="7">
        <v>0.24</v>
      </c>
      <c r="AFA3" s="11">
        <f t="shared" ref="AFA3:AFA4" si="167">IF(ISNUMBER(AEZ3), AEZ3-AEY3, "")</f>
        <v>4.0000000000000036E-2</v>
      </c>
      <c r="AFC3" s="19">
        <v>1</v>
      </c>
      <c r="AFD3" s="8" t="s">
        <v>40</v>
      </c>
      <c r="AFE3" s="19">
        <v>0.3</v>
      </c>
      <c r="AFF3" s="8" t="s">
        <v>40</v>
      </c>
      <c r="AFG3" s="7">
        <f>IF(OR(ISNUMBER(AFC3), ISNUMBER(AFE3)), IF(ISNUMBER(AFC3), AFC3, 0) + IF(ISNUMBER(AFE3), AFE3, 0), "")</f>
        <v>1.3</v>
      </c>
      <c r="AFH3" s="4"/>
      <c r="AFI3" s="11">
        <f t="shared" ref="AFI3:AFI4" si="168">IF(ISNUMBER(AFG3), (AEW3+AEX3)-AFG3, "")</f>
        <v>0.19999999999999996</v>
      </c>
      <c r="AFJ3" s="7">
        <v>0.19</v>
      </c>
      <c r="AFK3" s="11">
        <f t="shared" ref="AFK3:AFK4" si="169">IF(ISNUMBER(AFJ3), AFJ3-AFI3, "")</f>
        <v>-9.9999999999999534E-3</v>
      </c>
      <c r="AFM3" s="19">
        <v>0</v>
      </c>
      <c r="AFN3" s="8" t="s">
        <v>40</v>
      </c>
      <c r="AFO3" s="19">
        <v>0.9</v>
      </c>
      <c r="AFP3" s="8" t="s">
        <v>40</v>
      </c>
      <c r="AFQ3" s="7">
        <f>IF(OR(ISNUMBER(AFM3), ISNUMBER(AFO3)), IF(ISNUMBER(AFM3), AFM3, 0) + IF(ISNUMBER(AFO3), AFO3, 0), "")</f>
        <v>0.9</v>
      </c>
      <c r="AFR3" s="4"/>
      <c r="AFS3" s="11">
        <f t="shared" ref="AFS3:AFS4" si="170">IF(ISNUMBER(AFQ3), (AFG3+AFH3)-AFQ3, "")</f>
        <v>0.4</v>
      </c>
      <c r="AFT3" s="7">
        <v>0.4</v>
      </c>
      <c r="AFU3" s="11">
        <f t="shared" ref="AFU3:AFU4" si="171">IF(ISNUMBER(AFT3), AFT3-AFS3, "")</f>
        <v>0</v>
      </c>
      <c r="AFW3" s="19">
        <v>0</v>
      </c>
      <c r="AFX3" s="8" t="s">
        <v>40</v>
      </c>
      <c r="AFY3" s="19">
        <v>0.8</v>
      </c>
      <c r="AFZ3" s="8" t="s">
        <v>40</v>
      </c>
      <c r="AGA3" s="7">
        <f>IF(OR(ISNUMBER(AFW3), ISNUMBER(AFY3)), IF(ISNUMBER(AFW3), AFW3, 0) + IF(ISNUMBER(AFY3), AFY3, 0), "")</f>
        <v>0.8</v>
      </c>
      <c r="AGB3" s="4"/>
      <c r="AGC3" s="11">
        <f t="shared" ref="AGC3:AGC4" si="172">IF(ISNUMBER(AGA3), (AFQ3+AFR3)-AGA3, "")</f>
        <v>9.9999999999999978E-2</v>
      </c>
      <c r="AGD3" s="7">
        <v>0.28999999999999998</v>
      </c>
      <c r="AGE3" s="11">
        <f t="shared" ref="AGE3:AGE4" si="173">IF(ISNUMBER(AGD3), AGD3-AGC3, "")</f>
        <v>0.19</v>
      </c>
      <c r="AGG3" s="19">
        <v>0</v>
      </c>
      <c r="AGH3" s="8" t="s">
        <v>40</v>
      </c>
      <c r="AGI3" s="19">
        <v>0.2</v>
      </c>
      <c r="AGJ3" s="8" t="s">
        <v>40</v>
      </c>
      <c r="AGK3" s="7">
        <f>IF(OR(ISNUMBER(AGG3), ISNUMBER(AGI3)), IF(ISNUMBER(AGG3), AGG3, 0) + IF(ISNUMBER(AGI3), AGI3, 0), "")</f>
        <v>0.2</v>
      </c>
      <c r="AGL3" s="4">
        <v>2</v>
      </c>
      <c r="AGM3" s="11">
        <f t="shared" ref="AGM3:AGM4" si="174">IF(ISNUMBER(AGK3), (AGA3+AGB3)-AGK3, "")</f>
        <v>0.60000000000000009</v>
      </c>
      <c r="AGN3" s="7">
        <v>0.53</v>
      </c>
      <c r="AGO3" s="11">
        <f t="shared" ref="AGO3:AGO4" si="175">IF(ISNUMBER(AGN3), AGN3-AGM3, "")</f>
        <v>-7.0000000000000062E-2</v>
      </c>
      <c r="AGQ3" s="2">
        <v>1</v>
      </c>
      <c r="AGR3" s="8" t="s">
        <v>40</v>
      </c>
      <c r="AGS3" s="2">
        <v>0.8</v>
      </c>
      <c r="AGT3" s="8" t="s">
        <v>40</v>
      </c>
      <c r="AGU3" s="7">
        <f>IF(OR(ISNUMBER(AGQ3), ISNUMBER(AGS3)), IF(ISNUMBER(AGQ3), AGQ3, 0) + IF(ISNUMBER(AGS3), AGS3, 0), "")</f>
        <v>1.8</v>
      </c>
      <c r="AGV3" s="4"/>
      <c r="AGW3" s="11">
        <f t="shared" ref="AGW3:AGW4" si="176">IF(ISNUMBER(AGU3), (AGK3+AGL3)-AGU3, "")</f>
        <v>0.40000000000000013</v>
      </c>
      <c r="AGX3" s="7">
        <v>0.37</v>
      </c>
      <c r="AGY3" s="11">
        <f t="shared" ref="AGY3:AGY4" si="177">IF(ISNUMBER(AGX3), AGX3-AGW3, "")</f>
        <v>-3.0000000000000138E-2</v>
      </c>
      <c r="AHA3" s="2">
        <v>1</v>
      </c>
      <c r="AHB3" s="8" t="s">
        <v>40</v>
      </c>
      <c r="AHC3" s="2">
        <v>0.7</v>
      </c>
      <c r="AHD3" s="8" t="s">
        <v>40</v>
      </c>
      <c r="AHE3" s="7">
        <f>IF(OR(ISNUMBER(AHA3), ISNUMBER(AHC3)), IF(ISNUMBER(AHA3), AHA3, 0) + IF(ISNUMBER(AHC3), AHC3, 0), "")</f>
        <v>1.7</v>
      </c>
      <c r="AHF3" s="4"/>
      <c r="AHG3" s="11">
        <f t="shared" ref="AHG3:AHG4" si="178">IF(ISNUMBER(AHE3), (AGU3+AGV3)-AHE3, "")</f>
        <v>0.10000000000000009</v>
      </c>
      <c r="AHH3" s="7">
        <v>0.37</v>
      </c>
      <c r="AHI3" s="11">
        <f t="shared" ref="AHI3:AHI4" si="179">IF(ISNUMBER(AHH3), AHH3-AHG3, "")</f>
        <v>0.26999999999999991</v>
      </c>
      <c r="AHK3" s="19">
        <v>1</v>
      </c>
      <c r="AHL3" s="8" t="s">
        <v>40</v>
      </c>
      <c r="AHM3" s="19">
        <v>0.1</v>
      </c>
      <c r="AHN3" s="8" t="s">
        <v>40</v>
      </c>
      <c r="AHO3" s="7">
        <f>IF(OR(ISNUMBER(AHK3), ISNUMBER(AHM3)), IF(ISNUMBER(AHK3), AHK3, 0) + IF(ISNUMBER(AHM3), AHM3, 0), "")</f>
        <v>1.1000000000000001</v>
      </c>
      <c r="AHP3" s="4"/>
      <c r="AHQ3" s="11">
        <f t="shared" ref="AHQ3:AHQ4" si="180">IF(ISNUMBER(AHO3), (AHE3+AHF3)-AHO3, "")</f>
        <v>0.59999999999999987</v>
      </c>
      <c r="AHR3" s="7">
        <v>0.16</v>
      </c>
      <c r="AHS3" s="11">
        <f t="shared" ref="AHS3:AHS4" si="181">IF(ISNUMBER(AHR3), AHR3-AHQ3, "")</f>
        <v>-0.43999999999999984</v>
      </c>
      <c r="AHU3" s="19"/>
      <c r="AHV3" s="8" t="s">
        <v>40</v>
      </c>
      <c r="AHW3" s="19">
        <v>0.9</v>
      </c>
      <c r="AHX3" s="8" t="s">
        <v>40</v>
      </c>
      <c r="AHY3" s="7">
        <f>IF(OR(ISNUMBER(AHU3), ISNUMBER(AHW3)), IF(ISNUMBER(AHU3), AHU3, 0) + IF(ISNUMBER(AHW3), AHW3, 0), "")</f>
        <v>0.9</v>
      </c>
      <c r="AHZ3" s="4">
        <v>1</v>
      </c>
      <c r="AIA3" s="11">
        <f t="shared" ref="AIA3:AIA4" si="182">IF(ISNUMBER(AHY3), (AHO3+AHP3)-AHY3, "")</f>
        <v>0.20000000000000007</v>
      </c>
      <c r="AIB3" s="7">
        <v>0.24</v>
      </c>
      <c r="AIC3" s="11">
        <f t="shared" ref="AIC3:AIC4" si="183">IF(ISNUMBER(AIB3), AIB3-AIA3, "")</f>
        <v>3.9999999999999925E-2</v>
      </c>
      <c r="AIE3" s="2">
        <v>1</v>
      </c>
      <c r="AIF3" s="8" t="s">
        <v>40</v>
      </c>
      <c r="AIG3" s="2">
        <v>0.2</v>
      </c>
      <c r="AIH3" s="8" t="s">
        <v>40</v>
      </c>
      <c r="AII3" s="7">
        <f>IF(OR(ISNUMBER(AIE3), ISNUMBER(AIG3)), IF(ISNUMBER(AIE3), AIE3, 0) + IF(ISNUMBER(AIG3), AIG3, 0), "")</f>
        <v>1.2</v>
      </c>
      <c r="AIJ3" s="4"/>
      <c r="AIK3" s="11">
        <f t="shared" ref="AIK3:AIK4" si="184">IF(ISNUMBER(AII3), (AHY3+AHZ3)-AII3, "")</f>
        <v>0.7</v>
      </c>
      <c r="AIL3" s="7">
        <v>0.72</v>
      </c>
      <c r="AIM3" s="11">
        <f t="shared" ref="AIM3:AIM4" si="185">IF(ISNUMBER(AIL3), AIL3-AIK3, "")</f>
        <v>2.0000000000000018E-2</v>
      </c>
      <c r="AIO3" s="19">
        <v>0</v>
      </c>
      <c r="AIP3" s="8" t="s">
        <v>40</v>
      </c>
      <c r="AIQ3" s="19">
        <v>0.9</v>
      </c>
      <c r="AIR3" s="8" t="s">
        <v>40</v>
      </c>
      <c r="AIS3" s="7">
        <f>IF(OR(ISNUMBER(AIO3), ISNUMBER(AIQ3)), IF(ISNUMBER(AIO3), AIO3, 0) + IF(ISNUMBER(AIQ3), AIQ3, 0), "")</f>
        <v>0.9</v>
      </c>
      <c r="AIT3" s="4"/>
      <c r="AIU3" s="11">
        <f t="shared" ref="AIU3:AIU4" si="186">IF(ISNUMBER(AIS3), (AII3+AIJ3)-AIS3, "")</f>
        <v>0.29999999999999993</v>
      </c>
      <c r="AIV3" s="7">
        <v>0.28999999999999998</v>
      </c>
      <c r="AIW3" s="11">
        <f t="shared" ref="AIW3:AIW4" si="187">IF(ISNUMBER(AIV3), AIV3-AIU3, "")</f>
        <v>-9.9999999999999534E-3</v>
      </c>
      <c r="AIY3" s="19">
        <v>0</v>
      </c>
      <c r="AIZ3" s="8" t="s">
        <v>40</v>
      </c>
      <c r="AJA3" s="19">
        <v>0.8</v>
      </c>
      <c r="AJB3" s="8" t="s">
        <v>40</v>
      </c>
      <c r="AJC3" s="7">
        <f>IF(OR(ISNUMBER(AIY3), ISNUMBER(AJA3)), IF(ISNUMBER(AIY3), AIY3, 0) + IF(ISNUMBER(AJA3), AJA3, 0), "")</f>
        <v>0.8</v>
      </c>
      <c r="AJD3" s="4"/>
      <c r="AJE3" s="11">
        <f t="shared" ref="AJE3:AJE4" si="188">IF(ISNUMBER(AJC3), (AIS3+AIT3)-AJC3, "")</f>
        <v>9.9999999999999978E-2</v>
      </c>
      <c r="AJF3" s="7">
        <v>0.43</v>
      </c>
      <c r="AJG3" s="11">
        <f t="shared" ref="AJG3:AJG4" si="189">IF(ISNUMBER(AJF3), AJF3-AJE3, "")</f>
        <v>0.33</v>
      </c>
      <c r="AJI3" s="2">
        <v>0</v>
      </c>
      <c r="AJJ3" s="8" t="s">
        <v>40</v>
      </c>
      <c r="AJK3" s="2">
        <v>0.2</v>
      </c>
      <c r="AJL3" s="8" t="s">
        <v>40</v>
      </c>
      <c r="AJM3" s="7">
        <f>IF(OR(ISNUMBER(AJI3), ISNUMBER(AJK3)), IF(ISNUMBER(AJI3), AJI3, 0) + IF(ISNUMBER(AJK3), AJK3, 0), "")</f>
        <v>0.2</v>
      </c>
      <c r="AJN3" s="4">
        <v>2</v>
      </c>
      <c r="AJO3" s="11">
        <f t="shared" ref="AJO3:AJO4" si="190">IF(ISNUMBER(AJM3), (AJC3+AJD3)-AJM3, "")</f>
        <v>0.60000000000000009</v>
      </c>
      <c r="AJP3" s="7">
        <v>0.53</v>
      </c>
      <c r="AJQ3" s="11">
        <f t="shared" ref="AJQ3:AJQ4" si="191">IF(ISNUMBER(AJP3), AJP3-AJO3, "")</f>
        <v>-7.0000000000000062E-2</v>
      </c>
      <c r="AJS3" s="19">
        <v>1</v>
      </c>
      <c r="AJT3" s="8" t="s">
        <v>40</v>
      </c>
      <c r="AJU3" s="19">
        <v>0.7</v>
      </c>
      <c r="AJV3" s="8" t="s">
        <v>40</v>
      </c>
      <c r="AJW3" s="7">
        <f>IF(OR(ISNUMBER(AJS3), ISNUMBER(AJU3)), IF(ISNUMBER(AJS3), AJS3, 0) + IF(ISNUMBER(AJU3), AJU3, 0), "")</f>
        <v>1.7</v>
      </c>
      <c r="AJX3" s="4"/>
      <c r="AJY3" s="11">
        <f t="shared" ref="AJY3:AJY4" si="192">IF(ISNUMBER(AJW3), (AJM3+AJN3)-AJW3, "")</f>
        <v>0.50000000000000022</v>
      </c>
      <c r="AJZ3" s="7">
        <v>0.48</v>
      </c>
      <c r="AKA3" s="11">
        <f t="shared" ref="AKA3:AKA4" si="193">IF(ISNUMBER(AJZ3), AJZ3-AJY3, "")</f>
        <v>-2.000000000000024E-2</v>
      </c>
      <c r="AKC3" s="2">
        <v>1</v>
      </c>
      <c r="AKD3" s="8" t="s">
        <v>40</v>
      </c>
      <c r="AKE3" s="2">
        <v>0.5</v>
      </c>
      <c r="AKF3" s="8" t="s">
        <v>40</v>
      </c>
      <c r="AKG3" s="7">
        <f>IF(OR(ISNUMBER(AKC3), ISNUMBER(AKE3)), IF(ISNUMBER(AKC3), AKC3, 0) + IF(ISNUMBER(AKE3), AKE3, 0), "")</f>
        <v>1.5</v>
      </c>
      <c r="AKH3" s="4"/>
      <c r="AKI3" s="11">
        <f t="shared" ref="AKI3:AKI4" si="194">IF(ISNUMBER(AKG3), (AJW3+AJX3)-AKG3, "")</f>
        <v>0.19999999999999996</v>
      </c>
      <c r="AKJ3" s="7">
        <v>0.35</v>
      </c>
      <c r="AKK3" s="11">
        <f t="shared" ref="AKK3:AKK4" si="195">IF(ISNUMBER(AKJ3), AKJ3-AKI3, "")</f>
        <v>0.15000000000000002</v>
      </c>
      <c r="AKM3" s="19">
        <v>1</v>
      </c>
      <c r="AKN3" s="8" t="s">
        <v>40</v>
      </c>
      <c r="AKO3" s="19">
        <v>0.2</v>
      </c>
      <c r="AKP3" s="8" t="s">
        <v>40</v>
      </c>
      <c r="AKQ3" s="7">
        <f>IF(OR(ISNUMBER(AKM3), ISNUMBER(AKO3)), IF(ISNUMBER(AKM3), AKM3, 0) + IF(ISNUMBER(AKO3), AKO3, 0), "")</f>
        <v>1.2</v>
      </c>
      <c r="AKR3" s="4"/>
      <c r="AKS3" s="11">
        <f t="shared" ref="AKS3:AKS4" si="196">IF(ISNUMBER(AKQ3), (AKG3+AKH3)-AKQ3, "")</f>
        <v>0.30000000000000004</v>
      </c>
      <c r="AKT3" s="7">
        <v>0.28999999999999998</v>
      </c>
      <c r="AKU3" s="11">
        <f t="shared" ref="AKU3:AKU4" si="197">IF(ISNUMBER(AKT3), AKT3-AKS3, "")</f>
        <v>-1.0000000000000064E-2</v>
      </c>
      <c r="AKW3" s="19">
        <v>0</v>
      </c>
      <c r="AKX3" s="8" t="s">
        <v>40</v>
      </c>
      <c r="AKY3" s="19">
        <v>0.9</v>
      </c>
      <c r="AKZ3" s="8" t="s">
        <v>40</v>
      </c>
      <c r="ALA3" s="7">
        <f>IF(OR(ISNUMBER(AKW3), ISNUMBER(AKY3)), IF(ISNUMBER(AKW3), AKW3, 0) + IF(ISNUMBER(AKY3), AKY3, 0), "")</f>
        <v>0.9</v>
      </c>
      <c r="ALB3" s="4"/>
      <c r="ALC3" s="11">
        <f t="shared" ref="ALC3:ALC4" si="198">IF(ISNUMBER(ALA3), (AKQ3+AKR3)-ALA3, "")</f>
        <v>0.29999999999999993</v>
      </c>
      <c r="ALD3" s="7">
        <v>0.32</v>
      </c>
      <c r="ALE3" s="11">
        <f t="shared" ref="ALE3:ALE4" si="199">IF(ISNUMBER(ALD3), ALD3-ALC3, "")</f>
        <v>2.0000000000000073E-2</v>
      </c>
      <c r="ALG3" s="2">
        <v>0</v>
      </c>
      <c r="ALH3" s="8" t="s">
        <v>40</v>
      </c>
      <c r="ALI3" s="2">
        <v>0.1</v>
      </c>
      <c r="ALJ3" s="8" t="s">
        <v>40</v>
      </c>
      <c r="ALK3" s="7">
        <f>IF(OR(ISNUMBER(ALG3), ISNUMBER(ALI3)), IF(ISNUMBER(ALG3), ALG3, 0) + IF(ISNUMBER(ALI3), ALI3, 0), "")</f>
        <v>0.1</v>
      </c>
      <c r="ALL3" s="4">
        <v>2</v>
      </c>
      <c r="ALM3" s="11">
        <f t="shared" ref="ALM3:ALM4" si="200">IF(ISNUMBER(ALK3), (ALA3+ALB3)-ALK3, "")</f>
        <v>0.8</v>
      </c>
      <c r="ALN3" s="7">
        <v>0.61</v>
      </c>
      <c r="ALO3" s="11">
        <f t="shared" ref="ALO3:ALO4" si="201">IF(ISNUMBER(ALN3), ALN3-ALM3, "")</f>
        <v>-0.19000000000000006</v>
      </c>
      <c r="ALQ3" s="2">
        <v>1</v>
      </c>
      <c r="ALR3" s="8" t="s">
        <v>40</v>
      </c>
      <c r="ALS3" s="2">
        <v>0.7</v>
      </c>
      <c r="ALT3" s="8" t="s">
        <v>40</v>
      </c>
      <c r="ALU3" s="7">
        <f>IF(OR(ISNUMBER(ALQ3), ISNUMBER(ALS3)), IF(ISNUMBER(ALQ3), ALQ3, 0) + IF(ISNUMBER(ALS3), ALS3, 0), "")</f>
        <v>1.7</v>
      </c>
      <c r="ALV3" s="4"/>
      <c r="ALW3" s="11">
        <f t="shared" ref="ALW3:ALW4" si="202">IF(ISNUMBER(ALU3), (ALK3+ALL3)-ALU3, "")</f>
        <v>0.40000000000000013</v>
      </c>
      <c r="ALX3" s="7">
        <v>0.37</v>
      </c>
      <c r="ALY3" s="11">
        <f t="shared" ref="ALY3:ALY4" si="203">IF(ISNUMBER(ALX3), ALX3-ALW3, "")</f>
        <v>-3.0000000000000138E-2</v>
      </c>
      <c r="AMA3" s="19">
        <v>1</v>
      </c>
      <c r="AMB3" s="8" t="s">
        <v>40</v>
      </c>
      <c r="AMC3" s="19">
        <v>0.5</v>
      </c>
      <c r="AMD3" s="8" t="s">
        <v>40</v>
      </c>
      <c r="AME3" s="7">
        <f>IF(OR(ISNUMBER(AMA3), ISNUMBER(AMC3)), IF(ISNUMBER(AMA3), AMA3, 0) + IF(ISNUMBER(AMC3), AMC3, 0), "")</f>
        <v>1.5</v>
      </c>
      <c r="AMF3" s="4"/>
      <c r="AMG3" s="11">
        <f t="shared" ref="AMG3:AMG4" si="204">IF(ISNUMBER(AME3), (ALU3+ALV3)-AME3, "")</f>
        <v>0.19999999999999996</v>
      </c>
      <c r="AMH3" s="7">
        <v>0.28999999999999998</v>
      </c>
      <c r="AMI3" s="11">
        <f t="shared" ref="AMI3:AMI4" si="205">IF(ISNUMBER(AMH3), AMH3-AMG3, "")</f>
        <v>9.0000000000000024E-2</v>
      </c>
      <c r="AMK3" s="19">
        <v>1</v>
      </c>
      <c r="AML3" s="8" t="s">
        <v>40</v>
      </c>
      <c r="AMM3" s="19">
        <v>0.2</v>
      </c>
      <c r="AMN3" s="8" t="s">
        <v>40</v>
      </c>
      <c r="AMO3" s="7">
        <f>IF(OR(ISNUMBER(AMK3), ISNUMBER(AMM3)), IF(ISNUMBER(AMK3), AMK3, 0) + IF(ISNUMBER(AMM3), AMM3, 0), "")</f>
        <v>1.2</v>
      </c>
      <c r="AMP3" s="4"/>
      <c r="AMQ3" s="11">
        <f t="shared" ref="AMQ3:AMQ4" si="206">IF(ISNUMBER(AMO3), (AME3+AMF3)-AMO3, "")</f>
        <v>0.30000000000000004</v>
      </c>
      <c r="AMR3" s="7">
        <v>0.28999999999999998</v>
      </c>
      <c r="AMS3" s="11">
        <f t="shared" ref="AMS3:AMS4" si="207">IF(ISNUMBER(AMR3), AMR3-AMQ3, "")</f>
        <v>-1.0000000000000064E-2</v>
      </c>
      <c r="AMU3" s="2">
        <v>0</v>
      </c>
      <c r="AMV3" s="8" t="s">
        <v>40</v>
      </c>
      <c r="AMW3" s="2">
        <v>0.9</v>
      </c>
      <c r="AMX3" s="8" t="s">
        <v>40</v>
      </c>
      <c r="AMY3" s="7">
        <f>IF(OR(ISNUMBER(AMU3), ISNUMBER(AMW3)), IF(ISNUMBER(AMU3), AMU3, 0) + IF(ISNUMBER(AMW3), AMW3, 0), "")</f>
        <v>0.9</v>
      </c>
      <c r="AMZ3" s="4"/>
      <c r="ANA3" s="11">
        <f t="shared" ref="ANA3:ANA4" si="208">IF(ISNUMBER(AMY3), (AMO3+AMP3)-AMY3, "")</f>
        <v>0.29999999999999993</v>
      </c>
      <c r="ANB3" s="7">
        <v>0.37</v>
      </c>
      <c r="ANC3" s="11">
        <f t="shared" ref="ANC3:ANC4" si="209">IF(ISNUMBER(ANB3), ANB3-ANA3, "")</f>
        <v>7.0000000000000062E-2</v>
      </c>
      <c r="ANE3" s="19">
        <v>0</v>
      </c>
      <c r="ANF3" s="8" t="s">
        <v>40</v>
      </c>
      <c r="ANG3" s="19">
        <v>0.5</v>
      </c>
      <c r="ANH3" s="8" t="s">
        <v>40</v>
      </c>
      <c r="ANI3" s="7">
        <f>IF(OR(ISNUMBER(ANE3), ISNUMBER(ANG3)), IF(ISNUMBER(ANE3), ANE3, 0) + IF(ISNUMBER(ANG3), ANG3, 0), "")</f>
        <v>0.5</v>
      </c>
      <c r="ANJ3" s="4"/>
      <c r="ANK3" s="11">
        <f t="shared" ref="ANK3:ANK4" si="210">IF(ISNUMBER(ANI3), (AMY3+AMZ3)-ANI3, "")</f>
        <v>0.4</v>
      </c>
      <c r="ANL3" s="7">
        <v>0.28999999999999998</v>
      </c>
      <c r="ANM3" s="11">
        <f t="shared" ref="ANM3:ANM4" si="211">IF(ISNUMBER(ANL3), ANL3-ANK3, "")</f>
        <v>-0.11000000000000004</v>
      </c>
      <c r="ANO3" s="2">
        <v>0</v>
      </c>
      <c r="ANP3" s="8" t="s">
        <v>40</v>
      </c>
      <c r="ANQ3" s="2">
        <v>0.2</v>
      </c>
      <c r="ANR3" s="8" t="s">
        <v>40</v>
      </c>
      <c r="ANS3" s="7">
        <f>IF(OR(ISNUMBER(ANO3), ISNUMBER(ANQ3)), IF(ISNUMBER(ANO3), ANO3, 0) + IF(ISNUMBER(ANQ3), ANQ3, 0), "")</f>
        <v>0.2</v>
      </c>
      <c r="ANT3" s="4">
        <v>1</v>
      </c>
      <c r="ANU3" s="11">
        <f t="shared" ref="ANU3:ANU4" si="212">IF(ISNUMBER(ANS3), (ANI3+ANJ3)-ANS3, "")</f>
        <v>0.3</v>
      </c>
      <c r="ANV3" s="7">
        <v>0.27</v>
      </c>
      <c r="ANW3" s="11">
        <f t="shared" ref="ANW3:ANW4" si="213">IF(ISNUMBER(ANV3), ANV3-ANU3, "")</f>
        <v>-2.9999999999999971E-2</v>
      </c>
      <c r="ANY3" s="19">
        <v>0</v>
      </c>
      <c r="ANZ3" s="8" t="s">
        <v>40</v>
      </c>
      <c r="AOA3" s="19">
        <v>0.8</v>
      </c>
      <c r="AOB3" s="8" t="s">
        <v>40</v>
      </c>
      <c r="AOC3" s="7">
        <f>IF(OR(ISNUMBER(ANY3), ISNUMBER(AOA3)), IF(ISNUMBER(ANY3), ANY3, 0) + IF(ISNUMBER(AOA3), AOA3, 0), "")</f>
        <v>0.8</v>
      </c>
      <c r="AOD3" s="4"/>
      <c r="AOE3" s="11">
        <f t="shared" ref="AOE3:AOE4" si="214">IF(ISNUMBER(AOC3), (ANS3+ANT3)-AOC3, "")</f>
        <v>0.39999999999999991</v>
      </c>
      <c r="AOF3" s="7">
        <v>0.32</v>
      </c>
      <c r="AOG3" s="11">
        <f t="shared" ref="AOG3:AOG4" si="215">IF(ISNUMBER(AOF3), AOF3-AOE3, "")</f>
        <v>-7.9999999999999905E-2</v>
      </c>
      <c r="AOI3" s="71">
        <v>0</v>
      </c>
      <c r="AOJ3" s="72" t="s">
        <v>40</v>
      </c>
      <c r="AOK3" s="71">
        <v>0.8</v>
      </c>
      <c r="AOL3" s="72" t="s">
        <v>40</v>
      </c>
      <c r="AOM3" s="73">
        <f>IF(OR(ISNUMBER(AOI3), ISNUMBER(AOK3)), IF(ISNUMBER(AOI3), AOI3, 0) + IF(ISNUMBER(AOK3), AOK3, 0), "")</f>
        <v>0.8</v>
      </c>
      <c r="AON3" s="69">
        <v>1</v>
      </c>
      <c r="AOO3" s="74">
        <f t="shared" ref="AOO3:AOO4" si="216">IF(ISNUMBER(AOM3), (AOC3+AOD3)-AOM3, "")</f>
        <v>0</v>
      </c>
      <c r="AOP3" s="73">
        <v>0.19</v>
      </c>
      <c r="AOQ3" s="74">
        <f t="shared" ref="AOQ3:AOQ4" si="217">IF(ISNUMBER(AOP3), AOP3-AOO3, "")</f>
        <v>0.19</v>
      </c>
      <c r="AOS3" s="2"/>
      <c r="AOT3" s="8" t="s">
        <v>40</v>
      </c>
      <c r="AOU3" s="2"/>
      <c r="AOV3" s="8" t="s">
        <v>40</v>
      </c>
      <c r="AOW3" s="7" t="str">
        <f>IF(OR(ISNUMBER(AOS3), ISNUMBER(AOU3)), IF(ISNUMBER(AOS3), AOS3, 0) + IF(ISNUMBER(AOU3), AOU3, 0), "")</f>
        <v/>
      </c>
      <c r="AOX3" s="4"/>
      <c r="AOY3" s="11" t="str">
        <f t="shared" ref="AOY3:AOY4" si="218">IF(ISNUMBER(AOW3), (AOM3+AON3)-AOW3, "")</f>
        <v/>
      </c>
      <c r="AOZ3" s="7"/>
      <c r="APA3" s="11" t="str">
        <f t="shared" ref="APA3:APA4" si="219">IF(ISNUMBER(AOZ3), AOZ3-AOY3, "")</f>
        <v/>
      </c>
    </row>
    <row r="4" spans="1:1023 1025:1093" ht="12.75" customHeight="1" x14ac:dyDescent="0.2">
      <c r="A4" s="6" t="s">
        <v>41</v>
      </c>
      <c r="B4" s="18">
        <v>0.16666666666666666</v>
      </c>
      <c r="C4" s="7">
        <v>1.5</v>
      </c>
      <c r="E4" s="19"/>
      <c r="F4" s="8" t="s">
        <v>40</v>
      </c>
      <c r="G4" s="19">
        <v>1.5</v>
      </c>
      <c r="H4" s="8" t="s">
        <v>40</v>
      </c>
      <c r="I4" s="7">
        <f t="shared" ref="I4" si="220">IF(OR(ISNUMBER(E4), ISNUMBER(G4)), IF(ISNUMBER(E4), E4, 0) + IF(ISNUMBER(G4), G4, 0), "")</f>
        <v>1.5</v>
      </c>
      <c r="J4" s="4"/>
      <c r="K4" s="11"/>
      <c r="L4" s="7">
        <v>0.3</v>
      </c>
      <c r="M4" s="11">
        <f t="shared" ref="M4" si="221">IF(ISNUMBER(L4), L4-K4, "")</f>
        <v>0.3</v>
      </c>
      <c r="O4" s="19"/>
      <c r="P4" s="8" t="s">
        <v>40</v>
      </c>
      <c r="Q4" s="19">
        <v>0.5</v>
      </c>
      <c r="R4" s="8" t="s">
        <v>40</v>
      </c>
      <c r="S4" s="7">
        <f t="shared" ref="S4" si="222">IF(OR(ISNUMBER(O4), ISNUMBER(Q4)), IF(ISNUMBER(O4), O4, 0) + IF(ISNUMBER(Q4), Q4, 0), "")</f>
        <v>0.5</v>
      </c>
      <c r="T4" s="4">
        <v>1</v>
      </c>
      <c r="U4" s="11">
        <f t="shared" ref="U4" si="223">IF(ISNUMBER(S4), (I4+J4)-S4, "")</f>
        <v>1</v>
      </c>
      <c r="V4" s="7">
        <v>0.2</v>
      </c>
      <c r="W4" s="11">
        <f t="shared" ref="W4" si="224">IF(ISNUMBER(V4), V4-U4, "")</f>
        <v>-0.8</v>
      </c>
      <c r="Y4" s="19">
        <v>1</v>
      </c>
      <c r="Z4" s="8" t="s">
        <v>40</v>
      </c>
      <c r="AA4" s="19">
        <v>0.1</v>
      </c>
      <c r="AB4" s="8" t="s">
        <v>40</v>
      </c>
      <c r="AC4" s="7">
        <f t="shared" ref="AC4" si="225">IF(OR(ISNUMBER(Y4), ISNUMBER(AA4)), IF(ISNUMBER(Y4), Y4, 0) + IF(ISNUMBER(AA4), AA4, 0), "")</f>
        <v>1.1000000000000001</v>
      </c>
      <c r="AD4" s="4"/>
      <c r="AE4" s="11">
        <f t="shared" ref="AE4" si="226">IF(ISNUMBER(AC4), (S4+T4)-AC4, "")</f>
        <v>0.39999999999999991</v>
      </c>
      <c r="AF4" s="7">
        <v>0.6</v>
      </c>
      <c r="AG4" s="11">
        <f t="shared" ref="AG4" si="227">IF(ISNUMBER(AF4), AF4-AE4, "")</f>
        <v>0.20000000000000007</v>
      </c>
      <c r="AI4" s="19">
        <v>1</v>
      </c>
      <c r="AJ4" s="8" t="s">
        <v>40</v>
      </c>
      <c r="AK4" s="19">
        <v>0.1</v>
      </c>
      <c r="AL4" s="8" t="s">
        <v>40</v>
      </c>
      <c r="AM4" s="7">
        <f>IF(OR(ISNUMBER(AI4), ISNUMBER(AK4)), IF(ISNUMBER(AI4), AI4, 0) + IF(ISNUMBER(AK4), AK4, 0), "")</f>
        <v>1.1000000000000001</v>
      </c>
      <c r="AN4" s="4"/>
      <c r="AO4" s="11">
        <f t="shared" si="8"/>
        <v>0</v>
      </c>
      <c r="AP4" s="7">
        <v>0.24</v>
      </c>
      <c r="AQ4" s="11">
        <f t="shared" si="9"/>
        <v>0.24</v>
      </c>
      <c r="AS4" s="19"/>
      <c r="AT4" s="8" t="s">
        <v>40</v>
      </c>
      <c r="AU4" s="19">
        <v>0.8</v>
      </c>
      <c r="AV4" s="8" t="s">
        <v>40</v>
      </c>
      <c r="AW4" s="7">
        <f>IF(OR(ISNUMBER(AS4), ISNUMBER(AU4)), IF(ISNUMBER(AS4), AS4, 0) + IF(ISNUMBER(AU4), AU4, 0), "")</f>
        <v>0.8</v>
      </c>
      <c r="AX4" s="4"/>
      <c r="AY4" s="11">
        <f t="shared" si="10"/>
        <v>0.30000000000000004</v>
      </c>
      <c r="AZ4" s="7">
        <v>0.13</v>
      </c>
      <c r="BA4" s="11">
        <f t="shared" si="11"/>
        <v>-0.17000000000000004</v>
      </c>
      <c r="BC4" s="19">
        <v>0</v>
      </c>
      <c r="BD4" s="8" t="s">
        <v>40</v>
      </c>
      <c r="BE4" s="19">
        <v>0.7</v>
      </c>
      <c r="BF4" s="8" t="s">
        <v>40</v>
      </c>
      <c r="BG4" s="7">
        <f>IF(OR(ISNUMBER(BC4), ISNUMBER(BE4)), IF(ISNUMBER(BC4), BC4, 0) + IF(ISNUMBER(BE4), BE4, 0), "")</f>
        <v>0.7</v>
      </c>
      <c r="BH4" s="4">
        <v>1</v>
      </c>
      <c r="BI4" s="11">
        <f t="shared" si="12"/>
        <v>0.10000000000000009</v>
      </c>
      <c r="BJ4" s="7">
        <v>0.11</v>
      </c>
      <c r="BK4" s="11">
        <f t="shared" si="13"/>
        <v>9.9999999999999117E-3</v>
      </c>
      <c r="BM4" s="19">
        <v>1</v>
      </c>
      <c r="BN4" s="8" t="s">
        <v>40</v>
      </c>
      <c r="BO4" s="19">
        <v>0.3</v>
      </c>
      <c r="BP4" s="8" t="s">
        <v>40</v>
      </c>
      <c r="BQ4" s="7">
        <f>IF(OR(ISNUMBER(BM4), ISNUMBER(BO4)), IF(ISNUMBER(BM4), BM4, 0) + IF(ISNUMBER(BO4), BO4, 0), "")</f>
        <v>1.3</v>
      </c>
      <c r="BR4" s="4"/>
      <c r="BS4" s="11">
        <f t="shared" si="14"/>
        <v>0.39999999999999991</v>
      </c>
      <c r="BT4" s="7">
        <v>0.21</v>
      </c>
      <c r="BU4" s="11">
        <f t="shared" si="15"/>
        <v>-0.18999999999999992</v>
      </c>
      <c r="BW4" s="19">
        <v>1</v>
      </c>
      <c r="BX4" s="8" t="s">
        <v>40</v>
      </c>
      <c r="BY4" s="19">
        <v>0.2</v>
      </c>
      <c r="BZ4" s="8" t="s">
        <v>40</v>
      </c>
      <c r="CA4" s="7">
        <f>IF(OR(ISNUMBER(BW4), ISNUMBER(BY4)), IF(ISNUMBER(BW4), BW4, 0) + IF(ISNUMBER(BY4), BY4, 0), "")</f>
        <v>1.2</v>
      </c>
      <c r="CB4" s="4"/>
      <c r="CC4" s="11">
        <f t="shared" si="16"/>
        <v>0.10000000000000009</v>
      </c>
      <c r="CD4" s="7">
        <v>0.16</v>
      </c>
      <c r="CE4" s="11">
        <f t="shared" si="17"/>
        <v>5.9999999999999915E-2</v>
      </c>
      <c r="CG4" s="19">
        <v>1</v>
      </c>
      <c r="CH4" s="8" t="s">
        <v>40</v>
      </c>
      <c r="CI4" s="19">
        <v>0.1</v>
      </c>
      <c r="CJ4" s="8" t="s">
        <v>40</v>
      </c>
      <c r="CK4" s="7">
        <f>IF(OR(ISNUMBER(CG4), ISNUMBER(CI4)), IF(ISNUMBER(CG4), CG4, 0) + IF(ISNUMBER(CI4), CI4, 0), "")</f>
        <v>1.1000000000000001</v>
      </c>
      <c r="CL4" s="4"/>
      <c r="CM4" s="11">
        <f t="shared" si="18"/>
        <v>9.9999999999999867E-2</v>
      </c>
      <c r="CN4" s="7">
        <v>0.4</v>
      </c>
      <c r="CO4" s="11">
        <f t="shared" si="19"/>
        <v>0.30000000000000016</v>
      </c>
      <c r="CQ4" s="19">
        <v>0</v>
      </c>
      <c r="CR4" s="8" t="s">
        <v>40</v>
      </c>
      <c r="CS4" s="19">
        <v>0.8</v>
      </c>
      <c r="CT4" s="8" t="s">
        <v>40</v>
      </c>
      <c r="CU4" s="7">
        <f>IF(OR(ISNUMBER(CQ4), ISNUMBER(CS4)), IF(ISNUMBER(CQ4), CQ4, 0) + IF(ISNUMBER(CS4), CS4, 0), "")</f>
        <v>0.8</v>
      </c>
      <c r="CV4" s="4"/>
      <c r="CW4" s="11">
        <f t="shared" si="20"/>
        <v>0.30000000000000004</v>
      </c>
      <c r="CX4" s="7">
        <v>0.19</v>
      </c>
      <c r="CY4" s="11">
        <f t="shared" si="21"/>
        <v>-0.11000000000000004</v>
      </c>
      <c r="DA4" s="19">
        <v>0</v>
      </c>
      <c r="DB4" s="8" t="s">
        <v>40</v>
      </c>
      <c r="DC4" s="19">
        <v>0.6</v>
      </c>
      <c r="DD4" s="8" t="s">
        <v>40</v>
      </c>
      <c r="DE4" s="7">
        <f>IF(OR(ISNUMBER(DA4), ISNUMBER(DC4)), IF(ISNUMBER(DA4), DA4, 0) + IF(ISNUMBER(DC4), DC4, 0), "")</f>
        <v>0.6</v>
      </c>
      <c r="DF4" s="4">
        <v>1</v>
      </c>
      <c r="DG4" s="11">
        <f t="shared" si="22"/>
        <v>0.20000000000000007</v>
      </c>
      <c r="DH4" s="7">
        <v>0.24</v>
      </c>
      <c r="DI4" s="11">
        <f t="shared" si="23"/>
        <v>3.9999999999999925E-2</v>
      </c>
      <c r="DK4" s="19">
        <v>1</v>
      </c>
      <c r="DL4" s="8" t="s">
        <v>40</v>
      </c>
      <c r="DM4" s="19">
        <v>0.2</v>
      </c>
      <c r="DN4" s="8" t="s">
        <v>40</v>
      </c>
      <c r="DO4" s="7">
        <f>IF(OR(ISNUMBER(DK4), ISNUMBER(DM4)), IF(ISNUMBER(DK4), DK4, 0) + IF(ISNUMBER(DM4), DM4, 0), "")</f>
        <v>1.2</v>
      </c>
      <c r="DP4" s="4"/>
      <c r="DQ4" s="11">
        <f t="shared" si="24"/>
        <v>0.40000000000000013</v>
      </c>
      <c r="DR4" s="7">
        <v>0.16</v>
      </c>
      <c r="DS4" s="11">
        <f t="shared" si="25"/>
        <v>-0.24000000000000013</v>
      </c>
      <c r="DU4" s="19">
        <v>1</v>
      </c>
      <c r="DV4" s="8" t="s">
        <v>40</v>
      </c>
      <c r="DW4" s="19">
        <v>0.1</v>
      </c>
      <c r="DX4" s="8" t="s">
        <v>40</v>
      </c>
      <c r="DY4" s="7">
        <f>IF(OR(ISNUMBER(DU4), ISNUMBER(DW4)), IF(ISNUMBER(DU4), DU4, 0) + IF(ISNUMBER(DW4), DW4, 0), "")</f>
        <v>1.1000000000000001</v>
      </c>
      <c r="DZ4" s="4"/>
      <c r="EA4" s="11">
        <f t="shared" si="26"/>
        <v>9.9999999999999867E-2</v>
      </c>
      <c r="EB4" s="7">
        <v>0.13</v>
      </c>
      <c r="EC4" s="11">
        <f t="shared" si="27"/>
        <v>3.0000000000000138E-2</v>
      </c>
      <c r="EE4" s="19">
        <v>0</v>
      </c>
      <c r="EF4" s="8" t="s">
        <v>40</v>
      </c>
      <c r="EG4" s="19">
        <v>0.8</v>
      </c>
      <c r="EH4" s="8" t="s">
        <v>40</v>
      </c>
      <c r="EI4" s="7">
        <f>IF(OR(ISNUMBER(EE4), ISNUMBER(EG4)), IF(ISNUMBER(EE4), EE4, 0) + IF(ISNUMBER(EG4), EG4, 0), "")</f>
        <v>0.8</v>
      </c>
      <c r="EJ4" s="4"/>
      <c r="EK4" s="11">
        <f t="shared" si="28"/>
        <v>0.30000000000000004</v>
      </c>
      <c r="EL4" s="7">
        <v>0.4</v>
      </c>
      <c r="EM4" s="11">
        <f t="shared" si="29"/>
        <v>9.9999999999999978E-2</v>
      </c>
      <c r="EO4" s="19">
        <v>0</v>
      </c>
      <c r="EP4" s="8" t="s">
        <v>40</v>
      </c>
      <c r="EQ4" s="19">
        <v>0.1</v>
      </c>
      <c r="ER4" s="8" t="s">
        <v>40</v>
      </c>
      <c r="ES4" s="7">
        <f>IF(OR(ISNUMBER(EO4), ISNUMBER(EQ4)), IF(ISNUMBER(EO4), EO4, 0) + IF(ISNUMBER(EQ4), EQ4, 0), "")</f>
        <v>0.1</v>
      </c>
      <c r="ET4" s="4"/>
      <c r="EU4" s="11">
        <f t="shared" si="30"/>
        <v>0.70000000000000007</v>
      </c>
      <c r="EV4" s="7">
        <v>0.35</v>
      </c>
      <c r="EW4" s="11">
        <f t="shared" si="31"/>
        <v>-0.35000000000000009</v>
      </c>
      <c r="EY4" s="19">
        <v>0</v>
      </c>
      <c r="EZ4" s="8" t="s">
        <v>40</v>
      </c>
      <c r="FA4" s="19">
        <v>0.1</v>
      </c>
      <c r="FB4" s="8" t="s">
        <v>40</v>
      </c>
      <c r="FC4" s="7">
        <f>IF(OR(ISNUMBER(EY4), ISNUMBER(FA4)), IF(ISNUMBER(EY4), EY4, 0) + IF(ISNUMBER(FA4), FA4, 0), "")</f>
        <v>0.1</v>
      </c>
      <c r="FD4" s="4">
        <v>1</v>
      </c>
      <c r="FE4" s="11">
        <f t="shared" si="32"/>
        <v>0</v>
      </c>
      <c r="FF4" s="7">
        <v>0.32</v>
      </c>
      <c r="FG4" s="11">
        <f t="shared" si="33"/>
        <v>0.32</v>
      </c>
      <c r="FI4" s="19">
        <v>0</v>
      </c>
      <c r="FJ4" s="8" t="s">
        <v>40</v>
      </c>
      <c r="FK4" s="19">
        <v>0.8</v>
      </c>
      <c r="FL4" s="8" t="s">
        <v>40</v>
      </c>
      <c r="FM4" s="7">
        <f>IF(OR(ISNUMBER(FI4), ISNUMBER(FK4)), IF(ISNUMBER(FI4), FI4, 0) + IF(ISNUMBER(FK4), FK4, 0), "")</f>
        <v>0.8</v>
      </c>
      <c r="FN4" s="4">
        <v>2</v>
      </c>
      <c r="FO4" s="11">
        <f t="shared" si="34"/>
        <v>0.30000000000000004</v>
      </c>
      <c r="FP4" s="7">
        <v>0.37</v>
      </c>
      <c r="FQ4" s="11">
        <f t="shared" si="35"/>
        <v>6.9999999999999951E-2</v>
      </c>
      <c r="FS4" s="19">
        <v>2</v>
      </c>
      <c r="FT4" s="8" t="s">
        <v>40</v>
      </c>
      <c r="FU4" s="19">
        <v>0.1</v>
      </c>
      <c r="FV4" s="8" t="s">
        <v>40</v>
      </c>
      <c r="FW4" s="7">
        <f>IF(OR(ISNUMBER(FS4), ISNUMBER(FU4)), IF(ISNUMBER(FS4), FS4, 0) + IF(ISNUMBER(FU4), FU4, 0), "")</f>
        <v>2.1</v>
      </c>
      <c r="FX4" s="4"/>
      <c r="FY4" s="11">
        <f t="shared" si="36"/>
        <v>0.69999999999999973</v>
      </c>
      <c r="FZ4" s="7">
        <v>1.1200000000000001</v>
      </c>
      <c r="GA4" s="11">
        <f t="shared" si="37"/>
        <v>0.42000000000000037</v>
      </c>
      <c r="GC4" s="19">
        <v>0</v>
      </c>
      <c r="GD4" s="8" t="s">
        <v>40</v>
      </c>
      <c r="GE4" s="19">
        <v>0.2</v>
      </c>
      <c r="GF4" s="8" t="s">
        <v>40</v>
      </c>
      <c r="GG4" s="7">
        <f>IF(OR(ISNUMBER(GC4), ISNUMBER(GE4)), IF(ISNUMBER(GC4), GC4, 0) + IF(ISNUMBER(GE4), GE4, 0), "")</f>
        <v>0.2</v>
      </c>
      <c r="GH4" s="4">
        <v>2</v>
      </c>
      <c r="GI4" s="11">
        <f t="shared" si="38"/>
        <v>1.9000000000000001</v>
      </c>
      <c r="GJ4" s="7">
        <v>1.83</v>
      </c>
      <c r="GK4" s="11">
        <f t="shared" si="39"/>
        <v>-7.0000000000000062E-2</v>
      </c>
      <c r="GM4" s="2">
        <v>2</v>
      </c>
      <c r="GN4" s="8" t="s">
        <v>40</v>
      </c>
      <c r="GO4" s="2">
        <v>0.8</v>
      </c>
      <c r="GP4" s="8" t="s">
        <v>40</v>
      </c>
      <c r="GQ4" s="7">
        <f>IF(OR(ISNUMBER(GM4), ISNUMBER(GO4)), IF(ISNUMBER(GM4), GM4, 0) + IF(ISNUMBER(GO4), GO4, 0), "")</f>
        <v>2.8</v>
      </c>
      <c r="GR4" s="4"/>
      <c r="GS4" s="11">
        <f t="shared" si="40"/>
        <v>-0.59999999999999964</v>
      </c>
      <c r="GT4" s="7">
        <v>0</v>
      </c>
      <c r="GU4" s="11">
        <f t="shared" si="41"/>
        <v>0.59999999999999964</v>
      </c>
      <c r="GW4" s="19">
        <v>2</v>
      </c>
      <c r="GX4" s="8" t="s">
        <v>40</v>
      </c>
      <c r="GY4" s="19">
        <v>0.3</v>
      </c>
      <c r="GZ4" s="8" t="s">
        <v>40</v>
      </c>
      <c r="HA4" s="7">
        <f>IF(OR(ISNUMBER(GW4), ISNUMBER(GY4)), IF(ISNUMBER(GW4), GW4, 0) + IF(ISNUMBER(GY4), GY4, 0), "")</f>
        <v>2.2999999999999998</v>
      </c>
      <c r="HB4" s="4"/>
      <c r="HC4" s="11">
        <f t="shared" si="42"/>
        <v>0.5</v>
      </c>
      <c r="HD4" s="7">
        <v>0.21</v>
      </c>
      <c r="HE4" s="11">
        <f t="shared" si="43"/>
        <v>-0.29000000000000004</v>
      </c>
      <c r="HG4" s="19">
        <v>2</v>
      </c>
      <c r="HH4" s="8" t="s">
        <v>40</v>
      </c>
      <c r="HI4" s="19">
        <v>0.1</v>
      </c>
      <c r="HJ4" s="8" t="s">
        <v>40</v>
      </c>
      <c r="HK4" s="7">
        <f>IF(OR(ISNUMBER(HG4), ISNUMBER(HI4)), IF(ISNUMBER(HG4), HG4, 0) + IF(ISNUMBER(HI4), HI4, 0), "")</f>
        <v>2.1</v>
      </c>
      <c r="HL4" s="4"/>
      <c r="HM4" s="11">
        <f t="shared" si="44"/>
        <v>0.19999999999999973</v>
      </c>
      <c r="HN4" s="7">
        <v>0.13</v>
      </c>
      <c r="HO4" s="11">
        <f t="shared" si="45"/>
        <v>-6.9999999999999729E-2</v>
      </c>
      <c r="HQ4" s="19">
        <v>1</v>
      </c>
      <c r="HR4" s="8" t="s">
        <v>40</v>
      </c>
      <c r="HS4" s="19">
        <v>1</v>
      </c>
      <c r="HT4" s="8" t="s">
        <v>40</v>
      </c>
      <c r="HU4" s="7">
        <f>IF(OR(ISNUMBER(HQ4), ISNUMBER(HS4)), IF(ISNUMBER(HQ4), HQ4, 0) + IF(ISNUMBER(HS4), HS4, 0), "")</f>
        <v>2</v>
      </c>
      <c r="HV4" s="4"/>
      <c r="HW4" s="11">
        <f t="shared" si="46"/>
        <v>0.10000000000000009</v>
      </c>
      <c r="HX4" s="7">
        <v>0.32</v>
      </c>
      <c r="HY4" s="11">
        <f t="shared" si="47"/>
        <v>0.21999999999999992</v>
      </c>
      <c r="IA4" s="19">
        <v>1</v>
      </c>
      <c r="IB4" s="8" t="s">
        <v>40</v>
      </c>
      <c r="IC4" s="19">
        <v>0.7</v>
      </c>
      <c r="ID4" s="8" t="s">
        <v>40</v>
      </c>
      <c r="IE4" s="7">
        <f>IF(OR(ISNUMBER(IA4), ISNUMBER(IC4)), IF(ISNUMBER(IA4), IA4, 0) + IF(ISNUMBER(IC4), IC4, 0), "")</f>
        <v>1.7</v>
      </c>
      <c r="IF4" s="4"/>
      <c r="IG4" s="11">
        <f t="shared" si="48"/>
        <v>0.30000000000000004</v>
      </c>
      <c r="IH4" s="7">
        <v>0.19</v>
      </c>
      <c r="II4" s="11">
        <f t="shared" si="49"/>
        <v>-0.11000000000000004</v>
      </c>
      <c r="IK4" s="19">
        <v>1</v>
      </c>
      <c r="IL4" s="8" t="s">
        <v>40</v>
      </c>
      <c r="IM4" s="19">
        <v>0.5</v>
      </c>
      <c r="IN4" s="8" t="s">
        <v>40</v>
      </c>
      <c r="IO4" s="7">
        <f>IF(OR(ISNUMBER(IK4), ISNUMBER(IM4)), IF(ISNUMBER(IK4), IK4, 0) + IF(ISNUMBER(IM4), IM4, 0), "")</f>
        <v>1.5</v>
      </c>
      <c r="IP4" s="4"/>
      <c r="IQ4" s="11">
        <f t="shared" si="50"/>
        <v>0.19999999999999996</v>
      </c>
      <c r="IR4" s="7">
        <v>0.13</v>
      </c>
      <c r="IS4" s="11">
        <f t="shared" si="51"/>
        <v>-6.9999999999999951E-2</v>
      </c>
      <c r="IU4" s="19">
        <v>1</v>
      </c>
      <c r="IV4" s="8" t="s">
        <v>40</v>
      </c>
      <c r="IW4" s="19">
        <v>0.2</v>
      </c>
      <c r="IX4" s="8" t="s">
        <v>40</v>
      </c>
      <c r="IY4" s="7">
        <f>IF(OR(ISNUMBER(IU4), ISNUMBER(IW4)), IF(ISNUMBER(IU4), IU4, 0) + IF(ISNUMBER(IW4), IW4, 0), "")</f>
        <v>1.2</v>
      </c>
      <c r="IZ4" s="4"/>
      <c r="JA4" s="11">
        <f t="shared" si="52"/>
        <v>0.30000000000000004</v>
      </c>
      <c r="JB4" s="7">
        <v>0.27</v>
      </c>
      <c r="JC4" s="11">
        <f t="shared" si="53"/>
        <v>-3.0000000000000027E-2</v>
      </c>
      <c r="JE4" s="2">
        <v>1</v>
      </c>
      <c r="JF4" s="8" t="s">
        <v>40</v>
      </c>
      <c r="JG4" s="2">
        <v>0.1</v>
      </c>
      <c r="JH4" s="8" t="s">
        <v>40</v>
      </c>
      <c r="JI4" s="7">
        <f>IF(OR(ISNUMBER(JE4), ISNUMBER(JG4)), IF(ISNUMBER(JE4), JE4, 0) + IF(ISNUMBER(JG4), JG4, 0), "")</f>
        <v>1.1000000000000001</v>
      </c>
      <c r="JJ4" s="4">
        <v>1</v>
      </c>
      <c r="JK4" s="11">
        <f t="shared" si="54"/>
        <v>9.9999999999999867E-2</v>
      </c>
      <c r="JL4" s="7">
        <v>0.27</v>
      </c>
      <c r="JM4" s="11">
        <f t="shared" si="55"/>
        <v>0.17000000000000015</v>
      </c>
      <c r="JO4" s="19">
        <v>1</v>
      </c>
      <c r="JP4" s="8" t="s">
        <v>40</v>
      </c>
      <c r="JQ4" s="19">
        <v>0.2</v>
      </c>
      <c r="JR4" s="8" t="s">
        <v>40</v>
      </c>
      <c r="JS4" s="7">
        <f>IF(OR(ISNUMBER(JO4), ISNUMBER(JQ4)), IF(ISNUMBER(JO4), JO4, 0) + IF(ISNUMBER(JQ4), JQ4, 0), "")</f>
        <v>1.2</v>
      </c>
      <c r="JT4" s="4"/>
      <c r="JU4" s="11">
        <f t="shared" si="56"/>
        <v>0.90000000000000013</v>
      </c>
      <c r="JV4" s="7">
        <v>0.28999999999999998</v>
      </c>
      <c r="JW4" s="11">
        <f t="shared" si="57"/>
        <v>-0.6100000000000001</v>
      </c>
      <c r="JY4" s="2">
        <v>1</v>
      </c>
      <c r="JZ4" s="8" t="s">
        <v>40</v>
      </c>
      <c r="KA4" s="2">
        <v>0.7</v>
      </c>
      <c r="KB4" s="8" t="s">
        <v>40</v>
      </c>
      <c r="KC4" s="7">
        <f>IF(OR(ISNUMBER(JY4), ISNUMBER(KA4)), IF(ISNUMBER(JY4), JY4, 0) + IF(ISNUMBER(KA4), KA4, 0), "")</f>
        <v>1.7</v>
      </c>
      <c r="KD4" s="4"/>
      <c r="KE4" s="11">
        <f t="shared" si="58"/>
        <v>-0.5</v>
      </c>
      <c r="KF4" s="7">
        <v>0.24</v>
      </c>
      <c r="KG4" s="11">
        <f t="shared" si="59"/>
        <v>0.74</v>
      </c>
      <c r="KI4" s="19">
        <v>0</v>
      </c>
      <c r="KJ4" s="8" t="s">
        <v>40</v>
      </c>
      <c r="KK4" s="19">
        <v>0.3</v>
      </c>
      <c r="KL4" s="8" t="s">
        <v>40</v>
      </c>
      <c r="KM4" s="7">
        <f>IF(OR(ISNUMBER(KI4), ISNUMBER(KK4)), IF(ISNUMBER(KI4), KI4, 0) + IF(ISNUMBER(KK4), KK4, 0), "")</f>
        <v>0.3</v>
      </c>
      <c r="KN4" s="4"/>
      <c r="KO4" s="11">
        <f t="shared" si="60"/>
        <v>1.4</v>
      </c>
      <c r="KP4" s="7">
        <v>0.21</v>
      </c>
      <c r="KQ4" s="11">
        <f t="shared" si="61"/>
        <v>-1.19</v>
      </c>
      <c r="KS4" s="19">
        <v>0</v>
      </c>
      <c r="KT4" s="8" t="s">
        <v>40</v>
      </c>
      <c r="KU4" s="19">
        <v>1</v>
      </c>
      <c r="KV4" s="8" t="s">
        <v>40</v>
      </c>
      <c r="KW4" s="7">
        <f>IF(OR(ISNUMBER(KS4), ISNUMBER(KU4)), IF(ISNUMBER(KS4), KS4, 0) + IF(ISNUMBER(KU4), KU4, 0), "")</f>
        <v>1</v>
      </c>
      <c r="KX4" s="4"/>
      <c r="KY4" s="11">
        <f t="shared" si="62"/>
        <v>-0.7</v>
      </c>
      <c r="KZ4" s="7">
        <v>0.4</v>
      </c>
      <c r="LA4" s="11">
        <f t="shared" si="63"/>
        <v>1.1000000000000001</v>
      </c>
      <c r="LC4" s="19">
        <v>0</v>
      </c>
      <c r="LD4" s="8" t="s">
        <v>40</v>
      </c>
      <c r="LE4" s="19">
        <v>0.7</v>
      </c>
      <c r="LF4" s="8" t="s">
        <v>40</v>
      </c>
      <c r="LG4" s="7">
        <f>IF(OR(ISNUMBER(LC4), ISNUMBER(LE4)), IF(ISNUMBER(LC4), LC4, 0) + IF(ISNUMBER(LE4), LE4, 0), "")</f>
        <v>0.7</v>
      </c>
      <c r="LH4" s="4"/>
      <c r="LI4" s="11">
        <f t="shared" si="64"/>
        <v>0.30000000000000004</v>
      </c>
      <c r="LJ4" s="7">
        <v>0.28999999999999998</v>
      </c>
      <c r="LK4" s="11">
        <f t="shared" si="65"/>
        <v>-1.0000000000000064E-2</v>
      </c>
      <c r="LM4" s="19">
        <v>0</v>
      </c>
      <c r="LN4" s="8" t="s">
        <v>40</v>
      </c>
      <c r="LO4" s="19">
        <v>0.5</v>
      </c>
      <c r="LP4" s="8" t="s">
        <v>40</v>
      </c>
      <c r="LQ4" s="7">
        <f>IF(OR(ISNUMBER(LM4), ISNUMBER(LO4)), IF(ISNUMBER(LM4), LM4, 0) + IF(ISNUMBER(LO4), LO4, 0), "")</f>
        <v>0.5</v>
      </c>
      <c r="LR4" s="4"/>
      <c r="LS4" s="11">
        <f t="shared" si="66"/>
        <v>0.19999999999999996</v>
      </c>
      <c r="LT4" s="7">
        <v>0.13</v>
      </c>
      <c r="LU4" s="11">
        <f t="shared" si="67"/>
        <v>-6.9999999999999951E-2</v>
      </c>
      <c r="LW4" s="19">
        <v>0</v>
      </c>
      <c r="LX4" s="8" t="s">
        <v>40</v>
      </c>
      <c r="LY4" s="19">
        <v>0.3</v>
      </c>
      <c r="LZ4" s="8" t="s">
        <v>40</v>
      </c>
      <c r="MA4" s="7">
        <f>IF(OR(ISNUMBER(LW4), ISNUMBER(LY4)), IF(ISNUMBER(LW4), LW4, 0) + IF(ISNUMBER(LY4), LY4, 0), "")</f>
        <v>0.3</v>
      </c>
      <c r="MB4" s="4">
        <v>1</v>
      </c>
      <c r="MC4" s="11">
        <f t="shared" si="68"/>
        <v>0.2</v>
      </c>
      <c r="MD4" s="7">
        <v>0.21</v>
      </c>
      <c r="ME4" s="11">
        <f t="shared" si="69"/>
        <v>9.9999999999999811E-3</v>
      </c>
      <c r="MG4" s="19">
        <v>1</v>
      </c>
      <c r="MH4" s="8" t="s">
        <v>40</v>
      </c>
      <c r="MI4" s="19">
        <v>0.1</v>
      </c>
      <c r="MJ4" s="8" t="s">
        <v>40</v>
      </c>
      <c r="MK4" s="7">
        <f>IF(OR(ISNUMBER(MG4), ISNUMBER(MI4)), IF(ISNUMBER(MG4), MG4, 0) + IF(ISNUMBER(MI4), MI4, 0), "")</f>
        <v>1.1000000000000001</v>
      </c>
      <c r="ML4" s="4">
        <v>1</v>
      </c>
      <c r="MM4" s="11">
        <f t="shared" si="70"/>
        <v>0.19999999999999996</v>
      </c>
      <c r="MN4" s="7">
        <v>0.32</v>
      </c>
      <c r="MO4" s="11">
        <f t="shared" si="71"/>
        <v>0.12000000000000005</v>
      </c>
      <c r="MQ4" s="19">
        <v>1</v>
      </c>
      <c r="MR4" s="8" t="s">
        <v>40</v>
      </c>
      <c r="MS4" s="19">
        <v>0.8</v>
      </c>
      <c r="MT4" s="8" t="s">
        <v>40</v>
      </c>
      <c r="MU4" s="7">
        <f>IF(OR(ISNUMBER(MQ4), ISNUMBER(MS4)), IF(ISNUMBER(MQ4), MQ4, 0) + IF(ISNUMBER(MS4), MS4, 0), "")</f>
        <v>1.8</v>
      </c>
      <c r="MV4" s="4"/>
      <c r="MW4" s="11">
        <f t="shared" si="72"/>
        <v>0.30000000000000004</v>
      </c>
      <c r="MX4" s="7">
        <v>0.05</v>
      </c>
      <c r="MY4" s="11">
        <f t="shared" si="73"/>
        <v>-0.25000000000000006</v>
      </c>
      <c r="NA4" s="19">
        <v>1</v>
      </c>
      <c r="NB4" s="8" t="s">
        <v>40</v>
      </c>
      <c r="NC4" s="19">
        <v>0.4</v>
      </c>
      <c r="ND4" s="8" t="s">
        <v>40</v>
      </c>
      <c r="NE4" s="7">
        <f>IF(OR(ISNUMBER(NA4), ISNUMBER(NC4)), IF(ISNUMBER(NA4), NA4, 0) + IF(ISNUMBER(NC4), NC4, 0), "")</f>
        <v>1.4</v>
      </c>
      <c r="NF4" s="4"/>
      <c r="NG4" s="11">
        <f t="shared" si="74"/>
        <v>0.40000000000000013</v>
      </c>
      <c r="NH4" s="7">
        <v>0.4</v>
      </c>
      <c r="NI4" s="11">
        <f t="shared" si="75"/>
        <v>-1.1102230246251565E-16</v>
      </c>
      <c r="NK4" s="19">
        <v>1</v>
      </c>
      <c r="NL4" s="8" t="s">
        <v>40</v>
      </c>
      <c r="NM4" s="19">
        <v>0.1</v>
      </c>
      <c r="NN4" s="8" t="s">
        <v>40</v>
      </c>
      <c r="NO4" s="7">
        <f>IF(OR(ISNUMBER(NK4), ISNUMBER(NM4)), IF(ISNUMBER(NK4), NK4, 0) + IF(ISNUMBER(NM4), NM4, 0), "")</f>
        <v>1.1000000000000001</v>
      </c>
      <c r="NP4" s="4"/>
      <c r="NQ4" s="11">
        <f t="shared" si="76"/>
        <v>0.29999999999999982</v>
      </c>
      <c r="NR4" s="7">
        <v>0.08</v>
      </c>
      <c r="NS4" s="11">
        <f t="shared" si="77"/>
        <v>-0.21999999999999981</v>
      </c>
      <c r="NU4" s="19">
        <v>1</v>
      </c>
      <c r="NV4" s="8" t="s">
        <v>40</v>
      </c>
      <c r="NW4" s="19">
        <v>0.1</v>
      </c>
      <c r="NX4" s="8" t="s">
        <v>40</v>
      </c>
      <c r="NY4" s="7">
        <f>IF(OR(ISNUMBER(NU4), ISNUMBER(NW4)), IF(ISNUMBER(NU4), NU4, 0) + IF(ISNUMBER(NW4), NW4, 0), "")</f>
        <v>1.1000000000000001</v>
      </c>
      <c r="NZ4" s="4"/>
      <c r="OA4" s="11">
        <f t="shared" si="78"/>
        <v>0</v>
      </c>
      <c r="OB4" s="7">
        <v>0.16</v>
      </c>
      <c r="OC4" s="11">
        <f t="shared" si="79"/>
        <v>0.16</v>
      </c>
      <c r="OE4" s="2">
        <v>0</v>
      </c>
      <c r="OF4" s="8" t="s">
        <v>40</v>
      </c>
      <c r="OG4" s="2">
        <v>1</v>
      </c>
      <c r="OH4" s="8" t="s">
        <v>40</v>
      </c>
      <c r="OI4" s="7">
        <f>IF(OR(ISNUMBER(OE4), ISNUMBER(OG4)), IF(ISNUMBER(OE4), OE4, 0) + IF(ISNUMBER(OG4), OG4, 0), "")</f>
        <v>1</v>
      </c>
      <c r="OJ4" s="4"/>
      <c r="OK4" s="11">
        <f t="shared" si="80"/>
        <v>0.10000000000000009</v>
      </c>
      <c r="OL4" s="7">
        <v>0.11</v>
      </c>
      <c r="OM4" s="11">
        <f t="shared" si="81"/>
        <v>9.9999999999999117E-3</v>
      </c>
      <c r="OO4" s="19">
        <v>1</v>
      </c>
      <c r="OP4" s="8" t="s">
        <v>40</v>
      </c>
      <c r="OQ4" s="19">
        <v>0</v>
      </c>
      <c r="OR4" s="8" t="s">
        <v>40</v>
      </c>
      <c r="OS4" s="7">
        <f>IF(OR(ISNUMBER(OO4), ISNUMBER(OQ4)), IF(ISNUMBER(OO4), OO4, 0) + IF(ISNUMBER(OQ4), OQ4, 0), "")</f>
        <v>1</v>
      </c>
      <c r="OT4" s="4"/>
      <c r="OU4" s="11">
        <f t="shared" si="82"/>
        <v>0</v>
      </c>
      <c r="OV4" s="7">
        <v>0.08</v>
      </c>
      <c r="OW4" s="11">
        <f t="shared" si="83"/>
        <v>0.08</v>
      </c>
      <c r="OY4" s="19">
        <v>0</v>
      </c>
      <c r="OZ4" s="8" t="s">
        <v>40</v>
      </c>
      <c r="PA4" s="19">
        <v>0.7</v>
      </c>
      <c r="PB4" s="8" t="s">
        <v>40</v>
      </c>
      <c r="PC4" s="7">
        <f>IF(OR(ISNUMBER(OY4), ISNUMBER(PA4)), IF(ISNUMBER(OY4), OY4, 0) + IF(ISNUMBER(PA4), PA4, 0), "")</f>
        <v>0.7</v>
      </c>
      <c r="PD4" s="4"/>
      <c r="PE4" s="11">
        <f t="shared" si="84"/>
        <v>0.30000000000000004</v>
      </c>
      <c r="PF4" s="7">
        <v>0.13</v>
      </c>
      <c r="PG4" s="11">
        <f t="shared" si="85"/>
        <v>-0.17000000000000004</v>
      </c>
      <c r="PI4" s="19">
        <v>0</v>
      </c>
      <c r="PJ4" s="8" t="s">
        <v>40</v>
      </c>
      <c r="PK4" s="19">
        <v>0.5</v>
      </c>
      <c r="PL4" s="8" t="s">
        <v>40</v>
      </c>
      <c r="PM4" s="7">
        <f>IF(OR(ISNUMBER(PI4), ISNUMBER(PK4)), IF(ISNUMBER(PI4), PI4, 0) + IF(ISNUMBER(PK4), PK4, 0), "")</f>
        <v>0.5</v>
      </c>
      <c r="PN4" s="4">
        <v>1</v>
      </c>
      <c r="PO4" s="11">
        <f t="shared" si="86"/>
        <v>0.19999999999999996</v>
      </c>
      <c r="PP4" s="7">
        <v>0.21</v>
      </c>
      <c r="PQ4" s="11">
        <f t="shared" si="87"/>
        <v>1.0000000000000037E-2</v>
      </c>
      <c r="PS4" s="2">
        <v>1</v>
      </c>
      <c r="PT4" s="8" t="s">
        <v>40</v>
      </c>
      <c r="PU4" s="2">
        <v>0.2</v>
      </c>
      <c r="PV4" s="8" t="s">
        <v>40</v>
      </c>
      <c r="PW4" s="7">
        <f>IF(OR(ISNUMBER(PS4), ISNUMBER(PU4)), IF(ISNUMBER(PS4), PS4, 0) + IF(ISNUMBER(PU4), PU4, 0), "")</f>
        <v>1.2</v>
      </c>
      <c r="PX4" s="4"/>
      <c r="PY4" s="11">
        <f t="shared" si="88"/>
        <v>0.30000000000000004</v>
      </c>
      <c r="PZ4" s="7">
        <v>0.28999999999999998</v>
      </c>
      <c r="QA4" s="11">
        <f t="shared" si="89"/>
        <v>-1.0000000000000064E-2</v>
      </c>
      <c r="QC4" s="2">
        <v>0</v>
      </c>
      <c r="QD4" s="8" t="s">
        <v>40</v>
      </c>
      <c r="QE4" s="2">
        <v>0.7</v>
      </c>
      <c r="QF4" s="8" t="s">
        <v>40</v>
      </c>
      <c r="QG4" s="7">
        <f>IF(OR(ISNUMBER(QC4), ISNUMBER(QE4)), IF(ISNUMBER(QC4), QC4, 0) + IF(ISNUMBER(QE4), QE4, 0), "")</f>
        <v>0.7</v>
      </c>
      <c r="QH4" s="4"/>
      <c r="QI4" s="11">
        <f t="shared" si="90"/>
        <v>0.5</v>
      </c>
      <c r="QJ4" s="7">
        <v>0.28999999999999998</v>
      </c>
      <c r="QK4" s="11">
        <f t="shared" si="91"/>
        <v>-0.21000000000000002</v>
      </c>
      <c r="QM4" s="19"/>
      <c r="QN4" s="8" t="s">
        <v>40</v>
      </c>
      <c r="QO4" s="19">
        <v>0.4</v>
      </c>
      <c r="QP4" s="8" t="s">
        <v>40</v>
      </c>
      <c r="QQ4" s="7">
        <f>IF(OR(ISNUMBER(QM4), ISNUMBER(QO4)), IF(ISNUMBER(QM4), QM4, 0) + IF(ISNUMBER(QO4), QO4, 0), "")</f>
        <v>0.4</v>
      </c>
      <c r="QR4" s="4"/>
      <c r="QS4" s="11">
        <f t="shared" si="92"/>
        <v>0.29999999999999993</v>
      </c>
      <c r="QT4" s="7">
        <v>0.24</v>
      </c>
      <c r="QU4" s="11">
        <f t="shared" si="93"/>
        <v>-5.9999999999999942E-2</v>
      </c>
      <c r="QW4" s="19"/>
      <c r="QX4" s="8" t="s">
        <v>40</v>
      </c>
      <c r="QY4" s="19">
        <v>0.5</v>
      </c>
      <c r="QZ4" s="8" t="s">
        <v>40</v>
      </c>
      <c r="RA4" s="7">
        <f>IF(OR(ISNUMBER(QW4), ISNUMBER(QY4)), IF(ISNUMBER(QW4), QW4, 0) + IF(ISNUMBER(QY4), QY4, 0), "")</f>
        <v>0.5</v>
      </c>
      <c r="RB4" s="4">
        <v>2</v>
      </c>
      <c r="RC4" s="11">
        <f t="shared" si="94"/>
        <v>-9.9999999999999978E-2</v>
      </c>
      <c r="RD4" s="7">
        <v>0.24</v>
      </c>
      <c r="RE4" s="11">
        <f t="shared" si="95"/>
        <v>0.33999999999999997</v>
      </c>
      <c r="RG4" s="19">
        <v>2</v>
      </c>
      <c r="RH4" s="8" t="s">
        <v>40</v>
      </c>
      <c r="RI4" s="19">
        <v>0.1</v>
      </c>
      <c r="RJ4" s="8" t="s">
        <v>40</v>
      </c>
      <c r="RK4" s="7">
        <f>IF(OR(ISNUMBER(RG4), ISNUMBER(RI4)), IF(ISNUMBER(RG4), RG4, 0) + IF(ISNUMBER(RI4), RI4, 0), "")</f>
        <v>2.1</v>
      </c>
      <c r="RL4" s="4"/>
      <c r="RM4" s="11">
        <f t="shared" si="96"/>
        <v>0.39999999999999991</v>
      </c>
      <c r="RN4" s="7">
        <v>0.35</v>
      </c>
      <c r="RO4" s="11">
        <f t="shared" si="97"/>
        <v>-4.9999999999999933E-2</v>
      </c>
      <c r="RQ4" s="2">
        <v>1</v>
      </c>
      <c r="RR4" s="8" t="s">
        <v>40</v>
      </c>
      <c r="RS4" s="2">
        <v>0.4</v>
      </c>
      <c r="RT4" s="8" t="s">
        <v>40</v>
      </c>
      <c r="RU4" s="7">
        <f>IF(OR(ISNUMBER(RQ4), ISNUMBER(RS4)), IF(ISNUMBER(RQ4), RQ4, 0) + IF(ISNUMBER(RS4), RS4, 0), "")</f>
        <v>1.4</v>
      </c>
      <c r="RV4" s="4"/>
      <c r="RW4" s="11">
        <f t="shared" si="98"/>
        <v>0.70000000000000018</v>
      </c>
      <c r="RX4" s="7">
        <v>0.21</v>
      </c>
      <c r="RY4" s="11">
        <f t="shared" si="99"/>
        <v>-0.49000000000000021</v>
      </c>
      <c r="SA4" s="19">
        <v>1</v>
      </c>
      <c r="SB4" s="8" t="s">
        <v>40</v>
      </c>
      <c r="SC4" s="19">
        <v>0.1</v>
      </c>
      <c r="SD4" s="8" t="s">
        <v>40</v>
      </c>
      <c r="SE4" s="7">
        <f>IF(OR(ISNUMBER(SA4), ISNUMBER(SC4)), IF(ISNUMBER(SA4), SA4, 0) + IF(ISNUMBER(SC4), SC4, 0), "")</f>
        <v>1.1000000000000001</v>
      </c>
      <c r="SF4" s="4"/>
      <c r="SG4" s="11">
        <f t="shared" si="100"/>
        <v>0.29999999999999982</v>
      </c>
      <c r="SH4" s="7">
        <v>0.16</v>
      </c>
      <c r="SI4" s="11">
        <f t="shared" si="101"/>
        <v>-0.13999999999999982</v>
      </c>
      <c r="SK4" s="19">
        <v>1</v>
      </c>
      <c r="SL4" s="8" t="s">
        <v>40</v>
      </c>
      <c r="SM4" s="19">
        <v>0.1</v>
      </c>
      <c r="SN4" s="8" t="s">
        <v>40</v>
      </c>
      <c r="SO4" s="7">
        <f>IF(OR(ISNUMBER(SK4), ISNUMBER(SM4)), IF(ISNUMBER(SK4), SK4, 0) + IF(ISNUMBER(SM4), SM4, 0), "")</f>
        <v>1.1000000000000001</v>
      </c>
      <c r="SP4" s="4"/>
      <c r="SQ4" s="11">
        <f t="shared" si="102"/>
        <v>0</v>
      </c>
      <c r="SR4" s="7"/>
      <c r="SS4" s="11" t="str">
        <f t="shared" si="103"/>
        <v/>
      </c>
      <c r="SU4" s="19">
        <v>1</v>
      </c>
      <c r="SV4" s="8" t="s">
        <v>40</v>
      </c>
      <c r="SW4" s="19">
        <v>0.1</v>
      </c>
      <c r="SX4" s="8" t="s">
        <v>40</v>
      </c>
      <c r="SY4" s="7">
        <f>IF(OR(ISNUMBER(SU4), ISNUMBER(SW4)), IF(ISNUMBER(SU4), SU4, 0) + IF(ISNUMBER(SW4), SW4, 0), "")</f>
        <v>1.1000000000000001</v>
      </c>
      <c r="SZ4" s="4"/>
      <c r="TA4" s="11">
        <f t="shared" si="104"/>
        <v>0</v>
      </c>
      <c r="TB4" s="7">
        <v>0.03</v>
      </c>
      <c r="TC4" s="11">
        <f t="shared" si="105"/>
        <v>0.03</v>
      </c>
      <c r="TE4" s="2">
        <v>0</v>
      </c>
      <c r="TF4" s="8" t="s">
        <v>40</v>
      </c>
      <c r="TG4" s="2">
        <v>0.9</v>
      </c>
      <c r="TH4" s="8" t="s">
        <v>40</v>
      </c>
      <c r="TI4" s="7">
        <f>IF(OR(ISNUMBER(TE4), ISNUMBER(TG4)), IF(ISNUMBER(TE4), TE4, 0) + IF(ISNUMBER(TG4), TG4, 0), "")</f>
        <v>0.9</v>
      </c>
      <c r="TJ4" s="4"/>
      <c r="TK4" s="11">
        <f t="shared" si="106"/>
        <v>0.20000000000000007</v>
      </c>
      <c r="TL4" s="7">
        <v>0.43</v>
      </c>
      <c r="TM4" s="11">
        <f t="shared" si="107"/>
        <v>0.22999999999999993</v>
      </c>
      <c r="TO4" s="19"/>
      <c r="TP4" s="8" t="s">
        <v>40</v>
      </c>
      <c r="TQ4" s="19">
        <v>0.7</v>
      </c>
      <c r="TR4" s="8" t="s">
        <v>40</v>
      </c>
      <c r="TS4" s="7">
        <f>IF(OR(ISNUMBER(TO4), ISNUMBER(TQ4)), IF(ISNUMBER(TO4), TO4, 0) + IF(ISNUMBER(TQ4), TQ4, 0), "")</f>
        <v>0.7</v>
      </c>
      <c r="TT4" s="4"/>
      <c r="TU4" s="11">
        <f t="shared" si="108"/>
        <v>0.20000000000000007</v>
      </c>
      <c r="TV4" s="7">
        <v>0.21</v>
      </c>
      <c r="TW4" s="11">
        <f t="shared" si="109"/>
        <v>9.9999999999999256E-3</v>
      </c>
      <c r="TY4" s="2"/>
      <c r="TZ4" s="8" t="s">
        <v>40</v>
      </c>
      <c r="UA4" s="2">
        <v>0.7</v>
      </c>
      <c r="UB4" s="8" t="s">
        <v>40</v>
      </c>
      <c r="UC4" s="7">
        <f>IF(OR(ISNUMBER(TY4), ISNUMBER(UA4)), IF(ISNUMBER(TY4), TY4, 0) + IF(ISNUMBER(UA4), UA4, 0), "")</f>
        <v>0.7</v>
      </c>
      <c r="UD4" s="4"/>
      <c r="UE4" s="11">
        <f t="shared" si="110"/>
        <v>0</v>
      </c>
      <c r="UF4" s="7">
        <v>0.27</v>
      </c>
      <c r="UG4" s="11">
        <f t="shared" si="111"/>
        <v>0.27</v>
      </c>
      <c r="UI4" s="2">
        <v>0</v>
      </c>
      <c r="UJ4" s="8" t="s">
        <v>40</v>
      </c>
      <c r="UK4" s="2">
        <v>0.4</v>
      </c>
      <c r="UL4" s="8" t="s">
        <v>40</v>
      </c>
      <c r="UM4" s="7">
        <f>IF(OR(ISNUMBER(UI4), ISNUMBER(UK4)), IF(ISNUMBER(UI4), UI4, 0) + IF(ISNUMBER(UK4), UK4, 0), "")</f>
        <v>0.4</v>
      </c>
      <c r="UN4" s="4">
        <v>1</v>
      </c>
      <c r="UO4" s="11">
        <f t="shared" si="112"/>
        <v>0.29999999999999993</v>
      </c>
      <c r="UP4" s="7">
        <v>0.35</v>
      </c>
      <c r="UQ4" s="11">
        <f t="shared" si="113"/>
        <v>5.0000000000000044E-2</v>
      </c>
      <c r="US4" s="19">
        <v>1</v>
      </c>
      <c r="UT4" s="8" t="s">
        <v>40</v>
      </c>
      <c r="UU4" s="19">
        <v>0.1</v>
      </c>
      <c r="UV4" s="8" t="s">
        <v>40</v>
      </c>
      <c r="UW4" s="7">
        <f>IF(OR(ISNUMBER(US4), ISNUMBER(UU4)), IF(ISNUMBER(US4), US4, 0) + IF(ISNUMBER(UU4), UU4, 0), "")</f>
        <v>1.1000000000000001</v>
      </c>
      <c r="UX4" s="4"/>
      <c r="UY4" s="11">
        <f t="shared" si="114"/>
        <v>0.29999999999999982</v>
      </c>
      <c r="UZ4" s="7">
        <v>0.19</v>
      </c>
      <c r="VA4" s="11">
        <f t="shared" si="115"/>
        <v>-0.10999999999999982</v>
      </c>
      <c r="VC4" s="19"/>
      <c r="VD4" s="8" t="s">
        <v>40</v>
      </c>
      <c r="VE4" s="19">
        <v>0.9</v>
      </c>
      <c r="VF4" s="8" t="s">
        <v>40</v>
      </c>
      <c r="VG4" s="7">
        <f>IF(OR(ISNUMBER(VC4), ISNUMBER(VE4)), IF(ISNUMBER(VC4), VC4, 0) + IF(ISNUMBER(VE4), VE4, 0), "")</f>
        <v>0.9</v>
      </c>
      <c r="VH4" s="4"/>
      <c r="VI4" s="11">
        <f t="shared" si="116"/>
        <v>0.20000000000000007</v>
      </c>
      <c r="VJ4" s="7">
        <v>0.24</v>
      </c>
      <c r="VK4" s="11">
        <f t="shared" si="117"/>
        <v>3.9999999999999925E-2</v>
      </c>
      <c r="VM4" s="2"/>
      <c r="VN4" s="8" t="s">
        <v>40</v>
      </c>
      <c r="VO4" s="2">
        <v>0.6</v>
      </c>
      <c r="VP4" s="8" t="s">
        <v>40</v>
      </c>
      <c r="VQ4" s="7">
        <f>IF(OR(ISNUMBER(VM4), ISNUMBER(VO4)), IF(ISNUMBER(VM4), VM4, 0) + IF(ISNUMBER(VO4), VO4, 0), "")</f>
        <v>0.6</v>
      </c>
      <c r="VR4" s="4"/>
      <c r="VS4" s="11">
        <f t="shared" si="118"/>
        <v>0.30000000000000004</v>
      </c>
      <c r="VT4" s="7">
        <v>0.28999999999999998</v>
      </c>
      <c r="VU4" s="11">
        <f t="shared" si="119"/>
        <v>-1.0000000000000064E-2</v>
      </c>
      <c r="VW4" s="19"/>
      <c r="VX4" s="8" t="s">
        <v>40</v>
      </c>
      <c r="VY4" s="19">
        <v>0.2</v>
      </c>
      <c r="VZ4" s="8" t="s">
        <v>40</v>
      </c>
      <c r="WA4" s="7">
        <f>IF(OR(ISNUMBER(VW4), ISNUMBER(VY4)), IF(ISNUMBER(VW4), VW4, 0) + IF(ISNUMBER(VY4), VY4, 0), "")</f>
        <v>0.2</v>
      </c>
      <c r="WB4" s="4">
        <v>2</v>
      </c>
      <c r="WC4" s="11">
        <f t="shared" si="120"/>
        <v>0.39999999999999997</v>
      </c>
      <c r="WD4" s="7">
        <v>0.21</v>
      </c>
      <c r="WE4" s="11">
        <f t="shared" si="121"/>
        <v>-0.18999999999999997</v>
      </c>
      <c r="WG4" s="19">
        <v>1</v>
      </c>
      <c r="WH4" s="8" t="s">
        <v>40</v>
      </c>
      <c r="WI4" s="19">
        <v>0.8</v>
      </c>
      <c r="WJ4" s="8" t="s">
        <v>40</v>
      </c>
      <c r="WK4" s="7">
        <f>IF(OR(ISNUMBER(WG4), ISNUMBER(WI4)), IF(ISNUMBER(WG4), WG4, 0) + IF(ISNUMBER(WI4), WI4, 0), "")</f>
        <v>1.8</v>
      </c>
      <c r="WL4" s="4"/>
      <c r="WM4" s="11">
        <f t="shared" si="122"/>
        <v>0.40000000000000013</v>
      </c>
      <c r="WN4" s="7">
        <v>0.16</v>
      </c>
      <c r="WO4" s="11">
        <f t="shared" si="123"/>
        <v>-0.24000000000000013</v>
      </c>
      <c r="WQ4" s="19">
        <v>1</v>
      </c>
      <c r="WR4" s="8" t="s">
        <v>40</v>
      </c>
      <c r="WS4" s="19">
        <v>0.7</v>
      </c>
      <c r="WT4" s="8" t="s">
        <v>40</v>
      </c>
      <c r="WU4" s="7">
        <f>IF(OR(ISNUMBER(WQ4), ISNUMBER(WS4)), IF(ISNUMBER(WQ4), WQ4, 0) + IF(ISNUMBER(WS4), WS4, 0), "")</f>
        <v>1.7</v>
      </c>
      <c r="WV4" s="4"/>
      <c r="WW4" s="11">
        <f t="shared" si="124"/>
        <v>0.10000000000000009</v>
      </c>
      <c r="WX4" s="7">
        <v>0.11</v>
      </c>
      <c r="WY4" s="11">
        <f t="shared" si="125"/>
        <v>9.9999999999999117E-3</v>
      </c>
      <c r="XA4" s="19">
        <v>1</v>
      </c>
      <c r="XB4" s="8" t="s">
        <v>40</v>
      </c>
      <c r="XC4" s="19">
        <v>0.6</v>
      </c>
      <c r="XD4" s="8" t="s">
        <v>40</v>
      </c>
      <c r="XE4" s="7">
        <f>IF(OR(ISNUMBER(XA4), ISNUMBER(XC4)), IF(ISNUMBER(XA4), XA4, 0) + IF(ISNUMBER(XC4), XC4, 0), "")</f>
        <v>1.6</v>
      </c>
      <c r="XF4" s="4"/>
      <c r="XG4" s="11">
        <f t="shared" si="126"/>
        <v>9.9999999999999867E-2</v>
      </c>
      <c r="XH4" s="7">
        <v>0.11</v>
      </c>
      <c r="XI4" s="11">
        <f t="shared" si="127"/>
        <v>1.0000000000000134E-2</v>
      </c>
      <c r="XK4" s="19">
        <v>1</v>
      </c>
      <c r="XL4" s="8" t="s">
        <v>40</v>
      </c>
      <c r="XM4" s="19">
        <v>0.7</v>
      </c>
      <c r="XN4" s="8" t="s">
        <v>40</v>
      </c>
      <c r="XO4" s="7">
        <f>IF(OR(ISNUMBER(XK4), ISNUMBER(XM4)), IF(ISNUMBER(XK4), XK4, 0) + IF(ISNUMBER(XM4), XM4, 0), "")</f>
        <v>1.7</v>
      </c>
      <c r="XP4" s="4"/>
      <c r="XQ4" s="11">
        <f t="shared" si="128"/>
        <v>-9.9999999999999867E-2</v>
      </c>
      <c r="XR4" s="7">
        <v>0.13</v>
      </c>
      <c r="XS4" s="11">
        <f t="shared" si="129"/>
        <v>0.22999999999999987</v>
      </c>
      <c r="XU4" s="19">
        <v>1</v>
      </c>
      <c r="XV4" s="8" t="s">
        <v>40</v>
      </c>
      <c r="XW4" s="19">
        <v>0.3</v>
      </c>
      <c r="XX4" s="8" t="s">
        <v>40</v>
      </c>
      <c r="XY4" s="7">
        <f>IF(OR(ISNUMBER(XU4), ISNUMBER(XW4)), IF(ISNUMBER(XU4), XU4, 0) + IF(ISNUMBER(XW4), XW4, 0), "")</f>
        <v>1.3</v>
      </c>
      <c r="XZ4" s="4"/>
      <c r="YA4" s="11">
        <f t="shared" si="130"/>
        <v>0.39999999999999991</v>
      </c>
      <c r="YB4" s="7">
        <v>0.37</v>
      </c>
      <c r="YC4" s="11">
        <f t="shared" si="131"/>
        <v>-2.9999999999999916E-2</v>
      </c>
      <c r="YE4" s="19">
        <v>1</v>
      </c>
      <c r="YF4" s="8" t="s">
        <v>40</v>
      </c>
      <c r="YG4" s="19">
        <v>0.1</v>
      </c>
      <c r="YH4" s="8" t="s">
        <v>40</v>
      </c>
      <c r="YI4" s="7">
        <f>IF(OR(ISNUMBER(YE4), ISNUMBER(YG4)), IF(ISNUMBER(YE4), YE4, 0) + IF(ISNUMBER(YG4), YG4, 0), "")</f>
        <v>1.1000000000000001</v>
      </c>
      <c r="YJ4" s="4"/>
      <c r="YK4" s="11">
        <f t="shared" si="132"/>
        <v>0.19999999999999996</v>
      </c>
      <c r="YL4" s="7">
        <v>0.27</v>
      </c>
      <c r="YM4" s="11">
        <f t="shared" si="133"/>
        <v>7.0000000000000062E-2</v>
      </c>
      <c r="YO4" s="19"/>
      <c r="YP4" s="8" t="s">
        <v>40</v>
      </c>
      <c r="YQ4" s="19">
        <v>0.9</v>
      </c>
      <c r="YR4" s="8" t="s">
        <v>40</v>
      </c>
      <c r="YS4" s="7">
        <f>IF(OR(ISNUMBER(YO4), ISNUMBER(YQ4)), IF(ISNUMBER(YO4), YO4, 0) + IF(ISNUMBER(YQ4), YQ4, 0), "")</f>
        <v>0.9</v>
      </c>
      <c r="YT4" s="4">
        <v>1</v>
      </c>
      <c r="YU4" s="11">
        <f t="shared" si="134"/>
        <v>0.20000000000000007</v>
      </c>
      <c r="YV4" s="7">
        <v>0.21</v>
      </c>
      <c r="YW4" s="11">
        <f t="shared" si="135"/>
        <v>9.9999999999999256E-3</v>
      </c>
      <c r="YY4" s="19">
        <v>1</v>
      </c>
      <c r="YZ4" s="8" t="s">
        <v>40</v>
      </c>
      <c r="ZA4" s="19">
        <v>0.6</v>
      </c>
      <c r="ZB4" s="8" t="s">
        <v>40</v>
      </c>
      <c r="ZC4" s="7">
        <f>IF(OR(ISNUMBER(YY4), ISNUMBER(ZA4)), IF(ISNUMBER(YY4), YY4, 0) + IF(ISNUMBER(ZA4), ZA4, 0), "")</f>
        <v>1.6</v>
      </c>
      <c r="ZD4" s="4"/>
      <c r="ZE4" s="11">
        <f t="shared" si="136"/>
        <v>0.29999999999999982</v>
      </c>
      <c r="ZF4" s="7">
        <v>0.32</v>
      </c>
      <c r="ZG4" s="11">
        <f t="shared" si="137"/>
        <v>2.0000000000000184E-2</v>
      </c>
      <c r="ZI4" s="19">
        <v>1</v>
      </c>
      <c r="ZJ4" s="8" t="s">
        <v>40</v>
      </c>
      <c r="ZK4" s="19">
        <v>0.5</v>
      </c>
      <c r="ZL4" s="8" t="s">
        <v>40</v>
      </c>
      <c r="ZM4" s="7">
        <f>IF(OR(ISNUMBER(ZI4), ISNUMBER(ZK4)), IF(ISNUMBER(ZI4), ZI4, 0) + IF(ISNUMBER(ZK4), ZK4, 0), "")</f>
        <v>1.5</v>
      </c>
      <c r="ZN4" s="4"/>
      <c r="ZO4" s="11">
        <f t="shared" si="138"/>
        <v>0.10000000000000009</v>
      </c>
      <c r="ZP4" s="7">
        <v>0.13</v>
      </c>
      <c r="ZQ4" s="11">
        <f t="shared" si="139"/>
        <v>2.9999999999999916E-2</v>
      </c>
      <c r="ZS4" s="19">
        <v>1</v>
      </c>
      <c r="ZT4" s="8" t="s">
        <v>40</v>
      </c>
      <c r="ZU4" s="19">
        <v>0.1</v>
      </c>
      <c r="ZV4" s="8" t="s">
        <v>40</v>
      </c>
      <c r="ZW4" s="7">
        <f>IF(OR(ISNUMBER(ZS4), ISNUMBER(ZU4)), IF(ISNUMBER(ZS4), ZS4, 0) + IF(ISNUMBER(ZU4), ZU4, 0), "")</f>
        <v>1.1000000000000001</v>
      </c>
      <c r="ZX4" s="4"/>
      <c r="ZY4" s="11">
        <f t="shared" si="140"/>
        <v>0.39999999999999991</v>
      </c>
      <c r="ZZ4" s="7">
        <v>0.37</v>
      </c>
      <c r="AAA4" s="11">
        <f t="shared" si="141"/>
        <v>-2.9999999999999916E-2</v>
      </c>
      <c r="AAC4" s="19"/>
      <c r="AAD4" s="8" t="s">
        <v>40</v>
      </c>
      <c r="AAE4" s="19">
        <v>0.6</v>
      </c>
      <c r="AAF4" s="8" t="s">
        <v>40</v>
      </c>
      <c r="AAG4" s="7">
        <f>IF(OR(ISNUMBER(AAC4), ISNUMBER(AAE4)), IF(ISNUMBER(AAC4), AAC4, 0) + IF(ISNUMBER(AAE4), AAE4, 0), "")</f>
        <v>0.6</v>
      </c>
      <c r="AAH4" s="4"/>
      <c r="AAI4" s="11">
        <f t="shared" si="142"/>
        <v>0.50000000000000011</v>
      </c>
      <c r="AAJ4" s="7">
        <v>0.19</v>
      </c>
      <c r="AAK4" s="11">
        <f t="shared" si="143"/>
        <v>-0.31000000000000011</v>
      </c>
      <c r="AAM4" s="19">
        <v>0</v>
      </c>
      <c r="AAN4" s="8" t="s">
        <v>40</v>
      </c>
      <c r="AAO4" s="19">
        <v>0.6</v>
      </c>
      <c r="AAP4" s="8" t="s">
        <v>40</v>
      </c>
      <c r="AAQ4" s="7">
        <f>IF(OR(ISNUMBER(AAM4), ISNUMBER(AAO4)), IF(ISNUMBER(AAM4), AAM4, 0) + IF(ISNUMBER(AAO4), AAO4, 0), "")</f>
        <v>0.6</v>
      </c>
      <c r="AAR4" s="4">
        <v>2</v>
      </c>
      <c r="AAS4" s="11">
        <f t="shared" si="144"/>
        <v>0</v>
      </c>
      <c r="AAT4" s="7">
        <v>0.03</v>
      </c>
      <c r="AAU4" s="11">
        <f t="shared" si="145"/>
        <v>0.03</v>
      </c>
      <c r="AAW4" s="19">
        <v>2</v>
      </c>
      <c r="AAX4" s="8" t="s">
        <v>40</v>
      </c>
      <c r="AAY4" s="19">
        <v>0.2</v>
      </c>
      <c r="AAZ4" s="8" t="s">
        <v>40</v>
      </c>
      <c r="ABA4" s="7">
        <f>IF(OR(ISNUMBER(AAW4), ISNUMBER(AAY4)), IF(ISNUMBER(AAW4), AAW4, 0) + IF(ISNUMBER(AAY4), AAY4, 0), "")</f>
        <v>2.2000000000000002</v>
      </c>
      <c r="ABB4" s="4"/>
      <c r="ABC4" s="11">
        <f t="shared" si="146"/>
        <v>0.39999999999999991</v>
      </c>
      <c r="ABD4" s="7">
        <v>0.11</v>
      </c>
      <c r="ABE4" s="11">
        <f t="shared" si="147"/>
        <v>-0.28999999999999992</v>
      </c>
      <c r="ABG4" s="2">
        <v>2</v>
      </c>
      <c r="ABH4" s="8" t="s">
        <v>40</v>
      </c>
      <c r="ABI4" s="2">
        <v>0.2</v>
      </c>
      <c r="ABJ4" s="8" t="s">
        <v>40</v>
      </c>
      <c r="ABK4" s="7">
        <f>IF(OR(ISNUMBER(ABG4), ISNUMBER(ABI4)), IF(ISNUMBER(ABG4), ABG4, 0) + IF(ISNUMBER(ABI4), ABI4, 0), "")</f>
        <v>2.2000000000000002</v>
      </c>
      <c r="ABL4" s="4"/>
      <c r="ABM4" s="11">
        <f t="shared" si="148"/>
        <v>0</v>
      </c>
      <c r="ABN4" s="7">
        <v>0.19</v>
      </c>
      <c r="ABO4" s="11">
        <f t="shared" si="149"/>
        <v>0.19</v>
      </c>
      <c r="ABQ4" s="19">
        <v>2</v>
      </c>
      <c r="ABR4" s="8" t="s">
        <v>40</v>
      </c>
      <c r="ABS4" s="19">
        <v>0.1</v>
      </c>
      <c r="ABT4" s="8" t="s">
        <v>40</v>
      </c>
      <c r="ABU4" s="7">
        <f>IF(OR(ISNUMBER(ABQ4), ISNUMBER(ABS4)), IF(ISNUMBER(ABQ4), ABQ4, 0) + IF(ISNUMBER(ABS4), ABS4, 0), "")</f>
        <v>2.1</v>
      </c>
      <c r="ABV4" s="4"/>
      <c r="ABW4" s="11">
        <f t="shared" si="150"/>
        <v>0.10000000000000009</v>
      </c>
      <c r="ABX4" s="7">
        <v>0.13</v>
      </c>
      <c r="ABY4" s="11">
        <f t="shared" si="151"/>
        <v>2.9999999999999916E-2</v>
      </c>
      <c r="ACA4" s="19">
        <v>1</v>
      </c>
      <c r="ACB4" s="8" t="s">
        <v>40</v>
      </c>
      <c r="ACC4" s="19">
        <v>0.9</v>
      </c>
      <c r="ACD4" s="8" t="s">
        <v>40</v>
      </c>
      <c r="ACE4" s="7">
        <f>IF(OR(ISNUMBER(ACA4), ISNUMBER(ACC4)), IF(ISNUMBER(ACA4), ACA4, 0) + IF(ISNUMBER(ACC4), ACC4, 0), "")</f>
        <v>1.9</v>
      </c>
      <c r="ACF4" s="4"/>
      <c r="ACG4" s="11">
        <f t="shared" si="152"/>
        <v>0.20000000000000018</v>
      </c>
      <c r="ACH4" s="7">
        <v>0.24</v>
      </c>
      <c r="ACI4" s="11">
        <f t="shared" si="153"/>
        <v>3.9999999999999813E-2</v>
      </c>
      <c r="ACK4" s="19">
        <v>1</v>
      </c>
      <c r="ACL4" s="8" t="s">
        <v>40</v>
      </c>
      <c r="ACM4" s="19">
        <v>0.9</v>
      </c>
      <c r="ACN4" s="8" t="s">
        <v>40</v>
      </c>
      <c r="ACO4" s="7">
        <f>IF(OR(ISNUMBER(ACK4), ISNUMBER(ACM4)), IF(ISNUMBER(ACK4), ACK4, 0) + IF(ISNUMBER(ACM4), ACM4, 0), "")</f>
        <v>1.9</v>
      </c>
      <c r="ACP4" s="4"/>
      <c r="ACQ4" s="11">
        <f t="shared" si="154"/>
        <v>0</v>
      </c>
      <c r="ACR4" s="7">
        <v>0.16</v>
      </c>
      <c r="ACS4" s="11">
        <f t="shared" si="155"/>
        <v>0.16</v>
      </c>
      <c r="ACU4" s="19">
        <v>1</v>
      </c>
      <c r="ACV4" s="8" t="s">
        <v>40</v>
      </c>
      <c r="ACW4" s="19">
        <v>0.6</v>
      </c>
      <c r="ACX4" s="8" t="s">
        <v>40</v>
      </c>
      <c r="ACY4" s="7">
        <f>IF(OR(ISNUMBER(ACU4), ISNUMBER(ACW4)), IF(ISNUMBER(ACU4), ACU4, 0) + IF(ISNUMBER(ACW4), ACW4, 0), "")</f>
        <v>1.6</v>
      </c>
      <c r="ACZ4" s="4"/>
      <c r="ADA4" s="11">
        <f t="shared" si="156"/>
        <v>0.29999999999999982</v>
      </c>
      <c r="ADB4" s="7">
        <v>0.19</v>
      </c>
      <c r="ADC4" s="11">
        <f t="shared" si="157"/>
        <v>-0.10999999999999982</v>
      </c>
      <c r="ADE4" s="19">
        <v>1</v>
      </c>
      <c r="ADF4" s="8" t="s">
        <v>40</v>
      </c>
      <c r="ADG4" s="19">
        <v>0.6</v>
      </c>
      <c r="ADH4" s="8" t="s">
        <v>40</v>
      </c>
      <c r="ADI4" s="7">
        <f>IF(OR(ISNUMBER(ADE4), ISNUMBER(ADG4)), IF(ISNUMBER(ADE4), ADE4, 0) + IF(ISNUMBER(ADG4), ADG4, 0), "")</f>
        <v>1.6</v>
      </c>
      <c r="ADJ4" s="4">
        <v>1</v>
      </c>
      <c r="ADK4" s="11">
        <f t="shared" si="158"/>
        <v>0</v>
      </c>
      <c r="ADL4" s="7">
        <v>0.21</v>
      </c>
      <c r="ADM4" s="11">
        <f t="shared" si="159"/>
        <v>0.21</v>
      </c>
      <c r="ADO4" s="19">
        <v>2</v>
      </c>
      <c r="ADP4" s="8" t="s">
        <v>40</v>
      </c>
      <c r="ADQ4" s="19">
        <v>0.1</v>
      </c>
      <c r="ADR4" s="8" t="s">
        <v>40</v>
      </c>
      <c r="ADS4" s="7">
        <f>IF(OR(ISNUMBER(ADO4), ISNUMBER(ADQ4)), IF(ISNUMBER(ADO4), ADO4, 0) + IF(ISNUMBER(ADQ4), ADQ4, 0), "")</f>
        <v>2.1</v>
      </c>
      <c r="ADT4" s="4"/>
      <c r="ADU4" s="11">
        <f t="shared" si="160"/>
        <v>0.5</v>
      </c>
      <c r="ADV4" s="7">
        <v>0.27</v>
      </c>
      <c r="ADW4" s="11">
        <f t="shared" si="161"/>
        <v>-0.22999999999999998</v>
      </c>
      <c r="ADY4" s="19">
        <v>1</v>
      </c>
      <c r="ADZ4" s="8" t="s">
        <v>40</v>
      </c>
      <c r="AEA4" s="19">
        <v>0.9</v>
      </c>
      <c r="AEB4" s="8" t="s">
        <v>40</v>
      </c>
      <c r="AEC4" s="7">
        <f>IF(OR(ISNUMBER(ADY4), ISNUMBER(AEA4)), IF(ISNUMBER(ADY4), ADY4, 0) + IF(ISNUMBER(AEA4), AEA4, 0), "")</f>
        <v>1.9</v>
      </c>
      <c r="AED4" s="4"/>
      <c r="AEE4" s="11">
        <f t="shared" si="162"/>
        <v>0.20000000000000018</v>
      </c>
      <c r="AEF4" s="7">
        <v>0.16</v>
      </c>
      <c r="AEG4" s="11">
        <f t="shared" si="163"/>
        <v>-4.0000000000000174E-2</v>
      </c>
      <c r="AEI4" s="19">
        <v>1</v>
      </c>
      <c r="AEJ4" s="8" t="s">
        <v>40</v>
      </c>
      <c r="AEK4" s="19">
        <v>0.8</v>
      </c>
      <c r="AEL4" s="8" t="s">
        <v>40</v>
      </c>
      <c r="AEM4" s="7">
        <f>IF(OR(ISNUMBER(AEI4), ISNUMBER(AEK4)), IF(ISNUMBER(AEI4), AEI4, 0) + IF(ISNUMBER(AEK4), AEK4, 0), "")</f>
        <v>1.8</v>
      </c>
      <c r="AEN4" s="4"/>
      <c r="AEO4" s="11">
        <f t="shared" si="164"/>
        <v>9.9999999999999867E-2</v>
      </c>
      <c r="AEP4" s="7">
        <v>0.11</v>
      </c>
      <c r="AEQ4" s="11">
        <f t="shared" si="165"/>
        <v>1.0000000000000134E-2</v>
      </c>
      <c r="AES4" s="19">
        <v>1</v>
      </c>
      <c r="AET4" s="8" t="s">
        <v>40</v>
      </c>
      <c r="AEU4" s="19">
        <v>0.6</v>
      </c>
      <c r="AEV4" s="8" t="s">
        <v>40</v>
      </c>
      <c r="AEW4" s="7">
        <f>IF(OR(ISNUMBER(AES4), ISNUMBER(AEU4)), IF(ISNUMBER(AES4), AES4, 0) + IF(ISNUMBER(AEU4), AEU4, 0), "")</f>
        <v>1.6</v>
      </c>
      <c r="AEX4" s="4"/>
      <c r="AEY4" s="11">
        <f t="shared" si="166"/>
        <v>0.19999999999999996</v>
      </c>
      <c r="AEZ4" s="7">
        <v>0.28999999999999998</v>
      </c>
      <c r="AFA4" s="11">
        <f t="shared" si="167"/>
        <v>9.0000000000000024E-2</v>
      </c>
      <c r="AFC4" s="19">
        <v>1</v>
      </c>
      <c r="AFD4" s="8" t="s">
        <v>40</v>
      </c>
      <c r="AFE4" s="19">
        <v>0.5</v>
      </c>
      <c r="AFF4" s="8" t="s">
        <v>40</v>
      </c>
      <c r="AFG4" s="7">
        <f>IF(OR(ISNUMBER(AFC4), ISNUMBER(AFE4)), IF(ISNUMBER(AFC4), AFC4, 0) + IF(ISNUMBER(AFE4), AFE4, 0), "")</f>
        <v>1.5</v>
      </c>
      <c r="AFH4" s="4"/>
      <c r="AFI4" s="11">
        <f t="shared" si="168"/>
        <v>0.10000000000000009</v>
      </c>
      <c r="AFJ4" s="7">
        <v>0.08</v>
      </c>
      <c r="AFK4" s="11">
        <f t="shared" si="169"/>
        <v>-2.0000000000000087E-2</v>
      </c>
      <c r="AFM4" s="19">
        <v>1</v>
      </c>
      <c r="AFN4" s="8" t="s">
        <v>40</v>
      </c>
      <c r="AFO4" s="19">
        <v>0.3</v>
      </c>
      <c r="AFP4" s="8" t="s">
        <v>40</v>
      </c>
      <c r="AFQ4" s="7">
        <f>IF(OR(ISNUMBER(AFM4), ISNUMBER(AFO4)), IF(ISNUMBER(AFM4), AFM4, 0) + IF(ISNUMBER(AFO4), AFO4, 0), "")</f>
        <v>1.3</v>
      </c>
      <c r="AFR4" s="4"/>
      <c r="AFS4" s="11">
        <f t="shared" si="170"/>
        <v>0.19999999999999996</v>
      </c>
      <c r="AFT4" s="7">
        <v>0.21</v>
      </c>
      <c r="AFU4" s="11">
        <f t="shared" si="171"/>
        <v>1.0000000000000037E-2</v>
      </c>
      <c r="AFW4" s="19">
        <v>1</v>
      </c>
      <c r="AFX4" s="8" t="s">
        <v>40</v>
      </c>
      <c r="AFY4" s="19">
        <v>0.1</v>
      </c>
      <c r="AFZ4" s="8" t="s">
        <v>40</v>
      </c>
      <c r="AGA4" s="7">
        <f>IF(OR(ISNUMBER(AFW4), ISNUMBER(AFY4)), IF(ISNUMBER(AFW4), AFW4, 0) + IF(ISNUMBER(AFY4), AFY4, 0), "")</f>
        <v>1.1000000000000001</v>
      </c>
      <c r="AGB4" s="4"/>
      <c r="AGC4" s="11">
        <f t="shared" si="172"/>
        <v>0.19999999999999996</v>
      </c>
      <c r="AGD4" s="7">
        <v>0.21</v>
      </c>
      <c r="AGE4" s="11">
        <f t="shared" si="173"/>
        <v>1.0000000000000037E-2</v>
      </c>
      <c r="AGG4" s="19">
        <v>0</v>
      </c>
      <c r="AGH4" s="8" t="s">
        <v>40</v>
      </c>
      <c r="AGI4" s="19">
        <v>0.8</v>
      </c>
      <c r="AGJ4" s="8" t="s">
        <v>40</v>
      </c>
      <c r="AGK4" s="7">
        <f>IF(OR(ISNUMBER(AGG4), ISNUMBER(AGI4)), IF(ISNUMBER(AGG4), AGG4, 0) + IF(ISNUMBER(AGI4), AGI4, 0), "")</f>
        <v>0.8</v>
      </c>
      <c r="AGL4" s="4">
        <v>1</v>
      </c>
      <c r="AGM4" s="11">
        <f t="shared" si="174"/>
        <v>0.30000000000000004</v>
      </c>
      <c r="AGN4" s="7">
        <v>0.21</v>
      </c>
      <c r="AGO4" s="11">
        <f t="shared" si="175"/>
        <v>-9.0000000000000052E-2</v>
      </c>
      <c r="AGQ4" s="2">
        <v>1</v>
      </c>
      <c r="AGR4" s="8" t="s">
        <v>40</v>
      </c>
      <c r="AGS4" s="2">
        <v>0.6</v>
      </c>
      <c r="AGT4" s="8" t="s">
        <v>40</v>
      </c>
      <c r="AGU4" s="7">
        <f>IF(OR(ISNUMBER(AGQ4), ISNUMBER(AGS4)), IF(ISNUMBER(AGQ4), AGQ4, 0) + IF(ISNUMBER(AGS4), AGS4, 0), "")</f>
        <v>1.6</v>
      </c>
      <c r="AGV4" s="4"/>
      <c r="AGW4" s="11">
        <f t="shared" si="176"/>
        <v>0.19999999999999996</v>
      </c>
      <c r="AGX4" s="7">
        <v>0.24</v>
      </c>
      <c r="AGY4" s="11">
        <f t="shared" si="177"/>
        <v>4.0000000000000036E-2</v>
      </c>
      <c r="AHA4" s="2">
        <v>1</v>
      </c>
      <c r="AHB4" s="8" t="s">
        <v>40</v>
      </c>
      <c r="AHC4" s="2">
        <v>0.2</v>
      </c>
      <c r="AHD4" s="8" t="s">
        <v>40</v>
      </c>
      <c r="AHE4" s="7">
        <f>IF(OR(ISNUMBER(AHA4), ISNUMBER(AHC4)), IF(ISNUMBER(AHA4), AHA4, 0) + IF(ISNUMBER(AHC4), AHC4, 0), "")</f>
        <v>1.2</v>
      </c>
      <c r="AHF4" s="4"/>
      <c r="AHG4" s="11">
        <f t="shared" si="178"/>
        <v>0.40000000000000013</v>
      </c>
      <c r="AHH4" s="7">
        <v>0.45</v>
      </c>
      <c r="AHI4" s="11">
        <f t="shared" si="179"/>
        <v>4.9999999999999878E-2</v>
      </c>
      <c r="AHK4" s="19">
        <v>0</v>
      </c>
      <c r="AHL4" s="8" t="s">
        <v>40</v>
      </c>
      <c r="AHM4" s="19">
        <v>0.9</v>
      </c>
      <c r="AHN4" s="8" t="s">
        <v>40</v>
      </c>
      <c r="AHO4" s="7">
        <f>IF(OR(ISNUMBER(AHK4), ISNUMBER(AHM4)), IF(ISNUMBER(AHK4), AHK4, 0) + IF(ISNUMBER(AHM4), AHM4, 0), "")</f>
        <v>0.9</v>
      </c>
      <c r="AHP4" s="4"/>
      <c r="AHQ4" s="11">
        <f t="shared" si="180"/>
        <v>0.29999999999999993</v>
      </c>
      <c r="AHR4" s="7">
        <v>0.19</v>
      </c>
      <c r="AHS4" s="11">
        <f t="shared" si="181"/>
        <v>-0.10999999999999993</v>
      </c>
      <c r="AHU4" s="19"/>
      <c r="AHV4" s="8" t="s">
        <v>40</v>
      </c>
      <c r="AHW4" s="19">
        <v>0.8</v>
      </c>
      <c r="AHX4" s="8" t="s">
        <v>40</v>
      </c>
      <c r="AHY4" s="7">
        <f>IF(OR(ISNUMBER(AHU4), ISNUMBER(AHW4)), IF(ISNUMBER(AHU4), AHU4, 0) + IF(ISNUMBER(AHW4), AHW4, 0), "")</f>
        <v>0.8</v>
      </c>
      <c r="AHZ4" s="4">
        <v>2</v>
      </c>
      <c r="AIA4" s="11">
        <f t="shared" si="182"/>
        <v>9.9999999999999978E-2</v>
      </c>
      <c r="AIB4" s="7">
        <v>0.13</v>
      </c>
      <c r="AIC4" s="11">
        <f t="shared" si="183"/>
        <v>3.0000000000000027E-2</v>
      </c>
      <c r="AIE4" s="2">
        <v>2</v>
      </c>
      <c r="AIF4" s="8" t="s">
        <v>40</v>
      </c>
      <c r="AIG4" s="2">
        <v>0.7</v>
      </c>
      <c r="AIH4" s="8" t="s">
        <v>40</v>
      </c>
      <c r="AII4" s="7">
        <f>IF(OR(ISNUMBER(AIE4), ISNUMBER(AIG4)), IF(ISNUMBER(AIE4), AIE4, 0) + IF(ISNUMBER(AIG4), AIG4, 0), "")</f>
        <v>2.7</v>
      </c>
      <c r="AIJ4" s="4"/>
      <c r="AIK4" s="11">
        <f t="shared" si="184"/>
        <v>9.9999999999999645E-2</v>
      </c>
      <c r="AIL4" s="7">
        <v>0.13</v>
      </c>
      <c r="AIM4" s="11">
        <f t="shared" si="185"/>
        <v>3.000000000000036E-2</v>
      </c>
      <c r="AIO4" s="19">
        <v>2</v>
      </c>
      <c r="AIP4" s="8" t="s">
        <v>40</v>
      </c>
      <c r="AIQ4" s="19">
        <v>0.6</v>
      </c>
      <c r="AIR4" s="8" t="s">
        <v>40</v>
      </c>
      <c r="AIS4" s="7">
        <f>IF(OR(ISNUMBER(AIO4), ISNUMBER(AIQ4)), IF(ISNUMBER(AIO4), AIO4, 0) + IF(ISNUMBER(AIQ4), AIQ4, 0), "")</f>
        <v>2.6</v>
      </c>
      <c r="AIT4" s="4"/>
      <c r="AIU4" s="11">
        <f t="shared" si="186"/>
        <v>0.10000000000000009</v>
      </c>
      <c r="AIV4" s="7">
        <v>0.11</v>
      </c>
      <c r="AIW4" s="11">
        <f t="shared" si="187"/>
        <v>9.9999999999999117E-3</v>
      </c>
      <c r="AIY4" s="19">
        <v>2</v>
      </c>
      <c r="AIZ4" s="8" t="s">
        <v>40</v>
      </c>
      <c r="AJA4" s="19">
        <v>0.1</v>
      </c>
      <c r="AJB4" s="8" t="s">
        <v>40</v>
      </c>
      <c r="AJC4" s="7">
        <f>IF(OR(ISNUMBER(AIY4), ISNUMBER(AJA4)), IF(ISNUMBER(AIY4), AIY4, 0) + IF(ISNUMBER(AJA4), AJA4, 0), "")</f>
        <v>2.1</v>
      </c>
      <c r="AJD4" s="4"/>
      <c r="AJE4" s="11">
        <f t="shared" si="188"/>
        <v>0.5</v>
      </c>
      <c r="AJF4" s="7">
        <v>0.56000000000000005</v>
      </c>
      <c r="AJG4" s="11">
        <f t="shared" si="189"/>
        <v>6.0000000000000053E-2</v>
      </c>
      <c r="AJI4" s="2">
        <v>1</v>
      </c>
      <c r="AJJ4" s="8" t="s">
        <v>40</v>
      </c>
      <c r="AJK4" s="2">
        <v>0.9</v>
      </c>
      <c r="AJL4" s="8" t="s">
        <v>40</v>
      </c>
      <c r="AJM4" s="7">
        <f>IF(OR(ISNUMBER(AJI4), ISNUMBER(AJK4)), IF(ISNUMBER(AJI4), AJI4, 0) + IF(ISNUMBER(AJK4), AJK4, 0), "")</f>
        <v>1.9</v>
      </c>
      <c r="AJN4" s="4"/>
      <c r="AJO4" s="11">
        <f t="shared" si="190"/>
        <v>0.20000000000000018</v>
      </c>
      <c r="AJP4" s="7">
        <v>0.4</v>
      </c>
      <c r="AJQ4" s="11">
        <f t="shared" si="191"/>
        <v>0.19999999999999984</v>
      </c>
      <c r="AJS4" s="19">
        <v>1</v>
      </c>
      <c r="AJT4" s="8" t="s">
        <v>40</v>
      </c>
      <c r="AJU4" s="19">
        <v>0.5</v>
      </c>
      <c r="AJV4" s="8" t="s">
        <v>40</v>
      </c>
      <c r="AJW4" s="7">
        <f>IF(OR(ISNUMBER(AJS4), ISNUMBER(AJU4)), IF(ISNUMBER(AJS4), AJS4, 0) + IF(ISNUMBER(AJU4), AJU4, 0), "")</f>
        <v>1.5</v>
      </c>
      <c r="AJX4" s="4"/>
      <c r="AJY4" s="11">
        <f t="shared" si="192"/>
        <v>0.39999999999999991</v>
      </c>
      <c r="AJZ4" s="7">
        <v>0.48</v>
      </c>
      <c r="AKA4" s="11">
        <f t="shared" si="193"/>
        <v>8.0000000000000071E-2</v>
      </c>
      <c r="AKC4" s="2">
        <v>1</v>
      </c>
      <c r="AKD4" s="8" t="s">
        <v>40</v>
      </c>
      <c r="AKE4" s="2">
        <v>0.3</v>
      </c>
      <c r="AKF4" s="8" t="s">
        <v>40</v>
      </c>
      <c r="AKG4" s="7">
        <f>IF(OR(ISNUMBER(AKC4), ISNUMBER(AKE4)), IF(ISNUMBER(AKC4), AKC4, 0) + IF(ISNUMBER(AKE4), AKE4, 0), "")</f>
        <v>1.3</v>
      </c>
      <c r="AKH4" s="4"/>
      <c r="AKI4" s="11">
        <f t="shared" si="194"/>
        <v>0.19999999999999996</v>
      </c>
      <c r="AKJ4" s="7">
        <v>0.13</v>
      </c>
      <c r="AKK4" s="11">
        <f t="shared" si="195"/>
        <v>-6.9999999999999951E-2</v>
      </c>
      <c r="AKM4" s="19">
        <v>0</v>
      </c>
      <c r="AKN4" s="8" t="s">
        <v>40</v>
      </c>
      <c r="AKO4" s="19">
        <v>1</v>
      </c>
      <c r="AKP4" s="8" t="s">
        <v>40</v>
      </c>
      <c r="AKQ4" s="7">
        <f>IF(OR(ISNUMBER(AKM4), ISNUMBER(AKO4)), IF(ISNUMBER(AKM4), AKM4, 0) + IF(ISNUMBER(AKO4), AKO4, 0), "")</f>
        <v>1</v>
      </c>
      <c r="AKR4" s="4"/>
      <c r="AKS4" s="11">
        <f t="shared" si="196"/>
        <v>0.30000000000000004</v>
      </c>
      <c r="AKT4" s="7">
        <v>0.28999999999999998</v>
      </c>
      <c r="AKU4" s="11">
        <f t="shared" si="197"/>
        <v>-1.0000000000000064E-2</v>
      </c>
      <c r="AKW4" s="19">
        <v>0</v>
      </c>
      <c r="AKX4" s="8" t="s">
        <v>40</v>
      </c>
      <c r="AKY4" s="19">
        <v>0.9</v>
      </c>
      <c r="AKZ4" s="8" t="s">
        <v>40</v>
      </c>
      <c r="ALA4" s="7">
        <f>IF(OR(ISNUMBER(AKW4), ISNUMBER(AKY4)), IF(ISNUMBER(AKW4), AKW4, 0) + IF(ISNUMBER(AKY4), AKY4, 0), "")</f>
        <v>0.9</v>
      </c>
      <c r="ALB4" s="4"/>
      <c r="ALC4" s="11">
        <f t="shared" si="198"/>
        <v>9.9999999999999978E-2</v>
      </c>
      <c r="ALD4" s="7">
        <v>0.21</v>
      </c>
      <c r="ALE4" s="11">
        <f t="shared" si="199"/>
        <v>0.11000000000000001</v>
      </c>
      <c r="ALG4" s="2">
        <v>0</v>
      </c>
      <c r="ALH4" s="8" t="s">
        <v>40</v>
      </c>
      <c r="ALI4" s="2">
        <v>0.8</v>
      </c>
      <c r="ALJ4" s="8" t="s">
        <v>40</v>
      </c>
      <c r="ALK4" s="7">
        <f>IF(OR(ISNUMBER(ALG4), ISNUMBER(ALI4)), IF(ISNUMBER(ALG4), ALG4, 0) + IF(ISNUMBER(ALI4), ALI4, 0), "")</f>
        <v>0.8</v>
      </c>
      <c r="ALL4" s="4">
        <v>2</v>
      </c>
      <c r="ALM4" s="11">
        <f t="shared" si="200"/>
        <v>9.9999999999999978E-2</v>
      </c>
      <c r="ALN4" s="7">
        <v>0.13</v>
      </c>
      <c r="ALO4" s="11">
        <f t="shared" si="201"/>
        <v>3.0000000000000027E-2</v>
      </c>
      <c r="ALQ4" s="2">
        <v>2</v>
      </c>
      <c r="ALR4" s="8" t="s">
        <v>40</v>
      </c>
      <c r="ALS4" s="2">
        <v>0.5</v>
      </c>
      <c r="ALT4" s="8" t="s">
        <v>40</v>
      </c>
      <c r="ALU4" s="7">
        <f>IF(OR(ISNUMBER(ALQ4), ISNUMBER(ALS4)), IF(ISNUMBER(ALQ4), ALQ4, 0) + IF(ISNUMBER(ALS4), ALS4, 0), "")</f>
        <v>2.5</v>
      </c>
      <c r="ALV4" s="4"/>
      <c r="ALW4" s="11">
        <f t="shared" si="202"/>
        <v>0.29999999999999982</v>
      </c>
      <c r="ALX4" s="7">
        <v>0.16</v>
      </c>
      <c r="ALY4" s="11">
        <f t="shared" si="203"/>
        <v>-0.13999999999999982</v>
      </c>
      <c r="AMA4" s="19">
        <v>2</v>
      </c>
      <c r="AMB4" s="8" t="s">
        <v>40</v>
      </c>
      <c r="AMC4" s="19">
        <v>0.3</v>
      </c>
      <c r="AMD4" s="8" t="s">
        <v>40</v>
      </c>
      <c r="AME4" s="7">
        <f>IF(OR(ISNUMBER(AMA4), ISNUMBER(AMC4)), IF(ISNUMBER(AMA4), AMA4, 0) + IF(ISNUMBER(AMC4), AMC4, 0), "")</f>
        <v>2.2999999999999998</v>
      </c>
      <c r="AMF4" s="4"/>
      <c r="AMG4" s="11">
        <f t="shared" si="204"/>
        <v>0.20000000000000018</v>
      </c>
      <c r="AMH4" s="7">
        <v>0.24</v>
      </c>
      <c r="AMI4" s="11">
        <f t="shared" si="205"/>
        <v>3.9999999999999813E-2</v>
      </c>
      <c r="AMK4" s="19">
        <v>2</v>
      </c>
      <c r="AML4" s="8" t="s">
        <v>40</v>
      </c>
      <c r="AMM4" s="19">
        <v>0.2</v>
      </c>
      <c r="AMN4" s="8" t="s">
        <v>40</v>
      </c>
      <c r="AMO4" s="7">
        <f>IF(OR(ISNUMBER(AMK4), ISNUMBER(AMM4)), IF(ISNUMBER(AMK4), AMK4, 0) + IF(ISNUMBER(AMM4), AMM4, 0), "")</f>
        <v>2.2000000000000002</v>
      </c>
      <c r="AMP4" s="4"/>
      <c r="AMQ4" s="11">
        <f t="shared" si="206"/>
        <v>9.9999999999999645E-2</v>
      </c>
      <c r="AMR4" s="7">
        <v>0.13</v>
      </c>
      <c r="AMS4" s="11">
        <f t="shared" si="207"/>
        <v>3.000000000000036E-2</v>
      </c>
      <c r="AMU4" s="2">
        <v>1</v>
      </c>
      <c r="AMV4" s="8" t="s">
        <v>40</v>
      </c>
      <c r="AMW4" s="2">
        <v>0.9</v>
      </c>
      <c r="AMX4" s="8" t="s">
        <v>40</v>
      </c>
      <c r="AMY4" s="7">
        <f>IF(OR(ISNUMBER(AMU4), ISNUMBER(AMW4)), IF(ISNUMBER(AMU4), AMU4, 0) + IF(ISNUMBER(AMW4), AMW4, 0), "")</f>
        <v>1.9</v>
      </c>
      <c r="AMZ4" s="4"/>
      <c r="ANA4" s="11">
        <f t="shared" si="208"/>
        <v>0.30000000000000027</v>
      </c>
      <c r="ANB4" s="7">
        <v>0.37</v>
      </c>
      <c r="ANC4" s="11">
        <f t="shared" si="209"/>
        <v>6.9999999999999729E-2</v>
      </c>
      <c r="ANE4" s="19">
        <v>1</v>
      </c>
      <c r="ANF4" s="8" t="s">
        <v>40</v>
      </c>
      <c r="ANG4" s="19">
        <v>0.4</v>
      </c>
      <c r="ANH4" s="8" t="s">
        <v>40</v>
      </c>
      <c r="ANI4" s="7">
        <f>IF(OR(ISNUMBER(ANE4), ISNUMBER(ANG4)), IF(ISNUMBER(ANE4), ANE4, 0) + IF(ISNUMBER(ANG4), ANG4, 0), "")</f>
        <v>1.4</v>
      </c>
      <c r="ANJ4" s="4"/>
      <c r="ANK4" s="11">
        <f t="shared" si="210"/>
        <v>0.5</v>
      </c>
      <c r="ANL4" s="7">
        <v>0.37</v>
      </c>
      <c r="ANM4" s="11">
        <f t="shared" si="211"/>
        <v>-0.13</v>
      </c>
      <c r="ANO4" s="2">
        <v>1</v>
      </c>
      <c r="ANP4" s="8" t="s">
        <v>40</v>
      </c>
      <c r="ANQ4" s="2">
        <v>0.3</v>
      </c>
      <c r="ANR4" s="8" t="s">
        <v>40</v>
      </c>
      <c r="ANS4" s="7">
        <f>IF(OR(ISNUMBER(ANO4), ISNUMBER(ANQ4)), IF(ISNUMBER(ANO4), ANO4, 0) + IF(ISNUMBER(ANQ4), ANQ4, 0), "")</f>
        <v>1.3</v>
      </c>
      <c r="ANT4" s="4"/>
      <c r="ANU4" s="11">
        <f t="shared" si="212"/>
        <v>9.9999999999999867E-2</v>
      </c>
      <c r="ANV4" s="7">
        <v>0.08</v>
      </c>
      <c r="ANW4" s="11">
        <f t="shared" si="213"/>
        <v>-1.9999999999999865E-2</v>
      </c>
      <c r="ANY4" s="19">
        <v>1</v>
      </c>
      <c r="ANZ4" s="8" t="s">
        <v>40</v>
      </c>
      <c r="AOA4" s="19">
        <v>0.2</v>
      </c>
      <c r="AOB4" s="8" t="s">
        <v>40</v>
      </c>
      <c r="AOC4" s="7">
        <f>IF(OR(ISNUMBER(ANY4), ISNUMBER(AOA4)), IF(ISNUMBER(ANY4), ANY4, 0) + IF(ISNUMBER(AOA4), AOA4, 0), "")</f>
        <v>1.2</v>
      </c>
      <c r="AOD4" s="4"/>
      <c r="AOE4" s="11">
        <f t="shared" si="214"/>
        <v>0.10000000000000009</v>
      </c>
      <c r="AOF4" s="7">
        <v>0.27</v>
      </c>
      <c r="AOG4" s="11">
        <f t="shared" si="215"/>
        <v>0.16999999999999993</v>
      </c>
      <c r="AOI4" s="71">
        <v>0</v>
      </c>
      <c r="AOJ4" s="72" t="s">
        <v>40</v>
      </c>
      <c r="AOK4" s="71">
        <v>0.9</v>
      </c>
      <c r="AOL4" s="72" t="s">
        <v>40</v>
      </c>
      <c r="AOM4" s="73">
        <f>IF(OR(ISNUMBER(AOI4), ISNUMBER(AOK4)), IF(ISNUMBER(AOI4), AOI4, 0) + IF(ISNUMBER(AOK4), AOK4, 0), "")</f>
        <v>0.9</v>
      </c>
      <c r="AON4" s="69">
        <v>1</v>
      </c>
      <c r="AOO4" s="74">
        <f t="shared" si="216"/>
        <v>0.29999999999999993</v>
      </c>
      <c r="AOP4" s="73">
        <v>0.28999999999999998</v>
      </c>
      <c r="AOQ4" s="74">
        <f t="shared" si="217"/>
        <v>-9.9999999999999534E-3</v>
      </c>
      <c r="AOS4" s="2"/>
      <c r="AOT4" s="8" t="s">
        <v>40</v>
      </c>
      <c r="AOU4" s="2"/>
      <c r="AOV4" s="8" t="s">
        <v>40</v>
      </c>
      <c r="AOW4" s="7" t="str">
        <f>IF(OR(ISNUMBER(AOS4), ISNUMBER(AOU4)), IF(ISNUMBER(AOS4), AOS4, 0) + IF(ISNUMBER(AOU4), AOU4, 0), "")</f>
        <v/>
      </c>
      <c r="AOX4" s="4"/>
      <c r="AOY4" s="11" t="str">
        <f t="shared" si="218"/>
        <v/>
      </c>
      <c r="AOZ4" s="7"/>
      <c r="APA4" s="11" t="str">
        <f t="shared" si="219"/>
        <v/>
      </c>
    </row>
    <row r="5" spans="1:1023 1025:1093" ht="12.75" customHeight="1" x14ac:dyDescent="0.2">
      <c r="B5" s="9"/>
      <c r="C5" s="9"/>
      <c r="AOI5" s="75"/>
      <c r="AOJ5" s="76"/>
      <c r="AOK5" s="75"/>
      <c r="AOL5" s="76"/>
      <c r="AOM5" s="75"/>
      <c r="AON5" s="75"/>
      <c r="AOO5" s="75"/>
      <c r="AOP5" s="75"/>
      <c r="AOQ5" s="75"/>
    </row>
    <row r="6" spans="1:1023 1025:1093" ht="11.25" x14ac:dyDescent="0.2">
      <c r="A6" s="3" t="s">
        <v>42</v>
      </c>
      <c r="B6" s="5" t="s">
        <v>30</v>
      </c>
      <c r="C6" s="7"/>
      <c r="E6" s="47" t="s">
        <v>34</v>
      </c>
      <c r="F6" s="48"/>
      <c r="G6" s="41" t="s">
        <v>43</v>
      </c>
      <c r="H6" s="42"/>
      <c r="I6" s="42"/>
      <c r="J6" s="42"/>
      <c r="K6" s="42"/>
      <c r="L6" s="42"/>
      <c r="M6" s="43"/>
      <c r="O6" s="47" t="s">
        <v>34</v>
      </c>
      <c r="P6" s="48"/>
      <c r="Q6" s="41" t="s">
        <v>43</v>
      </c>
      <c r="R6" s="42"/>
      <c r="S6" s="42"/>
      <c r="T6" s="42"/>
      <c r="U6" s="42"/>
      <c r="V6" s="42"/>
      <c r="W6" s="43"/>
      <c r="Y6" s="47" t="s">
        <v>34</v>
      </c>
      <c r="Z6" s="48"/>
      <c r="AA6" s="41" t="s">
        <v>43</v>
      </c>
      <c r="AB6" s="42"/>
      <c r="AC6" s="42"/>
      <c r="AD6" s="42"/>
      <c r="AE6" s="42"/>
      <c r="AF6" s="42"/>
      <c r="AG6" s="43"/>
      <c r="AI6" s="47" t="s">
        <v>34</v>
      </c>
      <c r="AJ6" s="48"/>
      <c r="AK6" s="41" t="s">
        <v>43</v>
      </c>
      <c r="AL6" s="42"/>
      <c r="AM6" s="42"/>
      <c r="AN6" s="42"/>
      <c r="AO6" s="42"/>
      <c r="AP6" s="42"/>
      <c r="AQ6" s="43"/>
      <c r="AS6" s="47" t="s">
        <v>34</v>
      </c>
      <c r="AT6" s="48"/>
      <c r="AU6" s="41" t="s">
        <v>43</v>
      </c>
      <c r="AV6" s="42"/>
      <c r="AW6" s="42"/>
      <c r="AX6" s="42"/>
      <c r="AY6" s="42"/>
      <c r="AZ6" s="42"/>
      <c r="BA6" s="43"/>
      <c r="BC6" s="47" t="s">
        <v>34</v>
      </c>
      <c r="BD6" s="48"/>
      <c r="BE6" s="41" t="s">
        <v>43</v>
      </c>
      <c r="BF6" s="42"/>
      <c r="BG6" s="42"/>
      <c r="BH6" s="42"/>
      <c r="BI6" s="42"/>
      <c r="BJ6" s="42"/>
      <c r="BK6" s="43"/>
      <c r="BM6" s="47" t="s">
        <v>34</v>
      </c>
      <c r="BN6" s="48"/>
      <c r="BO6" s="41" t="s">
        <v>43</v>
      </c>
      <c r="BP6" s="42"/>
      <c r="BQ6" s="42"/>
      <c r="BR6" s="42"/>
      <c r="BS6" s="42"/>
      <c r="BT6" s="42"/>
      <c r="BU6" s="43"/>
      <c r="BW6" s="47" t="s">
        <v>34</v>
      </c>
      <c r="BX6" s="48"/>
      <c r="BY6" s="41" t="s">
        <v>43</v>
      </c>
      <c r="BZ6" s="42"/>
      <c r="CA6" s="42"/>
      <c r="CB6" s="42"/>
      <c r="CC6" s="42"/>
      <c r="CD6" s="42"/>
      <c r="CE6" s="43"/>
      <c r="CG6" s="47" t="s">
        <v>34</v>
      </c>
      <c r="CH6" s="48"/>
      <c r="CI6" s="41" t="s">
        <v>43</v>
      </c>
      <c r="CJ6" s="42"/>
      <c r="CK6" s="42"/>
      <c r="CL6" s="42"/>
      <c r="CM6" s="42"/>
      <c r="CN6" s="42"/>
      <c r="CO6" s="43"/>
      <c r="CQ6" s="47" t="s">
        <v>34</v>
      </c>
      <c r="CR6" s="48"/>
      <c r="CS6" s="41" t="s">
        <v>43</v>
      </c>
      <c r="CT6" s="42"/>
      <c r="CU6" s="42"/>
      <c r="CV6" s="42"/>
      <c r="CW6" s="42"/>
      <c r="CX6" s="42"/>
      <c r="CY6" s="43"/>
      <c r="DA6" s="47" t="s">
        <v>34</v>
      </c>
      <c r="DB6" s="48"/>
      <c r="DC6" s="41" t="s">
        <v>43</v>
      </c>
      <c r="DD6" s="42"/>
      <c r="DE6" s="42"/>
      <c r="DF6" s="42"/>
      <c r="DG6" s="42"/>
      <c r="DH6" s="42"/>
      <c r="DI6" s="43"/>
      <c r="DK6" s="47" t="s">
        <v>34</v>
      </c>
      <c r="DL6" s="48"/>
      <c r="DM6" s="41" t="s">
        <v>43</v>
      </c>
      <c r="DN6" s="42"/>
      <c r="DO6" s="42"/>
      <c r="DP6" s="42"/>
      <c r="DQ6" s="42"/>
      <c r="DR6" s="42"/>
      <c r="DS6" s="43"/>
      <c r="DU6" s="47" t="s">
        <v>34</v>
      </c>
      <c r="DV6" s="48"/>
      <c r="DW6" s="41" t="s">
        <v>43</v>
      </c>
      <c r="DX6" s="42"/>
      <c r="DY6" s="42"/>
      <c r="DZ6" s="42"/>
      <c r="EA6" s="42"/>
      <c r="EB6" s="42"/>
      <c r="EC6" s="43"/>
      <c r="EE6" s="47" t="s">
        <v>34</v>
      </c>
      <c r="EF6" s="48"/>
      <c r="EG6" s="41" t="s">
        <v>43</v>
      </c>
      <c r="EH6" s="42"/>
      <c r="EI6" s="42"/>
      <c r="EJ6" s="42"/>
      <c r="EK6" s="42"/>
      <c r="EL6" s="42"/>
      <c r="EM6" s="43"/>
      <c r="EO6" s="47" t="s">
        <v>34</v>
      </c>
      <c r="EP6" s="48"/>
      <c r="EQ6" s="41" t="s">
        <v>43</v>
      </c>
      <c r="ER6" s="42"/>
      <c r="ES6" s="42"/>
      <c r="ET6" s="42"/>
      <c r="EU6" s="42"/>
      <c r="EV6" s="42"/>
      <c r="EW6" s="43"/>
      <c r="EY6" s="47" t="s">
        <v>34</v>
      </c>
      <c r="EZ6" s="48"/>
      <c r="FA6" s="41" t="s">
        <v>43</v>
      </c>
      <c r="FB6" s="42"/>
      <c r="FC6" s="42"/>
      <c r="FD6" s="42"/>
      <c r="FE6" s="42"/>
      <c r="FF6" s="42"/>
      <c r="FG6" s="43"/>
      <c r="FI6" s="47" t="s">
        <v>34</v>
      </c>
      <c r="FJ6" s="48"/>
      <c r="FK6" s="41" t="s">
        <v>43</v>
      </c>
      <c r="FL6" s="42"/>
      <c r="FM6" s="42"/>
      <c r="FN6" s="42"/>
      <c r="FO6" s="42"/>
      <c r="FP6" s="42"/>
      <c r="FQ6" s="43"/>
      <c r="FS6" s="47" t="s">
        <v>34</v>
      </c>
      <c r="FT6" s="48"/>
      <c r="FU6" s="41" t="s">
        <v>43</v>
      </c>
      <c r="FV6" s="42"/>
      <c r="FW6" s="42"/>
      <c r="FX6" s="42"/>
      <c r="FY6" s="42"/>
      <c r="FZ6" s="42"/>
      <c r="GA6" s="43"/>
      <c r="GC6" s="47" t="s">
        <v>34</v>
      </c>
      <c r="GD6" s="48"/>
      <c r="GE6" s="41" t="s">
        <v>43</v>
      </c>
      <c r="GF6" s="42"/>
      <c r="GG6" s="42"/>
      <c r="GH6" s="42"/>
      <c r="GI6" s="42"/>
      <c r="GJ6" s="42"/>
      <c r="GK6" s="43"/>
      <c r="GM6" s="47" t="s">
        <v>34</v>
      </c>
      <c r="GN6" s="48"/>
      <c r="GO6" s="41" t="s">
        <v>43</v>
      </c>
      <c r="GP6" s="42"/>
      <c r="GQ6" s="42"/>
      <c r="GR6" s="42"/>
      <c r="GS6" s="42"/>
      <c r="GT6" s="42"/>
      <c r="GU6" s="43"/>
      <c r="GW6" s="47" t="s">
        <v>34</v>
      </c>
      <c r="GX6" s="48"/>
      <c r="GY6" s="41" t="s">
        <v>43</v>
      </c>
      <c r="GZ6" s="42"/>
      <c r="HA6" s="42"/>
      <c r="HB6" s="42"/>
      <c r="HC6" s="42"/>
      <c r="HD6" s="42"/>
      <c r="HE6" s="43"/>
      <c r="HG6" s="47" t="s">
        <v>34</v>
      </c>
      <c r="HH6" s="48"/>
      <c r="HI6" s="41" t="s">
        <v>43</v>
      </c>
      <c r="HJ6" s="42"/>
      <c r="HK6" s="42"/>
      <c r="HL6" s="42"/>
      <c r="HM6" s="42"/>
      <c r="HN6" s="42"/>
      <c r="HO6" s="43"/>
      <c r="HQ6" s="47" t="s">
        <v>34</v>
      </c>
      <c r="HR6" s="48"/>
      <c r="HS6" s="41" t="s">
        <v>43</v>
      </c>
      <c r="HT6" s="42"/>
      <c r="HU6" s="42"/>
      <c r="HV6" s="42"/>
      <c r="HW6" s="42"/>
      <c r="HX6" s="42"/>
      <c r="HY6" s="43"/>
      <c r="IA6" s="47" t="s">
        <v>34</v>
      </c>
      <c r="IB6" s="48"/>
      <c r="IC6" s="41" t="s">
        <v>43</v>
      </c>
      <c r="ID6" s="42"/>
      <c r="IE6" s="42"/>
      <c r="IF6" s="42"/>
      <c r="IG6" s="42"/>
      <c r="IH6" s="42"/>
      <c r="II6" s="43"/>
      <c r="IK6" s="47" t="s">
        <v>34</v>
      </c>
      <c r="IL6" s="48"/>
      <c r="IM6" s="41" t="s">
        <v>43</v>
      </c>
      <c r="IN6" s="42"/>
      <c r="IO6" s="42"/>
      <c r="IP6" s="42"/>
      <c r="IQ6" s="42"/>
      <c r="IR6" s="42"/>
      <c r="IS6" s="43"/>
      <c r="IU6" s="47" t="s">
        <v>34</v>
      </c>
      <c r="IV6" s="48"/>
      <c r="IW6" s="41" t="s">
        <v>43</v>
      </c>
      <c r="IX6" s="42"/>
      <c r="IY6" s="42"/>
      <c r="IZ6" s="42"/>
      <c r="JA6" s="42"/>
      <c r="JB6" s="42"/>
      <c r="JC6" s="43"/>
      <c r="JE6" s="47" t="s">
        <v>34</v>
      </c>
      <c r="JF6" s="48"/>
      <c r="JG6" s="41" t="s">
        <v>43</v>
      </c>
      <c r="JH6" s="42"/>
      <c r="JI6" s="42"/>
      <c r="JJ6" s="42"/>
      <c r="JK6" s="42"/>
      <c r="JL6" s="42"/>
      <c r="JM6" s="43"/>
      <c r="JO6" s="47" t="s">
        <v>34</v>
      </c>
      <c r="JP6" s="48"/>
      <c r="JQ6" s="41" t="s">
        <v>43</v>
      </c>
      <c r="JR6" s="42"/>
      <c r="JS6" s="42"/>
      <c r="JT6" s="42"/>
      <c r="JU6" s="42"/>
      <c r="JV6" s="42"/>
      <c r="JW6" s="43"/>
      <c r="JY6" s="47" t="s">
        <v>34</v>
      </c>
      <c r="JZ6" s="48"/>
      <c r="KA6" s="41" t="s">
        <v>43</v>
      </c>
      <c r="KB6" s="42"/>
      <c r="KC6" s="42"/>
      <c r="KD6" s="42"/>
      <c r="KE6" s="42"/>
      <c r="KF6" s="42"/>
      <c r="KG6" s="43"/>
      <c r="KI6" s="34" t="s">
        <v>34</v>
      </c>
      <c r="KJ6" s="35"/>
      <c r="KK6" s="41" t="s">
        <v>43</v>
      </c>
      <c r="KL6" s="42"/>
      <c r="KM6" s="42"/>
      <c r="KN6" s="42"/>
      <c r="KO6" s="42"/>
      <c r="KP6" s="42"/>
      <c r="KQ6" s="43"/>
      <c r="KS6" s="47" t="s">
        <v>34</v>
      </c>
      <c r="KT6" s="48"/>
      <c r="KU6" s="41" t="s">
        <v>43</v>
      </c>
      <c r="KV6" s="42"/>
      <c r="KW6" s="42"/>
      <c r="KX6" s="42"/>
      <c r="KY6" s="42"/>
      <c r="KZ6" s="42"/>
      <c r="LA6" s="43"/>
      <c r="LC6" s="47" t="s">
        <v>34</v>
      </c>
      <c r="LD6" s="48"/>
      <c r="LE6" s="41" t="s">
        <v>43</v>
      </c>
      <c r="LF6" s="42"/>
      <c r="LG6" s="42"/>
      <c r="LH6" s="42"/>
      <c r="LI6" s="42"/>
      <c r="LJ6" s="42"/>
      <c r="LK6" s="43"/>
      <c r="LM6" s="47" t="s">
        <v>34</v>
      </c>
      <c r="LN6" s="48"/>
      <c r="LO6" s="41" t="s">
        <v>43</v>
      </c>
      <c r="LP6" s="42"/>
      <c r="LQ6" s="42"/>
      <c r="LR6" s="42"/>
      <c r="LS6" s="42"/>
      <c r="LT6" s="42"/>
      <c r="LU6" s="43"/>
      <c r="LW6" s="47" t="s">
        <v>34</v>
      </c>
      <c r="LX6" s="48"/>
      <c r="LY6" s="41" t="s">
        <v>43</v>
      </c>
      <c r="LZ6" s="42"/>
      <c r="MA6" s="42"/>
      <c r="MB6" s="42"/>
      <c r="MC6" s="42"/>
      <c r="MD6" s="42"/>
      <c r="ME6" s="43"/>
      <c r="MG6" s="47" t="s">
        <v>34</v>
      </c>
      <c r="MH6" s="48"/>
      <c r="MI6" s="41" t="s">
        <v>43</v>
      </c>
      <c r="MJ6" s="42"/>
      <c r="MK6" s="42"/>
      <c r="ML6" s="42"/>
      <c r="MM6" s="42"/>
      <c r="MN6" s="42"/>
      <c r="MO6" s="43"/>
      <c r="MQ6" s="47" t="s">
        <v>34</v>
      </c>
      <c r="MR6" s="48"/>
      <c r="MS6" s="41" t="s">
        <v>43</v>
      </c>
      <c r="MT6" s="42"/>
      <c r="MU6" s="42"/>
      <c r="MV6" s="42"/>
      <c r="MW6" s="42"/>
      <c r="MX6" s="42"/>
      <c r="MY6" s="43"/>
      <c r="NA6" s="47" t="s">
        <v>34</v>
      </c>
      <c r="NB6" s="48"/>
      <c r="NC6" s="41" t="s">
        <v>43</v>
      </c>
      <c r="ND6" s="42"/>
      <c r="NE6" s="42"/>
      <c r="NF6" s="42"/>
      <c r="NG6" s="42"/>
      <c r="NH6" s="42"/>
      <c r="NI6" s="43"/>
      <c r="NK6" s="47" t="s">
        <v>34</v>
      </c>
      <c r="NL6" s="48"/>
      <c r="NM6" s="41" t="s">
        <v>43</v>
      </c>
      <c r="NN6" s="42"/>
      <c r="NO6" s="42"/>
      <c r="NP6" s="42"/>
      <c r="NQ6" s="42"/>
      <c r="NR6" s="42"/>
      <c r="NS6" s="43"/>
      <c r="NU6" s="47" t="s">
        <v>34</v>
      </c>
      <c r="NV6" s="48"/>
      <c r="NW6" s="41" t="s">
        <v>43</v>
      </c>
      <c r="NX6" s="42"/>
      <c r="NY6" s="42"/>
      <c r="NZ6" s="42"/>
      <c r="OA6" s="42"/>
      <c r="OB6" s="42"/>
      <c r="OC6" s="43"/>
      <c r="OE6" s="47" t="s">
        <v>34</v>
      </c>
      <c r="OF6" s="48"/>
      <c r="OG6" s="41" t="s">
        <v>43</v>
      </c>
      <c r="OH6" s="42"/>
      <c r="OI6" s="42"/>
      <c r="OJ6" s="42"/>
      <c r="OK6" s="42"/>
      <c r="OL6" s="42"/>
      <c r="OM6" s="43"/>
      <c r="OO6" s="47" t="s">
        <v>34</v>
      </c>
      <c r="OP6" s="48"/>
      <c r="OQ6" s="41" t="s">
        <v>43</v>
      </c>
      <c r="OR6" s="42"/>
      <c r="OS6" s="42"/>
      <c r="OT6" s="42"/>
      <c r="OU6" s="42"/>
      <c r="OV6" s="42"/>
      <c r="OW6" s="43"/>
      <c r="OY6" s="47" t="s">
        <v>34</v>
      </c>
      <c r="OZ6" s="48"/>
      <c r="PA6" s="41" t="s">
        <v>43</v>
      </c>
      <c r="PB6" s="42"/>
      <c r="PC6" s="42"/>
      <c r="PD6" s="42"/>
      <c r="PE6" s="42"/>
      <c r="PF6" s="42"/>
      <c r="PG6" s="43"/>
      <c r="PI6" s="47" t="s">
        <v>34</v>
      </c>
      <c r="PJ6" s="48"/>
      <c r="PK6" s="41" t="s">
        <v>43</v>
      </c>
      <c r="PL6" s="42"/>
      <c r="PM6" s="42"/>
      <c r="PN6" s="42"/>
      <c r="PO6" s="42"/>
      <c r="PP6" s="42"/>
      <c r="PQ6" s="43"/>
      <c r="PS6" s="47" t="s">
        <v>34</v>
      </c>
      <c r="PT6" s="48"/>
      <c r="PU6" s="41" t="s">
        <v>43</v>
      </c>
      <c r="PV6" s="42"/>
      <c r="PW6" s="42"/>
      <c r="PX6" s="42"/>
      <c r="PY6" s="42"/>
      <c r="PZ6" s="42"/>
      <c r="QA6" s="43"/>
      <c r="QC6" s="47" t="s">
        <v>34</v>
      </c>
      <c r="QD6" s="48"/>
      <c r="QE6" s="41" t="s">
        <v>43</v>
      </c>
      <c r="QF6" s="42"/>
      <c r="QG6" s="42"/>
      <c r="QH6" s="42"/>
      <c r="QI6" s="42"/>
      <c r="QJ6" s="42"/>
      <c r="QK6" s="43"/>
      <c r="QM6" s="47" t="s">
        <v>34</v>
      </c>
      <c r="QN6" s="48"/>
      <c r="QO6" s="41" t="s">
        <v>43</v>
      </c>
      <c r="QP6" s="42"/>
      <c r="QQ6" s="42"/>
      <c r="QR6" s="42"/>
      <c r="QS6" s="42"/>
      <c r="QT6" s="42"/>
      <c r="QU6" s="43"/>
      <c r="QW6" s="47" t="s">
        <v>34</v>
      </c>
      <c r="QX6" s="48"/>
      <c r="QY6" s="41" t="s">
        <v>43</v>
      </c>
      <c r="QZ6" s="42"/>
      <c r="RA6" s="42"/>
      <c r="RB6" s="42"/>
      <c r="RC6" s="42"/>
      <c r="RD6" s="42"/>
      <c r="RE6" s="43"/>
      <c r="RG6" s="47" t="s">
        <v>34</v>
      </c>
      <c r="RH6" s="48"/>
      <c r="RI6" s="41" t="s">
        <v>43</v>
      </c>
      <c r="RJ6" s="42"/>
      <c r="RK6" s="42"/>
      <c r="RL6" s="42"/>
      <c r="RM6" s="42"/>
      <c r="RN6" s="42"/>
      <c r="RO6" s="43"/>
      <c r="RQ6" s="47" t="s">
        <v>34</v>
      </c>
      <c r="RR6" s="48"/>
      <c r="RS6" s="41" t="s">
        <v>43</v>
      </c>
      <c r="RT6" s="42"/>
      <c r="RU6" s="42"/>
      <c r="RV6" s="42"/>
      <c r="RW6" s="42"/>
      <c r="RX6" s="42"/>
      <c r="RY6" s="43"/>
      <c r="SA6" s="47" t="s">
        <v>34</v>
      </c>
      <c r="SB6" s="48"/>
      <c r="SC6" s="41" t="s">
        <v>43</v>
      </c>
      <c r="SD6" s="42"/>
      <c r="SE6" s="42"/>
      <c r="SF6" s="42"/>
      <c r="SG6" s="42"/>
      <c r="SH6" s="42"/>
      <c r="SI6" s="43"/>
      <c r="SK6" s="47" t="s">
        <v>34</v>
      </c>
      <c r="SL6" s="48"/>
      <c r="SM6" s="41" t="s">
        <v>43</v>
      </c>
      <c r="SN6" s="42"/>
      <c r="SO6" s="42"/>
      <c r="SP6" s="42"/>
      <c r="SQ6" s="42"/>
      <c r="SR6" s="42"/>
      <c r="SS6" s="43"/>
      <c r="SU6" s="47" t="s">
        <v>34</v>
      </c>
      <c r="SV6" s="48"/>
      <c r="SW6" s="41" t="s">
        <v>43</v>
      </c>
      <c r="SX6" s="42"/>
      <c r="SY6" s="42"/>
      <c r="SZ6" s="42"/>
      <c r="TA6" s="42"/>
      <c r="TB6" s="42"/>
      <c r="TC6" s="43"/>
      <c r="TE6" s="47" t="s">
        <v>34</v>
      </c>
      <c r="TF6" s="48"/>
      <c r="TG6" s="41" t="s">
        <v>43</v>
      </c>
      <c r="TH6" s="42"/>
      <c r="TI6" s="42"/>
      <c r="TJ6" s="42"/>
      <c r="TK6" s="42"/>
      <c r="TL6" s="42"/>
      <c r="TM6" s="43"/>
      <c r="TO6" s="47" t="s">
        <v>34</v>
      </c>
      <c r="TP6" s="48"/>
      <c r="TQ6" s="41" t="s">
        <v>43</v>
      </c>
      <c r="TR6" s="42"/>
      <c r="TS6" s="42"/>
      <c r="TT6" s="42"/>
      <c r="TU6" s="42"/>
      <c r="TV6" s="42"/>
      <c r="TW6" s="43"/>
      <c r="TY6" s="47" t="s">
        <v>34</v>
      </c>
      <c r="TZ6" s="48"/>
      <c r="UA6" s="41" t="s">
        <v>43</v>
      </c>
      <c r="UB6" s="42"/>
      <c r="UC6" s="42"/>
      <c r="UD6" s="42"/>
      <c r="UE6" s="42"/>
      <c r="UF6" s="42"/>
      <c r="UG6" s="43"/>
      <c r="UI6" s="47" t="s">
        <v>34</v>
      </c>
      <c r="UJ6" s="48"/>
      <c r="UK6" s="41" t="s">
        <v>43</v>
      </c>
      <c r="UL6" s="42"/>
      <c r="UM6" s="42"/>
      <c r="UN6" s="42"/>
      <c r="UO6" s="42"/>
      <c r="UP6" s="42"/>
      <c r="UQ6" s="43"/>
      <c r="US6" s="47" t="s">
        <v>34</v>
      </c>
      <c r="UT6" s="48"/>
      <c r="UU6" s="41" t="s">
        <v>43</v>
      </c>
      <c r="UV6" s="42"/>
      <c r="UW6" s="42"/>
      <c r="UX6" s="42"/>
      <c r="UY6" s="42"/>
      <c r="UZ6" s="42"/>
      <c r="VA6" s="43"/>
      <c r="VC6" s="47" t="s">
        <v>34</v>
      </c>
      <c r="VD6" s="48"/>
      <c r="VE6" s="41" t="s">
        <v>43</v>
      </c>
      <c r="VF6" s="42"/>
      <c r="VG6" s="42"/>
      <c r="VH6" s="42"/>
      <c r="VI6" s="42"/>
      <c r="VJ6" s="42"/>
      <c r="VK6" s="43"/>
      <c r="VM6" s="47" t="s">
        <v>34</v>
      </c>
      <c r="VN6" s="48"/>
      <c r="VO6" s="41" t="s">
        <v>43</v>
      </c>
      <c r="VP6" s="42"/>
      <c r="VQ6" s="42"/>
      <c r="VR6" s="42"/>
      <c r="VS6" s="42"/>
      <c r="VT6" s="42"/>
      <c r="VU6" s="43"/>
      <c r="VW6" s="47" t="s">
        <v>34</v>
      </c>
      <c r="VX6" s="48"/>
      <c r="VY6" s="41" t="s">
        <v>43</v>
      </c>
      <c r="VZ6" s="42"/>
      <c r="WA6" s="42"/>
      <c r="WB6" s="42"/>
      <c r="WC6" s="42"/>
      <c r="WD6" s="42"/>
      <c r="WE6" s="43"/>
      <c r="WG6" s="47" t="s">
        <v>34</v>
      </c>
      <c r="WH6" s="48"/>
      <c r="WI6" s="41" t="s">
        <v>43</v>
      </c>
      <c r="WJ6" s="42"/>
      <c r="WK6" s="42"/>
      <c r="WL6" s="42"/>
      <c r="WM6" s="42"/>
      <c r="WN6" s="42"/>
      <c r="WO6" s="43"/>
      <c r="WQ6" s="47" t="s">
        <v>34</v>
      </c>
      <c r="WR6" s="48"/>
      <c r="WS6" s="41" t="s">
        <v>43</v>
      </c>
      <c r="WT6" s="42"/>
      <c r="WU6" s="42"/>
      <c r="WV6" s="42"/>
      <c r="WW6" s="42"/>
      <c r="WX6" s="42"/>
      <c r="WY6" s="43"/>
      <c r="XA6" s="47" t="s">
        <v>34</v>
      </c>
      <c r="XB6" s="48"/>
      <c r="XC6" s="41" t="s">
        <v>43</v>
      </c>
      <c r="XD6" s="42"/>
      <c r="XE6" s="42"/>
      <c r="XF6" s="42"/>
      <c r="XG6" s="42"/>
      <c r="XH6" s="42"/>
      <c r="XI6" s="43"/>
      <c r="XK6" s="47" t="s">
        <v>34</v>
      </c>
      <c r="XL6" s="48"/>
      <c r="XM6" s="41" t="s">
        <v>43</v>
      </c>
      <c r="XN6" s="42"/>
      <c r="XO6" s="42"/>
      <c r="XP6" s="42"/>
      <c r="XQ6" s="42"/>
      <c r="XR6" s="42"/>
      <c r="XS6" s="43"/>
      <c r="XU6" s="47" t="s">
        <v>34</v>
      </c>
      <c r="XV6" s="48"/>
      <c r="XW6" s="41" t="s">
        <v>43</v>
      </c>
      <c r="XX6" s="42"/>
      <c r="XY6" s="42"/>
      <c r="XZ6" s="42"/>
      <c r="YA6" s="42"/>
      <c r="YB6" s="42"/>
      <c r="YC6" s="43"/>
      <c r="YE6" s="47" t="s">
        <v>34</v>
      </c>
      <c r="YF6" s="48"/>
      <c r="YG6" s="41" t="s">
        <v>43</v>
      </c>
      <c r="YH6" s="42"/>
      <c r="YI6" s="42"/>
      <c r="YJ6" s="42"/>
      <c r="YK6" s="42"/>
      <c r="YL6" s="42"/>
      <c r="YM6" s="43"/>
      <c r="YO6" s="47" t="s">
        <v>34</v>
      </c>
      <c r="YP6" s="48"/>
      <c r="YQ6" s="41" t="s">
        <v>43</v>
      </c>
      <c r="YR6" s="42"/>
      <c r="YS6" s="42"/>
      <c r="YT6" s="42"/>
      <c r="YU6" s="42"/>
      <c r="YV6" s="42"/>
      <c r="YW6" s="43"/>
      <c r="YY6" s="47" t="s">
        <v>34</v>
      </c>
      <c r="YZ6" s="48"/>
      <c r="ZA6" s="41" t="s">
        <v>43</v>
      </c>
      <c r="ZB6" s="42"/>
      <c r="ZC6" s="42"/>
      <c r="ZD6" s="42"/>
      <c r="ZE6" s="42"/>
      <c r="ZF6" s="42"/>
      <c r="ZG6" s="43"/>
      <c r="ZI6" s="47" t="s">
        <v>34</v>
      </c>
      <c r="ZJ6" s="48"/>
      <c r="ZK6" s="41" t="s">
        <v>43</v>
      </c>
      <c r="ZL6" s="42"/>
      <c r="ZM6" s="42"/>
      <c r="ZN6" s="42"/>
      <c r="ZO6" s="42"/>
      <c r="ZP6" s="42"/>
      <c r="ZQ6" s="43"/>
      <c r="ZS6" s="47" t="s">
        <v>34</v>
      </c>
      <c r="ZT6" s="48"/>
      <c r="ZU6" s="41" t="s">
        <v>43</v>
      </c>
      <c r="ZV6" s="42"/>
      <c r="ZW6" s="42"/>
      <c r="ZX6" s="42"/>
      <c r="ZY6" s="42"/>
      <c r="ZZ6" s="42"/>
      <c r="AAA6" s="43"/>
      <c r="AAC6" s="47" t="s">
        <v>34</v>
      </c>
      <c r="AAD6" s="48"/>
      <c r="AAE6" s="41" t="s">
        <v>43</v>
      </c>
      <c r="AAF6" s="42"/>
      <c r="AAG6" s="42"/>
      <c r="AAH6" s="42"/>
      <c r="AAI6" s="42"/>
      <c r="AAJ6" s="42"/>
      <c r="AAK6" s="43"/>
      <c r="AAM6" s="47" t="s">
        <v>34</v>
      </c>
      <c r="AAN6" s="48"/>
      <c r="AAO6" s="41" t="s">
        <v>43</v>
      </c>
      <c r="AAP6" s="42"/>
      <c r="AAQ6" s="42"/>
      <c r="AAR6" s="42"/>
      <c r="AAS6" s="42"/>
      <c r="AAT6" s="42"/>
      <c r="AAU6" s="43"/>
      <c r="AAW6" s="47" t="s">
        <v>34</v>
      </c>
      <c r="AAX6" s="48"/>
      <c r="AAY6" s="41" t="s">
        <v>43</v>
      </c>
      <c r="AAZ6" s="42"/>
      <c r="ABA6" s="42"/>
      <c r="ABB6" s="42"/>
      <c r="ABC6" s="42"/>
      <c r="ABD6" s="42"/>
      <c r="ABE6" s="43"/>
      <c r="ABG6" s="47" t="s">
        <v>34</v>
      </c>
      <c r="ABH6" s="48"/>
      <c r="ABI6" s="41" t="s">
        <v>43</v>
      </c>
      <c r="ABJ6" s="42"/>
      <c r="ABK6" s="42"/>
      <c r="ABL6" s="42"/>
      <c r="ABM6" s="42"/>
      <c r="ABN6" s="42"/>
      <c r="ABO6" s="43"/>
      <c r="ABQ6" s="47" t="s">
        <v>34</v>
      </c>
      <c r="ABR6" s="48"/>
      <c r="ABS6" s="41" t="s">
        <v>43</v>
      </c>
      <c r="ABT6" s="42"/>
      <c r="ABU6" s="42"/>
      <c r="ABV6" s="42"/>
      <c r="ABW6" s="42"/>
      <c r="ABX6" s="42"/>
      <c r="ABY6" s="43"/>
      <c r="ACA6" s="47" t="s">
        <v>34</v>
      </c>
      <c r="ACB6" s="48"/>
      <c r="ACC6" s="41" t="s">
        <v>43</v>
      </c>
      <c r="ACD6" s="42"/>
      <c r="ACE6" s="42"/>
      <c r="ACF6" s="42"/>
      <c r="ACG6" s="42"/>
      <c r="ACH6" s="42"/>
      <c r="ACI6" s="43"/>
      <c r="ACK6" s="47" t="s">
        <v>34</v>
      </c>
      <c r="ACL6" s="48"/>
      <c r="ACM6" s="41" t="s">
        <v>43</v>
      </c>
      <c r="ACN6" s="42"/>
      <c r="ACO6" s="42"/>
      <c r="ACP6" s="42"/>
      <c r="ACQ6" s="42"/>
      <c r="ACR6" s="42"/>
      <c r="ACS6" s="43"/>
      <c r="ACU6" s="47" t="s">
        <v>34</v>
      </c>
      <c r="ACV6" s="48"/>
      <c r="ACW6" s="41" t="s">
        <v>43</v>
      </c>
      <c r="ACX6" s="42"/>
      <c r="ACY6" s="42"/>
      <c r="ACZ6" s="42"/>
      <c r="ADA6" s="42"/>
      <c r="ADB6" s="42"/>
      <c r="ADC6" s="43"/>
      <c r="ADE6" s="47" t="s">
        <v>34</v>
      </c>
      <c r="ADF6" s="48"/>
      <c r="ADG6" s="41" t="s">
        <v>43</v>
      </c>
      <c r="ADH6" s="42"/>
      <c r="ADI6" s="42"/>
      <c r="ADJ6" s="42"/>
      <c r="ADK6" s="42"/>
      <c r="ADL6" s="42"/>
      <c r="ADM6" s="43"/>
      <c r="ADO6" s="47" t="s">
        <v>34</v>
      </c>
      <c r="ADP6" s="48"/>
      <c r="ADQ6" s="41" t="s">
        <v>43</v>
      </c>
      <c r="ADR6" s="42"/>
      <c r="ADS6" s="42"/>
      <c r="ADT6" s="42"/>
      <c r="ADU6" s="42"/>
      <c r="ADV6" s="42"/>
      <c r="ADW6" s="43"/>
      <c r="ADY6" s="47" t="s">
        <v>34</v>
      </c>
      <c r="ADZ6" s="48"/>
      <c r="AEA6" s="41" t="s">
        <v>43</v>
      </c>
      <c r="AEB6" s="42"/>
      <c r="AEC6" s="42"/>
      <c r="AED6" s="42"/>
      <c r="AEE6" s="42"/>
      <c r="AEF6" s="42"/>
      <c r="AEG6" s="43"/>
      <c r="AEI6" s="47" t="s">
        <v>34</v>
      </c>
      <c r="AEJ6" s="48"/>
      <c r="AEK6" s="41" t="s">
        <v>43</v>
      </c>
      <c r="AEL6" s="42"/>
      <c r="AEM6" s="42"/>
      <c r="AEN6" s="42"/>
      <c r="AEO6" s="42"/>
      <c r="AEP6" s="42"/>
      <c r="AEQ6" s="43"/>
      <c r="AES6" s="47" t="s">
        <v>34</v>
      </c>
      <c r="AET6" s="48"/>
      <c r="AEU6" s="41" t="s">
        <v>43</v>
      </c>
      <c r="AEV6" s="42"/>
      <c r="AEW6" s="42"/>
      <c r="AEX6" s="42"/>
      <c r="AEY6" s="42"/>
      <c r="AEZ6" s="42"/>
      <c r="AFA6" s="43"/>
      <c r="AFC6" s="47" t="s">
        <v>34</v>
      </c>
      <c r="AFD6" s="48"/>
      <c r="AFE6" s="41" t="s">
        <v>43</v>
      </c>
      <c r="AFF6" s="42"/>
      <c r="AFG6" s="42"/>
      <c r="AFH6" s="42"/>
      <c r="AFI6" s="42"/>
      <c r="AFJ6" s="42"/>
      <c r="AFK6" s="43"/>
      <c r="AFM6" s="47" t="s">
        <v>34</v>
      </c>
      <c r="AFN6" s="48"/>
      <c r="AFO6" s="41" t="s">
        <v>43</v>
      </c>
      <c r="AFP6" s="42"/>
      <c r="AFQ6" s="42"/>
      <c r="AFR6" s="42"/>
      <c r="AFS6" s="42"/>
      <c r="AFT6" s="42"/>
      <c r="AFU6" s="43"/>
      <c r="AFW6" s="47" t="s">
        <v>34</v>
      </c>
      <c r="AFX6" s="48"/>
      <c r="AFY6" s="41" t="s">
        <v>43</v>
      </c>
      <c r="AFZ6" s="42"/>
      <c r="AGA6" s="42"/>
      <c r="AGB6" s="42"/>
      <c r="AGC6" s="42"/>
      <c r="AGD6" s="42"/>
      <c r="AGE6" s="43"/>
      <c r="AGG6" s="47" t="s">
        <v>34</v>
      </c>
      <c r="AGH6" s="48"/>
      <c r="AGI6" s="41" t="s">
        <v>43</v>
      </c>
      <c r="AGJ6" s="42"/>
      <c r="AGK6" s="42"/>
      <c r="AGL6" s="42"/>
      <c r="AGM6" s="42"/>
      <c r="AGN6" s="42"/>
      <c r="AGO6" s="43"/>
      <c r="AGQ6" s="47" t="s">
        <v>34</v>
      </c>
      <c r="AGR6" s="48"/>
      <c r="AGS6" s="41" t="s">
        <v>43</v>
      </c>
      <c r="AGT6" s="42"/>
      <c r="AGU6" s="42"/>
      <c r="AGV6" s="42"/>
      <c r="AGW6" s="42"/>
      <c r="AGX6" s="42"/>
      <c r="AGY6" s="43"/>
      <c r="AHA6" s="47" t="s">
        <v>34</v>
      </c>
      <c r="AHB6" s="48"/>
      <c r="AHC6" s="41" t="s">
        <v>43</v>
      </c>
      <c r="AHD6" s="42"/>
      <c r="AHE6" s="42"/>
      <c r="AHF6" s="42"/>
      <c r="AHG6" s="42"/>
      <c r="AHH6" s="42"/>
      <c r="AHI6" s="43"/>
      <c r="AHK6" s="47" t="s">
        <v>34</v>
      </c>
      <c r="AHL6" s="48"/>
      <c r="AHM6" s="41" t="s">
        <v>43</v>
      </c>
      <c r="AHN6" s="42"/>
      <c r="AHO6" s="42"/>
      <c r="AHP6" s="42"/>
      <c r="AHQ6" s="42"/>
      <c r="AHR6" s="42"/>
      <c r="AHS6" s="43"/>
      <c r="AHU6" s="47" t="s">
        <v>34</v>
      </c>
      <c r="AHV6" s="48"/>
      <c r="AHW6" s="41" t="s">
        <v>43</v>
      </c>
      <c r="AHX6" s="42"/>
      <c r="AHY6" s="42"/>
      <c r="AHZ6" s="42"/>
      <c r="AIA6" s="42"/>
      <c r="AIB6" s="42"/>
      <c r="AIC6" s="43"/>
      <c r="AIE6" s="47" t="s">
        <v>34</v>
      </c>
      <c r="AIF6" s="48"/>
      <c r="AIG6" s="41" t="s">
        <v>43</v>
      </c>
      <c r="AIH6" s="42"/>
      <c r="AII6" s="42"/>
      <c r="AIJ6" s="42"/>
      <c r="AIK6" s="42"/>
      <c r="AIL6" s="42"/>
      <c r="AIM6" s="43"/>
      <c r="AIO6" s="47" t="s">
        <v>34</v>
      </c>
      <c r="AIP6" s="48"/>
      <c r="AIQ6" s="41" t="s">
        <v>43</v>
      </c>
      <c r="AIR6" s="42"/>
      <c r="AIS6" s="42"/>
      <c r="AIT6" s="42"/>
      <c r="AIU6" s="42"/>
      <c r="AIV6" s="42"/>
      <c r="AIW6" s="43"/>
      <c r="AIY6" s="47" t="s">
        <v>34</v>
      </c>
      <c r="AIZ6" s="48"/>
      <c r="AJA6" s="41" t="s">
        <v>43</v>
      </c>
      <c r="AJB6" s="42"/>
      <c r="AJC6" s="42"/>
      <c r="AJD6" s="42"/>
      <c r="AJE6" s="42"/>
      <c r="AJF6" s="42"/>
      <c r="AJG6" s="43"/>
      <c r="AJI6" s="47" t="s">
        <v>34</v>
      </c>
      <c r="AJJ6" s="48"/>
      <c r="AJK6" s="41" t="s">
        <v>43</v>
      </c>
      <c r="AJL6" s="42"/>
      <c r="AJM6" s="42"/>
      <c r="AJN6" s="42"/>
      <c r="AJO6" s="42"/>
      <c r="AJP6" s="42"/>
      <c r="AJQ6" s="43"/>
      <c r="AJS6" s="47" t="s">
        <v>34</v>
      </c>
      <c r="AJT6" s="48"/>
      <c r="AJU6" s="41" t="s">
        <v>43</v>
      </c>
      <c r="AJV6" s="42"/>
      <c r="AJW6" s="42"/>
      <c r="AJX6" s="42"/>
      <c r="AJY6" s="42"/>
      <c r="AJZ6" s="42"/>
      <c r="AKA6" s="43"/>
      <c r="AKC6" s="47" t="s">
        <v>34</v>
      </c>
      <c r="AKD6" s="48"/>
      <c r="AKE6" s="41" t="s">
        <v>43</v>
      </c>
      <c r="AKF6" s="42"/>
      <c r="AKG6" s="42"/>
      <c r="AKH6" s="42"/>
      <c r="AKI6" s="42"/>
      <c r="AKJ6" s="42"/>
      <c r="AKK6" s="43"/>
      <c r="AKM6" s="47" t="s">
        <v>34</v>
      </c>
      <c r="AKN6" s="48"/>
      <c r="AKO6" s="41" t="s">
        <v>43</v>
      </c>
      <c r="AKP6" s="42"/>
      <c r="AKQ6" s="42"/>
      <c r="AKR6" s="42"/>
      <c r="AKS6" s="42"/>
      <c r="AKT6" s="42"/>
      <c r="AKU6" s="43"/>
      <c r="AKW6" s="47" t="s">
        <v>34</v>
      </c>
      <c r="AKX6" s="48"/>
      <c r="AKY6" s="41" t="s">
        <v>43</v>
      </c>
      <c r="AKZ6" s="42"/>
      <c r="ALA6" s="42"/>
      <c r="ALB6" s="42"/>
      <c r="ALC6" s="42"/>
      <c r="ALD6" s="42"/>
      <c r="ALE6" s="43"/>
      <c r="ALG6" s="47" t="s">
        <v>34</v>
      </c>
      <c r="ALH6" s="48"/>
      <c r="ALI6" s="41" t="s">
        <v>43</v>
      </c>
      <c r="ALJ6" s="42"/>
      <c r="ALK6" s="42"/>
      <c r="ALL6" s="42"/>
      <c r="ALM6" s="42"/>
      <c r="ALN6" s="42"/>
      <c r="ALO6" s="43"/>
      <c r="ALQ6" s="47" t="s">
        <v>34</v>
      </c>
      <c r="ALR6" s="48"/>
      <c r="ALS6" s="41" t="s">
        <v>43</v>
      </c>
      <c r="ALT6" s="42"/>
      <c r="ALU6" s="42"/>
      <c r="ALV6" s="42"/>
      <c r="ALW6" s="42"/>
      <c r="ALX6" s="42"/>
      <c r="ALY6" s="43"/>
      <c r="AMA6" s="47" t="s">
        <v>34</v>
      </c>
      <c r="AMB6" s="48"/>
      <c r="AMC6" s="41" t="s">
        <v>43</v>
      </c>
      <c r="AMD6" s="42"/>
      <c r="AME6" s="42"/>
      <c r="AMF6" s="42"/>
      <c r="AMG6" s="42"/>
      <c r="AMH6" s="42"/>
      <c r="AMI6" s="43"/>
      <c r="AMK6" s="47" t="s">
        <v>34</v>
      </c>
      <c r="AML6" s="48"/>
      <c r="AMM6" s="41" t="s">
        <v>43</v>
      </c>
      <c r="AMN6" s="42"/>
      <c r="AMO6" s="42"/>
      <c r="AMP6" s="42"/>
      <c r="AMQ6" s="42"/>
      <c r="AMR6" s="42"/>
      <c r="AMS6" s="43"/>
      <c r="AMU6" s="47" t="s">
        <v>34</v>
      </c>
      <c r="AMV6" s="48"/>
      <c r="AMW6" s="41" t="s">
        <v>43</v>
      </c>
      <c r="AMX6" s="42"/>
      <c r="AMY6" s="42"/>
      <c r="AMZ6" s="42"/>
      <c r="ANA6" s="42"/>
      <c r="ANB6" s="42"/>
      <c r="ANC6" s="43"/>
      <c r="ANE6" s="47" t="s">
        <v>34</v>
      </c>
      <c r="ANF6" s="48"/>
      <c r="ANG6" s="41" t="s">
        <v>43</v>
      </c>
      <c r="ANH6" s="42"/>
      <c r="ANI6" s="42"/>
      <c r="ANJ6" s="42"/>
      <c r="ANK6" s="42"/>
      <c r="ANL6" s="42"/>
      <c r="ANM6" s="43"/>
      <c r="ANO6" s="47" t="s">
        <v>34</v>
      </c>
      <c r="ANP6" s="48"/>
      <c r="ANQ6" s="41" t="s">
        <v>43</v>
      </c>
      <c r="ANR6" s="42"/>
      <c r="ANS6" s="42"/>
      <c r="ANT6" s="42"/>
      <c r="ANU6" s="42"/>
      <c r="ANV6" s="42"/>
      <c r="ANW6" s="43"/>
      <c r="ANY6" s="47" t="s">
        <v>34</v>
      </c>
      <c r="ANZ6" s="48"/>
      <c r="AOA6" s="41" t="s">
        <v>43</v>
      </c>
      <c r="AOB6" s="42"/>
      <c r="AOC6" s="42"/>
      <c r="AOD6" s="42"/>
      <c r="AOE6" s="42"/>
      <c r="AOF6" s="42"/>
      <c r="AOG6" s="43"/>
      <c r="AOI6" s="62" t="s">
        <v>34</v>
      </c>
      <c r="AOJ6" s="63"/>
      <c r="AOK6" s="77" t="s">
        <v>43</v>
      </c>
      <c r="AOL6" s="78"/>
      <c r="AOM6" s="78"/>
      <c r="AON6" s="78"/>
      <c r="AOO6" s="78"/>
      <c r="AOP6" s="78"/>
      <c r="AOQ6" s="79"/>
      <c r="AOS6" s="34" t="s">
        <v>34</v>
      </c>
      <c r="AOT6" s="35"/>
      <c r="AOU6" s="41" t="s">
        <v>43</v>
      </c>
      <c r="AOV6" s="42"/>
      <c r="AOW6" s="42"/>
      <c r="AOX6" s="42"/>
      <c r="AOY6" s="42"/>
      <c r="AOZ6" s="42"/>
      <c r="APA6" s="43"/>
    </row>
    <row r="7" spans="1:1023 1025:1093" ht="11.25" x14ac:dyDescent="0.2">
      <c r="A7" s="6" t="s">
        <v>44</v>
      </c>
      <c r="B7" s="18">
        <v>0.16666666666666666</v>
      </c>
      <c r="C7" s="7"/>
      <c r="E7" s="19"/>
      <c r="F7" s="8" t="s">
        <v>40</v>
      </c>
      <c r="G7" s="44"/>
      <c r="H7" s="45"/>
      <c r="I7" s="45"/>
      <c r="J7" s="45"/>
      <c r="K7" s="45"/>
      <c r="L7" s="45"/>
      <c r="M7" s="46"/>
      <c r="O7" s="19"/>
      <c r="P7" s="8" t="s">
        <v>40</v>
      </c>
      <c r="Q7" s="44"/>
      <c r="R7" s="45"/>
      <c r="S7" s="45"/>
      <c r="T7" s="45"/>
      <c r="U7" s="45"/>
      <c r="V7" s="45"/>
      <c r="W7" s="46"/>
      <c r="Y7" s="19">
        <v>1</v>
      </c>
      <c r="Z7" s="8" t="s">
        <v>40</v>
      </c>
      <c r="AA7" s="44"/>
      <c r="AB7" s="45"/>
      <c r="AC7" s="45"/>
      <c r="AD7" s="45"/>
      <c r="AE7" s="45"/>
      <c r="AF7" s="45"/>
      <c r="AG7" s="46"/>
      <c r="AI7" s="19"/>
      <c r="AJ7" s="8" t="s">
        <v>40</v>
      </c>
      <c r="AK7" s="44"/>
      <c r="AL7" s="45"/>
      <c r="AM7" s="45"/>
      <c r="AN7" s="45"/>
      <c r="AO7" s="45"/>
      <c r="AP7" s="45"/>
      <c r="AQ7" s="46"/>
      <c r="AS7" s="19">
        <v>2</v>
      </c>
      <c r="AT7" s="8" t="s">
        <v>40</v>
      </c>
      <c r="AU7" s="44"/>
      <c r="AV7" s="45"/>
      <c r="AW7" s="45"/>
      <c r="AX7" s="45"/>
      <c r="AY7" s="45"/>
      <c r="AZ7" s="45"/>
      <c r="BA7" s="46"/>
      <c r="BC7" s="19">
        <v>3</v>
      </c>
      <c r="BD7" s="8" t="s">
        <v>40</v>
      </c>
      <c r="BE7" s="44"/>
      <c r="BF7" s="45"/>
      <c r="BG7" s="45"/>
      <c r="BH7" s="45"/>
      <c r="BI7" s="45"/>
      <c r="BJ7" s="45"/>
      <c r="BK7" s="46"/>
      <c r="BM7" s="19">
        <v>1</v>
      </c>
      <c r="BN7" s="8" t="s">
        <v>40</v>
      </c>
      <c r="BO7" s="44"/>
      <c r="BP7" s="45"/>
      <c r="BQ7" s="45"/>
      <c r="BR7" s="45"/>
      <c r="BS7" s="45"/>
      <c r="BT7" s="45"/>
      <c r="BU7" s="46"/>
      <c r="BW7" s="19">
        <v>0</v>
      </c>
      <c r="BX7" s="8" t="s">
        <v>40</v>
      </c>
      <c r="BY7" s="44"/>
      <c r="BZ7" s="45"/>
      <c r="CA7" s="45"/>
      <c r="CB7" s="45"/>
      <c r="CC7" s="45"/>
      <c r="CD7" s="45"/>
      <c r="CE7" s="46"/>
      <c r="CG7" s="19">
        <v>1</v>
      </c>
      <c r="CH7" s="8" t="s">
        <v>40</v>
      </c>
      <c r="CI7" s="44"/>
      <c r="CJ7" s="45"/>
      <c r="CK7" s="45"/>
      <c r="CL7" s="45"/>
      <c r="CM7" s="45"/>
      <c r="CN7" s="45"/>
      <c r="CO7" s="46"/>
      <c r="CQ7" s="19">
        <v>3</v>
      </c>
      <c r="CR7" s="8" t="s">
        <v>40</v>
      </c>
      <c r="CS7" s="44"/>
      <c r="CT7" s="45"/>
      <c r="CU7" s="45"/>
      <c r="CV7" s="45"/>
      <c r="CW7" s="45"/>
      <c r="CX7" s="45"/>
      <c r="CY7" s="46"/>
      <c r="DA7" s="19">
        <v>3</v>
      </c>
      <c r="DB7" s="8" t="s">
        <v>40</v>
      </c>
      <c r="DC7" s="44"/>
      <c r="DD7" s="45"/>
      <c r="DE7" s="45"/>
      <c r="DF7" s="45"/>
      <c r="DG7" s="45"/>
      <c r="DH7" s="45"/>
      <c r="DI7" s="46"/>
      <c r="DK7" s="19">
        <v>0</v>
      </c>
      <c r="DL7" s="8" t="s">
        <v>40</v>
      </c>
      <c r="DM7" s="44"/>
      <c r="DN7" s="45"/>
      <c r="DO7" s="45"/>
      <c r="DP7" s="45"/>
      <c r="DQ7" s="45"/>
      <c r="DR7" s="45"/>
      <c r="DS7" s="46"/>
      <c r="DU7" s="19"/>
      <c r="DV7" s="8" t="s">
        <v>40</v>
      </c>
      <c r="DW7" s="44"/>
      <c r="DX7" s="45"/>
      <c r="DY7" s="45"/>
      <c r="DZ7" s="45"/>
      <c r="EA7" s="45"/>
      <c r="EB7" s="45"/>
      <c r="EC7" s="46"/>
      <c r="EE7" s="19">
        <v>1</v>
      </c>
      <c r="EF7" s="8" t="s">
        <v>40</v>
      </c>
      <c r="EG7" s="44"/>
      <c r="EH7" s="45"/>
      <c r="EI7" s="45"/>
      <c r="EJ7" s="45"/>
      <c r="EK7" s="45"/>
      <c r="EL7" s="45"/>
      <c r="EM7" s="46"/>
      <c r="EO7" s="19">
        <v>2</v>
      </c>
      <c r="EP7" s="8" t="s">
        <v>40</v>
      </c>
      <c r="EQ7" s="44"/>
      <c r="ER7" s="45"/>
      <c r="ES7" s="45"/>
      <c r="ET7" s="45"/>
      <c r="EU7" s="45"/>
      <c r="EV7" s="45"/>
      <c r="EW7" s="46"/>
      <c r="EY7" s="19">
        <v>3</v>
      </c>
      <c r="EZ7" s="8" t="s">
        <v>40</v>
      </c>
      <c r="FA7" s="44"/>
      <c r="FB7" s="45"/>
      <c r="FC7" s="45"/>
      <c r="FD7" s="45"/>
      <c r="FE7" s="45"/>
      <c r="FF7" s="45"/>
      <c r="FG7" s="46"/>
      <c r="FI7" s="19"/>
      <c r="FJ7" s="8" t="s">
        <v>40</v>
      </c>
      <c r="FK7" s="44"/>
      <c r="FL7" s="45"/>
      <c r="FM7" s="45"/>
      <c r="FN7" s="45"/>
      <c r="FO7" s="45"/>
      <c r="FP7" s="45"/>
      <c r="FQ7" s="46"/>
      <c r="FS7" s="19"/>
      <c r="FT7" s="8" t="s">
        <v>40</v>
      </c>
      <c r="FU7" s="44"/>
      <c r="FV7" s="45"/>
      <c r="FW7" s="45"/>
      <c r="FX7" s="45"/>
      <c r="FY7" s="45"/>
      <c r="FZ7" s="45"/>
      <c r="GA7" s="46"/>
      <c r="GC7" s="19">
        <v>4</v>
      </c>
      <c r="GD7" s="8" t="s">
        <v>40</v>
      </c>
      <c r="GE7" s="44"/>
      <c r="GF7" s="45"/>
      <c r="GG7" s="45"/>
      <c r="GH7" s="45"/>
      <c r="GI7" s="45"/>
      <c r="GJ7" s="45"/>
      <c r="GK7" s="46"/>
      <c r="GM7" s="2">
        <v>0</v>
      </c>
      <c r="GN7" s="8" t="s">
        <v>40</v>
      </c>
      <c r="GO7" s="44"/>
      <c r="GP7" s="45"/>
      <c r="GQ7" s="45"/>
      <c r="GR7" s="45"/>
      <c r="GS7" s="45"/>
      <c r="GT7" s="45"/>
      <c r="GU7" s="46"/>
      <c r="GW7" s="19">
        <v>0</v>
      </c>
      <c r="GX7" s="8" t="s">
        <v>40</v>
      </c>
      <c r="GY7" s="44"/>
      <c r="GZ7" s="45"/>
      <c r="HA7" s="45"/>
      <c r="HB7" s="45"/>
      <c r="HC7" s="45"/>
      <c r="HD7" s="45"/>
      <c r="HE7" s="46"/>
      <c r="HG7" s="19"/>
      <c r="HH7" s="8" t="s">
        <v>40</v>
      </c>
      <c r="HI7" s="44"/>
      <c r="HJ7" s="45"/>
      <c r="HK7" s="45"/>
      <c r="HL7" s="45"/>
      <c r="HM7" s="45"/>
      <c r="HN7" s="45"/>
      <c r="HO7" s="46"/>
      <c r="HQ7" s="19">
        <v>2</v>
      </c>
      <c r="HR7" s="8" t="s">
        <v>40</v>
      </c>
      <c r="HS7" s="44"/>
      <c r="HT7" s="45"/>
      <c r="HU7" s="45"/>
      <c r="HV7" s="45"/>
      <c r="HW7" s="45"/>
      <c r="HX7" s="45"/>
      <c r="HY7" s="46"/>
      <c r="IA7" s="19">
        <v>2</v>
      </c>
      <c r="IB7" s="8" t="s">
        <v>40</v>
      </c>
      <c r="IC7" s="44"/>
      <c r="ID7" s="45"/>
      <c r="IE7" s="45"/>
      <c r="IF7" s="45"/>
      <c r="IG7" s="45"/>
      <c r="IH7" s="45"/>
      <c r="II7" s="46"/>
      <c r="IK7" s="19">
        <v>2</v>
      </c>
      <c r="IL7" s="8" t="s">
        <v>40</v>
      </c>
      <c r="IM7" s="44"/>
      <c r="IN7" s="45"/>
      <c r="IO7" s="45"/>
      <c r="IP7" s="45"/>
      <c r="IQ7" s="45"/>
      <c r="IR7" s="45"/>
      <c r="IS7" s="46"/>
      <c r="IU7" s="19">
        <v>3</v>
      </c>
      <c r="IV7" s="8" t="s">
        <v>40</v>
      </c>
      <c r="IW7" s="44"/>
      <c r="IX7" s="45"/>
      <c r="IY7" s="45"/>
      <c r="IZ7" s="45"/>
      <c r="JA7" s="45"/>
      <c r="JB7" s="45"/>
      <c r="JC7" s="46"/>
      <c r="JE7" s="2"/>
      <c r="JF7" s="8" t="s">
        <v>40</v>
      </c>
      <c r="JG7" s="44"/>
      <c r="JH7" s="45"/>
      <c r="JI7" s="45"/>
      <c r="JJ7" s="45"/>
      <c r="JK7" s="45"/>
      <c r="JL7" s="45"/>
      <c r="JM7" s="46"/>
      <c r="JO7" s="19">
        <v>1</v>
      </c>
      <c r="JP7" s="8" t="s">
        <v>40</v>
      </c>
      <c r="JQ7" s="44"/>
      <c r="JR7" s="45"/>
      <c r="JS7" s="45"/>
      <c r="JT7" s="45"/>
      <c r="JU7" s="45"/>
      <c r="JV7" s="45"/>
      <c r="JW7" s="46"/>
      <c r="JY7" s="2">
        <v>1</v>
      </c>
      <c r="JZ7" s="8" t="s">
        <v>40</v>
      </c>
      <c r="KA7" s="44"/>
      <c r="KB7" s="45"/>
      <c r="KC7" s="45"/>
      <c r="KD7" s="45"/>
      <c r="KE7" s="45"/>
      <c r="KF7" s="45"/>
      <c r="KG7" s="46"/>
      <c r="KI7" s="2">
        <v>2</v>
      </c>
      <c r="KJ7" s="8" t="s">
        <v>40</v>
      </c>
      <c r="KK7" s="44"/>
      <c r="KL7" s="45"/>
      <c r="KM7" s="45"/>
      <c r="KN7" s="45"/>
      <c r="KO7" s="45"/>
      <c r="KP7" s="45"/>
      <c r="KQ7" s="46"/>
      <c r="KS7" s="19">
        <v>4</v>
      </c>
      <c r="KT7" s="8" t="s">
        <v>40</v>
      </c>
      <c r="KU7" s="44"/>
      <c r="KV7" s="45"/>
      <c r="KW7" s="45"/>
      <c r="KX7" s="45"/>
      <c r="KY7" s="45"/>
      <c r="KZ7" s="45"/>
      <c r="LA7" s="46"/>
      <c r="LC7" s="19">
        <v>1</v>
      </c>
      <c r="LD7" s="8" t="s">
        <v>40</v>
      </c>
      <c r="LE7" s="44"/>
      <c r="LF7" s="45"/>
      <c r="LG7" s="45"/>
      <c r="LH7" s="45"/>
      <c r="LI7" s="45"/>
      <c r="LJ7" s="45"/>
      <c r="LK7" s="46"/>
      <c r="LM7" s="19">
        <v>1</v>
      </c>
      <c r="LN7" s="8" t="s">
        <v>40</v>
      </c>
      <c r="LO7" s="44"/>
      <c r="LP7" s="45"/>
      <c r="LQ7" s="45"/>
      <c r="LR7" s="45"/>
      <c r="LS7" s="45"/>
      <c r="LT7" s="45"/>
      <c r="LU7" s="46"/>
      <c r="LW7" s="19">
        <v>1</v>
      </c>
      <c r="LX7" s="8" t="s">
        <v>40</v>
      </c>
      <c r="LY7" s="44"/>
      <c r="LZ7" s="45"/>
      <c r="MA7" s="45"/>
      <c r="MB7" s="45"/>
      <c r="MC7" s="45"/>
      <c r="MD7" s="45"/>
      <c r="ME7" s="46"/>
      <c r="MG7" s="19">
        <v>0</v>
      </c>
      <c r="MH7" s="8" t="s">
        <v>40</v>
      </c>
      <c r="MI7" s="44"/>
      <c r="MJ7" s="45"/>
      <c r="MK7" s="45"/>
      <c r="ML7" s="45"/>
      <c r="MM7" s="45"/>
      <c r="MN7" s="45"/>
      <c r="MO7" s="46"/>
      <c r="MQ7" s="19">
        <v>1</v>
      </c>
      <c r="MR7" s="8" t="s">
        <v>40</v>
      </c>
      <c r="MS7" s="44"/>
      <c r="MT7" s="45"/>
      <c r="MU7" s="45"/>
      <c r="MV7" s="45"/>
      <c r="MW7" s="45"/>
      <c r="MX7" s="45"/>
      <c r="MY7" s="46"/>
      <c r="NA7" s="19">
        <v>2</v>
      </c>
      <c r="NB7" s="8" t="s">
        <v>40</v>
      </c>
      <c r="NC7" s="44"/>
      <c r="ND7" s="45"/>
      <c r="NE7" s="45"/>
      <c r="NF7" s="45"/>
      <c r="NG7" s="45"/>
      <c r="NH7" s="45"/>
      <c r="NI7" s="46"/>
      <c r="NK7" s="19">
        <v>2</v>
      </c>
      <c r="NL7" s="8" t="s">
        <v>40</v>
      </c>
      <c r="NM7" s="44"/>
      <c r="NN7" s="45"/>
      <c r="NO7" s="45"/>
      <c r="NP7" s="45"/>
      <c r="NQ7" s="45"/>
      <c r="NR7" s="45"/>
      <c r="NS7" s="46"/>
      <c r="NU7" s="19">
        <v>3</v>
      </c>
      <c r="NV7" s="8" t="s">
        <v>40</v>
      </c>
      <c r="NW7" s="44"/>
      <c r="NX7" s="45"/>
      <c r="NY7" s="45"/>
      <c r="NZ7" s="45"/>
      <c r="OA7" s="45"/>
      <c r="OB7" s="45"/>
      <c r="OC7" s="46"/>
      <c r="OE7" s="2">
        <v>4</v>
      </c>
      <c r="OF7" s="8" t="s">
        <v>40</v>
      </c>
      <c r="OG7" s="44"/>
      <c r="OH7" s="45"/>
      <c r="OI7" s="45"/>
      <c r="OJ7" s="45"/>
      <c r="OK7" s="45"/>
      <c r="OL7" s="45"/>
      <c r="OM7" s="46"/>
      <c r="OO7" s="19">
        <v>0</v>
      </c>
      <c r="OP7" s="8" t="s">
        <v>40</v>
      </c>
      <c r="OQ7" s="44"/>
      <c r="OR7" s="45"/>
      <c r="OS7" s="45"/>
      <c r="OT7" s="45"/>
      <c r="OU7" s="45"/>
      <c r="OV7" s="45"/>
      <c r="OW7" s="46"/>
      <c r="OY7" s="19">
        <v>3</v>
      </c>
      <c r="OZ7" s="8" t="s">
        <v>40</v>
      </c>
      <c r="PA7" s="44"/>
      <c r="PB7" s="45"/>
      <c r="PC7" s="45"/>
      <c r="PD7" s="45"/>
      <c r="PE7" s="45"/>
      <c r="PF7" s="45"/>
      <c r="PG7" s="46"/>
      <c r="PI7" s="19">
        <v>3</v>
      </c>
      <c r="PJ7" s="8" t="s">
        <v>40</v>
      </c>
      <c r="PK7" s="44"/>
      <c r="PL7" s="45"/>
      <c r="PM7" s="45"/>
      <c r="PN7" s="45"/>
      <c r="PO7" s="45"/>
      <c r="PP7" s="45"/>
      <c r="PQ7" s="46"/>
      <c r="PS7" s="2">
        <v>1</v>
      </c>
      <c r="PT7" s="8" t="s">
        <v>40</v>
      </c>
      <c r="PU7" s="44"/>
      <c r="PV7" s="45"/>
      <c r="PW7" s="45"/>
      <c r="PX7" s="45"/>
      <c r="PY7" s="45"/>
      <c r="PZ7" s="45"/>
      <c r="QA7" s="46"/>
      <c r="QC7" s="2">
        <v>2</v>
      </c>
      <c r="QD7" s="8" t="s">
        <v>40</v>
      </c>
      <c r="QE7" s="44"/>
      <c r="QF7" s="45"/>
      <c r="QG7" s="45"/>
      <c r="QH7" s="45"/>
      <c r="QI7" s="45"/>
      <c r="QJ7" s="45"/>
      <c r="QK7" s="46"/>
      <c r="QM7" s="19">
        <v>2</v>
      </c>
      <c r="QN7" s="8" t="s">
        <v>40</v>
      </c>
      <c r="QO7" s="44"/>
      <c r="QP7" s="45"/>
      <c r="QQ7" s="45"/>
      <c r="QR7" s="45"/>
      <c r="QS7" s="45"/>
      <c r="QT7" s="45"/>
      <c r="QU7" s="46"/>
      <c r="QW7" s="19">
        <v>2</v>
      </c>
      <c r="QX7" s="8" t="s">
        <v>40</v>
      </c>
      <c r="QY7" s="44"/>
      <c r="QZ7" s="45"/>
      <c r="RA7" s="45"/>
      <c r="RB7" s="45"/>
      <c r="RC7" s="45"/>
      <c r="RD7" s="45"/>
      <c r="RE7" s="46"/>
      <c r="RG7" s="19">
        <v>1</v>
      </c>
      <c r="RH7" s="8" t="s">
        <v>40</v>
      </c>
      <c r="RI7" s="44"/>
      <c r="RJ7" s="45"/>
      <c r="RK7" s="45"/>
      <c r="RL7" s="45"/>
      <c r="RM7" s="45"/>
      <c r="RN7" s="45"/>
      <c r="RO7" s="46"/>
      <c r="RQ7" s="2">
        <v>2</v>
      </c>
      <c r="RR7" s="8" t="s">
        <v>40</v>
      </c>
      <c r="RS7" s="44"/>
      <c r="RT7" s="45"/>
      <c r="RU7" s="45"/>
      <c r="RV7" s="45"/>
      <c r="RW7" s="45"/>
      <c r="RX7" s="45"/>
      <c r="RY7" s="46"/>
      <c r="SA7" s="19">
        <v>2</v>
      </c>
      <c r="SB7" s="8" t="s">
        <v>40</v>
      </c>
      <c r="SC7" s="44"/>
      <c r="SD7" s="45"/>
      <c r="SE7" s="45"/>
      <c r="SF7" s="45"/>
      <c r="SG7" s="45"/>
      <c r="SH7" s="45"/>
      <c r="SI7" s="46"/>
      <c r="SK7" s="19">
        <v>0</v>
      </c>
      <c r="SL7" s="8" t="s">
        <v>40</v>
      </c>
      <c r="SM7" s="44"/>
      <c r="SN7" s="45"/>
      <c r="SO7" s="45"/>
      <c r="SP7" s="45"/>
      <c r="SQ7" s="45"/>
      <c r="SR7" s="45"/>
      <c r="SS7" s="46"/>
      <c r="SU7" s="19">
        <v>1</v>
      </c>
      <c r="SV7" s="8" t="s">
        <v>40</v>
      </c>
      <c r="SW7" s="44"/>
      <c r="SX7" s="45"/>
      <c r="SY7" s="45"/>
      <c r="SZ7" s="45"/>
      <c r="TA7" s="45"/>
      <c r="TB7" s="45"/>
      <c r="TC7" s="46"/>
      <c r="TE7" s="2">
        <v>1</v>
      </c>
      <c r="TF7" s="8" t="s">
        <v>40</v>
      </c>
      <c r="TG7" s="44"/>
      <c r="TH7" s="45"/>
      <c r="TI7" s="45"/>
      <c r="TJ7" s="45"/>
      <c r="TK7" s="45"/>
      <c r="TL7" s="45"/>
      <c r="TM7" s="46"/>
      <c r="TO7" s="19">
        <v>2</v>
      </c>
      <c r="TP7" s="8" t="s">
        <v>40</v>
      </c>
      <c r="TQ7" s="44"/>
      <c r="TR7" s="45"/>
      <c r="TS7" s="45"/>
      <c r="TT7" s="45"/>
      <c r="TU7" s="45"/>
      <c r="TV7" s="45"/>
      <c r="TW7" s="46"/>
      <c r="TY7" s="2">
        <v>2</v>
      </c>
      <c r="TZ7" s="8" t="s">
        <v>40</v>
      </c>
      <c r="UA7" s="44"/>
      <c r="UB7" s="45"/>
      <c r="UC7" s="45"/>
      <c r="UD7" s="45"/>
      <c r="UE7" s="45"/>
      <c r="UF7" s="45"/>
      <c r="UG7" s="46"/>
      <c r="UI7" s="2">
        <v>3</v>
      </c>
      <c r="UJ7" s="8" t="s">
        <v>40</v>
      </c>
      <c r="UK7" s="44"/>
      <c r="UL7" s="45"/>
      <c r="UM7" s="45"/>
      <c r="UN7" s="45"/>
      <c r="UO7" s="45"/>
      <c r="UP7" s="45"/>
      <c r="UQ7" s="46"/>
      <c r="US7" s="19">
        <v>1</v>
      </c>
      <c r="UT7" s="8" t="s">
        <v>40</v>
      </c>
      <c r="UU7" s="44"/>
      <c r="UV7" s="45"/>
      <c r="UW7" s="45"/>
      <c r="UX7" s="45"/>
      <c r="UY7" s="45"/>
      <c r="UZ7" s="45"/>
      <c r="VA7" s="46"/>
      <c r="VC7" s="19">
        <v>1</v>
      </c>
      <c r="VD7" s="8" t="s">
        <v>40</v>
      </c>
      <c r="VE7" s="44"/>
      <c r="VF7" s="45"/>
      <c r="VG7" s="45"/>
      <c r="VH7" s="45"/>
      <c r="VI7" s="45"/>
      <c r="VJ7" s="45"/>
      <c r="VK7" s="46"/>
      <c r="VM7" s="2">
        <v>1</v>
      </c>
      <c r="VN7" s="8" t="s">
        <v>40</v>
      </c>
      <c r="VO7" s="44"/>
      <c r="VP7" s="45"/>
      <c r="VQ7" s="45"/>
      <c r="VR7" s="45"/>
      <c r="VS7" s="45"/>
      <c r="VT7" s="45"/>
      <c r="VU7" s="46"/>
      <c r="VW7" s="19">
        <v>2</v>
      </c>
      <c r="VX7" s="8" t="s">
        <v>40</v>
      </c>
      <c r="VY7" s="44"/>
      <c r="VZ7" s="45"/>
      <c r="WA7" s="45"/>
      <c r="WB7" s="45"/>
      <c r="WC7" s="45"/>
      <c r="WD7" s="45"/>
      <c r="WE7" s="46"/>
      <c r="WG7" s="19">
        <v>1</v>
      </c>
      <c r="WH7" s="8" t="s">
        <v>40</v>
      </c>
      <c r="WI7" s="44"/>
      <c r="WJ7" s="45"/>
      <c r="WK7" s="45"/>
      <c r="WL7" s="45"/>
      <c r="WM7" s="45"/>
      <c r="WN7" s="45"/>
      <c r="WO7" s="46"/>
      <c r="WQ7" s="19"/>
      <c r="WR7" s="8" t="s">
        <v>40</v>
      </c>
      <c r="WS7" s="44"/>
      <c r="WT7" s="45"/>
      <c r="WU7" s="45"/>
      <c r="WV7" s="45"/>
      <c r="WW7" s="45"/>
      <c r="WX7" s="45"/>
      <c r="WY7" s="46"/>
      <c r="XA7" s="19">
        <v>0</v>
      </c>
      <c r="XB7" s="8" t="s">
        <v>40</v>
      </c>
      <c r="XC7" s="44"/>
      <c r="XD7" s="45"/>
      <c r="XE7" s="45"/>
      <c r="XF7" s="45"/>
      <c r="XG7" s="45"/>
      <c r="XH7" s="45"/>
      <c r="XI7" s="46"/>
      <c r="XK7" s="19">
        <v>2</v>
      </c>
      <c r="XL7" s="8" t="s">
        <v>40</v>
      </c>
      <c r="XM7" s="44"/>
      <c r="XN7" s="45"/>
      <c r="XO7" s="45"/>
      <c r="XP7" s="45"/>
      <c r="XQ7" s="45"/>
      <c r="XR7" s="45"/>
      <c r="XS7" s="46"/>
      <c r="XU7" s="19">
        <v>2</v>
      </c>
      <c r="XV7" s="8" t="s">
        <v>40</v>
      </c>
      <c r="XW7" s="44"/>
      <c r="XX7" s="45"/>
      <c r="XY7" s="45"/>
      <c r="XZ7" s="45"/>
      <c r="YA7" s="45"/>
      <c r="YB7" s="45"/>
      <c r="YC7" s="46"/>
      <c r="YE7" s="19">
        <v>2</v>
      </c>
      <c r="YF7" s="8" t="s">
        <v>40</v>
      </c>
      <c r="YG7" s="44"/>
      <c r="YH7" s="45"/>
      <c r="YI7" s="45"/>
      <c r="YJ7" s="45"/>
      <c r="YK7" s="45"/>
      <c r="YL7" s="45"/>
      <c r="YM7" s="46"/>
      <c r="YO7" s="19">
        <v>3</v>
      </c>
      <c r="YP7" s="8" t="s">
        <v>40</v>
      </c>
      <c r="YQ7" s="44"/>
      <c r="YR7" s="45"/>
      <c r="YS7" s="45"/>
      <c r="YT7" s="45"/>
      <c r="YU7" s="45"/>
      <c r="YV7" s="45"/>
      <c r="YW7" s="46"/>
      <c r="YY7" s="19">
        <v>1</v>
      </c>
      <c r="YZ7" s="8" t="s">
        <v>40</v>
      </c>
      <c r="ZA7" s="44"/>
      <c r="ZB7" s="45"/>
      <c r="ZC7" s="45"/>
      <c r="ZD7" s="45"/>
      <c r="ZE7" s="45"/>
      <c r="ZF7" s="45"/>
      <c r="ZG7" s="46"/>
      <c r="ZI7" s="19">
        <v>2</v>
      </c>
      <c r="ZJ7" s="8" t="s">
        <v>40</v>
      </c>
      <c r="ZK7" s="44"/>
      <c r="ZL7" s="45"/>
      <c r="ZM7" s="45"/>
      <c r="ZN7" s="45"/>
      <c r="ZO7" s="45"/>
      <c r="ZP7" s="45"/>
      <c r="ZQ7" s="46"/>
      <c r="ZS7" s="19">
        <v>1</v>
      </c>
      <c r="ZT7" s="8" t="s">
        <v>40</v>
      </c>
      <c r="ZU7" s="44"/>
      <c r="ZV7" s="45"/>
      <c r="ZW7" s="45"/>
      <c r="ZX7" s="45"/>
      <c r="ZY7" s="45"/>
      <c r="ZZ7" s="45"/>
      <c r="AAA7" s="46"/>
      <c r="AAC7" s="19">
        <v>2</v>
      </c>
      <c r="AAD7" s="8" t="s">
        <v>40</v>
      </c>
      <c r="AAE7" s="44"/>
      <c r="AAF7" s="45"/>
      <c r="AAG7" s="45"/>
      <c r="AAH7" s="45"/>
      <c r="AAI7" s="45"/>
      <c r="AAJ7" s="45"/>
      <c r="AAK7" s="46"/>
      <c r="AAM7" s="19">
        <v>2</v>
      </c>
      <c r="AAN7" s="8" t="s">
        <v>40</v>
      </c>
      <c r="AAO7" s="44"/>
      <c r="AAP7" s="45"/>
      <c r="AAQ7" s="45"/>
      <c r="AAR7" s="45"/>
      <c r="AAS7" s="45"/>
      <c r="AAT7" s="45"/>
      <c r="AAU7" s="46"/>
      <c r="AAW7" s="19">
        <v>0</v>
      </c>
      <c r="AAX7" s="8" t="s">
        <v>40</v>
      </c>
      <c r="AAY7" s="44"/>
      <c r="AAZ7" s="45"/>
      <c r="ABA7" s="45"/>
      <c r="ABB7" s="45"/>
      <c r="ABC7" s="45"/>
      <c r="ABD7" s="45"/>
      <c r="ABE7" s="46"/>
      <c r="ABG7" s="2">
        <v>0</v>
      </c>
      <c r="ABH7" s="8" t="s">
        <v>40</v>
      </c>
      <c r="ABI7" s="44"/>
      <c r="ABJ7" s="45"/>
      <c r="ABK7" s="45"/>
      <c r="ABL7" s="45"/>
      <c r="ABM7" s="45"/>
      <c r="ABN7" s="45"/>
      <c r="ABO7" s="46"/>
      <c r="ABQ7" s="19">
        <v>0</v>
      </c>
      <c r="ABR7" s="8" t="s">
        <v>40</v>
      </c>
      <c r="ABS7" s="44"/>
      <c r="ABT7" s="45"/>
      <c r="ABU7" s="45"/>
      <c r="ABV7" s="45"/>
      <c r="ABW7" s="45"/>
      <c r="ABX7" s="45"/>
      <c r="ABY7" s="46"/>
      <c r="ACA7" s="19">
        <v>2</v>
      </c>
      <c r="ACB7" s="8" t="s">
        <v>40</v>
      </c>
      <c r="ACC7" s="44"/>
      <c r="ACD7" s="45"/>
      <c r="ACE7" s="45"/>
      <c r="ACF7" s="45"/>
      <c r="ACG7" s="45"/>
      <c r="ACH7" s="45"/>
      <c r="ACI7" s="46"/>
      <c r="ACK7" s="19">
        <v>2</v>
      </c>
      <c r="ACL7" s="8" t="s">
        <v>40</v>
      </c>
      <c r="ACM7" s="44"/>
      <c r="ACN7" s="45"/>
      <c r="ACO7" s="45"/>
      <c r="ACP7" s="45"/>
      <c r="ACQ7" s="45"/>
      <c r="ACR7" s="45"/>
      <c r="ACS7" s="46"/>
      <c r="ACU7" s="19">
        <v>2</v>
      </c>
      <c r="ACV7" s="8" t="s">
        <v>40</v>
      </c>
      <c r="ACW7" s="44"/>
      <c r="ACX7" s="45"/>
      <c r="ACY7" s="45"/>
      <c r="ACZ7" s="45"/>
      <c r="ADA7" s="45"/>
      <c r="ADB7" s="45"/>
      <c r="ADC7" s="46"/>
      <c r="ADE7" s="19">
        <v>2</v>
      </c>
      <c r="ADF7" s="8" t="s">
        <v>40</v>
      </c>
      <c r="ADG7" s="44"/>
      <c r="ADH7" s="45"/>
      <c r="ADI7" s="45"/>
      <c r="ADJ7" s="45"/>
      <c r="ADK7" s="45"/>
      <c r="ADL7" s="45"/>
      <c r="ADM7" s="46"/>
      <c r="ADO7" s="19">
        <v>0</v>
      </c>
      <c r="ADP7" s="8" t="s">
        <v>40</v>
      </c>
      <c r="ADQ7" s="44"/>
      <c r="ADR7" s="45"/>
      <c r="ADS7" s="45"/>
      <c r="ADT7" s="45"/>
      <c r="ADU7" s="45"/>
      <c r="ADV7" s="45"/>
      <c r="ADW7" s="46"/>
      <c r="ADY7" s="19">
        <v>2</v>
      </c>
      <c r="ADZ7" s="8" t="s">
        <v>40</v>
      </c>
      <c r="AEA7" s="44"/>
      <c r="AEB7" s="45"/>
      <c r="AEC7" s="45"/>
      <c r="AED7" s="45"/>
      <c r="AEE7" s="45"/>
      <c r="AEF7" s="45"/>
      <c r="AEG7" s="46"/>
      <c r="AEI7" s="19">
        <v>2</v>
      </c>
      <c r="AEJ7" s="8" t="s">
        <v>40</v>
      </c>
      <c r="AEK7" s="44"/>
      <c r="AEL7" s="45"/>
      <c r="AEM7" s="45"/>
      <c r="AEN7" s="45"/>
      <c r="AEO7" s="45"/>
      <c r="AEP7" s="45"/>
      <c r="AEQ7" s="46"/>
      <c r="AES7" s="19">
        <v>2</v>
      </c>
      <c r="AET7" s="8" t="s">
        <v>40</v>
      </c>
      <c r="AEU7" s="44"/>
      <c r="AEV7" s="45"/>
      <c r="AEW7" s="45"/>
      <c r="AEX7" s="45"/>
      <c r="AEY7" s="45"/>
      <c r="AEZ7" s="45"/>
      <c r="AFA7" s="46"/>
      <c r="AFC7" s="19">
        <v>2</v>
      </c>
      <c r="AFD7" s="8" t="s">
        <v>40</v>
      </c>
      <c r="AFE7" s="44"/>
      <c r="AFF7" s="45"/>
      <c r="AFG7" s="45"/>
      <c r="AFH7" s="45"/>
      <c r="AFI7" s="45"/>
      <c r="AFJ7" s="45"/>
      <c r="AFK7" s="46"/>
      <c r="AFM7" s="19">
        <v>3</v>
      </c>
      <c r="AFN7" s="8" t="s">
        <v>40</v>
      </c>
      <c r="AFO7" s="44"/>
      <c r="AFP7" s="45"/>
      <c r="AFQ7" s="45"/>
      <c r="AFR7" s="45"/>
      <c r="AFS7" s="45"/>
      <c r="AFT7" s="45"/>
      <c r="AFU7" s="46"/>
      <c r="AFW7" s="19">
        <v>0</v>
      </c>
      <c r="AFX7" s="8" t="s">
        <v>40</v>
      </c>
      <c r="AFY7" s="44"/>
      <c r="AFZ7" s="45"/>
      <c r="AGA7" s="45"/>
      <c r="AGB7" s="45"/>
      <c r="AGC7" s="45"/>
      <c r="AGD7" s="45"/>
      <c r="AGE7" s="46"/>
      <c r="AGG7" s="19">
        <v>4</v>
      </c>
      <c r="AGH7" s="8" t="s">
        <v>40</v>
      </c>
      <c r="AGI7" s="44"/>
      <c r="AGJ7" s="45"/>
      <c r="AGK7" s="45"/>
      <c r="AGL7" s="45"/>
      <c r="AGM7" s="45"/>
      <c r="AGN7" s="45"/>
      <c r="AGO7" s="46"/>
      <c r="AGQ7" s="2">
        <v>1</v>
      </c>
      <c r="AGR7" s="8" t="s">
        <v>40</v>
      </c>
      <c r="AGS7" s="44"/>
      <c r="AGT7" s="45"/>
      <c r="AGU7" s="45"/>
      <c r="AGV7" s="45"/>
      <c r="AGW7" s="45"/>
      <c r="AGX7" s="45"/>
      <c r="AGY7" s="46"/>
      <c r="AHA7" s="2">
        <v>1</v>
      </c>
      <c r="AHB7" s="8" t="s">
        <v>40</v>
      </c>
      <c r="AHC7" s="44"/>
      <c r="AHD7" s="45"/>
      <c r="AHE7" s="45"/>
      <c r="AHF7" s="45"/>
      <c r="AHG7" s="45"/>
      <c r="AHH7" s="45"/>
      <c r="AHI7" s="46"/>
      <c r="AHK7" s="19">
        <v>2</v>
      </c>
      <c r="AHL7" s="8" t="s">
        <v>40</v>
      </c>
      <c r="AHM7" s="44"/>
      <c r="AHN7" s="45"/>
      <c r="AHO7" s="45"/>
      <c r="AHP7" s="45"/>
      <c r="AHQ7" s="45"/>
      <c r="AHR7" s="45"/>
      <c r="AHS7" s="46"/>
      <c r="AHU7" s="19">
        <v>3</v>
      </c>
      <c r="AHV7" s="8" t="s">
        <v>40</v>
      </c>
      <c r="AHW7" s="44"/>
      <c r="AHX7" s="45"/>
      <c r="AHY7" s="45"/>
      <c r="AHZ7" s="45"/>
      <c r="AIA7" s="45"/>
      <c r="AIB7" s="45"/>
      <c r="AIC7" s="46"/>
      <c r="AIE7" s="2">
        <v>0</v>
      </c>
      <c r="AIF7" s="8" t="s">
        <v>40</v>
      </c>
      <c r="AIG7" s="44"/>
      <c r="AIH7" s="45"/>
      <c r="AII7" s="45"/>
      <c r="AIJ7" s="45"/>
      <c r="AIK7" s="45"/>
      <c r="AIL7" s="45"/>
      <c r="AIM7" s="46"/>
      <c r="AIO7" s="19">
        <v>1</v>
      </c>
      <c r="AIP7" s="8" t="s">
        <v>40</v>
      </c>
      <c r="AIQ7" s="44"/>
      <c r="AIR7" s="45"/>
      <c r="AIS7" s="45"/>
      <c r="AIT7" s="45"/>
      <c r="AIU7" s="45"/>
      <c r="AIV7" s="45"/>
      <c r="AIW7" s="46"/>
      <c r="AIY7" s="19">
        <v>1</v>
      </c>
      <c r="AIZ7" s="8" t="s">
        <v>40</v>
      </c>
      <c r="AJA7" s="44"/>
      <c r="AJB7" s="45"/>
      <c r="AJC7" s="45"/>
      <c r="AJD7" s="45"/>
      <c r="AJE7" s="45"/>
      <c r="AJF7" s="45"/>
      <c r="AJG7" s="46"/>
      <c r="AJI7" s="2">
        <v>2</v>
      </c>
      <c r="AJJ7" s="8" t="s">
        <v>40</v>
      </c>
      <c r="AJK7" s="44"/>
      <c r="AJL7" s="45"/>
      <c r="AJM7" s="45"/>
      <c r="AJN7" s="45"/>
      <c r="AJO7" s="45"/>
      <c r="AJP7" s="45"/>
      <c r="AJQ7" s="46"/>
      <c r="AJS7" s="19">
        <v>1</v>
      </c>
      <c r="AJT7" s="8" t="s">
        <v>40</v>
      </c>
      <c r="AJU7" s="44"/>
      <c r="AJV7" s="45"/>
      <c r="AJW7" s="45"/>
      <c r="AJX7" s="45"/>
      <c r="AJY7" s="45"/>
      <c r="AJZ7" s="45"/>
      <c r="AKA7" s="46"/>
      <c r="AKC7" s="2">
        <v>1</v>
      </c>
      <c r="AKD7" s="8" t="s">
        <v>40</v>
      </c>
      <c r="AKE7" s="44"/>
      <c r="AKF7" s="45"/>
      <c r="AKG7" s="45"/>
      <c r="AKH7" s="45"/>
      <c r="AKI7" s="45"/>
      <c r="AKJ7" s="45"/>
      <c r="AKK7" s="46"/>
      <c r="AKM7" s="19">
        <v>3</v>
      </c>
      <c r="AKN7" s="8" t="s">
        <v>40</v>
      </c>
      <c r="AKO7" s="44"/>
      <c r="AKP7" s="45"/>
      <c r="AKQ7" s="45"/>
      <c r="AKR7" s="45"/>
      <c r="AKS7" s="45"/>
      <c r="AKT7" s="45"/>
      <c r="AKU7" s="46"/>
      <c r="AKW7" s="19">
        <v>3</v>
      </c>
      <c r="AKX7" s="8" t="s">
        <v>40</v>
      </c>
      <c r="AKY7" s="44"/>
      <c r="AKZ7" s="45"/>
      <c r="ALA7" s="45"/>
      <c r="ALB7" s="45"/>
      <c r="ALC7" s="45"/>
      <c r="ALD7" s="45"/>
      <c r="ALE7" s="46"/>
      <c r="ALG7" s="2">
        <v>3</v>
      </c>
      <c r="ALH7" s="8" t="s">
        <v>40</v>
      </c>
      <c r="ALI7" s="44"/>
      <c r="ALJ7" s="45"/>
      <c r="ALK7" s="45"/>
      <c r="ALL7" s="45"/>
      <c r="ALM7" s="45"/>
      <c r="ALN7" s="45"/>
      <c r="ALO7" s="46"/>
      <c r="ALQ7" s="2">
        <v>3</v>
      </c>
      <c r="ALR7" s="8" t="s">
        <v>40</v>
      </c>
      <c r="ALS7" s="44"/>
      <c r="ALT7" s="45"/>
      <c r="ALU7" s="45"/>
      <c r="ALV7" s="45"/>
      <c r="ALW7" s="45"/>
      <c r="ALX7" s="45"/>
      <c r="ALY7" s="46"/>
      <c r="AMA7" s="19">
        <v>1</v>
      </c>
      <c r="AMB7" s="8" t="s">
        <v>40</v>
      </c>
      <c r="AMC7" s="44"/>
      <c r="AMD7" s="45"/>
      <c r="AME7" s="45"/>
      <c r="AMF7" s="45"/>
      <c r="AMG7" s="45"/>
      <c r="AMH7" s="45"/>
      <c r="AMI7" s="46"/>
      <c r="AMK7" s="19">
        <v>1</v>
      </c>
      <c r="AML7" s="8" t="s">
        <v>40</v>
      </c>
      <c r="AMM7" s="44"/>
      <c r="AMN7" s="45"/>
      <c r="AMO7" s="45"/>
      <c r="AMP7" s="45"/>
      <c r="AMQ7" s="45"/>
      <c r="AMR7" s="45"/>
      <c r="AMS7" s="46"/>
      <c r="AMU7" s="2">
        <v>3</v>
      </c>
      <c r="AMV7" s="8" t="s">
        <v>40</v>
      </c>
      <c r="AMW7" s="44"/>
      <c r="AMX7" s="45"/>
      <c r="AMY7" s="45"/>
      <c r="AMZ7" s="45"/>
      <c r="ANA7" s="45"/>
      <c r="ANB7" s="45"/>
      <c r="ANC7" s="46"/>
      <c r="ANE7" s="19">
        <v>3</v>
      </c>
      <c r="ANF7" s="8" t="s">
        <v>40</v>
      </c>
      <c r="ANG7" s="44"/>
      <c r="ANH7" s="45"/>
      <c r="ANI7" s="45"/>
      <c r="ANJ7" s="45"/>
      <c r="ANK7" s="45"/>
      <c r="ANL7" s="45"/>
      <c r="ANM7" s="46"/>
      <c r="ANO7" s="2">
        <v>3</v>
      </c>
      <c r="ANP7" s="8" t="s">
        <v>40</v>
      </c>
      <c r="ANQ7" s="44"/>
      <c r="ANR7" s="45"/>
      <c r="ANS7" s="45"/>
      <c r="ANT7" s="45"/>
      <c r="ANU7" s="45"/>
      <c r="ANV7" s="45"/>
      <c r="ANW7" s="46"/>
      <c r="ANY7" s="19">
        <v>1</v>
      </c>
      <c r="ANZ7" s="8" t="s">
        <v>40</v>
      </c>
      <c r="AOA7" s="44"/>
      <c r="AOB7" s="45"/>
      <c r="AOC7" s="45"/>
      <c r="AOD7" s="45"/>
      <c r="AOE7" s="45"/>
      <c r="AOF7" s="45"/>
      <c r="AOG7" s="46"/>
      <c r="AOI7" s="71">
        <v>2</v>
      </c>
      <c r="AOJ7" s="72" t="s">
        <v>40</v>
      </c>
      <c r="AOK7" s="80"/>
      <c r="AOL7" s="81"/>
      <c r="AOM7" s="81"/>
      <c r="AON7" s="81"/>
      <c r="AOO7" s="81"/>
      <c r="AOP7" s="81"/>
      <c r="AOQ7" s="82"/>
      <c r="AOS7" s="2"/>
      <c r="AOT7" s="8" t="s">
        <v>40</v>
      </c>
      <c r="AOU7" s="44"/>
      <c r="AOV7" s="45"/>
      <c r="AOW7" s="45"/>
      <c r="AOX7" s="45"/>
      <c r="AOY7" s="45"/>
      <c r="AOZ7" s="45"/>
      <c r="APA7" s="46"/>
    </row>
    <row r="8" spans="1:1023 1025:1093" ht="12.75" customHeight="1" x14ac:dyDescent="0.2">
      <c r="E8" s="17"/>
      <c r="F8" s="16"/>
      <c r="G8" s="17"/>
      <c r="H8" s="16"/>
      <c r="J8" s="17"/>
      <c r="K8" s="14"/>
      <c r="M8" s="14"/>
      <c r="O8" s="17"/>
      <c r="P8" s="16"/>
      <c r="Q8" s="17"/>
      <c r="R8" s="16"/>
      <c r="T8" s="17"/>
      <c r="U8" s="14"/>
      <c r="W8" s="14"/>
      <c r="Y8" s="17"/>
      <c r="Z8" s="16"/>
      <c r="AA8" s="17"/>
      <c r="AB8" s="16"/>
      <c r="AD8" s="17"/>
      <c r="AE8" s="14"/>
      <c r="AG8" s="14"/>
      <c r="AI8" s="17"/>
      <c r="AJ8" s="16"/>
      <c r="AK8" s="17"/>
      <c r="AL8" s="16"/>
      <c r="AN8" s="17"/>
      <c r="AO8" s="14"/>
      <c r="AQ8" s="14"/>
      <c r="AS8" s="17"/>
      <c r="AT8" s="16"/>
      <c r="AU8" s="17"/>
      <c r="AV8" s="16"/>
      <c r="AX8" s="17"/>
      <c r="AY8" s="14"/>
      <c r="BA8" s="14"/>
      <c r="BC8" s="17"/>
      <c r="BD8" s="16"/>
      <c r="BE8" s="17"/>
      <c r="BF8" s="16"/>
      <c r="BH8" s="17"/>
      <c r="BI8" s="14"/>
      <c r="BK8" s="14"/>
      <c r="BM8" s="17"/>
      <c r="BN8" s="16"/>
      <c r="BO8" s="17"/>
      <c r="BP8" s="16"/>
      <c r="BR8" s="17"/>
      <c r="BS8" s="14"/>
      <c r="BU8" s="14"/>
      <c r="BW8" s="17"/>
      <c r="BX8" s="16"/>
      <c r="BY8" s="17"/>
      <c r="BZ8" s="16"/>
      <c r="CB8" s="17"/>
      <c r="CC8" s="14"/>
      <c r="CE8" s="14"/>
      <c r="CG8" s="15"/>
      <c r="CH8" s="16"/>
      <c r="CI8" s="15"/>
      <c r="CJ8" s="16"/>
      <c r="CL8" s="17"/>
      <c r="CM8" s="14"/>
      <c r="CO8" s="14"/>
      <c r="CQ8" s="15"/>
      <c r="CR8" s="16"/>
      <c r="CS8" s="15"/>
      <c r="CT8" s="16"/>
      <c r="CV8" s="17"/>
      <c r="CW8" s="14"/>
      <c r="CY8" s="14"/>
      <c r="DA8" s="15"/>
      <c r="DB8" s="16"/>
      <c r="DC8" s="15"/>
      <c r="DD8" s="16"/>
      <c r="DF8" s="17"/>
      <c r="DG8" s="14"/>
      <c r="DI8" s="14"/>
      <c r="DK8" s="15"/>
      <c r="DL8" s="16"/>
      <c r="DM8" s="15"/>
      <c r="DN8" s="16"/>
      <c r="DP8" s="17"/>
      <c r="DQ8" s="14"/>
      <c r="DS8" s="14"/>
      <c r="DU8" s="15"/>
      <c r="DV8" s="16"/>
      <c r="DW8" s="15"/>
      <c r="DX8" s="16"/>
      <c r="DZ8" s="17"/>
      <c r="EA8" s="14"/>
      <c r="EC8" s="14"/>
      <c r="EE8" s="15"/>
      <c r="EF8" s="16"/>
      <c r="EG8" s="15"/>
      <c r="EH8" s="16"/>
      <c r="EJ8" s="17"/>
      <c r="EK8" s="14"/>
      <c r="EM8" s="14"/>
      <c r="EO8" s="15"/>
      <c r="EP8" s="16"/>
      <c r="EQ8" s="15"/>
      <c r="ER8" s="16"/>
      <c r="ET8" s="17"/>
      <c r="EU8" s="14"/>
      <c r="EW8" s="14"/>
      <c r="EY8" s="15"/>
      <c r="EZ8" s="16"/>
      <c r="FA8" s="15"/>
      <c r="FB8" s="16"/>
      <c r="FD8" s="17"/>
      <c r="FE8" s="14"/>
      <c r="FG8" s="14"/>
      <c r="FI8" s="15"/>
      <c r="FJ8" s="16"/>
      <c r="FK8" s="15"/>
      <c r="FL8" s="16"/>
      <c r="FN8" s="17"/>
      <c r="FO8" s="14"/>
      <c r="FQ8" s="14"/>
      <c r="FS8" s="15"/>
      <c r="FT8" s="16"/>
      <c r="FU8" s="15"/>
      <c r="FV8" s="16"/>
      <c r="FX8" s="17"/>
      <c r="FY8" s="14"/>
      <c r="GA8" s="14"/>
      <c r="GC8" s="17"/>
      <c r="GD8" s="16"/>
      <c r="GE8" s="17"/>
      <c r="GF8" s="16"/>
      <c r="GH8" s="17"/>
      <c r="GI8" s="14"/>
      <c r="GK8" s="14"/>
      <c r="GM8" s="15"/>
      <c r="GN8" s="16"/>
      <c r="GO8" s="15"/>
      <c r="GP8" s="16"/>
      <c r="GR8" s="17"/>
      <c r="GS8" s="14"/>
      <c r="GU8" s="14"/>
      <c r="GW8" s="15"/>
      <c r="GX8" s="16"/>
      <c r="GY8" s="15"/>
      <c r="GZ8" s="16"/>
      <c r="HB8" s="17"/>
      <c r="HC8" s="14"/>
      <c r="HE8" s="14"/>
      <c r="HG8" s="15"/>
      <c r="HH8" s="16"/>
      <c r="HI8" s="15"/>
      <c r="HJ8" s="16"/>
      <c r="HL8" s="17"/>
      <c r="HM8" s="14"/>
      <c r="HO8" s="14"/>
      <c r="HQ8" s="15"/>
      <c r="HR8" s="16"/>
      <c r="HS8" s="15"/>
      <c r="HT8" s="16"/>
      <c r="HV8" s="17"/>
      <c r="HW8" s="14"/>
      <c r="HY8" s="14"/>
      <c r="IA8" s="15"/>
      <c r="IB8" s="16"/>
      <c r="IC8" s="15"/>
      <c r="ID8" s="16"/>
      <c r="IF8" s="17"/>
      <c r="IG8" s="14"/>
      <c r="II8" s="14"/>
      <c r="IK8" s="15"/>
      <c r="IL8" s="16"/>
      <c r="IM8" s="15"/>
      <c r="IN8" s="16"/>
      <c r="IP8" s="17"/>
      <c r="IQ8" s="14"/>
      <c r="IS8" s="14"/>
      <c r="IU8" s="15"/>
      <c r="IV8" s="16"/>
      <c r="IW8" s="15"/>
      <c r="IX8" s="16"/>
      <c r="IZ8" s="17"/>
      <c r="JA8" s="14"/>
      <c r="JC8" s="14"/>
      <c r="JE8" s="15"/>
      <c r="JF8" s="16"/>
      <c r="JG8" s="15"/>
      <c r="JH8" s="16"/>
      <c r="JJ8" s="17"/>
      <c r="JK8" s="14"/>
      <c r="JM8" s="14"/>
      <c r="JO8" s="15"/>
      <c r="JP8" s="16"/>
      <c r="JQ8" s="15"/>
      <c r="JR8" s="16"/>
      <c r="JT8" s="17"/>
      <c r="JU8" s="14"/>
      <c r="JW8" s="14"/>
      <c r="JY8" s="15"/>
      <c r="JZ8" s="16"/>
      <c r="KA8" s="15"/>
      <c r="KB8" s="16"/>
      <c r="KD8" s="17"/>
      <c r="KE8" s="14"/>
      <c r="KG8" s="14"/>
      <c r="KI8" s="15"/>
      <c r="KJ8" s="16"/>
      <c r="KK8" s="15"/>
      <c r="KL8" s="16"/>
      <c r="KN8" s="17"/>
      <c r="KO8" s="14"/>
      <c r="KQ8" s="14"/>
      <c r="KS8" s="15"/>
      <c r="KT8" s="16"/>
      <c r="KU8" s="15"/>
      <c r="KV8" s="16"/>
      <c r="KX8" s="17"/>
      <c r="KY8" s="14"/>
      <c r="LA8" s="14"/>
      <c r="LC8" s="15"/>
      <c r="LD8" s="16"/>
      <c r="LE8" s="15"/>
      <c r="LF8" s="16"/>
      <c r="LH8" s="17"/>
      <c r="LI8" s="14"/>
      <c r="LK8" s="14"/>
      <c r="LM8" s="15"/>
      <c r="LN8" s="16"/>
      <c r="LO8" s="15"/>
      <c r="LP8" s="16"/>
      <c r="LR8" s="17"/>
      <c r="LS8" s="14"/>
      <c r="LU8" s="14"/>
      <c r="LW8" s="15"/>
      <c r="LX8" s="16"/>
      <c r="LY8" s="15"/>
      <c r="LZ8" s="16"/>
      <c r="MB8" s="17"/>
      <c r="MC8" s="14"/>
      <c r="ME8" s="14"/>
      <c r="MG8" s="15"/>
      <c r="MH8" s="16"/>
      <c r="MI8" s="15"/>
      <c r="MJ8" s="16"/>
      <c r="ML8" s="17"/>
      <c r="MM8" s="14"/>
      <c r="MO8" s="14"/>
      <c r="MQ8" s="15"/>
      <c r="MR8" s="16"/>
      <c r="MS8" s="15"/>
      <c r="MT8" s="16"/>
      <c r="MV8" s="17"/>
      <c r="MW8" s="14"/>
      <c r="MY8" s="14"/>
      <c r="NA8" s="15"/>
      <c r="NB8" s="16"/>
      <c r="NC8" s="15"/>
      <c r="ND8" s="16"/>
      <c r="NF8" s="17"/>
      <c r="NG8" s="14"/>
      <c r="NI8" s="14"/>
      <c r="NK8" s="15"/>
      <c r="NL8" s="16"/>
      <c r="NM8" s="15"/>
      <c r="NN8" s="16"/>
      <c r="NP8" s="17"/>
      <c r="NQ8" s="14"/>
      <c r="NS8" s="14"/>
      <c r="NU8" s="15"/>
      <c r="NV8" s="16"/>
      <c r="NW8" s="15"/>
      <c r="NX8" s="16"/>
      <c r="NZ8" s="17"/>
      <c r="OA8" s="14"/>
      <c r="OC8" s="14"/>
      <c r="OE8" s="15"/>
      <c r="OF8" s="16"/>
      <c r="OG8" s="15"/>
      <c r="OH8" s="16"/>
      <c r="OJ8" s="17"/>
      <c r="OK8" s="14"/>
      <c r="OM8" s="14"/>
      <c r="OO8" s="15"/>
      <c r="OP8" s="16"/>
      <c r="OQ8" s="15"/>
      <c r="OR8" s="16"/>
      <c r="OT8" s="17"/>
      <c r="OU8" s="14"/>
      <c r="OW8" s="14"/>
      <c r="OY8" s="15"/>
      <c r="OZ8" s="16"/>
      <c r="PA8" s="15"/>
      <c r="PB8" s="16"/>
      <c r="PD8" s="17"/>
      <c r="PE8" s="14"/>
      <c r="PG8" s="14"/>
      <c r="PI8" s="15"/>
      <c r="PJ8" s="16"/>
      <c r="PK8" s="15"/>
      <c r="PL8" s="16"/>
      <c r="PN8" s="17"/>
      <c r="PO8" s="14"/>
      <c r="PQ8" s="14"/>
      <c r="PS8" s="15"/>
      <c r="PT8" s="16"/>
      <c r="PU8" s="15"/>
      <c r="PV8" s="16"/>
      <c r="PX8" s="17"/>
      <c r="PY8" s="14"/>
      <c r="QA8" s="14"/>
      <c r="QC8" s="15"/>
      <c r="QD8" s="16"/>
      <c r="QE8" s="15"/>
      <c r="QF8" s="16"/>
      <c r="QH8" s="17"/>
      <c r="QI8" s="14"/>
      <c r="QK8" s="14"/>
      <c r="QM8" s="15"/>
      <c r="QN8" s="16"/>
      <c r="QO8" s="15"/>
      <c r="QP8" s="16"/>
      <c r="QR8" s="17"/>
      <c r="QS8" s="14"/>
      <c r="QU8" s="14"/>
      <c r="QW8" s="15"/>
      <c r="QX8" s="16"/>
      <c r="QY8" s="15"/>
      <c r="QZ8" s="16"/>
      <c r="RB8" s="17"/>
      <c r="RC8" s="14"/>
      <c r="RE8" s="14"/>
      <c r="RG8" s="15"/>
      <c r="RH8" s="16"/>
      <c r="RI8" s="15"/>
      <c r="RJ8" s="16"/>
      <c r="RL8" s="17"/>
      <c r="RM8" s="14"/>
      <c r="RO8" s="14"/>
      <c r="RQ8" s="15"/>
      <c r="RR8" s="16"/>
      <c r="RS8" s="15"/>
      <c r="RT8" s="16"/>
      <c r="RV8" s="17"/>
      <c r="RW8" s="14"/>
      <c r="RY8" s="14"/>
      <c r="SA8" s="15"/>
      <c r="SB8" s="16"/>
      <c r="SC8" s="15"/>
      <c r="SD8" s="16"/>
      <c r="SF8" s="17"/>
      <c r="SG8" s="14"/>
      <c r="SI8" s="14"/>
      <c r="SK8" s="15"/>
      <c r="SL8" s="16"/>
      <c r="SM8" s="15"/>
      <c r="SN8" s="16"/>
      <c r="SP8" s="17"/>
      <c r="SQ8" s="14"/>
      <c r="SS8" s="14"/>
      <c r="SU8" s="15"/>
      <c r="SV8" s="16"/>
      <c r="SW8" s="15"/>
      <c r="SX8" s="16"/>
      <c r="SZ8" s="17"/>
      <c r="TA8" s="14"/>
      <c r="TC8" s="14"/>
      <c r="TE8" s="15"/>
      <c r="TF8" s="16"/>
      <c r="TG8" s="15"/>
      <c r="TH8" s="16"/>
      <c r="TJ8" s="17"/>
      <c r="TK8" s="14"/>
      <c r="TM8" s="14"/>
      <c r="TO8" s="15"/>
      <c r="TP8" s="16"/>
      <c r="TQ8" s="15"/>
      <c r="TR8" s="16"/>
      <c r="TT8" s="17"/>
      <c r="TU8" s="14"/>
      <c r="TW8" s="14"/>
      <c r="TY8" s="15"/>
      <c r="TZ8" s="16"/>
      <c r="UA8" s="15"/>
      <c r="UB8" s="16"/>
      <c r="UD8" s="17"/>
      <c r="UE8" s="14"/>
      <c r="UG8" s="14"/>
      <c r="UI8" s="15"/>
      <c r="UJ8" s="16"/>
      <c r="UK8" s="15"/>
      <c r="UL8" s="16"/>
      <c r="UN8" s="17"/>
      <c r="UO8" s="14"/>
      <c r="UQ8" s="14"/>
      <c r="US8" s="15"/>
      <c r="UT8" s="16"/>
      <c r="UU8" s="15"/>
      <c r="UV8" s="16"/>
      <c r="UX8" s="17"/>
      <c r="UY8" s="14"/>
      <c r="VA8" s="14"/>
      <c r="VC8" s="15"/>
      <c r="VD8" s="16"/>
      <c r="VE8" s="15"/>
      <c r="VF8" s="16"/>
      <c r="VH8" s="17"/>
      <c r="VI8" s="14"/>
      <c r="VK8" s="14"/>
      <c r="VM8" s="15"/>
      <c r="VN8" s="16"/>
      <c r="VO8" s="15"/>
      <c r="VP8" s="16"/>
      <c r="VR8" s="17"/>
      <c r="VS8" s="14"/>
      <c r="VU8" s="14"/>
      <c r="VW8" s="15"/>
      <c r="VX8" s="16"/>
      <c r="VY8" s="15"/>
      <c r="VZ8" s="16"/>
      <c r="WB8" s="17"/>
      <c r="WC8" s="14"/>
      <c r="WE8" s="14"/>
      <c r="WG8" s="15"/>
      <c r="WH8" s="16"/>
      <c r="WI8" s="15"/>
      <c r="WJ8" s="16"/>
      <c r="WL8" s="17"/>
      <c r="WM8" s="14"/>
      <c r="WO8" s="14"/>
      <c r="WQ8" s="15"/>
      <c r="WR8" s="16"/>
      <c r="WS8" s="15"/>
      <c r="WT8" s="16"/>
      <c r="WV8" s="17"/>
      <c r="WW8" s="14"/>
      <c r="WY8" s="14"/>
      <c r="XA8" s="15"/>
      <c r="XB8" s="16"/>
      <c r="XC8" s="15"/>
      <c r="XD8" s="16"/>
      <c r="XF8" s="17"/>
      <c r="XG8" s="14"/>
      <c r="XI8" s="14"/>
      <c r="XK8" s="15"/>
      <c r="XL8" s="16"/>
      <c r="XM8" s="15"/>
      <c r="XN8" s="16"/>
      <c r="XP8" s="17"/>
      <c r="XQ8" s="14"/>
      <c r="XS8" s="14"/>
      <c r="XU8" s="15"/>
      <c r="XV8" s="16"/>
      <c r="XW8" s="15"/>
      <c r="XX8" s="16"/>
      <c r="XZ8" s="17"/>
      <c r="YA8" s="14"/>
      <c r="YC8" s="14"/>
      <c r="YE8" s="15"/>
      <c r="YF8" s="16"/>
      <c r="YG8" s="15"/>
      <c r="YH8" s="16"/>
      <c r="YJ8" s="17"/>
      <c r="YK8" s="14"/>
      <c r="YM8" s="14"/>
      <c r="YO8" s="15"/>
      <c r="YP8" s="16"/>
      <c r="YQ8" s="15"/>
      <c r="YR8" s="16"/>
      <c r="YT8" s="17"/>
      <c r="YU8" s="14"/>
      <c r="YW8" s="14"/>
      <c r="YY8" s="15"/>
      <c r="YZ8" s="16"/>
      <c r="ZA8" s="15"/>
      <c r="ZB8" s="16"/>
      <c r="ZD8" s="17"/>
      <c r="ZE8" s="14"/>
      <c r="ZG8" s="14"/>
      <c r="ZI8" s="15"/>
      <c r="ZJ8" s="16"/>
      <c r="ZK8" s="15"/>
      <c r="ZL8" s="16"/>
      <c r="ZN8" s="17"/>
      <c r="ZO8" s="14"/>
      <c r="ZQ8" s="14"/>
      <c r="ZS8" s="15"/>
      <c r="ZT8" s="16"/>
      <c r="ZU8" s="15"/>
      <c r="ZV8" s="16"/>
      <c r="ZX8" s="17"/>
      <c r="ZY8" s="14"/>
      <c r="AAA8" s="14"/>
      <c r="AAC8" s="15"/>
      <c r="AAD8" s="16"/>
      <c r="AAE8" s="15"/>
      <c r="AAF8" s="16"/>
      <c r="AAH8" s="17"/>
      <c r="AAI8" s="14"/>
      <c r="AAK8" s="14"/>
      <c r="AAM8" s="15"/>
      <c r="AAN8" s="16"/>
      <c r="AAO8" s="15"/>
      <c r="AAP8" s="16"/>
      <c r="AAR8" s="17"/>
      <c r="AAS8" s="14"/>
      <c r="AAU8" s="14"/>
      <c r="AAW8" s="15"/>
      <c r="AAX8" s="16"/>
      <c r="AAY8" s="15"/>
      <c r="AAZ8" s="16"/>
      <c r="ABB8" s="17"/>
      <c r="ABC8" s="14"/>
      <c r="ABE8" s="14"/>
      <c r="ABG8" s="15"/>
      <c r="ABH8" s="16"/>
      <c r="ABI8" s="15"/>
      <c r="ABJ8" s="16"/>
      <c r="ABL8" s="17"/>
      <c r="ABM8" s="14"/>
      <c r="ABO8" s="14"/>
      <c r="ABQ8" s="15"/>
      <c r="ABR8" s="16"/>
      <c r="ABS8" s="15"/>
      <c r="ABT8" s="16"/>
      <c r="ABV8" s="17"/>
      <c r="ABW8" s="14"/>
      <c r="ABY8" s="14"/>
      <c r="ACA8" s="15"/>
      <c r="ACB8" s="16"/>
      <c r="ACC8" s="15"/>
      <c r="ACD8" s="16"/>
      <c r="ACF8" s="17"/>
      <c r="ACG8" s="14"/>
      <c r="ACI8" s="14"/>
      <c r="ACK8" s="15"/>
      <c r="ACL8" s="16"/>
      <c r="ACM8" s="15"/>
      <c r="ACN8" s="16"/>
      <c r="ACP8" s="17"/>
      <c r="ACQ8" s="14"/>
      <c r="ACS8" s="14"/>
      <c r="ACU8" s="15"/>
      <c r="ACV8" s="16"/>
      <c r="ACW8" s="15"/>
      <c r="ACX8" s="16"/>
      <c r="ACZ8" s="17"/>
      <c r="ADA8" s="14"/>
      <c r="ADC8" s="14"/>
      <c r="ADE8" s="15"/>
      <c r="ADF8" s="16"/>
      <c r="ADG8" s="15"/>
      <c r="ADH8" s="16"/>
      <c r="ADJ8" s="17"/>
      <c r="ADK8" s="14"/>
      <c r="ADM8" s="14"/>
      <c r="ADO8" s="15"/>
      <c r="ADP8" s="16"/>
      <c r="ADQ8" s="15"/>
      <c r="ADR8" s="16"/>
      <c r="ADT8" s="17"/>
      <c r="ADU8" s="14"/>
      <c r="ADW8" s="14"/>
      <c r="ADY8" s="15"/>
      <c r="ADZ8" s="16"/>
      <c r="AEA8" s="15"/>
      <c r="AEB8" s="16"/>
      <c r="AED8" s="17"/>
      <c r="AEE8" s="14"/>
      <c r="AEG8" s="14"/>
      <c r="AEI8" s="15"/>
      <c r="AEJ8" s="16"/>
      <c r="AEK8" s="15"/>
      <c r="AEL8" s="16"/>
      <c r="AEN8" s="17"/>
      <c r="AEO8" s="14"/>
      <c r="AEQ8" s="14"/>
      <c r="AES8" s="15"/>
      <c r="AET8" s="16"/>
      <c r="AEU8" s="15"/>
      <c r="AEV8" s="16"/>
      <c r="AEX8" s="17"/>
      <c r="AEY8" s="14"/>
      <c r="AFA8" s="14"/>
      <c r="AFC8" s="15"/>
      <c r="AFD8" s="16"/>
      <c r="AFE8" s="15"/>
      <c r="AFF8" s="16"/>
      <c r="AFH8" s="17"/>
      <c r="AFI8" s="14"/>
      <c r="AFK8" s="14"/>
      <c r="AFM8" s="15"/>
      <c r="AFN8" s="16"/>
      <c r="AFO8" s="15"/>
      <c r="AFP8" s="16"/>
      <c r="AFR8" s="17"/>
      <c r="AFS8" s="14"/>
      <c r="AFU8" s="14"/>
      <c r="AFW8" s="15"/>
      <c r="AFX8" s="16"/>
      <c r="AFY8" s="15"/>
      <c r="AFZ8" s="16"/>
      <c r="AGB8" s="17"/>
      <c r="AGC8" s="14"/>
      <c r="AGE8" s="14"/>
      <c r="AGG8" s="15"/>
      <c r="AGH8" s="16"/>
      <c r="AGI8" s="15"/>
      <c r="AGJ8" s="16"/>
      <c r="AGL8" s="17"/>
      <c r="AGM8" s="14"/>
      <c r="AGO8" s="14"/>
      <c r="AGQ8" s="15"/>
      <c r="AGR8" s="16"/>
      <c r="AGS8" s="15"/>
      <c r="AGT8" s="16"/>
      <c r="AGV8" s="17"/>
      <c r="AGW8" s="14"/>
      <c r="AGY8" s="14"/>
      <c r="AHA8" s="15"/>
      <c r="AHB8" s="16"/>
      <c r="AHC8" s="15"/>
      <c r="AHD8" s="16"/>
      <c r="AHF8" s="17"/>
      <c r="AHG8" s="14"/>
      <c r="AHI8" s="14"/>
      <c r="AHK8" s="15"/>
      <c r="AHL8" s="16"/>
      <c r="AHM8" s="15"/>
      <c r="AHN8" s="16"/>
      <c r="AHP8" s="17"/>
      <c r="AHQ8" s="14"/>
      <c r="AHS8" s="14"/>
      <c r="AHU8" s="15"/>
      <c r="AHV8" s="16"/>
      <c r="AHW8" s="15"/>
      <c r="AHX8" s="16"/>
      <c r="AHZ8" s="17"/>
      <c r="AIA8" s="14"/>
      <c r="AIC8" s="14"/>
      <c r="AIE8" s="15"/>
      <c r="AIF8" s="16"/>
      <c r="AIG8" s="15"/>
      <c r="AIH8" s="16"/>
      <c r="AIJ8" s="17"/>
      <c r="AIK8" s="14"/>
      <c r="AIM8" s="14"/>
      <c r="AIO8" s="15"/>
      <c r="AIP8" s="16"/>
      <c r="AIQ8" s="15"/>
      <c r="AIR8" s="16"/>
      <c r="AIT8" s="17"/>
      <c r="AIU8" s="14"/>
      <c r="AIW8" s="14"/>
      <c r="AIY8" s="15"/>
      <c r="AIZ8" s="16"/>
      <c r="AJA8" s="15"/>
      <c r="AJB8" s="16"/>
      <c r="AJD8" s="17"/>
      <c r="AJE8" s="14"/>
      <c r="AJG8" s="14"/>
      <c r="AJI8" s="15"/>
      <c r="AJJ8" s="16"/>
      <c r="AJK8" s="15"/>
      <c r="AJL8" s="16"/>
      <c r="AJN8" s="17"/>
      <c r="AJO8" s="14"/>
      <c r="AJQ8" s="14"/>
      <c r="AJS8" s="15"/>
      <c r="AJT8" s="16"/>
      <c r="AJU8" s="15"/>
      <c r="AJV8" s="16"/>
      <c r="AJX8" s="17"/>
      <c r="AJY8" s="14"/>
      <c r="AKA8" s="14"/>
      <c r="AKC8" s="15"/>
      <c r="AKD8" s="16"/>
      <c r="AKE8" s="15"/>
      <c r="AKF8" s="16"/>
      <c r="AKH8" s="17"/>
      <c r="AKI8" s="14"/>
      <c r="AKK8" s="14"/>
      <c r="AKM8" s="15"/>
      <c r="AKN8" s="16"/>
      <c r="AKO8" s="15"/>
      <c r="AKP8" s="16"/>
      <c r="AKR8" s="17"/>
      <c r="AKS8" s="14"/>
      <c r="AKU8" s="14"/>
      <c r="AKW8" s="15"/>
      <c r="AKX8" s="16"/>
      <c r="AKY8" s="15"/>
      <c r="AKZ8" s="16"/>
      <c r="ALB8" s="17"/>
      <c r="ALC8" s="14"/>
      <c r="ALE8" s="14"/>
      <c r="ALG8" s="15"/>
      <c r="ALH8" s="16"/>
      <c r="ALI8" s="15"/>
      <c r="ALJ8" s="16"/>
      <c r="ALL8" s="17"/>
      <c r="ALM8" s="14"/>
      <c r="ALO8" s="14"/>
      <c r="ALQ8" s="15"/>
      <c r="ALR8" s="16"/>
      <c r="ALS8" s="15"/>
      <c r="ALT8" s="16"/>
      <c r="ALV8" s="17"/>
      <c r="ALW8" s="14"/>
      <c r="ALY8" s="14"/>
      <c r="AMA8" s="15"/>
      <c r="AMB8" s="16"/>
      <c r="AMC8" s="15"/>
      <c r="AMD8" s="16"/>
      <c r="AMF8" s="17"/>
      <c r="AMG8" s="14"/>
      <c r="AMI8" s="14"/>
      <c r="AMK8" s="15"/>
      <c r="AML8" s="16"/>
      <c r="AMM8" s="15"/>
      <c r="AMN8" s="16"/>
      <c r="AMP8" s="17"/>
      <c r="AMQ8" s="14"/>
      <c r="AMS8" s="14"/>
      <c r="AMU8" s="15"/>
      <c r="AMV8" s="16"/>
      <c r="AMW8" s="15"/>
      <c r="AMX8" s="16"/>
      <c r="AMZ8" s="17"/>
      <c r="ANA8" s="14"/>
      <c r="ANC8" s="14"/>
      <c r="ANE8" s="15"/>
      <c r="ANF8" s="16"/>
      <c r="ANG8" s="15"/>
      <c r="ANH8" s="16"/>
      <c r="ANJ8" s="17"/>
      <c r="ANK8" s="14"/>
      <c r="ANM8" s="14"/>
      <c r="ANO8" s="15"/>
      <c r="ANP8" s="16"/>
      <c r="ANQ8" s="15"/>
      <c r="ANR8" s="16"/>
      <c r="ANT8" s="17"/>
      <c r="ANU8" s="14"/>
      <c r="ANW8" s="14"/>
      <c r="ANY8" s="15"/>
      <c r="ANZ8" s="16"/>
      <c r="AOA8" s="15"/>
      <c r="AOB8" s="16"/>
      <c r="AOD8" s="17"/>
      <c r="AOE8" s="14"/>
      <c r="AOG8" s="14"/>
      <c r="AOI8" s="15"/>
      <c r="AOJ8" s="16"/>
      <c r="AOK8" s="15"/>
      <c r="AOL8" s="16"/>
      <c r="AON8" s="17"/>
      <c r="AOO8" s="14"/>
      <c r="AOQ8" s="14"/>
      <c r="AOS8" s="15"/>
      <c r="AOT8" s="16"/>
      <c r="AOU8" s="15"/>
      <c r="AOV8" s="16"/>
      <c r="AOX8" s="17"/>
      <c r="AOY8" s="14"/>
      <c r="APA8" s="14"/>
    </row>
    <row r="9" spans="1:1023 1025:1093" ht="12.75" customHeight="1" x14ac:dyDescent="0.2">
      <c r="A9" s="12"/>
    </row>
    <row r="10" spans="1:1023 1025:1093" ht="12.75" customHeight="1" x14ac:dyDescent="0.2">
      <c r="A10" s="12" t="s">
        <v>45</v>
      </c>
    </row>
    <row r="11" spans="1:1023 1025:1093" ht="12.75" customHeight="1" x14ac:dyDescent="0.2">
      <c r="A11" s="13" t="s">
        <v>46</v>
      </c>
    </row>
    <row r="12" spans="1:1023 1025:1093" ht="12.75" customHeight="1" x14ac:dyDescent="0.2">
      <c r="A12" s="13" t="s">
        <v>47</v>
      </c>
    </row>
    <row r="13" spans="1:1023 1025:1093" ht="12.75" customHeight="1" x14ac:dyDescent="0.2">
      <c r="A13" s="12"/>
    </row>
  </sheetData>
  <sheetProtection algorithmName="SHA-512" hashValue="OpLGGJG8/jlxNBKFGxxASFiKbAjydJVJ3HyIeWsXxh1vuoTnGo7zSCC/gz+zPlxIqpT4LofQxUITWw9D0INEbA==" saltValue="GRXcZzQWKxT2qU2dQsMPcw==" spinCount="100000" sheet="1" selectLockedCells="1"/>
  <mergeCells count="873">
    <mergeCell ref="AOS1:AOT1"/>
    <mergeCell ref="AOU1:AOW1"/>
    <mergeCell ref="AOX1:AOY1"/>
    <mergeCell ref="AOZ1:APA1"/>
    <mergeCell ref="AOS2:AOT2"/>
    <mergeCell ref="AOU2:AOV2"/>
    <mergeCell ref="AOS6:AOT6"/>
    <mergeCell ref="AOU6:APA7"/>
    <mergeCell ref="B1:D1"/>
    <mergeCell ref="AEU6:AFA7"/>
    <mergeCell ref="ADY1:ADZ1"/>
    <mergeCell ref="AEA1:AEC1"/>
    <mergeCell ref="AED1:AEE1"/>
    <mergeCell ref="AEF1:AEG1"/>
    <mergeCell ref="ADY2:ADZ2"/>
    <mergeCell ref="AEA2:AEB2"/>
    <mergeCell ref="ADY6:ADZ6"/>
    <mergeCell ref="AEA6:AEG7"/>
    <mergeCell ref="AES1:AET1"/>
    <mergeCell ref="AEU1:AEW1"/>
    <mergeCell ref="AEX1:AEY1"/>
    <mergeCell ref="AEZ1:AFA1"/>
    <mergeCell ref="ADO1:ADP1"/>
    <mergeCell ref="ADQ1:ADS1"/>
    <mergeCell ref="ADT1:ADU1"/>
    <mergeCell ref="ADV1:ADW1"/>
    <mergeCell ref="ADO2:ADP2"/>
    <mergeCell ref="ADQ2:ADR2"/>
    <mergeCell ref="ADO6:ADP6"/>
    <mergeCell ref="ADQ6:ADW7"/>
    <mergeCell ref="ADE1:ADF1"/>
    <mergeCell ref="ADG1:ADI1"/>
    <mergeCell ref="ADJ1:ADK1"/>
    <mergeCell ref="ADL1:ADM1"/>
    <mergeCell ref="ADE2:ADF2"/>
    <mergeCell ref="ADG2:ADH2"/>
    <mergeCell ref="ADE6:ADF6"/>
    <mergeCell ref="ADG6:ADM7"/>
    <mergeCell ref="ABQ2:ABR2"/>
    <mergeCell ref="ABS2:ABT2"/>
    <mergeCell ref="ABQ6:ABR6"/>
    <mergeCell ref="ABS6:ABY7"/>
    <mergeCell ref="ACU1:ACV1"/>
    <mergeCell ref="ACW1:ACY1"/>
    <mergeCell ref="ACZ1:ADA1"/>
    <mergeCell ref="ADB1:ADC1"/>
    <mergeCell ref="ACU2:ACV2"/>
    <mergeCell ref="ACW2:ACX2"/>
    <mergeCell ref="ACU6:ACV6"/>
    <mergeCell ref="ACW6:ADC7"/>
    <mergeCell ref="ACR1:ACS1"/>
    <mergeCell ref="ACP1:ACQ1"/>
    <mergeCell ref="ACK1:ACL1"/>
    <mergeCell ref="ACM1:ACO1"/>
    <mergeCell ref="ACK2:ACL2"/>
    <mergeCell ref="ACM2:ACN2"/>
    <mergeCell ref="ACK6:ACL6"/>
    <mergeCell ref="ACM6:ACS7"/>
    <mergeCell ref="ACC1:ACE1"/>
    <mergeCell ref="ACF1:ACG1"/>
    <mergeCell ref="ACH1:ACI1"/>
    <mergeCell ref="ACA2:ACB2"/>
    <mergeCell ref="AAW1:AAX1"/>
    <mergeCell ref="AAY1:ABA1"/>
    <mergeCell ref="ABB1:ABC1"/>
    <mergeCell ref="ABD1:ABE1"/>
    <mergeCell ref="AAW2:AAX2"/>
    <mergeCell ref="AAY2:AAZ2"/>
    <mergeCell ref="AAW6:AAX6"/>
    <mergeCell ref="AAY6:ABE7"/>
    <mergeCell ref="ACC2:ACD2"/>
    <mergeCell ref="ACA6:ACB6"/>
    <mergeCell ref="ACC6:ACI7"/>
    <mergeCell ref="ABG1:ABH1"/>
    <mergeCell ref="ABI1:ABK1"/>
    <mergeCell ref="ABL1:ABM1"/>
    <mergeCell ref="ABN1:ABO1"/>
    <mergeCell ref="ABG2:ABH2"/>
    <mergeCell ref="ABI2:ABJ2"/>
    <mergeCell ref="ABG6:ABH6"/>
    <mergeCell ref="ABI6:ABO7"/>
    <mergeCell ref="ABQ1:ABR1"/>
    <mergeCell ref="ABS1:ABU1"/>
    <mergeCell ref="ABV1:ABW1"/>
    <mergeCell ref="ABX1:ABY1"/>
    <mergeCell ref="ACA1:ACB1"/>
    <mergeCell ref="AAM1:AAN1"/>
    <mergeCell ref="AAO1:AAQ1"/>
    <mergeCell ref="AAR1:AAS1"/>
    <mergeCell ref="AAT1:AAU1"/>
    <mergeCell ref="AAM2:AAN2"/>
    <mergeCell ref="AAO2:AAP2"/>
    <mergeCell ref="AAM6:AAN6"/>
    <mergeCell ref="AAO6:AAU7"/>
    <mergeCell ref="AAC1:AAD1"/>
    <mergeCell ref="AAE1:AAG1"/>
    <mergeCell ref="AAH1:AAI1"/>
    <mergeCell ref="AAJ1:AAK1"/>
    <mergeCell ref="AAC2:AAD2"/>
    <mergeCell ref="AAE2:AAF2"/>
    <mergeCell ref="AAC6:AAD6"/>
    <mergeCell ref="AAE6:AAK7"/>
    <mergeCell ref="ZU2:ZV2"/>
    <mergeCell ref="ZS6:ZT6"/>
    <mergeCell ref="ZU6:AAA7"/>
    <mergeCell ref="ZI1:ZJ1"/>
    <mergeCell ref="ZK1:ZM1"/>
    <mergeCell ref="ZN1:ZO1"/>
    <mergeCell ref="ZP1:ZQ1"/>
    <mergeCell ref="ZI2:ZJ2"/>
    <mergeCell ref="ZK2:ZL2"/>
    <mergeCell ref="ZI6:ZJ6"/>
    <mergeCell ref="ZK6:ZQ7"/>
    <mergeCell ref="ZS1:ZT1"/>
    <mergeCell ref="ZU1:ZW1"/>
    <mergeCell ref="ZX1:ZY1"/>
    <mergeCell ref="ZZ1:AAA1"/>
    <mergeCell ref="ZS2:ZT2"/>
    <mergeCell ref="YY6:YZ6"/>
    <mergeCell ref="ZA6:ZG7"/>
    <mergeCell ref="YO1:YP1"/>
    <mergeCell ref="YQ1:YS1"/>
    <mergeCell ref="YT1:YU1"/>
    <mergeCell ref="YV1:YW1"/>
    <mergeCell ref="YO2:YP2"/>
    <mergeCell ref="YQ2:YR2"/>
    <mergeCell ref="YO6:YP6"/>
    <mergeCell ref="YQ6:YW7"/>
    <mergeCell ref="YY1:YZ1"/>
    <mergeCell ref="ZA1:ZC1"/>
    <mergeCell ref="ZD1:ZE1"/>
    <mergeCell ref="ZF1:ZG1"/>
    <mergeCell ref="YY2:YZ2"/>
    <mergeCell ref="ZA2:ZB2"/>
    <mergeCell ref="RG1:RH1"/>
    <mergeCell ref="RI1:RK1"/>
    <mergeCell ref="RL1:RM1"/>
    <mergeCell ref="RN1:RO1"/>
    <mergeCell ref="RG2:RH2"/>
    <mergeCell ref="RI2:RJ2"/>
    <mergeCell ref="RG6:RH6"/>
    <mergeCell ref="RI6:RO7"/>
    <mergeCell ref="WG1:WH1"/>
    <mergeCell ref="SM6:SS7"/>
    <mergeCell ref="SA1:SB1"/>
    <mergeCell ref="RS1:RU1"/>
    <mergeCell ref="RV1:RW1"/>
    <mergeCell ref="RX1:RY1"/>
    <mergeCell ref="RQ2:RR2"/>
    <mergeCell ref="RS2:RT2"/>
    <mergeCell ref="SK1:SL1"/>
    <mergeCell ref="SM1:SO1"/>
    <mergeCell ref="SP1:SQ1"/>
    <mergeCell ref="SR1:SS1"/>
    <mergeCell ref="RQ1:RR1"/>
    <mergeCell ref="SK2:SL2"/>
    <mergeCell ref="SM2:SN2"/>
    <mergeCell ref="SK6:SL6"/>
    <mergeCell ref="QC6:QD6"/>
    <mergeCell ref="QE6:QK7"/>
    <mergeCell ref="QM1:QN1"/>
    <mergeCell ref="QO6:QU7"/>
    <mergeCell ref="QW1:QX1"/>
    <mergeCell ref="QY1:RA1"/>
    <mergeCell ref="RB1:RC1"/>
    <mergeCell ref="RD1:RE1"/>
    <mergeCell ref="QC1:QD1"/>
    <mergeCell ref="QE1:QG1"/>
    <mergeCell ref="QH1:QI1"/>
    <mergeCell ref="QJ1:QK1"/>
    <mergeCell ref="QC2:QD2"/>
    <mergeCell ref="QE2:QF2"/>
    <mergeCell ref="QO1:QQ1"/>
    <mergeCell ref="QR1:QS1"/>
    <mergeCell ref="QT1:QU1"/>
    <mergeCell ref="QM2:QN2"/>
    <mergeCell ref="QO2:QP2"/>
    <mergeCell ref="QW2:QX2"/>
    <mergeCell ref="QY2:QZ2"/>
    <mergeCell ref="QW6:QX6"/>
    <mergeCell ref="QY6:RE7"/>
    <mergeCell ref="QM6:QN6"/>
    <mergeCell ref="OG6:OM7"/>
    <mergeCell ref="OJ1:OK1"/>
    <mergeCell ref="OL1:OM1"/>
    <mergeCell ref="OQ1:OS1"/>
    <mergeCell ref="OT1:OU1"/>
    <mergeCell ref="OV1:OW1"/>
    <mergeCell ref="OY6:OZ6"/>
    <mergeCell ref="OY1:OZ1"/>
    <mergeCell ref="PA1:PC1"/>
    <mergeCell ref="OY2:OZ2"/>
    <mergeCell ref="PD1:PE1"/>
    <mergeCell ref="PF1:PG1"/>
    <mergeCell ref="PA2:PB2"/>
    <mergeCell ref="PS1:PT1"/>
    <mergeCell ref="PU1:PW1"/>
    <mergeCell ref="PX1:PY1"/>
    <mergeCell ref="PS2:PT2"/>
    <mergeCell ref="PA6:PG7"/>
    <mergeCell ref="PZ1:QA1"/>
    <mergeCell ref="PS6:PT6"/>
    <mergeCell ref="PU2:PV2"/>
    <mergeCell ref="PI1:PJ1"/>
    <mergeCell ref="PK1:PM1"/>
    <mergeCell ref="PN1:PO1"/>
    <mergeCell ref="PP1:PQ1"/>
    <mergeCell ref="PI2:PJ2"/>
    <mergeCell ref="PK2:PL2"/>
    <mergeCell ref="PU6:QA7"/>
    <mergeCell ref="PI6:PJ6"/>
    <mergeCell ref="PK6:PQ7"/>
    <mergeCell ref="NU1:NV1"/>
    <mergeCell ref="MQ1:MR1"/>
    <mergeCell ref="MS1:MU1"/>
    <mergeCell ref="MV1:MW1"/>
    <mergeCell ref="MX1:MY1"/>
    <mergeCell ref="MQ2:MR2"/>
    <mergeCell ref="MS2:MT2"/>
    <mergeCell ref="MQ6:MR6"/>
    <mergeCell ref="MS6:MY7"/>
    <mergeCell ref="NC2:ND2"/>
    <mergeCell ref="NA6:NB6"/>
    <mergeCell ref="NC6:NI7"/>
    <mergeCell ref="NA1:NB1"/>
    <mergeCell ref="NF1:NG1"/>
    <mergeCell ref="NH1:NI1"/>
    <mergeCell ref="NC1:NE1"/>
    <mergeCell ref="NA2:NB2"/>
    <mergeCell ref="NM1:NO1"/>
    <mergeCell ref="OE1:OF1"/>
    <mergeCell ref="NP1:NQ1"/>
    <mergeCell ref="NR1:NS1"/>
    <mergeCell ref="NK2:NL2"/>
    <mergeCell ref="NM2:NN2"/>
    <mergeCell ref="NK6:NL6"/>
    <mergeCell ref="NM6:NS7"/>
    <mergeCell ref="OQ2:OR2"/>
    <mergeCell ref="OQ6:OW7"/>
    <mergeCell ref="OO2:OP2"/>
    <mergeCell ref="OO6:OP6"/>
    <mergeCell ref="NK1:NL1"/>
    <mergeCell ref="OE2:OF2"/>
    <mergeCell ref="OE6:OF6"/>
    <mergeCell ref="NW1:NY1"/>
    <mergeCell ref="NZ1:OA1"/>
    <mergeCell ref="OB1:OC1"/>
    <mergeCell ref="NU2:NV2"/>
    <mergeCell ref="NW2:NX2"/>
    <mergeCell ref="NU6:NV6"/>
    <mergeCell ref="NW6:OC7"/>
    <mergeCell ref="OG1:OI1"/>
    <mergeCell ref="OO1:OP1"/>
    <mergeCell ref="OG2:OH2"/>
    <mergeCell ref="JY1:JZ1"/>
    <mergeCell ref="KA2:KB2"/>
    <mergeCell ref="KA6:KG7"/>
    <mergeCell ref="KI1:KJ1"/>
    <mergeCell ref="KI2:KJ2"/>
    <mergeCell ref="KI6:KJ6"/>
    <mergeCell ref="JG2:JH2"/>
    <mergeCell ref="KU1:KW1"/>
    <mergeCell ref="KX1:KY1"/>
    <mergeCell ref="KS2:KT2"/>
    <mergeCell ref="KU2:KV2"/>
    <mergeCell ref="KS6:KT6"/>
    <mergeCell ref="KU6:LA7"/>
    <mergeCell ref="JL1:JM1"/>
    <mergeCell ref="KK6:KQ7"/>
    <mergeCell ref="KA1:KC1"/>
    <mergeCell ref="KD1:KE1"/>
    <mergeCell ref="KF1:KG1"/>
    <mergeCell ref="KN1:KO1"/>
    <mergeCell ref="KP1:KQ1"/>
    <mergeCell ref="KK1:KM1"/>
    <mergeCell ref="KK2:KL2"/>
    <mergeCell ref="MB1:MC1"/>
    <mergeCell ref="MD1:ME1"/>
    <mergeCell ref="LW2:LX2"/>
    <mergeCell ref="LY2:LZ2"/>
    <mergeCell ref="ML1:MM1"/>
    <mergeCell ref="MN1:MO1"/>
    <mergeCell ref="LH1:LI1"/>
    <mergeCell ref="LJ1:LK1"/>
    <mergeCell ref="LC2:LD2"/>
    <mergeCell ref="LE2:LF2"/>
    <mergeCell ref="LY1:MA1"/>
    <mergeCell ref="LC6:LD6"/>
    <mergeCell ref="LE6:LK7"/>
    <mergeCell ref="KS1:KT1"/>
    <mergeCell ref="KZ1:LA1"/>
    <mergeCell ref="IU6:IV6"/>
    <mergeCell ref="IW6:JC7"/>
    <mergeCell ref="IU1:IV1"/>
    <mergeCell ref="JY2:JZ2"/>
    <mergeCell ref="JO1:JP1"/>
    <mergeCell ref="JQ1:JS1"/>
    <mergeCell ref="JT1:JU1"/>
    <mergeCell ref="JV1:JW1"/>
    <mergeCell ref="JO2:JP2"/>
    <mergeCell ref="JQ2:JR2"/>
    <mergeCell ref="JE6:JF6"/>
    <mergeCell ref="JG6:JM7"/>
    <mergeCell ref="JY6:JZ6"/>
    <mergeCell ref="JO6:JP6"/>
    <mergeCell ref="IW1:IY1"/>
    <mergeCell ref="IZ1:JA1"/>
    <mergeCell ref="JB1:JC1"/>
    <mergeCell ref="IU2:IV2"/>
    <mergeCell ref="JQ6:JW7"/>
    <mergeCell ref="IW2:IX2"/>
    <mergeCell ref="JE1:JF1"/>
    <mergeCell ref="JG1:JI1"/>
    <mergeCell ref="JJ1:JK1"/>
    <mergeCell ref="JE2:JF2"/>
    <mergeCell ref="IP1:IQ1"/>
    <mergeCell ref="IR1:IS1"/>
    <mergeCell ref="IK2:IL2"/>
    <mergeCell ref="IM2:IN2"/>
    <mergeCell ref="IK6:IL6"/>
    <mergeCell ref="IM6:IS7"/>
    <mergeCell ref="IK1:IL1"/>
    <mergeCell ref="IM1:IO1"/>
    <mergeCell ref="IA1:IB1"/>
    <mergeCell ref="IC1:IE1"/>
    <mergeCell ref="IF1:IG1"/>
    <mergeCell ref="IH1:II1"/>
    <mergeCell ref="IA2:IB2"/>
    <mergeCell ref="IC2:ID2"/>
    <mergeCell ref="IA6:IB6"/>
    <mergeCell ref="IC6:II7"/>
    <mergeCell ref="FS1:FT1"/>
    <mergeCell ref="FU1:FW1"/>
    <mergeCell ref="FX1:FY1"/>
    <mergeCell ref="FZ1:GA1"/>
    <mergeCell ref="FS2:FT2"/>
    <mergeCell ref="FU2:FV2"/>
    <mergeCell ref="HI6:HO7"/>
    <mergeCell ref="HS2:HT2"/>
    <mergeCell ref="HQ2:HR2"/>
    <mergeCell ref="HI1:HK1"/>
    <mergeCell ref="HL1:HM1"/>
    <mergeCell ref="HN1:HO1"/>
    <mergeCell ref="HI2:HJ2"/>
    <mergeCell ref="HQ6:HR6"/>
    <mergeCell ref="HG2:HH2"/>
    <mergeCell ref="GC2:GD2"/>
    <mergeCell ref="EO6:EP6"/>
    <mergeCell ref="EQ6:EW7"/>
    <mergeCell ref="DU6:DV6"/>
    <mergeCell ref="EG6:EM7"/>
    <mergeCell ref="FU6:GA7"/>
    <mergeCell ref="FI6:FJ6"/>
    <mergeCell ref="FK6:FQ7"/>
    <mergeCell ref="FI2:FJ2"/>
    <mergeCell ref="FK2:FL2"/>
    <mergeCell ref="FA6:FG7"/>
    <mergeCell ref="FA2:FB2"/>
    <mergeCell ref="FS6:FT6"/>
    <mergeCell ref="BC2:BD2"/>
    <mergeCell ref="CS6:CY7"/>
    <mergeCell ref="CQ1:CR1"/>
    <mergeCell ref="CS1:CU1"/>
    <mergeCell ref="CD1:CE1"/>
    <mergeCell ref="DA1:DB1"/>
    <mergeCell ref="DC1:DE1"/>
    <mergeCell ref="DF1:DG1"/>
    <mergeCell ref="DH1:DI1"/>
    <mergeCell ref="DA2:DB2"/>
    <mergeCell ref="DC2:DD2"/>
    <mergeCell ref="DA6:DB6"/>
    <mergeCell ref="DC6:DI7"/>
    <mergeCell ref="CG1:CH1"/>
    <mergeCell ref="CI1:CK1"/>
    <mergeCell ref="CL1:CM1"/>
    <mergeCell ref="CN1:CO1"/>
    <mergeCell ref="CG2:CH2"/>
    <mergeCell ref="CI2:CJ2"/>
    <mergeCell ref="BY6:CE7"/>
    <mergeCell ref="BY2:BZ2"/>
    <mergeCell ref="BY1:CA1"/>
    <mergeCell ref="CB1:CC1"/>
    <mergeCell ref="CQ6:CR6"/>
    <mergeCell ref="AD1:AE1"/>
    <mergeCell ref="AI6:AJ6"/>
    <mergeCell ref="AK6:AQ7"/>
    <mergeCell ref="AI1:AJ1"/>
    <mergeCell ref="AK1:AM1"/>
    <mergeCell ref="AN1:AO1"/>
    <mergeCell ref="AP1:AQ1"/>
    <mergeCell ref="AF1:AG1"/>
    <mergeCell ref="AI2:AJ2"/>
    <mergeCell ref="AK2:AL2"/>
    <mergeCell ref="E2:F2"/>
    <mergeCell ref="G2:H2"/>
    <mergeCell ref="O2:P2"/>
    <mergeCell ref="Q2:R2"/>
    <mergeCell ref="Y2:Z2"/>
    <mergeCell ref="AA2:AB2"/>
    <mergeCell ref="E6:F6"/>
    <mergeCell ref="O6:P6"/>
    <mergeCell ref="BE1:BG1"/>
    <mergeCell ref="Y6:Z6"/>
    <mergeCell ref="G6:M7"/>
    <mergeCell ref="Q6:W7"/>
    <mergeCell ref="AA6:AG7"/>
    <mergeCell ref="AS2:AT2"/>
    <mergeCell ref="AU2:AV2"/>
    <mergeCell ref="AS1:AT1"/>
    <mergeCell ref="AU1:AW1"/>
    <mergeCell ref="AX1:AY1"/>
    <mergeCell ref="AZ1:BA1"/>
    <mergeCell ref="AU6:BA7"/>
    <mergeCell ref="BC6:BD6"/>
    <mergeCell ref="AS6:AT6"/>
    <mergeCell ref="BC1:BD1"/>
    <mergeCell ref="AA1:AC1"/>
    <mergeCell ref="E1:F1"/>
    <mergeCell ref="G1:I1"/>
    <mergeCell ref="J1:K1"/>
    <mergeCell ref="L1:M1"/>
    <mergeCell ref="O1:P1"/>
    <mergeCell ref="Q1:S1"/>
    <mergeCell ref="T1:U1"/>
    <mergeCell ref="V1:W1"/>
    <mergeCell ref="Y1:Z1"/>
    <mergeCell ref="BE2:BF2"/>
    <mergeCell ref="BE6:BK7"/>
    <mergeCell ref="BM2:BN2"/>
    <mergeCell ref="BO2:BP2"/>
    <mergeCell ref="BW6:BX6"/>
    <mergeCell ref="BW1:BX1"/>
    <mergeCell ref="BW2:BX2"/>
    <mergeCell ref="BM6:BN6"/>
    <mergeCell ref="BO6:BU7"/>
    <mergeCell ref="BM1:BN1"/>
    <mergeCell ref="BO1:BQ1"/>
    <mergeCell ref="BR1:BS1"/>
    <mergeCell ref="BT1:BU1"/>
    <mergeCell ref="CG6:CH6"/>
    <mergeCell ref="CI6:CO7"/>
    <mergeCell ref="EE1:EF1"/>
    <mergeCell ref="CV1:CW1"/>
    <mergeCell ref="EY1:EZ1"/>
    <mergeCell ref="EE6:EF6"/>
    <mergeCell ref="EY2:EZ2"/>
    <mergeCell ref="DW1:DY1"/>
    <mergeCell ref="DW6:EC7"/>
    <mergeCell ref="DU1:DV1"/>
    <mergeCell ref="DZ1:EA1"/>
    <mergeCell ref="EB1:EC1"/>
    <mergeCell ref="DU2:DV2"/>
    <mergeCell ref="DW2:DX2"/>
    <mergeCell ref="EY6:EZ6"/>
    <mergeCell ref="DK6:DL6"/>
    <mergeCell ref="DM6:DS7"/>
    <mergeCell ref="DK1:DL1"/>
    <mergeCell ref="EV1:EW1"/>
    <mergeCell ref="EG1:EI1"/>
    <mergeCell ref="EJ1:EK1"/>
    <mergeCell ref="EL1:EM1"/>
    <mergeCell ref="EE2:EF2"/>
    <mergeCell ref="EG2:EH2"/>
    <mergeCell ref="GE2:GF2"/>
    <mergeCell ref="BH1:BI1"/>
    <mergeCell ref="BJ1:BK1"/>
    <mergeCell ref="CX1:CY1"/>
    <mergeCell ref="CQ2:CR2"/>
    <mergeCell ref="CS2:CT2"/>
    <mergeCell ref="DK2:DL2"/>
    <mergeCell ref="DM2:DN2"/>
    <mergeCell ref="EO1:EP1"/>
    <mergeCell ref="DM1:DO1"/>
    <mergeCell ref="DP1:DQ1"/>
    <mergeCell ref="DR1:DS1"/>
    <mergeCell ref="EQ1:ES1"/>
    <mergeCell ref="ET1:EU1"/>
    <mergeCell ref="EO2:EP2"/>
    <mergeCell ref="EQ2:ER2"/>
    <mergeCell ref="FA1:FC1"/>
    <mergeCell ref="FD1:FE1"/>
    <mergeCell ref="FF1:FG1"/>
    <mergeCell ref="FI1:FJ1"/>
    <mergeCell ref="FK1:FM1"/>
    <mergeCell ref="FN1:FO1"/>
    <mergeCell ref="FP1:FQ1"/>
    <mergeCell ref="HG1:HH1"/>
    <mergeCell ref="GC6:GD6"/>
    <mergeCell ref="GE6:GK7"/>
    <mergeCell ref="GC1:GD1"/>
    <mergeCell ref="GE1:GG1"/>
    <mergeCell ref="GH1:GI1"/>
    <mergeCell ref="GJ1:GK1"/>
    <mergeCell ref="GW6:GX6"/>
    <mergeCell ref="GY6:HE7"/>
    <mergeCell ref="GM1:GN1"/>
    <mergeCell ref="GO1:GQ1"/>
    <mergeCell ref="GR1:GS1"/>
    <mergeCell ref="GT1:GU1"/>
    <mergeCell ref="GM2:GN2"/>
    <mergeCell ref="GM6:GN6"/>
    <mergeCell ref="GO6:GU7"/>
    <mergeCell ref="GO2:GP2"/>
    <mergeCell ref="GW1:GX1"/>
    <mergeCell ref="GY1:HA1"/>
    <mergeCell ref="HB1:HC1"/>
    <mergeCell ref="HD1:HE1"/>
    <mergeCell ref="GW2:GX2"/>
    <mergeCell ref="GY2:GZ2"/>
    <mergeCell ref="HG6:HH6"/>
    <mergeCell ref="HQ1:HR1"/>
    <mergeCell ref="HS1:HU1"/>
    <mergeCell ref="HV1:HW1"/>
    <mergeCell ref="HX1:HY1"/>
    <mergeCell ref="LM6:LN6"/>
    <mergeCell ref="LO6:LU7"/>
    <mergeCell ref="LW1:LX1"/>
    <mergeCell ref="MG1:MH1"/>
    <mergeCell ref="MI1:MK1"/>
    <mergeCell ref="MG2:MH2"/>
    <mergeCell ref="MI2:MJ2"/>
    <mergeCell ref="MG6:MH6"/>
    <mergeCell ref="MI6:MO7"/>
    <mergeCell ref="LW6:LX6"/>
    <mergeCell ref="LY6:ME7"/>
    <mergeCell ref="LM1:LN1"/>
    <mergeCell ref="LO1:LQ1"/>
    <mergeCell ref="LR1:LS1"/>
    <mergeCell ref="LT1:LU1"/>
    <mergeCell ref="LM2:LN2"/>
    <mergeCell ref="LO2:LP2"/>
    <mergeCell ref="HS6:HY7"/>
    <mergeCell ref="LC1:LD1"/>
    <mergeCell ref="LE1:LG1"/>
    <mergeCell ref="SA2:SB2"/>
    <mergeCell ref="SC2:SD2"/>
    <mergeCell ref="SA6:SB6"/>
    <mergeCell ref="RQ6:RR6"/>
    <mergeCell ref="RS6:RY7"/>
    <mergeCell ref="SH1:SI1"/>
    <mergeCell ref="SC6:SI7"/>
    <mergeCell ref="SC1:SE1"/>
    <mergeCell ref="SF1:SG1"/>
    <mergeCell ref="TG1:TI1"/>
    <mergeCell ref="TJ1:TK1"/>
    <mergeCell ref="TL1:TM1"/>
    <mergeCell ref="TE2:TF2"/>
    <mergeCell ref="TG2:TH2"/>
    <mergeCell ref="TE6:TF6"/>
    <mergeCell ref="TG6:TM7"/>
    <mergeCell ref="SU1:SV1"/>
    <mergeCell ref="SW1:SY1"/>
    <mergeCell ref="SZ1:TA1"/>
    <mergeCell ref="TB1:TC1"/>
    <mergeCell ref="SU2:SV2"/>
    <mergeCell ref="SW2:SX2"/>
    <mergeCell ref="SU6:SV6"/>
    <mergeCell ref="SW6:TC7"/>
    <mergeCell ref="TE1:TF1"/>
    <mergeCell ref="UK1:UM1"/>
    <mergeCell ref="UN1:UO1"/>
    <mergeCell ref="UP1:UQ1"/>
    <mergeCell ref="UI1:UJ1"/>
    <mergeCell ref="UI2:UJ2"/>
    <mergeCell ref="UK2:UL2"/>
    <mergeCell ref="UI6:UJ6"/>
    <mergeCell ref="UK6:UQ7"/>
    <mergeCell ref="TO1:TP1"/>
    <mergeCell ref="TQ1:TS1"/>
    <mergeCell ref="TT1:TU1"/>
    <mergeCell ref="TV1:TW1"/>
    <mergeCell ref="TO2:TP2"/>
    <mergeCell ref="TQ2:TR2"/>
    <mergeCell ref="TO6:TP6"/>
    <mergeCell ref="TQ6:TW7"/>
    <mergeCell ref="TY1:TZ1"/>
    <mergeCell ref="UA1:UC1"/>
    <mergeCell ref="UD1:UE1"/>
    <mergeCell ref="UF1:UG1"/>
    <mergeCell ref="TY2:TZ2"/>
    <mergeCell ref="UA2:UB2"/>
    <mergeCell ref="TY6:TZ6"/>
    <mergeCell ref="UA6:UG7"/>
    <mergeCell ref="WB1:WC1"/>
    <mergeCell ref="WD1:WE1"/>
    <mergeCell ref="US1:UT1"/>
    <mergeCell ref="UU1:UW1"/>
    <mergeCell ref="UX1:UY1"/>
    <mergeCell ref="UZ1:VA1"/>
    <mergeCell ref="US2:UT2"/>
    <mergeCell ref="UU2:UV2"/>
    <mergeCell ref="US6:UT6"/>
    <mergeCell ref="UU6:VA7"/>
    <mergeCell ref="WL1:WM1"/>
    <mergeCell ref="WN1:WO1"/>
    <mergeCell ref="VC1:VD1"/>
    <mergeCell ref="VE1:VG1"/>
    <mergeCell ref="VH1:VI1"/>
    <mergeCell ref="VJ1:VK1"/>
    <mergeCell ref="VC2:VD2"/>
    <mergeCell ref="VE2:VF2"/>
    <mergeCell ref="VC6:VD6"/>
    <mergeCell ref="VE6:VK7"/>
    <mergeCell ref="VY1:WA1"/>
    <mergeCell ref="VW2:VX2"/>
    <mergeCell ref="VY2:VZ2"/>
    <mergeCell ref="VW6:VX6"/>
    <mergeCell ref="VY6:WE7"/>
    <mergeCell ref="VM1:VN1"/>
    <mergeCell ref="VO1:VQ1"/>
    <mergeCell ref="VR1:VS1"/>
    <mergeCell ref="VT1:VU1"/>
    <mergeCell ref="VM2:VN2"/>
    <mergeCell ref="VO2:VP2"/>
    <mergeCell ref="VM6:VN6"/>
    <mergeCell ref="VO6:VU7"/>
    <mergeCell ref="VW1:VX1"/>
    <mergeCell ref="YL1:YM1"/>
    <mergeCell ref="YE2:YF2"/>
    <mergeCell ref="YG2:YH2"/>
    <mergeCell ref="WG2:WH2"/>
    <mergeCell ref="WI2:WJ2"/>
    <mergeCell ref="WG6:WH6"/>
    <mergeCell ref="WI6:WO7"/>
    <mergeCell ref="XA1:XB1"/>
    <mergeCell ref="XC1:XE1"/>
    <mergeCell ref="XF1:XG1"/>
    <mergeCell ref="XH1:XI1"/>
    <mergeCell ref="XA2:XB2"/>
    <mergeCell ref="XC2:XD2"/>
    <mergeCell ref="WQ1:WR1"/>
    <mergeCell ref="WS1:WU1"/>
    <mergeCell ref="WV1:WW1"/>
    <mergeCell ref="WX1:WY1"/>
    <mergeCell ref="WQ2:WR2"/>
    <mergeCell ref="WS2:WT2"/>
    <mergeCell ref="WQ6:WR6"/>
    <mergeCell ref="WS6:WY7"/>
    <mergeCell ref="XA6:XB6"/>
    <mergeCell ref="XC6:XI7"/>
    <mergeCell ref="WI1:WK1"/>
    <mergeCell ref="AES2:AET2"/>
    <mergeCell ref="AEU2:AEV2"/>
    <mergeCell ref="AES6:AET6"/>
    <mergeCell ref="XK6:XL6"/>
    <mergeCell ref="XM6:XS7"/>
    <mergeCell ref="YE1:YF1"/>
    <mergeCell ref="YE6:YF6"/>
    <mergeCell ref="YG6:YM7"/>
    <mergeCell ref="XU1:XV1"/>
    <mergeCell ref="XW1:XY1"/>
    <mergeCell ref="XZ1:YA1"/>
    <mergeCell ref="YB1:YC1"/>
    <mergeCell ref="XU2:XV2"/>
    <mergeCell ref="XW2:XX2"/>
    <mergeCell ref="XU6:XV6"/>
    <mergeCell ref="XW6:YC7"/>
    <mergeCell ref="YG1:YI1"/>
    <mergeCell ref="XK1:XL1"/>
    <mergeCell ref="XM1:XO1"/>
    <mergeCell ref="XP1:XQ1"/>
    <mergeCell ref="XR1:XS1"/>
    <mergeCell ref="XK2:XL2"/>
    <mergeCell ref="XM2:XN2"/>
    <mergeCell ref="YJ1:YK1"/>
    <mergeCell ref="AFO1:AFQ1"/>
    <mergeCell ref="AFR1:AFS1"/>
    <mergeCell ref="AFT1:AFU1"/>
    <mergeCell ref="AFM2:AFN2"/>
    <mergeCell ref="AFO2:AFP2"/>
    <mergeCell ref="AFM6:AFN6"/>
    <mergeCell ref="AFO6:AFU7"/>
    <mergeCell ref="AEI1:AEJ1"/>
    <mergeCell ref="AEK1:AEM1"/>
    <mergeCell ref="AEN1:AEO1"/>
    <mergeCell ref="AEP1:AEQ1"/>
    <mergeCell ref="AEI2:AEJ2"/>
    <mergeCell ref="AEK2:AEL2"/>
    <mergeCell ref="AEI6:AEJ6"/>
    <mergeCell ref="AEK6:AEQ7"/>
    <mergeCell ref="AFM1:AFN1"/>
    <mergeCell ref="AFC1:AFD1"/>
    <mergeCell ref="AFE1:AFG1"/>
    <mergeCell ref="AFH1:AFI1"/>
    <mergeCell ref="AFJ1:AFK1"/>
    <mergeCell ref="AFC2:AFD2"/>
    <mergeCell ref="AFE2:AFF2"/>
    <mergeCell ref="AFC6:AFD6"/>
    <mergeCell ref="AFE6:AFK7"/>
    <mergeCell ref="AGG1:AGH1"/>
    <mergeCell ref="AGI1:AGK1"/>
    <mergeCell ref="AGL1:AGM1"/>
    <mergeCell ref="AGN1:AGO1"/>
    <mergeCell ref="AGG2:AGH2"/>
    <mergeCell ref="AGI2:AGJ2"/>
    <mergeCell ref="AGG6:AGH6"/>
    <mergeCell ref="AGI6:AGO7"/>
    <mergeCell ref="AFW1:AFX1"/>
    <mergeCell ref="AFY1:AGA1"/>
    <mergeCell ref="AGB1:AGC1"/>
    <mergeCell ref="AGD1:AGE1"/>
    <mergeCell ref="AFW2:AFX2"/>
    <mergeCell ref="AFY2:AFZ2"/>
    <mergeCell ref="AFW6:AFX6"/>
    <mergeCell ref="AFY6:AGE7"/>
    <mergeCell ref="AHK2:AHL2"/>
    <mergeCell ref="AHM2:AHN2"/>
    <mergeCell ref="AHK6:AHL6"/>
    <mergeCell ref="AHM6:AHS7"/>
    <mergeCell ref="AGQ1:AGR1"/>
    <mergeCell ref="AGS1:AGU1"/>
    <mergeCell ref="AGV1:AGW1"/>
    <mergeCell ref="AGX1:AGY1"/>
    <mergeCell ref="AGQ2:AGR2"/>
    <mergeCell ref="AGS2:AGT2"/>
    <mergeCell ref="AGQ6:AGR6"/>
    <mergeCell ref="AGS6:AGY7"/>
    <mergeCell ref="AHA1:AHB1"/>
    <mergeCell ref="AHC1:AHE1"/>
    <mergeCell ref="AHF1:AHG1"/>
    <mergeCell ref="AHH1:AHI1"/>
    <mergeCell ref="AHA2:AHB2"/>
    <mergeCell ref="AHC2:AHD2"/>
    <mergeCell ref="AHA6:AHB6"/>
    <mergeCell ref="AHC6:AHI7"/>
    <mergeCell ref="AHK1:AHL1"/>
    <mergeCell ref="AIE2:AIF2"/>
    <mergeCell ref="AIG2:AIH2"/>
    <mergeCell ref="AIE6:AIF6"/>
    <mergeCell ref="AIG6:AIM7"/>
    <mergeCell ref="AHM1:AHO1"/>
    <mergeCell ref="AHP1:AHQ1"/>
    <mergeCell ref="AHR1:AHS1"/>
    <mergeCell ref="AHU1:AHV1"/>
    <mergeCell ref="AHW1:AHY1"/>
    <mergeCell ref="AHZ1:AIA1"/>
    <mergeCell ref="AIB1:AIC1"/>
    <mergeCell ref="AHU2:AHV2"/>
    <mergeCell ref="AHW2:AHX2"/>
    <mergeCell ref="AHU6:AHV6"/>
    <mergeCell ref="AHW6:AIC7"/>
    <mergeCell ref="AIE1:AIF1"/>
    <mergeCell ref="AJN1:AJO1"/>
    <mergeCell ref="AJP1:AJQ1"/>
    <mergeCell ref="AJI2:AJJ2"/>
    <mergeCell ref="AJK2:AJL2"/>
    <mergeCell ref="AJI6:AJJ6"/>
    <mergeCell ref="AJK6:AJQ7"/>
    <mergeCell ref="AIG1:AII1"/>
    <mergeCell ref="AIJ1:AIK1"/>
    <mergeCell ref="AIL1:AIM1"/>
    <mergeCell ref="AKC6:AKD6"/>
    <mergeCell ref="AKE6:AKK7"/>
    <mergeCell ref="AJU1:AJW1"/>
    <mergeCell ref="AIO1:AIP1"/>
    <mergeCell ref="AIQ1:AIS1"/>
    <mergeCell ref="AIT1:AIU1"/>
    <mergeCell ref="AIV1:AIW1"/>
    <mergeCell ref="AIO2:AIP2"/>
    <mergeCell ref="AIQ2:AIR2"/>
    <mergeCell ref="AIO6:AIP6"/>
    <mergeCell ref="AIQ6:AIW7"/>
    <mergeCell ref="AIY1:AIZ1"/>
    <mergeCell ref="AJA1:AJC1"/>
    <mergeCell ref="AJD1:AJE1"/>
    <mergeCell ref="AJF1:AJG1"/>
    <mergeCell ref="AIY2:AIZ2"/>
    <mergeCell ref="AJA2:AJB2"/>
    <mergeCell ref="AIY6:AIZ6"/>
    <mergeCell ref="AJA6:AJG7"/>
    <mergeCell ref="AJS1:AJT1"/>
    <mergeCell ref="AJS2:AJT2"/>
    <mergeCell ref="AJS6:AJT6"/>
    <mergeCell ref="AJI1:AJJ1"/>
    <mergeCell ref="AJK1:AJM1"/>
    <mergeCell ref="AKY1:ALA1"/>
    <mergeCell ref="ALB1:ALC1"/>
    <mergeCell ref="ALD1:ALE1"/>
    <mergeCell ref="AJU2:AJV2"/>
    <mergeCell ref="AJU6:AKA7"/>
    <mergeCell ref="AKW2:AKX2"/>
    <mergeCell ref="AKY2:AKZ2"/>
    <mergeCell ref="AKW6:AKX6"/>
    <mergeCell ref="AKY6:ALE7"/>
    <mergeCell ref="AKM1:AKN1"/>
    <mergeCell ref="AKO1:AKQ1"/>
    <mergeCell ref="AKR1:AKS1"/>
    <mergeCell ref="AKT1:AKU1"/>
    <mergeCell ref="AKM2:AKN2"/>
    <mergeCell ref="AKO2:AKP2"/>
    <mergeCell ref="AKM6:AKN6"/>
    <mergeCell ref="AKO6:AKU7"/>
    <mergeCell ref="AKC1:AKD1"/>
    <mergeCell ref="AKW1:AKX1"/>
    <mergeCell ref="AKE1:AKG1"/>
    <mergeCell ref="AKH1:AKI1"/>
    <mergeCell ref="AKJ1:AKK1"/>
    <mergeCell ref="AKC2:AKD2"/>
    <mergeCell ref="AKE2:AKF2"/>
    <mergeCell ref="ALQ6:ALR6"/>
    <mergeCell ref="ALS6:ALY7"/>
    <mergeCell ref="ALG1:ALH1"/>
    <mergeCell ref="ALI1:ALK1"/>
    <mergeCell ref="ALL1:ALM1"/>
    <mergeCell ref="ALN1:ALO1"/>
    <mergeCell ref="ALG2:ALH2"/>
    <mergeCell ref="ALI2:ALJ2"/>
    <mergeCell ref="ALG6:ALH6"/>
    <mergeCell ref="ALI6:ALO7"/>
    <mergeCell ref="AMK1:AML1"/>
    <mergeCell ref="AMM1:AMO1"/>
    <mergeCell ref="AMP1:AMQ1"/>
    <mergeCell ref="AMR1:AMS1"/>
    <mergeCell ref="AMK2:AML2"/>
    <mergeCell ref="AMM2:AMN2"/>
    <mergeCell ref="AMK6:AML6"/>
    <mergeCell ref="AMM6:AMS7"/>
    <mergeCell ref="AJX1:AJY1"/>
    <mergeCell ref="AJZ1:AKA1"/>
    <mergeCell ref="AMA1:AMB1"/>
    <mergeCell ref="AMC1:AME1"/>
    <mergeCell ref="AMF1:AMG1"/>
    <mergeCell ref="AMH1:AMI1"/>
    <mergeCell ref="AMA2:AMB2"/>
    <mergeCell ref="AMC2:AMD2"/>
    <mergeCell ref="AMA6:AMB6"/>
    <mergeCell ref="AMC6:AMI7"/>
    <mergeCell ref="ALQ1:ALR1"/>
    <mergeCell ref="ALS1:ALU1"/>
    <mergeCell ref="ALV1:ALW1"/>
    <mergeCell ref="ALX1:ALY1"/>
    <mergeCell ref="ALQ2:ALR2"/>
    <mergeCell ref="ALS2:ALT2"/>
    <mergeCell ref="ANQ1:ANS1"/>
    <mergeCell ref="ANT1:ANU1"/>
    <mergeCell ref="ANV1:ANW1"/>
    <mergeCell ref="ANO2:ANP2"/>
    <mergeCell ref="ANQ2:ANR2"/>
    <mergeCell ref="ANO6:ANP6"/>
    <mergeCell ref="ANQ6:ANW7"/>
    <mergeCell ref="AMU1:AMV1"/>
    <mergeCell ref="AMW1:AMY1"/>
    <mergeCell ref="AMZ1:ANA1"/>
    <mergeCell ref="ANB1:ANC1"/>
    <mergeCell ref="AMU2:AMV2"/>
    <mergeCell ref="AMW2:AMX2"/>
    <mergeCell ref="AMU6:AMV6"/>
    <mergeCell ref="AMW6:ANC7"/>
    <mergeCell ref="ANE1:ANF1"/>
    <mergeCell ref="ANG1:ANI1"/>
    <mergeCell ref="ANJ1:ANK1"/>
    <mergeCell ref="ANL1:ANM1"/>
    <mergeCell ref="ANE2:ANF2"/>
    <mergeCell ref="ANG2:ANH2"/>
    <mergeCell ref="ANE6:ANF6"/>
    <mergeCell ref="ANG6:ANM7"/>
    <mergeCell ref="ANO1:ANP1"/>
    <mergeCell ref="AOI1:AOJ1"/>
    <mergeCell ref="AOK1:AOM1"/>
    <mergeCell ref="AON1:AOO1"/>
    <mergeCell ref="AOP1:AOQ1"/>
    <mergeCell ref="AOI2:AOJ2"/>
    <mergeCell ref="AOK2:AOL2"/>
    <mergeCell ref="AOI6:AOJ6"/>
    <mergeCell ref="AOK6:AOQ7"/>
    <mergeCell ref="ANY1:ANZ1"/>
    <mergeCell ref="AOA1:AOC1"/>
    <mergeCell ref="AOD1:AOE1"/>
    <mergeCell ref="AOF1:AOG1"/>
    <mergeCell ref="ANY2:ANZ2"/>
    <mergeCell ref="AOA2:AOB2"/>
    <mergeCell ref="ANY6:ANZ6"/>
    <mergeCell ref="AOA6:AOG7"/>
  </mergeCells>
  <conditionalFormatting sqref="B1:D1">
    <cfRule type="containsText" dxfId="1092" priority="201" operator="containsText" text="DUE TODAY">
      <formula>NOT(ISERROR(SEARCH("DUE TODAY",B1)))</formula>
    </cfRule>
  </conditionalFormatting>
  <conditionalFormatting sqref="K3:K4">
    <cfRule type="cellIs" dxfId="1091" priority="1084" operator="lessThan">
      <formula>0</formula>
    </cfRule>
    <cfRule type="cellIs" dxfId="1090" priority="1083" operator="equal">
      <formula>0</formula>
    </cfRule>
  </conditionalFormatting>
  <conditionalFormatting sqref="K8">
    <cfRule type="cellIs" dxfId="1089" priority="1072" operator="lessThan">
      <formula>0</formula>
    </cfRule>
    <cfRule type="cellIs" dxfId="1088" priority="1071" operator="equal">
      <formula>0</formula>
    </cfRule>
  </conditionalFormatting>
  <conditionalFormatting sqref="M3:M4">
    <cfRule type="cellIs" dxfId="1087" priority="1087" operator="greaterThan">
      <formula>0</formula>
    </cfRule>
    <cfRule type="cellIs" dxfId="1086" priority="1086" operator="lessThan">
      <formula>0</formula>
    </cfRule>
    <cfRule type="cellIs" dxfId="1085" priority="1085" operator="equal">
      <formula>0</formula>
    </cfRule>
  </conditionalFormatting>
  <conditionalFormatting sqref="M8">
    <cfRule type="cellIs" dxfId="1084" priority="1075" operator="greaterThan">
      <formula>0</formula>
    </cfRule>
    <cfRule type="cellIs" dxfId="1083" priority="1074" operator="lessThan">
      <formula>0</formula>
    </cfRule>
    <cfRule type="cellIs" dxfId="1082" priority="1073" operator="equal">
      <formula>0</formula>
    </cfRule>
  </conditionalFormatting>
  <conditionalFormatting sqref="U3:U4">
    <cfRule type="cellIs" dxfId="1081" priority="1089" operator="lessThan">
      <formula>0</formula>
    </cfRule>
    <cfRule type="cellIs" dxfId="1080" priority="1088" operator="equal">
      <formula>0</formula>
    </cfRule>
  </conditionalFormatting>
  <conditionalFormatting sqref="U8">
    <cfRule type="cellIs" dxfId="1079" priority="1076" operator="equal">
      <formula>0</formula>
    </cfRule>
    <cfRule type="cellIs" dxfId="1078" priority="1077" operator="lessThan">
      <formula>0</formula>
    </cfRule>
  </conditionalFormatting>
  <conditionalFormatting sqref="W3:W4 AG3:AG4 AQ3:AQ4">
    <cfRule type="cellIs" dxfId="1077" priority="1092" operator="greaterThan">
      <formula>0</formula>
    </cfRule>
    <cfRule type="cellIs" dxfId="1076" priority="1091" operator="lessThan">
      <formula>0</formula>
    </cfRule>
    <cfRule type="cellIs" dxfId="1075" priority="1090" operator="equal">
      <formula>0</formula>
    </cfRule>
  </conditionalFormatting>
  <conditionalFormatting sqref="W8 AG8 AQ8">
    <cfRule type="cellIs" dxfId="1074" priority="1078" operator="equal">
      <formula>0</formula>
    </cfRule>
    <cfRule type="cellIs" dxfId="1073" priority="1079" operator="lessThan">
      <formula>0</formula>
    </cfRule>
    <cfRule type="cellIs" dxfId="1072" priority="1080" operator="greaterThan">
      <formula>0</formula>
    </cfRule>
  </conditionalFormatting>
  <conditionalFormatting sqref="AE3:AE4">
    <cfRule type="cellIs" dxfId="1071" priority="1081" operator="equal">
      <formula>0</formula>
    </cfRule>
    <cfRule type="cellIs" dxfId="1070" priority="1082" operator="lessThan">
      <formula>0</formula>
    </cfRule>
  </conditionalFormatting>
  <conditionalFormatting sqref="AE8">
    <cfRule type="cellIs" dxfId="1069" priority="1070" operator="lessThan">
      <formula>0</formula>
    </cfRule>
    <cfRule type="cellIs" dxfId="1068" priority="1069" operator="equal">
      <formula>0</formula>
    </cfRule>
  </conditionalFormatting>
  <conditionalFormatting sqref="AO3:AO4">
    <cfRule type="cellIs" dxfId="1067" priority="1064" operator="lessThan">
      <formula>0</formula>
    </cfRule>
    <cfRule type="cellIs" dxfId="1066" priority="1063" operator="equal">
      <formula>0</formula>
    </cfRule>
  </conditionalFormatting>
  <conditionalFormatting sqref="AO8">
    <cfRule type="cellIs" dxfId="1065" priority="1062" operator="lessThan">
      <formula>0</formula>
    </cfRule>
    <cfRule type="cellIs" dxfId="1064" priority="1061" operator="equal">
      <formula>0</formula>
    </cfRule>
  </conditionalFormatting>
  <conditionalFormatting sqref="AY3:AY4">
    <cfRule type="cellIs" dxfId="1063" priority="1043" operator="equal">
      <formula>0</formula>
    </cfRule>
    <cfRule type="cellIs" dxfId="1062" priority="1044" operator="lessThan">
      <formula>0</formula>
    </cfRule>
  </conditionalFormatting>
  <conditionalFormatting sqref="AY8">
    <cfRule type="cellIs" dxfId="1061" priority="1042" operator="lessThan">
      <formula>0</formula>
    </cfRule>
    <cfRule type="cellIs" dxfId="1060" priority="1041" operator="equal">
      <formula>0</formula>
    </cfRule>
  </conditionalFormatting>
  <conditionalFormatting sqref="BA3:BA4">
    <cfRule type="cellIs" dxfId="1059" priority="1048" operator="equal">
      <formula>0</formula>
    </cfRule>
    <cfRule type="cellIs" dxfId="1058" priority="1050" operator="greaterThan">
      <formula>0</formula>
    </cfRule>
    <cfRule type="cellIs" dxfId="1057" priority="1049" operator="lessThan">
      <formula>0</formula>
    </cfRule>
  </conditionalFormatting>
  <conditionalFormatting sqref="BA8">
    <cfRule type="cellIs" dxfId="1056" priority="1047" operator="greaterThan">
      <formula>0</formula>
    </cfRule>
    <cfRule type="cellIs" dxfId="1055" priority="1046" operator="lessThan">
      <formula>0</formula>
    </cfRule>
    <cfRule type="cellIs" dxfId="1054" priority="1045" operator="equal">
      <formula>0</formula>
    </cfRule>
  </conditionalFormatting>
  <conditionalFormatting sqref="BI3:BI4">
    <cfRule type="cellIs" dxfId="1053" priority="1034" operator="lessThan">
      <formula>0</formula>
    </cfRule>
    <cfRule type="cellIs" dxfId="1052" priority="1033" operator="equal">
      <formula>0</formula>
    </cfRule>
  </conditionalFormatting>
  <conditionalFormatting sqref="BI8">
    <cfRule type="cellIs" dxfId="1051" priority="1032" operator="lessThan">
      <formula>0</formula>
    </cfRule>
    <cfRule type="cellIs" dxfId="1050" priority="1031" operator="equal">
      <formula>0</formula>
    </cfRule>
  </conditionalFormatting>
  <conditionalFormatting sqref="BK3:BK4">
    <cfRule type="cellIs" dxfId="1049" priority="1040" operator="greaterThan">
      <formula>0</formula>
    </cfRule>
    <cfRule type="cellIs" dxfId="1048" priority="1039" operator="lessThan">
      <formula>0</formula>
    </cfRule>
    <cfRule type="cellIs" dxfId="1047" priority="1038" operator="equal">
      <formula>0</formula>
    </cfRule>
  </conditionalFormatting>
  <conditionalFormatting sqref="BK8">
    <cfRule type="cellIs" dxfId="1046" priority="1037" operator="greaterThan">
      <formula>0</formula>
    </cfRule>
    <cfRule type="cellIs" dxfId="1045" priority="1036" operator="lessThan">
      <formula>0</formula>
    </cfRule>
    <cfRule type="cellIs" dxfId="1044" priority="1035" operator="equal">
      <formula>0</formula>
    </cfRule>
  </conditionalFormatting>
  <conditionalFormatting sqref="BS3:BS4">
    <cfRule type="cellIs" dxfId="1043" priority="1024" operator="lessThan">
      <formula>0</formula>
    </cfRule>
    <cfRule type="cellIs" dxfId="1042" priority="1023" operator="equal">
      <formula>0</formula>
    </cfRule>
  </conditionalFormatting>
  <conditionalFormatting sqref="BS8">
    <cfRule type="cellIs" dxfId="1041" priority="1021" operator="equal">
      <formula>0</formula>
    </cfRule>
    <cfRule type="cellIs" dxfId="1040" priority="1022" operator="lessThan">
      <formula>0</formula>
    </cfRule>
  </conditionalFormatting>
  <conditionalFormatting sqref="BU3:BU4">
    <cfRule type="cellIs" dxfId="1039" priority="1028" operator="equal">
      <formula>0</formula>
    </cfRule>
    <cfRule type="cellIs" dxfId="1038" priority="1029" operator="lessThan">
      <formula>0</formula>
    </cfRule>
    <cfRule type="cellIs" dxfId="1037" priority="1030" operator="greaterThan">
      <formula>0</formula>
    </cfRule>
  </conditionalFormatting>
  <conditionalFormatting sqref="BU8">
    <cfRule type="cellIs" dxfId="1036" priority="1026" operator="lessThan">
      <formula>0</formula>
    </cfRule>
    <cfRule type="cellIs" dxfId="1035" priority="1027" operator="greaterThan">
      <formula>0</formula>
    </cfRule>
    <cfRule type="cellIs" dxfId="1034" priority="1025" operator="equal">
      <formula>0</formula>
    </cfRule>
  </conditionalFormatting>
  <conditionalFormatting sqref="CC3:CC4">
    <cfRule type="cellIs" dxfId="1033" priority="1014" operator="lessThan">
      <formula>0</formula>
    </cfRule>
    <cfRule type="cellIs" dxfId="1032" priority="1013" operator="equal">
      <formula>0</formula>
    </cfRule>
  </conditionalFormatting>
  <conditionalFormatting sqref="CC8">
    <cfRule type="cellIs" dxfId="1031" priority="1011" operator="equal">
      <formula>0</formula>
    </cfRule>
    <cfRule type="cellIs" dxfId="1030" priority="1012" operator="lessThan">
      <formula>0</formula>
    </cfRule>
  </conditionalFormatting>
  <conditionalFormatting sqref="CE3:CE4">
    <cfRule type="cellIs" dxfId="1029" priority="1020" operator="greaterThan">
      <formula>0</formula>
    </cfRule>
    <cfRule type="cellIs" dxfId="1028" priority="1018" operator="equal">
      <formula>0</formula>
    </cfRule>
    <cfRule type="cellIs" dxfId="1027" priority="1019" operator="lessThan">
      <formula>0</formula>
    </cfRule>
  </conditionalFormatting>
  <conditionalFormatting sqref="CE8">
    <cfRule type="cellIs" dxfId="1026" priority="1017" operator="greaterThan">
      <formula>0</formula>
    </cfRule>
    <cfRule type="cellIs" dxfId="1025" priority="1016" operator="lessThan">
      <formula>0</formula>
    </cfRule>
    <cfRule type="cellIs" dxfId="1024" priority="1015" operator="equal">
      <formula>0</formula>
    </cfRule>
  </conditionalFormatting>
  <conditionalFormatting sqref="CM3:CM4">
    <cfRule type="cellIs" dxfId="1023" priority="1004" operator="lessThan">
      <formula>0</formula>
    </cfRule>
    <cfRule type="cellIs" dxfId="1022" priority="1003" operator="equal">
      <formula>0</formula>
    </cfRule>
  </conditionalFormatting>
  <conditionalFormatting sqref="CM8">
    <cfRule type="cellIs" dxfId="1021" priority="1001" operator="equal">
      <formula>0</formula>
    </cfRule>
    <cfRule type="cellIs" dxfId="1020" priority="1002" operator="lessThan">
      <formula>0</formula>
    </cfRule>
  </conditionalFormatting>
  <conditionalFormatting sqref="CO3:CO4">
    <cfRule type="cellIs" dxfId="1019" priority="1008" operator="equal">
      <formula>0</formula>
    </cfRule>
    <cfRule type="cellIs" dxfId="1018" priority="1010" operator="greaterThan">
      <formula>0</formula>
    </cfRule>
    <cfRule type="cellIs" dxfId="1017" priority="1009" operator="lessThan">
      <formula>0</formula>
    </cfRule>
  </conditionalFormatting>
  <conditionalFormatting sqref="CO8">
    <cfRule type="cellIs" dxfId="1016" priority="1007" operator="greaterThan">
      <formula>0</formula>
    </cfRule>
    <cfRule type="cellIs" dxfId="1015" priority="1006" operator="lessThan">
      <formula>0</formula>
    </cfRule>
    <cfRule type="cellIs" dxfId="1014" priority="1005" operator="equal">
      <formula>0</formula>
    </cfRule>
  </conditionalFormatting>
  <conditionalFormatting sqref="CW3:CW4">
    <cfRule type="cellIs" dxfId="1013" priority="994" operator="lessThan">
      <formula>0</formula>
    </cfRule>
    <cfRule type="cellIs" dxfId="1012" priority="993" operator="equal">
      <formula>0</formula>
    </cfRule>
  </conditionalFormatting>
  <conditionalFormatting sqref="CW8">
    <cfRule type="cellIs" dxfId="1011" priority="992" operator="lessThan">
      <formula>0</formula>
    </cfRule>
    <cfRule type="cellIs" dxfId="1010" priority="991" operator="equal">
      <formula>0</formula>
    </cfRule>
  </conditionalFormatting>
  <conditionalFormatting sqref="CY3:CY4">
    <cfRule type="cellIs" dxfId="1009" priority="999" operator="lessThan">
      <formula>0</formula>
    </cfRule>
    <cfRule type="cellIs" dxfId="1008" priority="1000" operator="greaterThan">
      <formula>0</formula>
    </cfRule>
    <cfRule type="cellIs" dxfId="1007" priority="998" operator="equal">
      <formula>0</formula>
    </cfRule>
  </conditionalFormatting>
  <conditionalFormatting sqref="CY8">
    <cfRule type="cellIs" dxfId="1006" priority="997" operator="greaterThan">
      <formula>0</formula>
    </cfRule>
    <cfRule type="cellIs" dxfId="1005" priority="996" operator="lessThan">
      <formula>0</formula>
    </cfRule>
    <cfRule type="cellIs" dxfId="1004" priority="995" operator="equal">
      <formula>0</formula>
    </cfRule>
  </conditionalFormatting>
  <conditionalFormatting sqref="DG3:DG4">
    <cfRule type="cellIs" dxfId="1003" priority="984" operator="lessThan">
      <formula>0</formula>
    </cfRule>
    <cfRule type="cellIs" dxfId="1002" priority="983" operator="equal">
      <formula>0</formula>
    </cfRule>
  </conditionalFormatting>
  <conditionalFormatting sqref="DG8">
    <cfRule type="cellIs" dxfId="1001" priority="981" operator="equal">
      <formula>0</formula>
    </cfRule>
    <cfRule type="cellIs" dxfId="1000" priority="982" operator="lessThan">
      <formula>0</formula>
    </cfRule>
  </conditionalFormatting>
  <conditionalFormatting sqref="DI3:DI4">
    <cfRule type="cellIs" dxfId="999" priority="990" operator="greaterThan">
      <formula>0</formula>
    </cfRule>
    <cfRule type="cellIs" dxfId="998" priority="989" operator="lessThan">
      <formula>0</formula>
    </cfRule>
    <cfRule type="cellIs" dxfId="997" priority="988" operator="equal">
      <formula>0</formula>
    </cfRule>
  </conditionalFormatting>
  <conditionalFormatting sqref="DI8">
    <cfRule type="cellIs" dxfId="996" priority="987" operator="greaterThan">
      <formula>0</formula>
    </cfRule>
    <cfRule type="cellIs" dxfId="995" priority="986" operator="lessThan">
      <formula>0</formula>
    </cfRule>
    <cfRule type="cellIs" dxfId="994" priority="985" operator="equal">
      <formula>0</formula>
    </cfRule>
  </conditionalFormatting>
  <conditionalFormatting sqref="DQ3:DQ4">
    <cfRule type="cellIs" dxfId="993" priority="973" operator="equal">
      <formula>0</formula>
    </cfRule>
    <cfRule type="cellIs" dxfId="992" priority="974" operator="lessThan">
      <formula>0</formula>
    </cfRule>
  </conditionalFormatting>
  <conditionalFormatting sqref="DQ8">
    <cfRule type="cellIs" dxfId="991" priority="971" operator="equal">
      <formula>0</formula>
    </cfRule>
    <cfRule type="cellIs" dxfId="990" priority="972" operator="lessThan">
      <formula>0</formula>
    </cfRule>
  </conditionalFormatting>
  <conditionalFormatting sqref="DS3:DS4">
    <cfRule type="cellIs" dxfId="989" priority="978" operator="equal">
      <formula>0</formula>
    </cfRule>
    <cfRule type="cellIs" dxfId="988" priority="980" operator="greaterThan">
      <formula>0</formula>
    </cfRule>
    <cfRule type="cellIs" dxfId="987" priority="979" operator="lessThan">
      <formula>0</formula>
    </cfRule>
  </conditionalFormatting>
  <conditionalFormatting sqref="DS8">
    <cfRule type="cellIs" dxfId="986" priority="977" operator="greaterThan">
      <formula>0</formula>
    </cfRule>
    <cfRule type="cellIs" dxfId="985" priority="976" operator="lessThan">
      <formula>0</formula>
    </cfRule>
    <cfRule type="cellIs" dxfId="984" priority="975" operator="equal">
      <formula>0</formula>
    </cfRule>
  </conditionalFormatting>
  <conditionalFormatting sqref="EA3:EA4">
    <cfRule type="cellIs" dxfId="983" priority="964" operator="lessThan">
      <formula>0</formula>
    </cfRule>
    <cfRule type="cellIs" dxfId="982" priority="963" operator="equal">
      <formula>0</formula>
    </cfRule>
  </conditionalFormatting>
  <conditionalFormatting sqref="EA8">
    <cfRule type="cellIs" dxfId="981" priority="962" operator="lessThan">
      <formula>0</formula>
    </cfRule>
    <cfRule type="cellIs" dxfId="980" priority="961" operator="equal">
      <formula>0</formula>
    </cfRule>
  </conditionalFormatting>
  <conditionalFormatting sqref="EC3:EC4">
    <cfRule type="cellIs" dxfId="979" priority="970" operator="greaterThan">
      <formula>0</formula>
    </cfRule>
    <cfRule type="cellIs" dxfId="978" priority="968" operator="equal">
      <formula>0</formula>
    </cfRule>
    <cfRule type="cellIs" dxfId="977" priority="969" operator="lessThan">
      <formula>0</formula>
    </cfRule>
  </conditionalFormatting>
  <conditionalFormatting sqref="EC8">
    <cfRule type="cellIs" dxfId="976" priority="967" operator="greaterThan">
      <formula>0</formula>
    </cfRule>
    <cfRule type="cellIs" dxfId="975" priority="966" operator="lessThan">
      <formula>0</formula>
    </cfRule>
    <cfRule type="cellIs" dxfId="974" priority="965" operator="equal">
      <formula>0</formula>
    </cfRule>
  </conditionalFormatting>
  <conditionalFormatting sqref="EK3:EK4">
    <cfRule type="cellIs" dxfId="973" priority="953" operator="equal">
      <formula>0</formula>
    </cfRule>
    <cfRule type="cellIs" dxfId="972" priority="954" operator="lessThan">
      <formula>0</formula>
    </cfRule>
  </conditionalFormatting>
  <conditionalFormatting sqref="EK8">
    <cfRule type="cellIs" dxfId="971" priority="952" operator="lessThan">
      <formula>0</formula>
    </cfRule>
    <cfRule type="cellIs" dxfId="970" priority="951" operator="equal">
      <formula>0</formula>
    </cfRule>
  </conditionalFormatting>
  <conditionalFormatting sqref="EM3:EM4">
    <cfRule type="cellIs" dxfId="969" priority="958" operator="equal">
      <formula>0</formula>
    </cfRule>
    <cfRule type="cellIs" dxfId="968" priority="960" operator="greaterThan">
      <formula>0</formula>
    </cfRule>
    <cfRule type="cellIs" dxfId="967" priority="959" operator="lessThan">
      <formula>0</formula>
    </cfRule>
  </conditionalFormatting>
  <conditionalFormatting sqref="EM8">
    <cfRule type="cellIs" dxfId="966" priority="955" operator="equal">
      <formula>0</formula>
    </cfRule>
    <cfRule type="cellIs" dxfId="965" priority="957" operator="greaterThan">
      <formula>0</formula>
    </cfRule>
    <cfRule type="cellIs" dxfId="964" priority="956" operator="lessThan">
      <formula>0</formula>
    </cfRule>
  </conditionalFormatting>
  <conditionalFormatting sqref="EU3:EU4">
    <cfRule type="cellIs" dxfId="963" priority="944" operator="lessThan">
      <formula>0</formula>
    </cfRule>
    <cfRule type="cellIs" dxfId="962" priority="943" operator="equal">
      <formula>0</formula>
    </cfRule>
  </conditionalFormatting>
  <conditionalFormatting sqref="EU8">
    <cfRule type="cellIs" dxfId="961" priority="942" operator="lessThan">
      <formula>0</formula>
    </cfRule>
    <cfRule type="cellIs" dxfId="960" priority="941" operator="equal">
      <formula>0</formula>
    </cfRule>
  </conditionalFormatting>
  <conditionalFormatting sqref="EW3:EW4">
    <cfRule type="cellIs" dxfId="959" priority="949" operator="lessThan">
      <formula>0</formula>
    </cfRule>
    <cfRule type="cellIs" dxfId="958" priority="948" operator="equal">
      <formula>0</formula>
    </cfRule>
    <cfRule type="cellIs" dxfId="957" priority="950" operator="greaterThan">
      <formula>0</formula>
    </cfRule>
  </conditionalFormatting>
  <conditionalFormatting sqref="EW8">
    <cfRule type="cellIs" dxfId="956" priority="946" operator="lessThan">
      <formula>0</formula>
    </cfRule>
    <cfRule type="cellIs" dxfId="955" priority="945" operator="equal">
      <formula>0</formula>
    </cfRule>
    <cfRule type="cellIs" dxfId="954" priority="947" operator="greaterThan">
      <formula>0</formula>
    </cfRule>
  </conditionalFormatting>
  <conditionalFormatting sqref="FE3:FE4">
    <cfRule type="cellIs" dxfId="953" priority="933" operator="equal">
      <formula>0</formula>
    </cfRule>
    <cfRule type="cellIs" dxfId="952" priority="934" operator="lessThan">
      <formula>0</formula>
    </cfRule>
  </conditionalFormatting>
  <conditionalFormatting sqref="FE8">
    <cfRule type="cellIs" dxfId="951" priority="932" operator="lessThan">
      <formula>0</formula>
    </cfRule>
    <cfRule type="cellIs" dxfId="950" priority="931" operator="equal">
      <formula>0</formula>
    </cfRule>
  </conditionalFormatting>
  <conditionalFormatting sqref="FG3:FG4">
    <cfRule type="cellIs" dxfId="949" priority="940" operator="greaterThan">
      <formula>0</formula>
    </cfRule>
    <cfRule type="cellIs" dxfId="948" priority="939" operator="lessThan">
      <formula>0</formula>
    </cfRule>
    <cfRule type="cellIs" dxfId="947" priority="938" operator="equal">
      <formula>0</formula>
    </cfRule>
  </conditionalFormatting>
  <conditionalFormatting sqref="FG8">
    <cfRule type="cellIs" dxfId="946" priority="936" operator="lessThan">
      <formula>0</formula>
    </cfRule>
    <cfRule type="cellIs" dxfId="945" priority="935" operator="equal">
      <formula>0</formula>
    </cfRule>
    <cfRule type="cellIs" dxfId="944" priority="937" operator="greaterThan">
      <formula>0</formula>
    </cfRule>
  </conditionalFormatting>
  <conditionalFormatting sqref="FO3:FO4">
    <cfRule type="cellIs" dxfId="943" priority="924" operator="lessThan">
      <formula>0</formula>
    </cfRule>
    <cfRule type="cellIs" dxfId="942" priority="923" operator="equal">
      <formula>0</formula>
    </cfRule>
  </conditionalFormatting>
  <conditionalFormatting sqref="FO8">
    <cfRule type="cellIs" dxfId="941" priority="921" operator="equal">
      <formula>0</formula>
    </cfRule>
    <cfRule type="cellIs" dxfId="940" priority="922" operator="lessThan">
      <formula>0</formula>
    </cfRule>
  </conditionalFormatting>
  <conditionalFormatting sqref="FQ3:FQ4">
    <cfRule type="cellIs" dxfId="939" priority="930" operator="greaterThan">
      <formula>0</formula>
    </cfRule>
    <cfRule type="cellIs" dxfId="938" priority="929" operator="lessThan">
      <formula>0</formula>
    </cfRule>
    <cfRule type="cellIs" dxfId="937" priority="928" operator="equal">
      <formula>0</formula>
    </cfRule>
  </conditionalFormatting>
  <conditionalFormatting sqref="FQ8">
    <cfRule type="cellIs" dxfId="936" priority="927" operator="greaterThan">
      <formula>0</formula>
    </cfRule>
    <cfRule type="cellIs" dxfId="935" priority="926" operator="lessThan">
      <formula>0</formula>
    </cfRule>
    <cfRule type="cellIs" dxfId="934" priority="925" operator="equal">
      <formula>0</formula>
    </cfRule>
  </conditionalFormatting>
  <conditionalFormatting sqref="FY3:FY4">
    <cfRule type="cellIs" dxfId="933" priority="914" operator="lessThan">
      <formula>0</formula>
    </cfRule>
    <cfRule type="cellIs" dxfId="932" priority="913" operator="equal">
      <formula>0</formula>
    </cfRule>
  </conditionalFormatting>
  <conditionalFormatting sqref="FY8">
    <cfRule type="cellIs" dxfId="931" priority="911" operator="equal">
      <formula>0</formula>
    </cfRule>
    <cfRule type="cellIs" dxfId="930" priority="912" operator="lessThan">
      <formula>0</formula>
    </cfRule>
  </conditionalFormatting>
  <conditionalFormatting sqref="GA3:GA4">
    <cfRule type="cellIs" dxfId="929" priority="918" operator="equal">
      <formula>0</formula>
    </cfRule>
    <cfRule type="cellIs" dxfId="928" priority="920" operator="greaterThan">
      <formula>0</formula>
    </cfRule>
    <cfRule type="cellIs" dxfId="927" priority="919" operator="lessThan">
      <formula>0</formula>
    </cfRule>
  </conditionalFormatting>
  <conditionalFormatting sqref="GA8">
    <cfRule type="cellIs" dxfId="926" priority="917" operator="greaterThan">
      <formula>0</formula>
    </cfRule>
    <cfRule type="cellIs" dxfId="925" priority="916" operator="lessThan">
      <formula>0</formula>
    </cfRule>
    <cfRule type="cellIs" dxfId="924" priority="915" operator="equal">
      <formula>0</formula>
    </cfRule>
  </conditionalFormatting>
  <conditionalFormatting sqref="GI3:GI4">
    <cfRule type="cellIs" dxfId="923" priority="904" operator="lessThan">
      <formula>0</formula>
    </cfRule>
    <cfRule type="cellIs" dxfId="922" priority="903" operator="equal">
      <formula>0</formula>
    </cfRule>
  </conditionalFormatting>
  <conditionalFormatting sqref="GI8">
    <cfRule type="cellIs" dxfId="921" priority="902" operator="lessThan">
      <formula>0</formula>
    </cfRule>
    <cfRule type="cellIs" dxfId="920" priority="901" operator="equal">
      <formula>0</formula>
    </cfRule>
  </conditionalFormatting>
  <conditionalFormatting sqref="GK3:GK4 GU3:GU4">
    <cfRule type="cellIs" dxfId="919" priority="910" operator="greaterThan">
      <formula>0</formula>
    </cfRule>
    <cfRule type="cellIs" dxfId="918" priority="909" operator="lessThan">
      <formula>0</formula>
    </cfRule>
    <cfRule type="cellIs" dxfId="917" priority="908" operator="equal">
      <formula>0</formula>
    </cfRule>
  </conditionalFormatting>
  <conditionalFormatting sqref="GK8 GU8">
    <cfRule type="cellIs" dxfId="916" priority="905" operator="equal">
      <formula>0</formula>
    </cfRule>
    <cfRule type="cellIs" dxfId="915" priority="907" operator="greaterThan">
      <formula>0</formula>
    </cfRule>
    <cfRule type="cellIs" dxfId="914" priority="906" operator="lessThan">
      <formula>0</formula>
    </cfRule>
  </conditionalFormatting>
  <conditionalFormatting sqref="GS3:GS4">
    <cfRule type="cellIs" dxfId="913" priority="900" operator="lessThan">
      <formula>0</formula>
    </cfRule>
    <cfRule type="cellIs" dxfId="912" priority="899" operator="equal">
      <formula>0</formula>
    </cfRule>
  </conditionalFormatting>
  <conditionalFormatting sqref="GS8">
    <cfRule type="cellIs" dxfId="911" priority="898" operator="lessThan">
      <formula>0</formula>
    </cfRule>
    <cfRule type="cellIs" dxfId="910" priority="897" operator="equal">
      <formula>0</formula>
    </cfRule>
  </conditionalFormatting>
  <conditionalFormatting sqref="HC3:HC4">
    <cfRule type="cellIs" dxfId="909" priority="890" operator="lessThan">
      <formula>0</formula>
    </cfRule>
    <cfRule type="cellIs" dxfId="908" priority="889" operator="equal">
      <formula>0</formula>
    </cfRule>
  </conditionalFormatting>
  <conditionalFormatting sqref="HC8">
    <cfRule type="cellIs" dxfId="907" priority="888" operator="lessThan">
      <formula>0</formula>
    </cfRule>
    <cfRule type="cellIs" dxfId="906" priority="887" operator="equal">
      <formula>0</formula>
    </cfRule>
  </conditionalFormatting>
  <conditionalFormatting sqref="HE3:HE4">
    <cfRule type="cellIs" dxfId="905" priority="896" operator="greaterThan">
      <formula>0</formula>
    </cfRule>
    <cfRule type="cellIs" dxfId="904" priority="895" operator="lessThan">
      <formula>0</formula>
    </cfRule>
    <cfRule type="cellIs" dxfId="903" priority="894" operator="equal">
      <formula>0</formula>
    </cfRule>
  </conditionalFormatting>
  <conditionalFormatting sqref="HE8">
    <cfRule type="cellIs" dxfId="902" priority="892" operator="lessThan">
      <formula>0</formula>
    </cfRule>
    <cfRule type="cellIs" dxfId="901" priority="891" operator="equal">
      <formula>0</formula>
    </cfRule>
    <cfRule type="cellIs" dxfId="900" priority="893" operator="greaterThan">
      <formula>0</formula>
    </cfRule>
  </conditionalFormatting>
  <conditionalFormatting sqref="HM3:HM4">
    <cfRule type="cellIs" dxfId="899" priority="880" operator="lessThan">
      <formula>0</formula>
    </cfRule>
    <cfRule type="cellIs" dxfId="898" priority="879" operator="equal">
      <formula>0</formula>
    </cfRule>
  </conditionalFormatting>
  <conditionalFormatting sqref="HM8">
    <cfRule type="cellIs" dxfId="897" priority="878" operator="lessThan">
      <formula>0</formula>
    </cfRule>
    <cfRule type="cellIs" dxfId="896" priority="877" operator="equal">
      <formula>0</formula>
    </cfRule>
  </conditionalFormatting>
  <conditionalFormatting sqref="HO3:HO4">
    <cfRule type="cellIs" dxfId="895" priority="884" operator="equal">
      <formula>0</formula>
    </cfRule>
    <cfRule type="cellIs" dxfId="894" priority="886" operator="greaterThan">
      <formula>0</formula>
    </cfRule>
    <cfRule type="cellIs" dxfId="893" priority="885" operator="lessThan">
      <formula>0</formula>
    </cfRule>
  </conditionalFormatting>
  <conditionalFormatting sqref="HO8">
    <cfRule type="cellIs" dxfId="892" priority="883" operator="greaterThan">
      <formula>0</formula>
    </cfRule>
    <cfRule type="cellIs" dxfId="891" priority="882" operator="lessThan">
      <formula>0</formula>
    </cfRule>
    <cfRule type="cellIs" dxfId="890" priority="881" operator="equal">
      <formula>0</formula>
    </cfRule>
  </conditionalFormatting>
  <conditionalFormatting sqref="HW3:HW4">
    <cfRule type="cellIs" dxfId="889" priority="870" operator="lessThan">
      <formula>0</formula>
    </cfRule>
    <cfRule type="cellIs" dxfId="888" priority="869" operator="equal">
      <formula>0</formula>
    </cfRule>
  </conditionalFormatting>
  <conditionalFormatting sqref="HW8">
    <cfRule type="cellIs" dxfId="887" priority="868" operator="lessThan">
      <formula>0</formula>
    </cfRule>
    <cfRule type="cellIs" dxfId="886" priority="867" operator="equal">
      <formula>0</formula>
    </cfRule>
  </conditionalFormatting>
  <conditionalFormatting sqref="HY3:HY4">
    <cfRule type="cellIs" dxfId="885" priority="874" operator="equal">
      <formula>0</formula>
    </cfRule>
    <cfRule type="cellIs" dxfId="884" priority="876" operator="greaterThan">
      <formula>0</formula>
    </cfRule>
    <cfRule type="cellIs" dxfId="883" priority="875" operator="lessThan">
      <formula>0</formula>
    </cfRule>
  </conditionalFormatting>
  <conditionalFormatting sqref="HY8">
    <cfRule type="cellIs" dxfId="882" priority="873" operator="greaterThan">
      <formula>0</formula>
    </cfRule>
    <cfRule type="cellIs" dxfId="881" priority="872" operator="lessThan">
      <formula>0</formula>
    </cfRule>
    <cfRule type="cellIs" dxfId="880" priority="871" operator="equal">
      <formula>0</formula>
    </cfRule>
  </conditionalFormatting>
  <conditionalFormatting sqref="IG3:IG4">
    <cfRule type="cellIs" dxfId="879" priority="859" operator="equal">
      <formula>0</formula>
    </cfRule>
    <cfRule type="cellIs" dxfId="878" priority="860" operator="lessThan">
      <formula>0</formula>
    </cfRule>
  </conditionalFormatting>
  <conditionalFormatting sqref="IG8">
    <cfRule type="cellIs" dxfId="877" priority="858" operator="lessThan">
      <formula>0</formula>
    </cfRule>
    <cfRule type="cellIs" dxfId="876" priority="857" operator="equal">
      <formula>0</formula>
    </cfRule>
  </conditionalFormatting>
  <conditionalFormatting sqref="II3:II4">
    <cfRule type="cellIs" dxfId="875" priority="865" operator="lessThan">
      <formula>0</formula>
    </cfRule>
    <cfRule type="cellIs" dxfId="874" priority="864" operator="equal">
      <formula>0</formula>
    </cfRule>
    <cfRule type="cellIs" dxfId="873" priority="866" operator="greaterThan">
      <formula>0</formula>
    </cfRule>
  </conditionalFormatting>
  <conditionalFormatting sqref="II8">
    <cfRule type="cellIs" dxfId="872" priority="863" operator="greaterThan">
      <formula>0</formula>
    </cfRule>
    <cfRule type="cellIs" dxfId="871" priority="862" operator="lessThan">
      <formula>0</formula>
    </cfRule>
    <cfRule type="cellIs" dxfId="870" priority="861" operator="equal">
      <formula>0</formula>
    </cfRule>
  </conditionalFormatting>
  <conditionalFormatting sqref="IQ3:IQ4">
    <cfRule type="cellIs" dxfId="869" priority="850" operator="lessThan">
      <formula>0</formula>
    </cfRule>
    <cfRule type="cellIs" dxfId="868" priority="849" operator="equal">
      <formula>0</formula>
    </cfRule>
  </conditionalFormatting>
  <conditionalFormatting sqref="IQ8">
    <cfRule type="cellIs" dxfId="867" priority="847" operator="equal">
      <formula>0</formula>
    </cfRule>
    <cfRule type="cellIs" dxfId="866" priority="848" operator="lessThan">
      <formula>0</formula>
    </cfRule>
  </conditionalFormatting>
  <conditionalFormatting sqref="IS3:IS4">
    <cfRule type="cellIs" dxfId="865" priority="856" operator="greaterThan">
      <formula>0</formula>
    </cfRule>
    <cfRule type="cellIs" dxfId="864" priority="855" operator="lessThan">
      <formula>0</formula>
    </cfRule>
    <cfRule type="cellIs" dxfId="863" priority="854" operator="equal">
      <formula>0</formula>
    </cfRule>
  </conditionalFormatting>
  <conditionalFormatting sqref="IS8">
    <cfRule type="cellIs" dxfId="862" priority="853" operator="greaterThan">
      <formula>0</formula>
    </cfRule>
    <cfRule type="cellIs" dxfId="861" priority="852" operator="lessThan">
      <formula>0</formula>
    </cfRule>
    <cfRule type="cellIs" dxfId="860" priority="851" operator="equal">
      <formula>0</formula>
    </cfRule>
  </conditionalFormatting>
  <conditionalFormatting sqref="JA3:JA4">
    <cfRule type="cellIs" dxfId="859" priority="839" operator="equal">
      <formula>0</formula>
    </cfRule>
    <cfRule type="cellIs" dxfId="858" priority="840" operator="lessThan">
      <formula>0</formula>
    </cfRule>
  </conditionalFormatting>
  <conditionalFormatting sqref="JA8">
    <cfRule type="cellIs" dxfId="857" priority="837" operator="equal">
      <formula>0</formula>
    </cfRule>
    <cfRule type="cellIs" dxfId="856" priority="838" operator="lessThan">
      <formula>0</formula>
    </cfRule>
  </conditionalFormatting>
  <conditionalFormatting sqref="JC3:JC4">
    <cfRule type="cellIs" dxfId="855" priority="846" operator="greaterThan">
      <formula>0</formula>
    </cfRule>
    <cfRule type="cellIs" dxfId="854" priority="845" operator="lessThan">
      <formula>0</formula>
    </cfRule>
    <cfRule type="cellIs" dxfId="853" priority="844" operator="equal">
      <formula>0</formula>
    </cfRule>
  </conditionalFormatting>
  <conditionalFormatting sqref="JC8">
    <cfRule type="cellIs" dxfId="852" priority="843" operator="greaterThan">
      <formula>0</formula>
    </cfRule>
    <cfRule type="cellIs" dxfId="851" priority="842" operator="lessThan">
      <formula>0</formula>
    </cfRule>
    <cfRule type="cellIs" dxfId="850" priority="841" operator="equal">
      <formula>0</formula>
    </cfRule>
  </conditionalFormatting>
  <conditionalFormatting sqref="JK3:JK4">
    <cfRule type="cellIs" dxfId="849" priority="830" operator="lessThan">
      <formula>0</formula>
    </cfRule>
    <cfRule type="cellIs" dxfId="848" priority="829" operator="equal">
      <formula>0</formula>
    </cfRule>
  </conditionalFormatting>
  <conditionalFormatting sqref="JK8">
    <cfRule type="cellIs" dxfId="847" priority="828" operator="lessThan">
      <formula>0</formula>
    </cfRule>
    <cfRule type="cellIs" dxfId="846" priority="827" operator="equal">
      <formula>0</formula>
    </cfRule>
  </conditionalFormatting>
  <conditionalFormatting sqref="JM3:JM4">
    <cfRule type="cellIs" dxfId="845" priority="836" operator="greaterThan">
      <formula>0</formula>
    </cfRule>
    <cfRule type="cellIs" dxfId="844" priority="835" operator="lessThan">
      <formula>0</formula>
    </cfRule>
    <cfRule type="cellIs" dxfId="843" priority="834" operator="equal">
      <formula>0</formula>
    </cfRule>
  </conditionalFormatting>
  <conditionalFormatting sqref="JM8">
    <cfRule type="cellIs" dxfId="842" priority="833" operator="greaterThan">
      <formula>0</formula>
    </cfRule>
    <cfRule type="cellIs" dxfId="841" priority="832" operator="lessThan">
      <formula>0</formula>
    </cfRule>
    <cfRule type="cellIs" dxfId="840" priority="831" operator="equal">
      <formula>0</formula>
    </cfRule>
  </conditionalFormatting>
  <conditionalFormatting sqref="JU3:JU4">
    <cfRule type="cellIs" dxfId="839" priority="819" operator="equal">
      <formula>0</formula>
    </cfRule>
    <cfRule type="cellIs" dxfId="838" priority="820" operator="lessThan">
      <formula>0</formula>
    </cfRule>
  </conditionalFormatting>
  <conditionalFormatting sqref="JU8">
    <cfRule type="cellIs" dxfId="837" priority="818" operator="lessThan">
      <formula>0</formula>
    </cfRule>
    <cfRule type="cellIs" dxfId="836" priority="817" operator="equal">
      <formula>0</formula>
    </cfRule>
  </conditionalFormatting>
  <conditionalFormatting sqref="JW3:JW4">
    <cfRule type="cellIs" dxfId="835" priority="824" operator="equal">
      <formula>0</formula>
    </cfRule>
    <cfRule type="cellIs" dxfId="834" priority="825" operator="lessThan">
      <formula>0</formula>
    </cfRule>
    <cfRule type="cellIs" dxfId="833" priority="826" operator="greaterThan">
      <formula>0</formula>
    </cfRule>
  </conditionalFormatting>
  <conditionalFormatting sqref="JW8">
    <cfRule type="cellIs" dxfId="832" priority="822" operator="lessThan">
      <formula>0</formula>
    </cfRule>
    <cfRule type="cellIs" dxfId="831" priority="821" operator="equal">
      <formula>0</formula>
    </cfRule>
    <cfRule type="cellIs" dxfId="830" priority="823" operator="greaterThan">
      <formula>0</formula>
    </cfRule>
  </conditionalFormatting>
  <conditionalFormatting sqref="KE3:KE4">
    <cfRule type="cellIs" dxfId="829" priority="810" operator="lessThan">
      <formula>0</formula>
    </cfRule>
    <cfRule type="cellIs" dxfId="828" priority="809" operator="equal">
      <formula>0</formula>
    </cfRule>
  </conditionalFormatting>
  <conditionalFormatting sqref="KE8">
    <cfRule type="cellIs" dxfId="827" priority="808" operator="lessThan">
      <formula>0</formula>
    </cfRule>
    <cfRule type="cellIs" dxfId="826" priority="807" operator="equal">
      <formula>0</formula>
    </cfRule>
  </conditionalFormatting>
  <conditionalFormatting sqref="KG3:KG4">
    <cfRule type="cellIs" dxfId="825" priority="816" operator="greaterThan">
      <formula>0</formula>
    </cfRule>
    <cfRule type="cellIs" dxfId="824" priority="814" operator="equal">
      <formula>0</formula>
    </cfRule>
    <cfRule type="cellIs" dxfId="823" priority="815" operator="lessThan">
      <formula>0</formula>
    </cfRule>
  </conditionalFormatting>
  <conditionalFormatting sqref="KG8">
    <cfRule type="cellIs" dxfId="822" priority="813" operator="greaterThan">
      <formula>0</formula>
    </cfRule>
    <cfRule type="cellIs" dxfId="821" priority="812" operator="lessThan">
      <formula>0</formula>
    </cfRule>
    <cfRule type="cellIs" dxfId="820" priority="811" operator="equal">
      <formula>0</formula>
    </cfRule>
  </conditionalFormatting>
  <conditionalFormatting sqref="KO3:KO4">
    <cfRule type="cellIs" dxfId="819" priority="792" operator="equal">
      <formula>0</formula>
    </cfRule>
    <cfRule type="cellIs" dxfId="818" priority="793" operator="lessThan">
      <formula>0</formula>
    </cfRule>
  </conditionalFormatting>
  <conditionalFormatting sqref="KO8">
    <cfRule type="cellIs" dxfId="817" priority="798" operator="lessThan">
      <formula>0</formula>
    </cfRule>
    <cfRule type="cellIs" dxfId="816" priority="797" operator="equal">
      <formula>0</formula>
    </cfRule>
  </conditionalFormatting>
  <conditionalFormatting sqref="KQ3:KQ4">
    <cfRule type="cellIs" dxfId="815" priority="796" operator="greaterThan">
      <formula>0</formula>
    </cfRule>
    <cfRule type="cellIs" dxfId="814" priority="795" operator="lessThan">
      <formula>0</formula>
    </cfRule>
    <cfRule type="cellIs" dxfId="813" priority="794" operator="equal">
      <formula>0</formula>
    </cfRule>
  </conditionalFormatting>
  <conditionalFormatting sqref="KQ8">
    <cfRule type="cellIs" dxfId="812" priority="803" operator="greaterThan">
      <formula>0</formula>
    </cfRule>
    <cfRule type="cellIs" dxfId="811" priority="802" operator="lessThan">
      <formula>0</formula>
    </cfRule>
    <cfRule type="cellIs" dxfId="810" priority="801" operator="equal">
      <formula>0</formula>
    </cfRule>
  </conditionalFormatting>
  <conditionalFormatting sqref="KY3:KY4">
    <cfRule type="cellIs" dxfId="809" priority="785" operator="lessThan">
      <formula>0</formula>
    </cfRule>
    <cfRule type="cellIs" dxfId="808" priority="784" operator="equal">
      <formula>0</formula>
    </cfRule>
  </conditionalFormatting>
  <conditionalFormatting sqref="KY8">
    <cfRule type="cellIs" dxfId="807" priority="783" operator="lessThan">
      <formula>0</formula>
    </cfRule>
    <cfRule type="cellIs" dxfId="806" priority="782" operator="equal">
      <formula>0</formula>
    </cfRule>
  </conditionalFormatting>
  <conditionalFormatting sqref="LA3:LA4">
    <cfRule type="cellIs" dxfId="805" priority="791" operator="greaterThan">
      <formula>0</formula>
    </cfRule>
    <cfRule type="cellIs" dxfId="804" priority="790" operator="lessThan">
      <formula>0</formula>
    </cfRule>
    <cfRule type="cellIs" dxfId="803" priority="789" operator="equal">
      <formula>0</formula>
    </cfRule>
  </conditionalFormatting>
  <conditionalFormatting sqref="LA8">
    <cfRule type="cellIs" dxfId="802" priority="787" operator="lessThan">
      <formula>0</formula>
    </cfRule>
    <cfRule type="cellIs" dxfId="801" priority="786" operator="equal">
      <formula>0</formula>
    </cfRule>
    <cfRule type="cellIs" dxfId="800" priority="788" operator="greaterThan">
      <formula>0</formula>
    </cfRule>
  </conditionalFormatting>
  <conditionalFormatting sqref="LI3:LI4">
    <cfRule type="cellIs" dxfId="799" priority="774" operator="equal">
      <formula>0</formula>
    </cfRule>
    <cfRule type="cellIs" dxfId="798" priority="775" operator="lessThan">
      <formula>0</formula>
    </cfRule>
  </conditionalFormatting>
  <conditionalFormatting sqref="LI8">
    <cfRule type="cellIs" dxfId="797" priority="773" operator="lessThan">
      <formula>0</formula>
    </cfRule>
    <cfRule type="cellIs" dxfId="796" priority="772" operator="equal">
      <formula>0</formula>
    </cfRule>
  </conditionalFormatting>
  <conditionalFormatting sqref="LK3:LK4">
    <cfRule type="cellIs" dxfId="795" priority="781" operator="greaterThan">
      <formula>0</formula>
    </cfRule>
    <cfRule type="cellIs" dxfId="794" priority="779" operator="equal">
      <formula>0</formula>
    </cfRule>
    <cfRule type="cellIs" dxfId="793" priority="780" operator="lessThan">
      <formula>0</formula>
    </cfRule>
  </conditionalFormatting>
  <conditionalFormatting sqref="LK8">
    <cfRule type="cellIs" dxfId="792" priority="778" operator="greaterThan">
      <formula>0</formula>
    </cfRule>
    <cfRule type="cellIs" dxfId="791" priority="777" operator="lessThan">
      <formula>0</formula>
    </cfRule>
    <cfRule type="cellIs" dxfId="790" priority="776" operator="equal">
      <formula>0</formula>
    </cfRule>
  </conditionalFormatting>
  <conditionalFormatting sqref="LS3:LS4">
    <cfRule type="cellIs" dxfId="789" priority="765" operator="lessThan">
      <formula>0</formula>
    </cfRule>
    <cfRule type="cellIs" dxfId="788" priority="764" operator="equal">
      <formula>0</formula>
    </cfRule>
  </conditionalFormatting>
  <conditionalFormatting sqref="LS8">
    <cfRule type="cellIs" dxfId="787" priority="762" operator="equal">
      <formula>0</formula>
    </cfRule>
    <cfRule type="cellIs" dxfId="786" priority="763" operator="lessThan">
      <formula>0</formula>
    </cfRule>
  </conditionalFormatting>
  <conditionalFormatting sqref="LU3:LU4">
    <cfRule type="cellIs" dxfId="785" priority="771" operator="greaterThan">
      <formula>0</formula>
    </cfRule>
    <cfRule type="cellIs" dxfId="784" priority="770" operator="lessThan">
      <formula>0</formula>
    </cfRule>
    <cfRule type="cellIs" dxfId="783" priority="769" operator="equal">
      <formula>0</formula>
    </cfRule>
  </conditionalFormatting>
  <conditionalFormatting sqref="LU8">
    <cfRule type="cellIs" dxfId="782" priority="766" operator="equal">
      <formula>0</formula>
    </cfRule>
    <cfRule type="cellIs" dxfId="781" priority="767" operator="lessThan">
      <formula>0</formula>
    </cfRule>
    <cfRule type="cellIs" dxfId="780" priority="768" operator="greaterThan">
      <formula>0</formula>
    </cfRule>
  </conditionalFormatting>
  <conditionalFormatting sqref="MC3:MC4">
    <cfRule type="cellIs" dxfId="779" priority="755" operator="lessThan">
      <formula>0</formula>
    </cfRule>
    <cfRule type="cellIs" dxfId="778" priority="754" operator="equal">
      <formula>0</formula>
    </cfRule>
  </conditionalFormatting>
  <conditionalFormatting sqref="MC8">
    <cfRule type="cellIs" dxfId="777" priority="753" operator="lessThan">
      <formula>0</formula>
    </cfRule>
    <cfRule type="cellIs" dxfId="776" priority="752" operator="equal">
      <formula>0</formula>
    </cfRule>
  </conditionalFormatting>
  <conditionalFormatting sqref="ME3:ME4">
    <cfRule type="cellIs" dxfId="775" priority="761" operator="greaterThan">
      <formula>0</formula>
    </cfRule>
    <cfRule type="cellIs" dxfId="774" priority="760" operator="lessThan">
      <formula>0</formula>
    </cfRule>
    <cfRule type="cellIs" dxfId="773" priority="759" operator="equal">
      <formula>0</formula>
    </cfRule>
  </conditionalFormatting>
  <conditionalFormatting sqref="ME8">
    <cfRule type="cellIs" dxfId="772" priority="758" operator="greaterThan">
      <formula>0</formula>
    </cfRule>
    <cfRule type="cellIs" dxfId="771" priority="757" operator="lessThan">
      <formula>0</formula>
    </cfRule>
    <cfRule type="cellIs" dxfId="770" priority="756" operator="equal">
      <formula>0</formula>
    </cfRule>
  </conditionalFormatting>
  <conditionalFormatting sqref="MM3:MM4">
    <cfRule type="cellIs" dxfId="769" priority="744" operator="equal">
      <formula>0</formula>
    </cfRule>
    <cfRule type="cellIs" dxfId="768" priority="745" operator="lessThan">
      <formula>0</formula>
    </cfRule>
  </conditionalFormatting>
  <conditionalFormatting sqref="MM8">
    <cfRule type="cellIs" dxfId="767" priority="742" operator="equal">
      <formula>0</formula>
    </cfRule>
    <cfRule type="cellIs" dxfId="766" priority="743" operator="lessThan">
      <formula>0</formula>
    </cfRule>
  </conditionalFormatting>
  <conditionalFormatting sqref="MO3:MO4">
    <cfRule type="cellIs" dxfId="765" priority="750" operator="lessThan">
      <formula>0</formula>
    </cfRule>
    <cfRule type="cellIs" dxfId="764" priority="749" operator="equal">
      <formula>0</formula>
    </cfRule>
    <cfRule type="cellIs" dxfId="763" priority="751" operator="greaterThan">
      <formula>0</formula>
    </cfRule>
  </conditionalFormatting>
  <conditionalFormatting sqref="MO8">
    <cfRule type="cellIs" dxfId="762" priority="746" operator="equal">
      <formula>0</formula>
    </cfRule>
    <cfRule type="cellIs" dxfId="761" priority="747" operator="lessThan">
      <formula>0</formula>
    </cfRule>
    <cfRule type="cellIs" dxfId="760" priority="748" operator="greaterThan">
      <formula>0</formula>
    </cfRule>
  </conditionalFormatting>
  <conditionalFormatting sqref="MW3:MW4">
    <cfRule type="cellIs" dxfId="759" priority="735" operator="lessThan">
      <formula>0</formula>
    </cfRule>
    <cfRule type="cellIs" dxfId="758" priority="734" operator="equal">
      <formula>0</formula>
    </cfRule>
  </conditionalFormatting>
  <conditionalFormatting sqref="MW8">
    <cfRule type="cellIs" dxfId="757" priority="733" operator="lessThan">
      <formula>0</formula>
    </cfRule>
    <cfRule type="cellIs" dxfId="756" priority="732" operator="equal">
      <formula>0</formula>
    </cfRule>
  </conditionalFormatting>
  <conditionalFormatting sqref="MY3:MY4">
    <cfRule type="cellIs" dxfId="755" priority="741" operator="greaterThan">
      <formula>0</formula>
    </cfRule>
    <cfRule type="cellIs" dxfId="754" priority="740" operator="lessThan">
      <formula>0</formula>
    </cfRule>
    <cfRule type="cellIs" dxfId="753" priority="739" operator="equal">
      <formula>0</formula>
    </cfRule>
  </conditionalFormatting>
  <conditionalFormatting sqref="MY8">
    <cfRule type="cellIs" dxfId="752" priority="738" operator="greaterThan">
      <formula>0</formula>
    </cfRule>
    <cfRule type="cellIs" dxfId="751" priority="737" operator="lessThan">
      <formula>0</formula>
    </cfRule>
    <cfRule type="cellIs" dxfId="750" priority="736" operator="equal">
      <formula>0</formula>
    </cfRule>
  </conditionalFormatting>
  <conditionalFormatting sqref="NG3:NG4">
    <cfRule type="cellIs" dxfId="749" priority="725" operator="lessThan">
      <formula>0</formula>
    </cfRule>
    <cfRule type="cellIs" dxfId="748" priority="724" operator="equal">
      <formula>0</formula>
    </cfRule>
  </conditionalFormatting>
  <conditionalFormatting sqref="NG8">
    <cfRule type="cellIs" dxfId="747" priority="723" operator="lessThan">
      <formula>0</formula>
    </cfRule>
    <cfRule type="cellIs" dxfId="746" priority="722" operator="equal">
      <formula>0</formula>
    </cfRule>
  </conditionalFormatting>
  <conditionalFormatting sqref="NI3:NI4">
    <cfRule type="cellIs" dxfId="745" priority="730" operator="lessThan">
      <formula>0</formula>
    </cfRule>
    <cfRule type="cellIs" dxfId="744" priority="729" operator="equal">
      <formula>0</formula>
    </cfRule>
    <cfRule type="cellIs" dxfId="743" priority="731" operator="greaterThan">
      <formula>0</formula>
    </cfRule>
  </conditionalFormatting>
  <conditionalFormatting sqref="NI8">
    <cfRule type="cellIs" dxfId="742" priority="727" operator="lessThan">
      <formula>0</formula>
    </cfRule>
    <cfRule type="cellIs" dxfId="741" priority="726" operator="equal">
      <formula>0</formula>
    </cfRule>
    <cfRule type="cellIs" dxfId="740" priority="728" operator="greaterThan">
      <formula>0</formula>
    </cfRule>
  </conditionalFormatting>
  <conditionalFormatting sqref="NQ3:NQ4">
    <cfRule type="cellIs" dxfId="739" priority="715" operator="lessThan">
      <formula>0</formula>
    </cfRule>
    <cfRule type="cellIs" dxfId="738" priority="714" operator="equal">
      <formula>0</formula>
    </cfRule>
  </conditionalFormatting>
  <conditionalFormatting sqref="NQ8">
    <cfRule type="cellIs" dxfId="737" priority="713" operator="lessThan">
      <formula>0</formula>
    </cfRule>
    <cfRule type="cellIs" dxfId="736" priority="712" operator="equal">
      <formula>0</formula>
    </cfRule>
  </conditionalFormatting>
  <conditionalFormatting sqref="NS3:NS4">
    <cfRule type="cellIs" dxfId="735" priority="721" operator="greaterThan">
      <formula>0</formula>
    </cfRule>
    <cfRule type="cellIs" dxfId="734" priority="720" operator="lessThan">
      <formula>0</formula>
    </cfRule>
    <cfRule type="cellIs" dxfId="733" priority="719" operator="equal">
      <formula>0</formula>
    </cfRule>
  </conditionalFormatting>
  <conditionalFormatting sqref="NS8">
    <cfRule type="cellIs" dxfId="732" priority="718" operator="greaterThan">
      <formula>0</formula>
    </cfRule>
    <cfRule type="cellIs" dxfId="731" priority="717" operator="lessThan">
      <formula>0</formula>
    </cfRule>
    <cfRule type="cellIs" dxfId="730" priority="716" operator="equal">
      <formula>0</formula>
    </cfRule>
  </conditionalFormatting>
  <conditionalFormatting sqref="OA3:OA4">
    <cfRule type="cellIs" dxfId="729" priority="704" operator="equal">
      <formula>0</formula>
    </cfRule>
    <cfRule type="cellIs" dxfId="728" priority="705" operator="lessThan">
      <formula>0</formula>
    </cfRule>
  </conditionalFormatting>
  <conditionalFormatting sqref="OA8">
    <cfRule type="cellIs" dxfId="727" priority="702" operator="equal">
      <formula>0</formula>
    </cfRule>
    <cfRule type="cellIs" dxfId="726" priority="703" operator="lessThan">
      <formula>0</formula>
    </cfRule>
  </conditionalFormatting>
  <conditionalFormatting sqref="OC3:OC4">
    <cfRule type="cellIs" dxfId="725" priority="709" operator="equal">
      <formula>0</formula>
    </cfRule>
    <cfRule type="cellIs" dxfId="724" priority="710" operator="lessThan">
      <formula>0</formula>
    </cfRule>
    <cfRule type="cellIs" dxfId="723" priority="711" operator="greaterThan">
      <formula>0</formula>
    </cfRule>
  </conditionalFormatting>
  <conditionalFormatting sqref="OC8">
    <cfRule type="cellIs" dxfId="722" priority="708" operator="greaterThan">
      <formula>0</formula>
    </cfRule>
    <cfRule type="cellIs" dxfId="721" priority="707" operator="lessThan">
      <formula>0</formula>
    </cfRule>
    <cfRule type="cellIs" dxfId="720" priority="706" operator="equal">
      <formula>0</formula>
    </cfRule>
  </conditionalFormatting>
  <conditionalFormatting sqref="OK3:OK4">
    <cfRule type="cellIs" dxfId="719" priority="695" operator="lessThan">
      <formula>0</formula>
    </cfRule>
    <cfRule type="cellIs" dxfId="718" priority="694" operator="equal">
      <formula>0</formula>
    </cfRule>
  </conditionalFormatting>
  <conditionalFormatting sqref="OK8">
    <cfRule type="cellIs" dxfId="717" priority="693" operator="lessThan">
      <formula>0</formula>
    </cfRule>
    <cfRule type="cellIs" dxfId="716" priority="692" operator="equal">
      <formula>0</formula>
    </cfRule>
  </conditionalFormatting>
  <conditionalFormatting sqref="OM3:OM4">
    <cfRule type="cellIs" dxfId="715" priority="701" operator="greaterThan">
      <formula>0</formula>
    </cfRule>
    <cfRule type="cellIs" dxfId="714" priority="700" operator="lessThan">
      <formula>0</formula>
    </cfRule>
    <cfRule type="cellIs" dxfId="713" priority="699" operator="equal">
      <formula>0</formula>
    </cfRule>
  </conditionalFormatting>
  <conditionalFormatting sqref="OM8">
    <cfRule type="cellIs" dxfId="712" priority="698" operator="greaterThan">
      <formula>0</formula>
    </cfRule>
    <cfRule type="cellIs" dxfId="711" priority="697" operator="lessThan">
      <formula>0</formula>
    </cfRule>
    <cfRule type="cellIs" dxfId="710" priority="696" operator="equal">
      <formula>0</formula>
    </cfRule>
  </conditionalFormatting>
  <conditionalFormatting sqref="OU3:OU4">
    <cfRule type="cellIs" dxfId="709" priority="684" operator="equal">
      <formula>0</formula>
    </cfRule>
    <cfRule type="cellIs" dxfId="708" priority="685" operator="lessThan">
      <formula>0</formula>
    </cfRule>
  </conditionalFormatting>
  <conditionalFormatting sqref="OU8">
    <cfRule type="cellIs" dxfId="707" priority="683" operator="lessThan">
      <formula>0</formula>
    </cfRule>
    <cfRule type="cellIs" dxfId="706" priority="682" operator="equal">
      <formula>0</formula>
    </cfRule>
  </conditionalFormatting>
  <conditionalFormatting sqref="OW3:OW4">
    <cfRule type="cellIs" dxfId="705" priority="689" operator="equal">
      <formula>0</formula>
    </cfRule>
    <cfRule type="cellIs" dxfId="704" priority="690" operator="lessThan">
      <formula>0</formula>
    </cfRule>
    <cfRule type="cellIs" dxfId="703" priority="691" operator="greaterThan">
      <formula>0</formula>
    </cfRule>
  </conditionalFormatting>
  <conditionalFormatting sqref="OW8">
    <cfRule type="cellIs" dxfId="702" priority="687" operator="lessThan">
      <formula>0</formula>
    </cfRule>
    <cfRule type="cellIs" dxfId="701" priority="686" operator="equal">
      <formula>0</formula>
    </cfRule>
    <cfRule type="cellIs" dxfId="700" priority="688" operator="greaterThan">
      <formula>0</formula>
    </cfRule>
  </conditionalFormatting>
  <conditionalFormatting sqref="PE3:PE4">
    <cfRule type="cellIs" dxfId="699" priority="674" operator="equal">
      <formula>0</formula>
    </cfRule>
    <cfRule type="cellIs" dxfId="698" priority="675" operator="lessThan">
      <formula>0</formula>
    </cfRule>
  </conditionalFormatting>
  <conditionalFormatting sqref="PE8">
    <cfRule type="cellIs" dxfId="697" priority="673" operator="lessThan">
      <formula>0</formula>
    </cfRule>
    <cfRule type="cellIs" dxfId="696" priority="672" operator="equal">
      <formula>0</formula>
    </cfRule>
  </conditionalFormatting>
  <conditionalFormatting sqref="PG3:PG4">
    <cfRule type="cellIs" dxfId="695" priority="680" operator="lessThan">
      <formula>0</formula>
    </cfRule>
    <cfRule type="cellIs" dxfId="694" priority="681" operator="greaterThan">
      <formula>0</formula>
    </cfRule>
    <cfRule type="cellIs" dxfId="693" priority="679" operator="equal">
      <formula>0</formula>
    </cfRule>
  </conditionalFormatting>
  <conditionalFormatting sqref="PG8">
    <cfRule type="cellIs" dxfId="692" priority="678" operator="greaterThan">
      <formula>0</formula>
    </cfRule>
    <cfRule type="cellIs" dxfId="691" priority="677" operator="lessThan">
      <formula>0</formula>
    </cfRule>
    <cfRule type="cellIs" dxfId="690" priority="676" operator="equal">
      <formula>0</formula>
    </cfRule>
  </conditionalFormatting>
  <conditionalFormatting sqref="PO3:PO4">
    <cfRule type="cellIs" dxfId="689" priority="664" operator="equal">
      <formula>0</formula>
    </cfRule>
    <cfRule type="cellIs" dxfId="688" priority="665" operator="lessThan">
      <formula>0</formula>
    </cfRule>
  </conditionalFormatting>
  <conditionalFormatting sqref="PO8">
    <cfRule type="cellIs" dxfId="687" priority="662" operator="equal">
      <formula>0</formula>
    </cfRule>
    <cfRule type="cellIs" dxfId="686" priority="663" operator="lessThan">
      <formula>0</formula>
    </cfRule>
  </conditionalFormatting>
  <conditionalFormatting sqref="PQ3:PQ4">
    <cfRule type="cellIs" dxfId="685" priority="670" operator="lessThan">
      <formula>0</formula>
    </cfRule>
    <cfRule type="cellIs" dxfId="684" priority="669" operator="equal">
      <formula>0</formula>
    </cfRule>
    <cfRule type="cellIs" dxfId="683" priority="671" operator="greaterThan">
      <formula>0</formula>
    </cfRule>
  </conditionalFormatting>
  <conditionalFormatting sqref="PQ8">
    <cfRule type="cellIs" dxfId="682" priority="668" operator="greaterThan">
      <formula>0</formula>
    </cfRule>
    <cfRule type="cellIs" dxfId="681" priority="667" operator="lessThan">
      <formula>0</formula>
    </cfRule>
    <cfRule type="cellIs" dxfId="680" priority="666" operator="equal">
      <formula>0</formula>
    </cfRule>
  </conditionalFormatting>
  <conditionalFormatting sqref="PY3:PY4">
    <cfRule type="cellIs" dxfId="679" priority="655" operator="lessThan">
      <formula>0</formula>
    </cfRule>
    <cfRule type="cellIs" dxfId="678" priority="654" operator="equal">
      <formula>0</formula>
    </cfRule>
  </conditionalFormatting>
  <conditionalFormatting sqref="PY8">
    <cfRule type="cellIs" dxfId="677" priority="653" operator="lessThan">
      <formula>0</formula>
    </cfRule>
    <cfRule type="cellIs" dxfId="676" priority="652" operator="equal">
      <formula>0</formula>
    </cfRule>
  </conditionalFormatting>
  <conditionalFormatting sqref="QA3:QA4">
    <cfRule type="cellIs" dxfId="675" priority="661" operator="greaterThan">
      <formula>0</formula>
    </cfRule>
    <cfRule type="cellIs" dxfId="674" priority="660" operator="lessThan">
      <formula>0</formula>
    </cfRule>
    <cfRule type="cellIs" dxfId="673" priority="659" operator="equal">
      <formula>0</formula>
    </cfRule>
  </conditionalFormatting>
  <conditionalFormatting sqref="QA8">
    <cfRule type="cellIs" dxfId="672" priority="658" operator="greaterThan">
      <formula>0</formula>
    </cfRule>
    <cfRule type="cellIs" dxfId="671" priority="657" operator="lessThan">
      <formula>0</formula>
    </cfRule>
    <cfRule type="cellIs" dxfId="670" priority="656" operator="equal">
      <formula>0</formula>
    </cfRule>
  </conditionalFormatting>
  <conditionalFormatting sqref="QI3:QI4">
    <cfRule type="cellIs" dxfId="669" priority="645" operator="lessThan">
      <formula>0</formula>
    </cfRule>
    <cfRule type="cellIs" dxfId="668" priority="644" operator="equal">
      <formula>0</formula>
    </cfRule>
  </conditionalFormatting>
  <conditionalFormatting sqref="QI8">
    <cfRule type="cellIs" dxfId="667" priority="643" operator="lessThan">
      <formula>0</formula>
    </cfRule>
    <cfRule type="cellIs" dxfId="666" priority="642" operator="equal">
      <formula>0</formula>
    </cfRule>
  </conditionalFormatting>
  <conditionalFormatting sqref="QK3:QK4">
    <cfRule type="cellIs" dxfId="665" priority="650" operator="lessThan">
      <formula>0</formula>
    </cfRule>
    <cfRule type="cellIs" dxfId="664" priority="651" operator="greaterThan">
      <formula>0</formula>
    </cfRule>
    <cfRule type="cellIs" dxfId="663" priority="649" operator="equal">
      <formula>0</formula>
    </cfRule>
  </conditionalFormatting>
  <conditionalFormatting sqref="QK8">
    <cfRule type="cellIs" dxfId="662" priority="648" operator="greaterThan">
      <formula>0</formula>
    </cfRule>
    <cfRule type="cellIs" dxfId="661" priority="646" operator="equal">
      <formula>0</formula>
    </cfRule>
    <cfRule type="cellIs" dxfId="660" priority="647" operator="lessThan">
      <formula>0</formula>
    </cfRule>
  </conditionalFormatting>
  <conditionalFormatting sqref="QS3:QS4">
    <cfRule type="cellIs" dxfId="659" priority="635" operator="lessThan">
      <formula>0</formula>
    </cfRule>
    <cfRule type="cellIs" dxfId="658" priority="634" operator="equal">
      <formula>0</formula>
    </cfRule>
  </conditionalFormatting>
  <conditionalFormatting sqref="QS8">
    <cfRule type="cellIs" dxfId="657" priority="632" operator="equal">
      <formula>0</formula>
    </cfRule>
    <cfRule type="cellIs" dxfId="656" priority="633" operator="lessThan">
      <formula>0</formula>
    </cfRule>
  </conditionalFormatting>
  <conditionalFormatting sqref="QU3:QU4">
    <cfRule type="cellIs" dxfId="655" priority="641" operator="greaterThan">
      <formula>0</formula>
    </cfRule>
    <cfRule type="cellIs" dxfId="654" priority="639" operator="equal">
      <formula>0</formula>
    </cfRule>
    <cfRule type="cellIs" dxfId="653" priority="640" operator="lessThan">
      <formula>0</formula>
    </cfRule>
  </conditionalFormatting>
  <conditionalFormatting sqref="QU8">
    <cfRule type="cellIs" dxfId="652" priority="638" operator="greaterThan">
      <formula>0</formula>
    </cfRule>
    <cfRule type="cellIs" dxfId="651" priority="637" operator="lessThan">
      <formula>0</formula>
    </cfRule>
    <cfRule type="cellIs" dxfId="650" priority="636" operator="equal">
      <formula>0</formula>
    </cfRule>
  </conditionalFormatting>
  <conditionalFormatting sqref="RC3:RC4">
    <cfRule type="cellIs" dxfId="649" priority="625" operator="lessThan">
      <formula>0</formula>
    </cfRule>
    <cfRule type="cellIs" dxfId="648" priority="624" operator="equal">
      <formula>0</formula>
    </cfRule>
  </conditionalFormatting>
  <conditionalFormatting sqref="RC8">
    <cfRule type="cellIs" dxfId="647" priority="622" operator="equal">
      <formula>0</formula>
    </cfRule>
    <cfRule type="cellIs" dxfId="646" priority="623" operator="lessThan">
      <formula>0</formula>
    </cfRule>
  </conditionalFormatting>
  <conditionalFormatting sqref="RE3:RE4">
    <cfRule type="cellIs" dxfId="645" priority="631" operator="greaterThan">
      <formula>0</formula>
    </cfRule>
    <cfRule type="cellIs" dxfId="644" priority="630" operator="lessThan">
      <formula>0</formula>
    </cfRule>
    <cfRule type="cellIs" dxfId="643" priority="629" operator="equal">
      <formula>0</formula>
    </cfRule>
  </conditionalFormatting>
  <conditionalFormatting sqref="RE8">
    <cfRule type="cellIs" dxfId="642" priority="628" operator="greaterThan">
      <formula>0</formula>
    </cfRule>
    <cfRule type="cellIs" dxfId="641" priority="627" operator="lessThan">
      <formula>0</formula>
    </cfRule>
    <cfRule type="cellIs" dxfId="640" priority="626" operator="equal">
      <formula>0</formula>
    </cfRule>
  </conditionalFormatting>
  <conditionalFormatting sqref="RM3:RM4">
    <cfRule type="cellIs" dxfId="639" priority="615" operator="lessThan">
      <formula>0</formula>
    </cfRule>
    <cfRule type="cellIs" dxfId="638" priority="614" operator="equal">
      <formula>0</formula>
    </cfRule>
  </conditionalFormatting>
  <conditionalFormatting sqref="RM8">
    <cfRule type="cellIs" dxfId="637" priority="612" operator="equal">
      <formula>0</formula>
    </cfRule>
    <cfRule type="cellIs" dxfId="636" priority="613" operator="lessThan">
      <formula>0</formula>
    </cfRule>
  </conditionalFormatting>
  <conditionalFormatting sqref="RO3:RO4">
    <cfRule type="cellIs" dxfId="635" priority="620" operator="lessThan">
      <formula>0</formula>
    </cfRule>
    <cfRule type="cellIs" dxfId="634" priority="619" operator="equal">
      <formula>0</formula>
    </cfRule>
    <cfRule type="cellIs" dxfId="633" priority="621" operator="greaterThan">
      <formula>0</formula>
    </cfRule>
  </conditionalFormatting>
  <conditionalFormatting sqref="RO8">
    <cfRule type="cellIs" dxfId="632" priority="618" operator="greaterThan">
      <formula>0</formula>
    </cfRule>
    <cfRule type="cellIs" dxfId="631" priority="617" operator="lessThan">
      <formula>0</formula>
    </cfRule>
    <cfRule type="cellIs" dxfId="630" priority="616" operator="equal">
      <formula>0</formula>
    </cfRule>
  </conditionalFormatting>
  <conditionalFormatting sqref="RW3:RW4">
    <cfRule type="cellIs" dxfId="629" priority="604" operator="equal">
      <formula>0</formula>
    </cfRule>
    <cfRule type="cellIs" dxfId="628" priority="605" operator="lessThan">
      <formula>0</formula>
    </cfRule>
  </conditionalFormatting>
  <conditionalFormatting sqref="RW8">
    <cfRule type="cellIs" dxfId="627" priority="603" operator="lessThan">
      <formula>0</formula>
    </cfRule>
    <cfRule type="cellIs" dxfId="626" priority="602" operator="equal">
      <formula>0</formula>
    </cfRule>
  </conditionalFormatting>
  <conditionalFormatting sqref="RY3:RY4">
    <cfRule type="cellIs" dxfId="625" priority="610" operator="lessThan">
      <formula>0</formula>
    </cfRule>
    <cfRule type="cellIs" dxfId="624" priority="611" operator="greaterThan">
      <formula>0</formula>
    </cfRule>
    <cfRule type="cellIs" dxfId="623" priority="609" operator="equal">
      <formula>0</formula>
    </cfRule>
  </conditionalFormatting>
  <conditionalFormatting sqref="RY8">
    <cfRule type="cellIs" dxfId="622" priority="608" operator="greaterThan">
      <formula>0</formula>
    </cfRule>
    <cfRule type="cellIs" dxfId="621" priority="607" operator="lessThan">
      <formula>0</formula>
    </cfRule>
    <cfRule type="cellIs" dxfId="620" priority="606" operator="equal">
      <formula>0</formula>
    </cfRule>
  </conditionalFormatting>
  <conditionalFormatting sqref="SG3:SG4">
    <cfRule type="cellIs" dxfId="619" priority="595" operator="lessThan">
      <formula>0</formula>
    </cfRule>
    <cfRule type="cellIs" dxfId="618" priority="594" operator="equal">
      <formula>0</formula>
    </cfRule>
  </conditionalFormatting>
  <conditionalFormatting sqref="SG8">
    <cfRule type="cellIs" dxfId="617" priority="592" operator="equal">
      <formula>0</formula>
    </cfRule>
    <cfRule type="cellIs" dxfId="616" priority="593" operator="lessThan">
      <formula>0</formula>
    </cfRule>
  </conditionalFormatting>
  <conditionalFormatting sqref="SI3:SI4">
    <cfRule type="cellIs" dxfId="615" priority="600" operator="lessThan">
      <formula>0</formula>
    </cfRule>
    <cfRule type="cellIs" dxfId="614" priority="599" operator="equal">
      <formula>0</formula>
    </cfRule>
    <cfRule type="cellIs" dxfId="613" priority="601" operator="greaterThan">
      <formula>0</formula>
    </cfRule>
  </conditionalFormatting>
  <conditionalFormatting sqref="SI8">
    <cfRule type="cellIs" dxfId="612" priority="598" operator="greaterThan">
      <formula>0</formula>
    </cfRule>
    <cfRule type="cellIs" dxfId="611" priority="597" operator="lessThan">
      <formula>0</formula>
    </cfRule>
    <cfRule type="cellIs" dxfId="610" priority="596" operator="equal">
      <formula>0</formula>
    </cfRule>
  </conditionalFormatting>
  <conditionalFormatting sqref="SQ3:SQ4">
    <cfRule type="cellIs" dxfId="609" priority="585" operator="lessThan">
      <formula>0</formula>
    </cfRule>
    <cfRule type="cellIs" dxfId="608" priority="584" operator="equal">
      <formula>0</formula>
    </cfRule>
  </conditionalFormatting>
  <conditionalFormatting sqref="SQ8">
    <cfRule type="cellIs" dxfId="607" priority="583" operator="lessThan">
      <formula>0</formula>
    </cfRule>
    <cfRule type="cellIs" dxfId="606" priority="582" operator="equal">
      <formula>0</formula>
    </cfRule>
  </conditionalFormatting>
  <conditionalFormatting sqref="SS3:SS4">
    <cfRule type="cellIs" dxfId="605" priority="591" operator="greaterThan">
      <formula>0</formula>
    </cfRule>
    <cfRule type="cellIs" dxfId="604" priority="590" operator="lessThan">
      <formula>0</formula>
    </cfRule>
    <cfRule type="cellIs" dxfId="603" priority="589" operator="equal">
      <formula>0</formula>
    </cfRule>
  </conditionalFormatting>
  <conditionalFormatting sqref="SS8">
    <cfRule type="cellIs" dxfId="602" priority="587" operator="lessThan">
      <formula>0</formula>
    </cfRule>
    <cfRule type="cellIs" dxfId="601" priority="588" operator="greaterThan">
      <formula>0</formula>
    </cfRule>
    <cfRule type="cellIs" dxfId="600" priority="586" operator="equal">
      <formula>0</formula>
    </cfRule>
  </conditionalFormatting>
  <conditionalFormatting sqref="TA3:TA4">
    <cfRule type="cellIs" dxfId="599" priority="575" operator="lessThan">
      <formula>0</formula>
    </cfRule>
    <cfRule type="cellIs" dxfId="598" priority="574" operator="equal">
      <formula>0</formula>
    </cfRule>
  </conditionalFormatting>
  <conditionalFormatting sqref="TA8">
    <cfRule type="cellIs" dxfId="597" priority="572" operator="equal">
      <formula>0</formula>
    </cfRule>
    <cfRule type="cellIs" dxfId="596" priority="573" operator="lessThan">
      <formula>0</formula>
    </cfRule>
  </conditionalFormatting>
  <conditionalFormatting sqref="TC3:TC4">
    <cfRule type="cellIs" dxfId="595" priority="581" operator="greaterThan">
      <formula>0</formula>
    </cfRule>
    <cfRule type="cellIs" dxfId="594" priority="580" operator="lessThan">
      <formula>0</formula>
    </cfRule>
    <cfRule type="cellIs" dxfId="593" priority="579" operator="equal">
      <formula>0</formula>
    </cfRule>
  </conditionalFormatting>
  <conditionalFormatting sqref="TC8">
    <cfRule type="cellIs" dxfId="592" priority="578" operator="greaterThan">
      <formula>0</formula>
    </cfRule>
    <cfRule type="cellIs" dxfId="591" priority="576" operator="equal">
      <formula>0</formula>
    </cfRule>
    <cfRule type="cellIs" dxfId="590" priority="577" operator="lessThan">
      <formula>0</formula>
    </cfRule>
  </conditionalFormatting>
  <conditionalFormatting sqref="TK3:TK4">
    <cfRule type="cellIs" dxfId="589" priority="564" operator="equal">
      <formula>0</formula>
    </cfRule>
    <cfRule type="cellIs" dxfId="588" priority="565" operator="lessThan">
      <formula>0</formula>
    </cfRule>
  </conditionalFormatting>
  <conditionalFormatting sqref="TK8">
    <cfRule type="cellIs" dxfId="587" priority="563" operator="lessThan">
      <formula>0</formula>
    </cfRule>
    <cfRule type="cellIs" dxfId="586" priority="562" operator="equal">
      <formula>0</formula>
    </cfRule>
  </conditionalFormatting>
  <conditionalFormatting sqref="TM3:TM4">
    <cfRule type="cellIs" dxfId="585" priority="571" operator="greaterThan">
      <formula>0</formula>
    </cfRule>
    <cfRule type="cellIs" dxfId="584" priority="570" operator="lessThan">
      <formula>0</formula>
    </cfRule>
    <cfRule type="cellIs" dxfId="583" priority="569" operator="equal">
      <formula>0</formula>
    </cfRule>
  </conditionalFormatting>
  <conditionalFormatting sqref="TM8">
    <cfRule type="cellIs" dxfId="582" priority="568" operator="greaterThan">
      <formula>0</formula>
    </cfRule>
    <cfRule type="cellIs" dxfId="581" priority="567" operator="lessThan">
      <formula>0</formula>
    </cfRule>
    <cfRule type="cellIs" dxfId="580" priority="566" operator="equal">
      <formula>0</formula>
    </cfRule>
  </conditionalFormatting>
  <conditionalFormatting sqref="TU3:TU4">
    <cfRule type="cellIs" dxfId="579" priority="554" operator="equal">
      <formula>0</formula>
    </cfRule>
    <cfRule type="cellIs" dxfId="578" priority="555" operator="lessThan">
      <formula>0</formula>
    </cfRule>
  </conditionalFormatting>
  <conditionalFormatting sqref="TU8">
    <cfRule type="cellIs" dxfId="577" priority="553" operator="lessThan">
      <formula>0</formula>
    </cfRule>
    <cfRule type="cellIs" dxfId="576" priority="552" operator="equal">
      <formula>0</formula>
    </cfRule>
  </conditionalFormatting>
  <conditionalFormatting sqref="TW3:TW4">
    <cfRule type="cellIs" dxfId="575" priority="561" operator="greaterThan">
      <formula>0</formula>
    </cfRule>
    <cfRule type="cellIs" dxfId="574" priority="560" operator="lessThan">
      <formula>0</formula>
    </cfRule>
    <cfRule type="cellIs" dxfId="573" priority="559" operator="equal">
      <formula>0</formula>
    </cfRule>
  </conditionalFormatting>
  <conditionalFormatting sqref="TW8">
    <cfRule type="cellIs" dxfId="572" priority="558" operator="greaterThan">
      <formula>0</formula>
    </cfRule>
    <cfRule type="cellIs" dxfId="571" priority="557" operator="lessThan">
      <formula>0</formula>
    </cfRule>
    <cfRule type="cellIs" dxfId="570" priority="556" operator="equal">
      <formula>0</formula>
    </cfRule>
  </conditionalFormatting>
  <conditionalFormatting sqref="UE3:UE4">
    <cfRule type="cellIs" dxfId="569" priority="544" operator="equal">
      <formula>0</formula>
    </cfRule>
    <cfRule type="cellIs" dxfId="568" priority="545" operator="lessThan">
      <formula>0</formula>
    </cfRule>
  </conditionalFormatting>
  <conditionalFormatting sqref="UE8">
    <cfRule type="cellIs" dxfId="567" priority="542" operator="equal">
      <formula>0</formula>
    </cfRule>
    <cfRule type="cellIs" dxfId="566" priority="543" operator="lessThan">
      <formula>0</formula>
    </cfRule>
  </conditionalFormatting>
  <conditionalFormatting sqref="UG3:UG4">
    <cfRule type="cellIs" dxfId="565" priority="549" operator="equal">
      <formula>0</formula>
    </cfRule>
    <cfRule type="cellIs" dxfId="564" priority="550" operator="lessThan">
      <formula>0</formula>
    </cfRule>
    <cfRule type="cellIs" dxfId="563" priority="551" operator="greaterThan">
      <formula>0</formula>
    </cfRule>
  </conditionalFormatting>
  <conditionalFormatting sqref="UG8">
    <cfRule type="cellIs" dxfId="562" priority="548" operator="greaterThan">
      <formula>0</formula>
    </cfRule>
    <cfRule type="cellIs" dxfId="561" priority="546" operator="equal">
      <formula>0</formula>
    </cfRule>
    <cfRule type="cellIs" dxfId="560" priority="547" operator="lessThan">
      <formula>0</formula>
    </cfRule>
  </conditionalFormatting>
  <conditionalFormatting sqref="UO3:UO4">
    <cfRule type="cellIs" dxfId="559" priority="535" operator="lessThan">
      <formula>0</formula>
    </cfRule>
    <cfRule type="cellIs" dxfId="558" priority="534" operator="equal">
      <formula>0</formula>
    </cfRule>
  </conditionalFormatting>
  <conditionalFormatting sqref="UO8">
    <cfRule type="cellIs" dxfId="557" priority="533" operator="lessThan">
      <formula>0</formula>
    </cfRule>
    <cfRule type="cellIs" dxfId="556" priority="532" operator="equal">
      <formula>0</formula>
    </cfRule>
  </conditionalFormatting>
  <conditionalFormatting sqref="UQ3:UQ4">
    <cfRule type="cellIs" dxfId="555" priority="539" operator="equal">
      <formula>0</formula>
    </cfRule>
    <cfRule type="cellIs" dxfId="554" priority="541" operator="greaterThan">
      <formula>0</formula>
    </cfRule>
    <cfRule type="cellIs" dxfId="553" priority="540" operator="lessThan">
      <formula>0</formula>
    </cfRule>
  </conditionalFormatting>
  <conditionalFormatting sqref="UQ8">
    <cfRule type="cellIs" dxfId="552" priority="538" operator="greaterThan">
      <formula>0</formula>
    </cfRule>
    <cfRule type="cellIs" dxfId="551" priority="537" operator="lessThan">
      <formula>0</formula>
    </cfRule>
    <cfRule type="cellIs" dxfId="550" priority="536" operator="equal">
      <formula>0</formula>
    </cfRule>
  </conditionalFormatting>
  <conditionalFormatting sqref="UY3:UY4">
    <cfRule type="cellIs" dxfId="549" priority="524" operator="equal">
      <formula>0</formula>
    </cfRule>
    <cfRule type="cellIs" dxfId="548" priority="525" operator="lessThan">
      <formula>0</formula>
    </cfRule>
  </conditionalFormatting>
  <conditionalFormatting sqref="UY8">
    <cfRule type="cellIs" dxfId="547" priority="522" operator="equal">
      <formula>0</formula>
    </cfRule>
    <cfRule type="cellIs" dxfId="546" priority="523" operator="lessThan">
      <formula>0</formula>
    </cfRule>
  </conditionalFormatting>
  <conditionalFormatting sqref="VA3:VA4">
    <cfRule type="cellIs" dxfId="545" priority="530" operator="lessThan">
      <formula>0</formula>
    </cfRule>
    <cfRule type="cellIs" dxfId="544" priority="529" operator="equal">
      <formula>0</formula>
    </cfRule>
    <cfRule type="cellIs" dxfId="543" priority="531" operator="greaterThan">
      <formula>0</formula>
    </cfRule>
  </conditionalFormatting>
  <conditionalFormatting sqref="VA8">
    <cfRule type="cellIs" dxfId="542" priority="528" operator="greaterThan">
      <formula>0</formula>
    </cfRule>
    <cfRule type="cellIs" dxfId="541" priority="527" operator="lessThan">
      <formula>0</formula>
    </cfRule>
    <cfRule type="cellIs" dxfId="540" priority="526" operator="equal">
      <formula>0</formula>
    </cfRule>
  </conditionalFormatting>
  <conditionalFormatting sqref="VI3:VI4">
    <cfRule type="cellIs" dxfId="539" priority="515" operator="lessThan">
      <formula>0</formula>
    </cfRule>
    <cfRule type="cellIs" dxfId="538" priority="514" operator="equal">
      <formula>0</formula>
    </cfRule>
  </conditionalFormatting>
  <conditionalFormatting sqref="VI8">
    <cfRule type="cellIs" dxfId="537" priority="513" operator="lessThan">
      <formula>0</formula>
    </cfRule>
    <cfRule type="cellIs" dxfId="536" priority="512" operator="equal">
      <formula>0</formula>
    </cfRule>
  </conditionalFormatting>
  <conditionalFormatting sqref="VK3:VK4">
    <cfRule type="cellIs" dxfId="535" priority="521" operator="greaterThan">
      <formula>0</formula>
    </cfRule>
    <cfRule type="cellIs" dxfId="534" priority="520" operator="lessThan">
      <formula>0</formula>
    </cfRule>
    <cfRule type="cellIs" dxfId="533" priority="519" operator="equal">
      <formula>0</formula>
    </cfRule>
  </conditionalFormatting>
  <conditionalFormatting sqref="VK8">
    <cfRule type="cellIs" dxfId="532" priority="517" operator="lessThan">
      <formula>0</formula>
    </cfRule>
    <cfRule type="cellIs" dxfId="531" priority="516" operator="equal">
      <formula>0</formula>
    </cfRule>
    <cfRule type="cellIs" dxfId="530" priority="518" operator="greaterThan">
      <formula>0</formula>
    </cfRule>
  </conditionalFormatting>
  <conditionalFormatting sqref="VS3:VS4">
    <cfRule type="cellIs" dxfId="529" priority="504" operator="equal">
      <formula>0</formula>
    </cfRule>
    <cfRule type="cellIs" dxfId="528" priority="505" operator="lessThan">
      <formula>0</formula>
    </cfRule>
  </conditionalFormatting>
  <conditionalFormatting sqref="VS8">
    <cfRule type="cellIs" dxfId="527" priority="503" operator="lessThan">
      <formula>0</formula>
    </cfRule>
    <cfRule type="cellIs" dxfId="526" priority="502" operator="equal">
      <formula>0</formula>
    </cfRule>
  </conditionalFormatting>
  <conditionalFormatting sqref="VU3:VU4">
    <cfRule type="cellIs" dxfId="525" priority="511" operator="greaterThan">
      <formula>0</formula>
    </cfRule>
    <cfRule type="cellIs" dxfId="524" priority="510" operator="lessThan">
      <formula>0</formula>
    </cfRule>
    <cfRule type="cellIs" dxfId="523" priority="509" operator="equal">
      <formula>0</formula>
    </cfRule>
  </conditionalFormatting>
  <conditionalFormatting sqref="VU8">
    <cfRule type="cellIs" dxfId="522" priority="507" operator="lessThan">
      <formula>0</formula>
    </cfRule>
    <cfRule type="cellIs" dxfId="521" priority="506" operator="equal">
      <formula>0</formula>
    </cfRule>
    <cfRule type="cellIs" dxfId="520" priority="508" operator="greaterThan">
      <formula>0</formula>
    </cfRule>
  </conditionalFormatting>
  <conditionalFormatting sqref="WC3:WC4">
    <cfRule type="cellIs" dxfId="519" priority="495" operator="lessThan">
      <formula>0</formula>
    </cfRule>
    <cfRule type="cellIs" dxfId="518" priority="494" operator="equal">
      <formula>0</formula>
    </cfRule>
  </conditionalFormatting>
  <conditionalFormatting sqref="WC8">
    <cfRule type="cellIs" dxfId="517" priority="493" operator="lessThan">
      <formula>0</formula>
    </cfRule>
    <cfRule type="cellIs" dxfId="516" priority="492" operator="equal">
      <formula>0</formula>
    </cfRule>
  </conditionalFormatting>
  <conditionalFormatting sqref="WE3:WE4">
    <cfRule type="cellIs" dxfId="515" priority="499" operator="equal">
      <formula>0</formula>
    </cfRule>
    <cfRule type="cellIs" dxfId="514" priority="501" operator="greaterThan">
      <formula>0</formula>
    </cfRule>
    <cfRule type="cellIs" dxfId="513" priority="500" operator="lessThan">
      <formula>0</formula>
    </cfRule>
  </conditionalFormatting>
  <conditionalFormatting sqref="WE8">
    <cfRule type="cellIs" dxfId="512" priority="498" operator="greaterThan">
      <formula>0</formula>
    </cfRule>
    <cfRule type="cellIs" dxfId="511" priority="497" operator="lessThan">
      <formula>0</formula>
    </cfRule>
    <cfRule type="cellIs" dxfId="510" priority="496" operator="equal">
      <formula>0</formula>
    </cfRule>
  </conditionalFormatting>
  <conditionalFormatting sqref="WM3:WM4">
    <cfRule type="cellIs" dxfId="509" priority="485" operator="lessThan">
      <formula>0</formula>
    </cfRule>
    <cfRule type="cellIs" dxfId="508" priority="484" operator="equal">
      <formula>0</formula>
    </cfRule>
  </conditionalFormatting>
  <conditionalFormatting sqref="WM8">
    <cfRule type="cellIs" dxfId="507" priority="483" operator="lessThan">
      <formula>0</formula>
    </cfRule>
    <cfRule type="cellIs" dxfId="506" priority="482" operator="equal">
      <formula>0</formula>
    </cfRule>
  </conditionalFormatting>
  <conditionalFormatting sqref="WO3:WO4">
    <cfRule type="cellIs" dxfId="505" priority="489" operator="equal">
      <formula>0</formula>
    </cfRule>
    <cfRule type="cellIs" dxfId="504" priority="491" operator="greaterThan">
      <formula>0</formula>
    </cfRule>
    <cfRule type="cellIs" dxfId="503" priority="490" operator="lessThan">
      <formula>0</formula>
    </cfRule>
  </conditionalFormatting>
  <conditionalFormatting sqref="WO8">
    <cfRule type="cellIs" dxfId="502" priority="486" operator="equal">
      <formula>0</formula>
    </cfRule>
    <cfRule type="cellIs" dxfId="501" priority="488" operator="greaterThan">
      <formula>0</formula>
    </cfRule>
    <cfRule type="cellIs" dxfId="500" priority="487" operator="lessThan">
      <formula>0</formula>
    </cfRule>
  </conditionalFormatting>
  <conditionalFormatting sqref="WW3:WW4">
    <cfRule type="cellIs" dxfId="499" priority="475" operator="lessThan">
      <formula>0</formula>
    </cfRule>
    <cfRule type="cellIs" dxfId="498" priority="474" operator="equal">
      <formula>0</formula>
    </cfRule>
  </conditionalFormatting>
  <conditionalFormatting sqref="WW8">
    <cfRule type="cellIs" dxfId="497" priority="473" operator="lessThan">
      <formula>0</formula>
    </cfRule>
    <cfRule type="cellIs" dxfId="496" priority="472" operator="equal">
      <formula>0</formula>
    </cfRule>
  </conditionalFormatting>
  <conditionalFormatting sqref="WY3:WY4">
    <cfRule type="cellIs" dxfId="495" priority="481" operator="greaterThan">
      <formula>0</formula>
    </cfRule>
    <cfRule type="cellIs" dxfId="494" priority="480" operator="lessThan">
      <formula>0</formula>
    </cfRule>
    <cfRule type="cellIs" dxfId="493" priority="479" operator="equal">
      <formula>0</formula>
    </cfRule>
  </conditionalFormatting>
  <conditionalFormatting sqref="WY8">
    <cfRule type="cellIs" dxfId="492" priority="478" operator="greaterThan">
      <formula>0</formula>
    </cfRule>
    <cfRule type="cellIs" dxfId="491" priority="477" operator="lessThan">
      <formula>0</formula>
    </cfRule>
    <cfRule type="cellIs" dxfId="490" priority="476" operator="equal">
      <formula>0</formula>
    </cfRule>
  </conditionalFormatting>
  <conditionalFormatting sqref="XG3:XG4">
    <cfRule type="cellIs" dxfId="489" priority="464" operator="equal">
      <formula>0</formula>
    </cfRule>
    <cfRule type="cellIs" dxfId="488" priority="465" operator="lessThan">
      <formula>0</formula>
    </cfRule>
  </conditionalFormatting>
  <conditionalFormatting sqref="XG8">
    <cfRule type="cellIs" dxfId="487" priority="463" operator="lessThan">
      <formula>0</formula>
    </cfRule>
    <cfRule type="cellIs" dxfId="486" priority="462" operator="equal">
      <formula>0</formula>
    </cfRule>
  </conditionalFormatting>
  <conditionalFormatting sqref="XI3:XI4">
    <cfRule type="cellIs" dxfId="485" priority="469" operator="equal">
      <formula>0</formula>
    </cfRule>
    <cfRule type="cellIs" dxfId="484" priority="471" operator="greaterThan">
      <formula>0</formula>
    </cfRule>
    <cfRule type="cellIs" dxfId="483" priority="470" operator="lessThan">
      <formula>0</formula>
    </cfRule>
  </conditionalFormatting>
  <conditionalFormatting sqref="XI8">
    <cfRule type="cellIs" dxfId="482" priority="468" operator="greaterThan">
      <formula>0</formula>
    </cfRule>
    <cfRule type="cellIs" dxfId="481" priority="467" operator="lessThan">
      <formula>0</formula>
    </cfRule>
    <cfRule type="cellIs" dxfId="480" priority="466" operator="equal">
      <formula>0</formula>
    </cfRule>
  </conditionalFormatting>
  <conditionalFormatting sqref="XQ3:XQ4">
    <cfRule type="cellIs" dxfId="479" priority="455" operator="lessThan">
      <formula>0</formula>
    </cfRule>
    <cfRule type="cellIs" dxfId="478" priority="454" operator="equal">
      <formula>0</formula>
    </cfRule>
  </conditionalFormatting>
  <conditionalFormatting sqref="XQ8">
    <cfRule type="cellIs" dxfId="477" priority="452" operator="equal">
      <formula>0</formula>
    </cfRule>
    <cfRule type="cellIs" dxfId="476" priority="453" operator="lessThan">
      <formula>0</formula>
    </cfRule>
  </conditionalFormatting>
  <conditionalFormatting sqref="XS3:XS4">
    <cfRule type="cellIs" dxfId="475" priority="460" operator="lessThan">
      <formula>0</formula>
    </cfRule>
    <cfRule type="cellIs" dxfId="474" priority="459" operator="equal">
      <formula>0</formula>
    </cfRule>
    <cfRule type="cellIs" dxfId="473" priority="461" operator="greaterThan">
      <formula>0</formula>
    </cfRule>
  </conditionalFormatting>
  <conditionalFormatting sqref="XS8">
    <cfRule type="cellIs" dxfId="472" priority="457" operator="lessThan">
      <formula>0</formula>
    </cfRule>
    <cfRule type="cellIs" dxfId="471" priority="456" operator="equal">
      <formula>0</formula>
    </cfRule>
    <cfRule type="cellIs" dxfId="470" priority="458" operator="greaterThan">
      <formula>0</formula>
    </cfRule>
  </conditionalFormatting>
  <conditionalFormatting sqref="YA3:YA4">
    <cfRule type="cellIs" dxfId="469" priority="445" operator="lessThan">
      <formula>0</formula>
    </cfRule>
    <cfRule type="cellIs" dxfId="468" priority="444" operator="equal">
      <formula>0</formula>
    </cfRule>
  </conditionalFormatting>
  <conditionalFormatting sqref="YA8">
    <cfRule type="cellIs" dxfId="467" priority="443" operator="lessThan">
      <formula>0</formula>
    </cfRule>
    <cfRule type="cellIs" dxfId="466" priority="442" operator="equal">
      <formula>0</formula>
    </cfRule>
  </conditionalFormatting>
  <conditionalFormatting sqref="YC3:YC4">
    <cfRule type="cellIs" dxfId="465" priority="451" operator="greaterThan">
      <formula>0</formula>
    </cfRule>
    <cfRule type="cellIs" dxfId="464" priority="450" operator="lessThan">
      <formula>0</formula>
    </cfRule>
    <cfRule type="cellIs" dxfId="463" priority="449" operator="equal">
      <formula>0</formula>
    </cfRule>
  </conditionalFormatting>
  <conditionalFormatting sqref="YC8">
    <cfRule type="cellIs" dxfId="462" priority="448" operator="greaterThan">
      <formula>0</formula>
    </cfRule>
    <cfRule type="cellIs" dxfId="461" priority="447" operator="lessThan">
      <formula>0</formula>
    </cfRule>
    <cfRule type="cellIs" dxfId="460" priority="446" operator="equal">
      <formula>0</formula>
    </cfRule>
  </conditionalFormatting>
  <conditionalFormatting sqref="YK3:YK4">
    <cfRule type="cellIs" dxfId="459" priority="435" operator="lessThan">
      <formula>0</formula>
    </cfRule>
    <cfRule type="cellIs" dxfId="458" priority="434" operator="equal">
      <formula>0</formula>
    </cfRule>
  </conditionalFormatting>
  <conditionalFormatting sqref="YK8">
    <cfRule type="cellIs" dxfId="457" priority="432" operator="equal">
      <formula>0</formula>
    </cfRule>
    <cfRule type="cellIs" dxfId="456" priority="433" operator="lessThan">
      <formula>0</formula>
    </cfRule>
  </conditionalFormatting>
  <conditionalFormatting sqref="YM3:YM4">
    <cfRule type="cellIs" dxfId="455" priority="441" operator="greaterThan">
      <formula>0</formula>
    </cfRule>
    <cfRule type="cellIs" dxfId="454" priority="440" operator="lessThan">
      <formula>0</formula>
    </cfRule>
    <cfRule type="cellIs" dxfId="453" priority="439" operator="equal">
      <formula>0</formula>
    </cfRule>
  </conditionalFormatting>
  <conditionalFormatting sqref="YM8">
    <cfRule type="cellIs" dxfId="452" priority="437" operator="lessThan">
      <formula>0</formula>
    </cfRule>
    <cfRule type="cellIs" dxfId="451" priority="436" operator="equal">
      <formula>0</formula>
    </cfRule>
    <cfRule type="cellIs" dxfId="450" priority="438" operator="greaterThan">
      <formula>0</formula>
    </cfRule>
  </conditionalFormatting>
  <conditionalFormatting sqref="YU3:YU4">
    <cfRule type="cellIs" dxfId="449" priority="425" operator="lessThan">
      <formula>0</formula>
    </cfRule>
    <cfRule type="cellIs" dxfId="448" priority="424" operator="equal">
      <formula>0</formula>
    </cfRule>
  </conditionalFormatting>
  <conditionalFormatting sqref="YU8">
    <cfRule type="cellIs" dxfId="447" priority="423" operator="lessThan">
      <formula>0</formula>
    </cfRule>
    <cfRule type="cellIs" dxfId="446" priority="422" operator="equal">
      <formula>0</formula>
    </cfRule>
  </conditionalFormatting>
  <conditionalFormatting sqref="YW3:YW4">
    <cfRule type="cellIs" dxfId="445" priority="429" operator="equal">
      <formula>0</formula>
    </cfRule>
    <cfRule type="cellIs" dxfId="444" priority="431" operator="greaterThan">
      <formula>0</formula>
    </cfRule>
    <cfRule type="cellIs" dxfId="443" priority="430" operator="lessThan">
      <formula>0</formula>
    </cfRule>
  </conditionalFormatting>
  <conditionalFormatting sqref="YW8">
    <cfRule type="cellIs" dxfId="442" priority="428" operator="greaterThan">
      <formula>0</formula>
    </cfRule>
    <cfRule type="cellIs" dxfId="441" priority="427" operator="lessThan">
      <formula>0</formula>
    </cfRule>
    <cfRule type="cellIs" dxfId="440" priority="426" operator="equal">
      <formula>0</formula>
    </cfRule>
  </conditionalFormatting>
  <conditionalFormatting sqref="ZE3:ZE4">
    <cfRule type="cellIs" dxfId="439" priority="415" operator="lessThan">
      <formula>0</formula>
    </cfRule>
    <cfRule type="cellIs" dxfId="438" priority="414" operator="equal">
      <formula>0</formula>
    </cfRule>
  </conditionalFormatting>
  <conditionalFormatting sqref="ZE8">
    <cfRule type="cellIs" dxfId="437" priority="413" operator="lessThan">
      <formula>0</formula>
    </cfRule>
    <cfRule type="cellIs" dxfId="436" priority="412" operator="equal">
      <formula>0</formula>
    </cfRule>
  </conditionalFormatting>
  <conditionalFormatting sqref="ZG3:ZG4">
    <cfRule type="cellIs" dxfId="435" priority="419" operator="equal">
      <formula>0</formula>
    </cfRule>
    <cfRule type="cellIs" dxfId="434" priority="421" operator="greaterThan">
      <formula>0</formula>
    </cfRule>
    <cfRule type="cellIs" dxfId="433" priority="420" operator="lessThan">
      <formula>0</formula>
    </cfRule>
  </conditionalFormatting>
  <conditionalFormatting sqref="ZG8">
    <cfRule type="cellIs" dxfId="432" priority="416" operator="equal">
      <formula>0</formula>
    </cfRule>
    <cfRule type="cellIs" dxfId="431" priority="418" operator="greaterThan">
      <formula>0</formula>
    </cfRule>
    <cfRule type="cellIs" dxfId="430" priority="417" operator="lessThan">
      <formula>0</formula>
    </cfRule>
  </conditionalFormatting>
  <conditionalFormatting sqref="ZO3:ZO4">
    <cfRule type="cellIs" dxfId="429" priority="404" operator="equal">
      <formula>0</formula>
    </cfRule>
    <cfRule type="cellIs" dxfId="428" priority="405" operator="lessThan">
      <formula>0</formula>
    </cfRule>
  </conditionalFormatting>
  <conditionalFormatting sqref="ZO8">
    <cfRule type="cellIs" dxfId="427" priority="403" operator="lessThan">
      <formula>0</formula>
    </cfRule>
    <cfRule type="cellIs" dxfId="426" priority="402" operator="equal">
      <formula>0</formula>
    </cfRule>
  </conditionalFormatting>
  <conditionalFormatting sqref="ZQ3:ZQ4">
    <cfRule type="cellIs" dxfId="425" priority="410" operator="lessThan">
      <formula>0</formula>
    </cfRule>
    <cfRule type="cellIs" dxfId="424" priority="411" operator="greaterThan">
      <formula>0</formula>
    </cfRule>
    <cfRule type="cellIs" dxfId="423" priority="409" operator="equal">
      <formula>0</formula>
    </cfRule>
  </conditionalFormatting>
  <conditionalFormatting sqref="ZQ8">
    <cfRule type="cellIs" dxfId="422" priority="407" operator="lessThan">
      <formula>0</formula>
    </cfRule>
    <cfRule type="cellIs" dxfId="421" priority="408" operator="greaterThan">
      <formula>0</formula>
    </cfRule>
    <cfRule type="cellIs" dxfId="420" priority="406" operator="equal">
      <formula>0</formula>
    </cfRule>
  </conditionalFormatting>
  <conditionalFormatting sqref="ZY3:ZY4">
    <cfRule type="cellIs" dxfId="419" priority="394" operator="equal">
      <formula>0</formula>
    </cfRule>
    <cfRule type="cellIs" dxfId="418" priority="395" operator="lessThan">
      <formula>0</formula>
    </cfRule>
  </conditionalFormatting>
  <conditionalFormatting sqref="ZY8">
    <cfRule type="cellIs" dxfId="417" priority="392" operator="equal">
      <formula>0</formula>
    </cfRule>
    <cfRule type="cellIs" dxfId="416" priority="393" operator="lessThan">
      <formula>0</formula>
    </cfRule>
  </conditionalFormatting>
  <conditionalFormatting sqref="AAA3:AAA4">
    <cfRule type="cellIs" dxfId="415" priority="400" operator="lessThan">
      <formula>0</formula>
    </cfRule>
    <cfRule type="cellIs" dxfId="414" priority="399" operator="equal">
      <formula>0</formula>
    </cfRule>
    <cfRule type="cellIs" dxfId="413" priority="401" operator="greaterThan">
      <formula>0</formula>
    </cfRule>
  </conditionalFormatting>
  <conditionalFormatting sqref="AAA8">
    <cfRule type="cellIs" dxfId="412" priority="398" operator="greaterThan">
      <formula>0</formula>
    </cfRule>
    <cfRule type="cellIs" dxfId="411" priority="396" operator="equal">
      <formula>0</formula>
    </cfRule>
    <cfRule type="cellIs" dxfId="410" priority="397" operator="lessThan">
      <formula>0</formula>
    </cfRule>
  </conditionalFormatting>
  <conditionalFormatting sqref="AAI3:AAI4">
    <cfRule type="cellIs" dxfId="409" priority="385" operator="lessThan">
      <formula>0</formula>
    </cfRule>
    <cfRule type="cellIs" dxfId="408" priority="384" operator="equal">
      <formula>0</formula>
    </cfRule>
  </conditionalFormatting>
  <conditionalFormatting sqref="AAI8">
    <cfRule type="cellIs" dxfId="407" priority="383" operator="lessThan">
      <formula>0</formula>
    </cfRule>
    <cfRule type="cellIs" dxfId="406" priority="382" operator="equal">
      <formula>0</formula>
    </cfRule>
  </conditionalFormatting>
  <conditionalFormatting sqref="AAK3:AAK4">
    <cfRule type="cellIs" dxfId="405" priority="391" operator="greaterThan">
      <formula>0</formula>
    </cfRule>
    <cfRule type="cellIs" dxfId="404" priority="390" operator="lessThan">
      <formula>0</formula>
    </cfRule>
    <cfRule type="cellIs" dxfId="403" priority="389" operator="equal">
      <formula>0</formula>
    </cfRule>
  </conditionalFormatting>
  <conditionalFormatting sqref="AAK8">
    <cfRule type="cellIs" dxfId="402" priority="388" operator="greaterThan">
      <formula>0</formula>
    </cfRule>
    <cfRule type="cellIs" dxfId="401" priority="387" operator="lessThan">
      <formula>0</formula>
    </cfRule>
    <cfRule type="cellIs" dxfId="400" priority="386" operator="equal">
      <formula>0</formula>
    </cfRule>
  </conditionalFormatting>
  <conditionalFormatting sqref="AAS3:AAS4">
    <cfRule type="cellIs" dxfId="399" priority="375" operator="lessThan">
      <formula>0</formula>
    </cfRule>
    <cfRule type="cellIs" dxfId="398" priority="374" operator="equal">
      <formula>0</formula>
    </cfRule>
  </conditionalFormatting>
  <conditionalFormatting sqref="AAS8">
    <cfRule type="cellIs" dxfId="397" priority="373" operator="lessThan">
      <formula>0</formula>
    </cfRule>
    <cfRule type="cellIs" dxfId="396" priority="372" operator="equal">
      <formula>0</formula>
    </cfRule>
  </conditionalFormatting>
  <conditionalFormatting sqref="AAU3:AAU4">
    <cfRule type="cellIs" dxfId="395" priority="381" operator="greaterThan">
      <formula>0</formula>
    </cfRule>
    <cfRule type="cellIs" dxfId="394" priority="380" operator="lessThan">
      <formula>0</formula>
    </cfRule>
    <cfRule type="cellIs" dxfId="393" priority="379" operator="equal">
      <formula>0</formula>
    </cfRule>
  </conditionalFormatting>
  <conditionalFormatting sqref="AAU8">
    <cfRule type="cellIs" dxfId="392" priority="378" operator="greaterThan">
      <formula>0</formula>
    </cfRule>
    <cfRule type="cellIs" dxfId="391" priority="377" operator="lessThan">
      <formula>0</formula>
    </cfRule>
    <cfRule type="cellIs" dxfId="390" priority="376" operator="equal">
      <formula>0</formula>
    </cfRule>
  </conditionalFormatting>
  <conditionalFormatting sqref="ABC3:ABC4">
    <cfRule type="cellIs" dxfId="389" priority="364" operator="equal">
      <formula>0</formula>
    </cfRule>
    <cfRule type="cellIs" dxfId="388" priority="365" operator="lessThan">
      <formula>0</formula>
    </cfRule>
  </conditionalFormatting>
  <conditionalFormatting sqref="ABC8">
    <cfRule type="cellIs" dxfId="387" priority="362" operator="equal">
      <formula>0</formula>
    </cfRule>
    <cfRule type="cellIs" dxfId="386" priority="363" operator="lessThan">
      <formula>0</formula>
    </cfRule>
  </conditionalFormatting>
  <conditionalFormatting sqref="ABE3:ABE4">
    <cfRule type="cellIs" dxfId="385" priority="369" operator="equal">
      <formula>0</formula>
    </cfRule>
    <cfRule type="cellIs" dxfId="384" priority="370" operator="lessThan">
      <formula>0</formula>
    </cfRule>
    <cfRule type="cellIs" dxfId="383" priority="371" operator="greaterThan">
      <formula>0</formula>
    </cfRule>
  </conditionalFormatting>
  <conditionalFormatting sqref="ABE8">
    <cfRule type="cellIs" dxfId="382" priority="367" operator="lessThan">
      <formula>0</formula>
    </cfRule>
    <cfRule type="cellIs" dxfId="381" priority="366" operator="equal">
      <formula>0</formula>
    </cfRule>
    <cfRule type="cellIs" dxfId="380" priority="368" operator="greaterThan">
      <formula>0</formula>
    </cfRule>
  </conditionalFormatting>
  <conditionalFormatting sqref="ABM3:ABM4">
    <cfRule type="cellIs" dxfId="379" priority="355" operator="lessThan">
      <formula>0</formula>
    </cfRule>
    <cfRule type="cellIs" dxfId="378" priority="354" operator="equal">
      <formula>0</formula>
    </cfRule>
  </conditionalFormatting>
  <conditionalFormatting sqref="ABM8">
    <cfRule type="cellIs" dxfId="377" priority="353" operator="lessThan">
      <formula>0</formula>
    </cfRule>
    <cfRule type="cellIs" dxfId="376" priority="352" operator="equal">
      <formula>0</formula>
    </cfRule>
  </conditionalFormatting>
  <conditionalFormatting sqref="ABO3:ABO4">
    <cfRule type="cellIs" dxfId="375" priority="359" operator="equal">
      <formula>0</formula>
    </cfRule>
    <cfRule type="cellIs" dxfId="374" priority="361" operator="greaterThan">
      <formula>0</formula>
    </cfRule>
    <cfRule type="cellIs" dxfId="373" priority="360" operator="lessThan">
      <formula>0</formula>
    </cfRule>
  </conditionalFormatting>
  <conditionalFormatting sqref="ABO8">
    <cfRule type="cellIs" dxfId="372" priority="358" operator="greaterThan">
      <formula>0</formula>
    </cfRule>
    <cfRule type="cellIs" dxfId="371" priority="357" operator="lessThan">
      <formula>0</formula>
    </cfRule>
    <cfRule type="cellIs" dxfId="370" priority="356" operator="equal">
      <formula>0</formula>
    </cfRule>
  </conditionalFormatting>
  <conditionalFormatting sqref="ABW3:ABW4">
    <cfRule type="cellIs" dxfId="369" priority="345" operator="lessThan">
      <formula>0</formula>
    </cfRule>
    <cfRule type="cellIs" dxfId="368" priority="344" operator="equal">
      <formula>0</formula>
    </cfRule>
  </conditionalFormatting>
  <conditionalFormatting sqref="ABW8">
    <cfRule type="cellIs" dxfId="367" priority="343" operator="lessThan">
      <formula>0</formula>
    </cfRule>
    <cfRule type="cellIs" dxfId="366" priority="342" operator="equal">
      <formula>0</formula>
    </cfRule>
  </conditionalFormatting>
  <conditionalFormatting sqref="ABY3:ABY4">
    <cfRule type="cellIs" dxfId="365" priority="351" operator="greaterThan">
      <formula>0</formula>
    </cfRule>
    <cfRule type="cellIs" dxfId="364" priority="350" operator="lessThan">
      <formula>0</formula>
    </cfRule>
    <cfRule type="cellIs" dxfId="363" priority="349" operator="equal">
      <formula>0</formula>
    </cfRule>
  </conditionalFormatting>
  <conditionalFormatting sqref="ABY8">
    <cfRule type="cellIs" dxfId="362" priority="348" operator="greaterThan">
      <formula>0</formula>
    </cfRule>
    <cfRule type="cellIs" dxfId="361" priority="347" operator="lessThan">
      <formula>0</formula>
    </cfRule>
    <cfRule type="cellIs" dxfId="360" priority="346" operator="equal">
      <formula>0</formula>
    </cfRule>
  </conditionalFormatting>
  <conditionalFormatting sqref="ACG3:ACG4">
    <cfRule type="cellIs" dxfId="359" priority="334" operator="equal">
      <formula>0</formula>
    </cfRule>
    <cfRule type="cellIs" dxfId="358" priority="335" operator="lessThan">
      <formula>0</formula>
    </cfRule>
  </conditionalFormatting>
  <conditionalFormatting sqref="ACG8">
    <cfRule type="cellIs" dxfId="357" priority="332" operator="equal">
      <formula>0</formula>
    </cfRule>
    <cfRule type="cellIs" dxfId="356" priority="333" operator="lessThan">
      <formula>0</formula>
    </cfRule>
  </conditionalFormatting>
  <conditionalFormatting sqref="ACI3:ACI4">
    <cfRule type="cellIs" dxfId="355" priority="341" operator="greaterThan">
      <formula>0</formula>
    </cfRule>
    <cfRule type="cellIs" dxfId="354" priority="339" operator="equal">
      <formula>0</formula>
    </cfRule>
    <cfRule type="cellIs" dxfId="353" priority="340" operator="lessThan">
      <formula>0</formula>
    </cfRule>
  </conditionalFormatting>
  <conditionalFormatting sqref="ACI8">
    <cfRule type="cellIs" dxfId="352" priority="338" operator="greaterThan">
      <formula>0</formula>
    </cfRule>
    <cfRule type="cellIs" dxfId="351" priority="337" operator="lessThan">
      <formula>0</formula>
    </cfRule>
    <cfRule type="cellIs" dxfId="350" priority="336" operator="equal">
      <formula>0</formula>
    </cfRule>
  </conditionalFormatting>
  <conditionalFormatting sqref="ACQ3:ACQ4">
    <cfRule type="cellIs" dxfId="349" priority="325" operator="lessThan">
      <formula>0</formula>
    </cfRule>
    <cfRule type="cellIs" dxfId="348" priority="324" operator="equal">
      <formula>0</formula>
    </cfRule>
  </conditionalFormatting>
  <conditionalFormatting sqref="ACQ8">
    <cfRule type="cellIs" dxfId="347" priority="323" operator="lessThan">
      <formula>0</formula>
    </cfRule>
    <cfRule type="cellIs" dxfId="346" priority="322" operator="equal">
      <formula>0</formula>
    </cfRule>
  </conditionalFormatting>
  <conditionalFormatting sqref="ACS3:ACS4">
    <cfRule type="cellIs" dxfId="345" priority="330" operator="lessThan">
      <formula>0</formula>
    </cfRule>
    <cfRule type="cellIs" dxfId="344" priority="331" operator="greaterThan">
      <formula>0</formula>
    </cfRule>
    <cfRule type="cellIs" dxfId="343" priority="329" operator="equal">
      <formula>0</formula>
    </cfRule>
  </conditionalFormatting>
  <conditionalFormatting sqref="ACS8">
    <cfRule type="cellIs" dxfId="342" priority="328" operator="greaterThan">
      <formula>0</formula>
    </cfRule>
    <cfRule type="cellIs" dxfId="341" priority="327" operator="lessThan">
      <formula>0</formula>
    </cfRule>
    <cfRule type="cellIs" dxfId="340" priority="326" operator="equal">
      <formula>0</formula>
    </cfRule>
  </conditionalFormatting>
  <conditionalFormatting sqref="ADA3:ADA4">
    <cfRule type="cellIs" dxfId="339" priority="315" operator="lessThan">
      <formula>0</formula>
    </cfRule>
    <cfRule type="cellIs" dxfId="338" priority="314" operator="equal">
      <formula>0</formula>
    </cfRule>
  </conditionalFormatting>
  <conditionalFormatting sqref="ADA8">
    <cfRule type="cellIs" dxfId="337" priority="313" operator="lessThan">
      <formula>0</formula>
    </cfRule>
    <cfRule type="cellIs" dxfId="336" priority="312" operator="equal">
      <formula>0</formula>
    </cfRule>
  </conditionalFormatting>
  <conditionalFormatting sqref="ADC3:ADC4">
    <cfRule type="cellIs" dxfId="335" priority="319" operator="equal">
      <formula>0</formula>
    </cfRule>
    <cfRule type="cellIs" dxfId="334" priority="321" operator="greaterThan">
      <formula>0</formula>
    </cfRule>
    <cfRule type="cellIs" dxfId="333" priority="320" operator="lessThan">
      <formula>0</formula>
    </cfRule>
  </conditionalFormatting>
  <conditionalFormatting sqref="ADC8">
    <cfRule type="cellIs" dxfId="332" priority="316" operator="equal">
      <formula>0</formula>
    </cfRule>
    <cfRule type="cellIs" dxfId="331" priority="317" operator="lessThan">
      <formula>0</formula>
    </cfRule>
    <cfRule type="cellIs" dxfId="330" priority="318" operator="greaterThan">
      <formula>0</formula>
    </cfRule>
  </conditionalFormatting>
  <conditionalFormatting sqref="ADK3:ADK4">
    <cfRule type="cellIs" dxfId="329" priority="305" operator="lessThan">
      <formula>0</formula>
    </cfRule>
    <cfRule type="cellIs" dxfId="328" priority="304" operator="equal">
      <formula>0</formula>
    </cfRule>
  </conditionalFormatting>
  <conditionalFormatting sqref="ADK8">
    <cfRule type="cellIs" dxfId="327" priority="303" operator="lessThan">
      <formula>0</formula>
    </cfRule>
    <cfRule type="cellIs" dxfId="326" priority="302" operator="equal">
      <formula>0</formula>
    </cfRule>
  </conditionalFormatting>
  <conditionalFormatting sqref="ADM3:ADM4">
    <cfRule type="cellIs" dxfId="325" priority="311" operator="greaterThan">
      <formula>0</formula>
    </cfRule>
    <cfRule type="cellIs" dxfId="324" priority="310" operator="lessThan">
      <formula>0</formula>
    </cfRule>
    <cfRule type="cellIs" dxfId="323" priority="309" operator="equal">
      <formula>0</formula>
    </cfRule>
  </conditionalFormatting>
  <conditionalFormatting sqref="ADM8">
    <cfRule type="cellIs" dxfId="322" priority="308" operator="greaterThan">
      <formula>0</formula>
    </cfRule>
    <cfRule type="cellIs" dxfId="321" priority="307" operator="lessThan">
      <formula>0</formula>
    </cfRule>
    <cfRule type="cellIs" dxfId="320" priority="306" operator="equal">
      <formula>0</formula>
    </cfRule>
  </conditionalFormatting>
  <conditionalFormatting sqref="ADU3:ADU4">
    <cfRule type="cellIs" dxfId="319" priority="294" operator="equal">
      <formula>0</formula>
    </cfRule>
    <cfRule type="cellIs" dxfId="318" priority="295" operator="lessThan">
      <formula>0</formula>
    </cfRule>
  </conditionalFormatting>
  <conditionalFormatting sqref="ADU8">
    <cfRule type="cellIs" dxfId="317" priority="293" operator="lessThan">
      <formula>0</formula>
    </cfRule>
    <cfRule type="cellIs" dxfId="316" priority="292" operator="equal">
      <formula>0</formula>
    </cfRule>
  </conditionalFormatting>
  <conditionalFormatting sqref="ADW3:ADW4">
    <cfRule type="cellIs" dxfId="315" priority="301" operator="greaterThan">
      <formula>0</formula>
    </cfRule>
    <cfRule type="cellIs" dxfId="314" priority="300" operator="lessThan">
      <formula>0</formula>
    </cfRule>
    <cfRule type="cellIs" dxfId="313" priority="299" operator="equal">
      <formula>0</formula>
    </cfRule>
  </conditionalFormatting>
  <conditionalFormatting sqref="ADW8">
    <cfRule type="cellIs" dxfId="312" priority="297" operator="lessThan">
      <formula>0</formula>
    </cfRule>
    <cfRule type="cellIs" dxfId="311" priority="296" operator="equal">
      <formula>0</formula>
    </cfRule>
    <cfRule type="cellIs" dxfId="310" priority="298" operator="greaterThan">
      <formula>0</formula>
    </cfRule>
  </conditionalFormatting>
  <conditionalFormatting sqref="AEE3:AEE4">
    <cfRule type="cellIs" dxfId="309" priority="285" operator="lessThan">
      <formula>0</formula>
    </cfRule>
    <cfRule type="cellIs" dxfId="308" priority="284" operator="equal">
      <formula>0</formula>
    </cfRule>
  </conditionalFormatting>
  <conditionalFormatting sqref="AEE8">
    <cfRule type="cellIs" dxfId="307" priority="283" operator="lessThan">
      <formula>0</formula>
    </cfRule>
    <cfRule type="cellIs" dxfId="306" priority="282" operator="equal">
      <formula>0</formula>
    </cfRule>
  </conditionalFormatting>
  <conditionalFormatting sqref="AEG3:AEG4">
    <cfRule type="cellIs" dxfId="305" priority="289" operator="equal">
      <formula>0</formula>
    </cfRule>
    <cfRule type="cellIs" dxfId="304" priority="291" operator="greaterThan">
      <formula>0</formula>
    </cfRule>
    <cfRule type="cellIs" dxfId="303" priority="290" operator="lessThan">
      <formula>0</formula>
    </cfRule>
  </conditionalFormatting>
  <conditionalFormatting sqref="AEG8">
    <cfRule type="cellIs" dxfId="302" priority="288" operator="greaterThan">
      <formula>0</formula>
    </cfRule>
    <cfRule type="cellIs" dxfId="301" priority="287" operator="lessThan">
      <formula>0</formula>
    </cfRule>
    <cfRule type="cellIs" dxfId="300" priority="286" operator="equal">
      <formula>0</formula>
    </cfRule>
  </conditionalFormatting>
  <conditionalFormatting sqref="AEO3:AEO4">
    <cfRule type="cellIs" dxfId="299" priority="275" operator="lessThan">
      <formula>0</formula>
    </cfRule>
    <cfRule type="cellIs" dxfId="298" priority="274" operator="equal">
      <formula>0</formula>
    </cfRule>
  </conditionalFormatting>
  <conditionalFormatting sqref="AEO8">
    <cfRule type="cellIs" dxfId="297" priority="273" operator="lessThan">
      <formula>0</formula>
    </cfRule>
    <cfRule type="cellIs" dxfId="296" priority="272" operator="equal">
      <formula>0</formula>
    </cfRule>
  </conditionalFormatting>
  <conditionalFormatting sqref="AEQ3:AEQ4">
    <cfRule type="cellIs" dxfId="295" priority="279" operator="equal">
      <formula>0</formula>
    </cfRule>
    <cfRule type="cellIs" dxfId="294" priority="281" operator="greaterThan">
      <formula>0</formula>
    </cfRule>
    <cfRule type="cellIs" dxfId="293" priority="280" operator="lessThan">
      <formula>0</formula>
    </cfRule>
  </conditionalFormatting>
  <conditionalFormatting sqref="AEQ8">
    <cfRule type="cellIs" dxfId="292" priority="278" operator="greaterThan">
      <formula>0</formula>
    </cfRule>
    <cfRule type="cellIs" dxfId="291" priority="277" operator="lessThan">
      <formula>0</formula>
    </cfRule>
    <cfRule type="cellIs" dxfId="290" priority="276" operator="equal">
      <formula>0</formula>
    </cfRule>
  </conditionalFormatting>
  <conditionalFormatting sqref="AEY3:AEY4">
    <cfRule type="cellIs" dxfId="289" priority="265" operator="lessThan">
      <formula>0</formula>
    </cfRule>
    <cfRule type="cellIs" dxfId="288" priority="264" operator="equal">
      <formula>0</formula>
    </cfRule>
  </conditionalFormatting>
  <conditionalFormatting sqref="AEY8">
    <cfRule type="cellIs" dxfId="287" priority="263" operator="lessThan">
      <formula>0</formula>
    </cfRule>
    <cfRule type="cellIs" dxfId="286" priority="262" operator="equal">
      <formula>0</formula>
    </cfRule>
  </conditionalFormatting>
  <conditionalFormatting sqref="AFA3:AFA4">
    <cfRule type="cellIs" dxfId="285" priority="271" operator="greaterThan">
      <formula>0</formula>
    </cfRule>
    <cfRule type="cellIs" dxfId="284" priority="270" operator="lessThan">
      <formula>0</formula>
    </cfRule>
    <cfRule type="cellIs" dxfId="283" priority="269" operator="equal">
      <formula>0</formula>
    </cfRule>
  </conditionalFormatting>
  <conditionalFormatting sqref="AFA8">
    <cfRule type="cellIs" dxfId="282" priority="267" operator="lessThan">
      <formula>0</formula>
    </cfRule>
    <cfRule type="cellIs" dxfId="281" priority="266" operator="equal">
      <formula>0</formula>
    </cfRule>
    <cfRule type="cellIs" dxfId="280" priority="268" operator="greaterThan">
      <formula>0</formula>
    </cfRule>
  </conditionalFormatting>
  <conditionalFormatting sqref="AFI3:AFI4">
    <cfRule type="cellIs" dxfId="279" priority="255" operator="lessThan">
      <formula>0</formula>
    </cfRule>
    <cfRule type="cellIs" dxfId="278" priority="254" operator="equal">
      <formula>0</formula>
    </cfRule>
  </conditionalFormatting>
  <conditionalFormatting sqref="AFI8">
    <cfRule type="cellIs" dxfId="277" priority="253" operator="lessThan">
      <formula>0</formula>
    </cfRule>
    <cfRule type="cellIs" dxfId="276" priority="252" operator="equal">
      <formula>0</formula>
    </cfRule>
  </conditionalFormatting>
  <conditionalFormatting sqref="AFK3:AFK4">
    <cfRule type="cellIs" dxfId="275" priority="260" operator="lessThan">
      <formula>0</formula>
    </cfRule>
    <cfRule type="cellIs" dxfId="274" priority="259" operator="equal">
      <formula>0</formula>
    </cfRule>
    <cfRule type="cellIs" dxfId="273" priority="261" operator="greaterThan">
      <formula>0</formula>
    </cfRule>
  </conditionalFormatting>
  <conditionalFormatting sqref="AFK8">
    <cfRule type="cellIs" dxfId="272" priority="258" operator="greaterThan">
      <formula>0</formula>
    </cfRule>
    <cfRule type="cellIs" dxfId="271" priority="257" operator="lessThan">
      <formula>0</formula>
    </cfRule>
    <cfRule type="cellIs" dxfId="270" priority="256" operator="equal">
      <formula>0</formula>
    </cfRule>
  </conditionalFormatting>
  <conditionalFormatting sqref="AFS3:AFS4">
    <cfRule type="cellIs" dxfId="269" priority="245" operator="lessThan">
      <formula>0</formula>
    </cfRule>
    <cfRule type="cellIs" dxfId="268" priority="244" operator="equal">
      <formula>0</formula>
    </cfRule>
  </conditionalFormatting>
  <conditionalFormatting sqref="AFS8">
    <cfRule type="cellIs" dxfId="267" priority="243" operator="lessThan">
      <formula>0</formula>
    </cfRule>
    <cfRule type="cellIs" dxfId="266" priority="242" operator="equal">
      <formula>0</formula>
    </cfRule>
  </conditionalFormatting>
  <conditionalFormatting sqref="AFU3:AFU4">
    <cfRule type="cellIs" dxfId="265" priority="249" operator="equal">
      <formula>0</formula>
    </cfRule>
    <cfRule type="cellIs" dxfId="264" priority="251" operator="greaterThan">
      <formula>0</formula>
    </cfRule>
    <cfRule type="cellIs" dxfId="263" priority="250" operator="lessThan">
      <formula>0</formula>
    </cfRule>
  </conditionalFormatting>
  <conditionalFormatting sqref="AFU8">
    <cfRule type="cellIs" dxfId="262" priority="248" operator="greaterThan">
      <formula>0</formula>
    </cfRule>
    <cfRule type="cellIs" dxfId="261" priority="247" operator="lessThan">
      <formula>0</formula>
    </cfRule>
    <cfRule type="cellIs" dxfId="260" priority="246" operator="equal">
      <formula>0</formula>
    </cfRule>
  </conditionalFormatting>
  <conditionalFormatting sqref="AGC3:AGC4">
    <cfRule type="cellIs" dxfId="259" priority="235" operator="lessThan">
      <formula>0</formula>
    </cfRule>
    <cfRule type="cellIs" dxfId="258" priority="234" operator="equal">
      <formula>0</formula>
    </cfRule>
  </conditionalFormatting>
  <conditionalFormatting sqref="AGC8">
    <cfRule type="cellIs" dxfId="257" priority="233" operator="lessThan">
      <formula>0</formula>
    </cfRule>
    <cfRule type="cellIs" dxfId="256" priority="232" operator="equal">
      <formula>0</formula>
    </cfRule>
  </conditionalFormatting>
  <conditionalFormatting sqref="AGE3:AGE4">
    <cfRule type="cellIs" dxfId="255" priority="241" operator="greaterThan">
      <formula>0</formula>
    </cfRule>
    <cfRule type="cellIs" dxfId="254" priority="240" operator="lessThan">
      <formula>0</formula>
    </cfRule>
    <cfRule type="cellIs" dxfId="253" priority="239" operator="equal">
      <formula>0</formula>
    </cfRule>
  </conditionalFormatting>
  <conditionalFormatting sqref="AGE8">
    <cfRule type="cellIs" dxfId="252" priority="238" operator="greaterThan">
      <formula>0</formula>
    </cfRule>
    <cfRule type="cellIs" dxfId="251" priority="237" operator="lessThan">
      <formula>0</formula>
    </cfRule>
    <cfRule type="cellIs" dxfId="250" priority="236" operator="equal">
      <formula>0</formula>
    </cfRule>
  </conditionalFormatting>
  <conditionalFormatting sqref="AGM3:AGM4">
    <cfRule type="cellIs" dxfId="249" priority="224" operator="equal">
      <formula>0</formula>
    </cfRule>
    <cfRule type="cellIs" dxfId="248" priority="225" operator="lessThan">
      <formula>0</formula>
    </cfRule>
  </conditionalFormatting>
  <conditionalFormatting sqref="AGM8">
    <cfRule type="cellIs" dxfId="247" priority="222" operator="equal">
      <formula>0</formula>
    </cfRule>
    <cfRule type="cellIs" dxfId="246" priority="223" operator="lessThan">
      <formula>0</formula>
    </cfRule>
  </conditionalFormatting>
  <conditionalFormatting sqref="AGO3:AGO4">
    <cfRule type="cellIs" dxfId="245" priority="229" operator="equal">
      <formula>0</formula>
    </cfRule>
    <cfRule type="cellIs" dxfId="244" priority="230" operator="lessThan">
      <formula>0</formula>
    </cfRule>
    <cfRule type="cellIs" dxfId="243" priority="231" operator="greaterThan">
      <formula>0</formula>
    </cfRule>
  </conditionalFormatting>
  <conditionalFormatting sqref="AGO8">
    <cfRule type="cellIs" dxfId="242" priority="226" operator="equal">
      <formula>0</formula>
    </cfRule>
    <cfRule type="cellIs" dxfId="241" priority="227" operator="lessThan">
      <formula>0</formula>
    </cfRule>
    <cfRule type="cellIs" dxfId="240" priority="228" operator="greaterThan">
      <formula>0</formula>
    </cfRule>
  </conditionalFormatting>
  <conditionalFormatting sqref="AGW3:AGW4">
    <cfRule type="cellIs" dxfId="239" priority="215" operator="lessThan">
      <formula>0</formula>
    </cfRule>
    <cfRule type="cellIs" dxfId="238" priority="214" operator="equal">
      <formula>0</formula>
    </cfRule>
  </conditionalFormatting>
  <conditionalFormatting sqref="AGW8">
    <cfRule type="cellIs" dxfId="237" priority="213" operator="lessThan">
      <formula>0</formula>
    </cfRule>
    <cfRule type="cellIs" dxfId="236" priority="212" operator="equal">
      <formula>0</formula>
    </cfRule>
  </conditionalFormatting>
  <conditionalFormatting sqref="AGY3:AGY4">
    <cfRule type="cellIs" dxfId="235" priority="219" operator="equal">
      <formula>0</formula>
    </cfRule>
    <cfRule type="cellIs" dxfId="234" priority="221" operator="greaterThan">
      <formula>0</formula>
    </cfRule>
    <cfRule type="cellIs" dxfId="233" priority="220" operator="lessThan">
      <formula>0</formula>
    </cfRule>
  </conditionalFormatting>
  <conditionalFormatting sqref="AGY8">
    <cfRule type="cellIs" dxfId="232" priority="218" operator="greaterThan">
      <formula>0</formula>
    </cfRule>
    <cfRule type="cellIs" dxfId="231" priority="217" operator="lessThan">
      <formula>0</formula>
    </cfRule>
    <cfRule type="cellIs" dxfId="230" priority="216" operator="equal">
      <formula>0</formula>
    </cfRule>
  </conditionalFormatting>
  <conditionalFormatting sqref="AHG3:AHG4">
    <cfRule type="cellIs" dxfId="229" priority="205" operator="lessThan">
      <formula>0</formula>
    </cfRule>
    <cfRule type="cellIs" dxfId="228" priority="204" operator="equal">
      <formula>0</formula>
    </cfRule>
  </conditionalFormatting>
  <conditionalFormatting sqref="AHG8">
    <cfRule type="cellIs" dxfId="227" priority="203" operator="lessThan">
      <formula>0</formula>
    </cfRule>
    <cfRule type="cellIs" dxfId="226" priority="202" operator="equal">
      <formula>0</formula>
    </cfRule>
  </conditionalFormatting>
  <conditionalFormatting sqref="AHI3:AHI4">
    <cfRule type="cellIs" dxfId="225" priority="211" operator="greaterThan">
      <formula>0</formula>
    </cfRule>
    <cfRule type="cellIs" dxfId="224" priority="210" operator="lessThan">
      <formula>0</formula>
    </cfRule>
    <cfRule type="cellIs" dxfId="223" priority="209" operator="equal">
      <formula>0</formula>
    </cfRule>
  </conditionalFormatting>
  <conditionalFormatting sqref="AHI8">
    <cfRule type="cellIs" dxfId="222" priority="207" operator="lessThan">
      <formula>0</formula>
    </cfRule>
    <cfRule type="cellIs" dxfId="221" priority="206" operator="equal">
      <formula>0</formula>
    </cfRule>
    <cfRule type="cellIs" dxfId="220" priority="208" operator="greaterThan">
      <formula>0</formula>
    </cfRule>
  </conditionalFormatting>
  <conditionalFormatting sqref="AHQ3:AHQ4">
    <cfRule type="cellIs" dxfId="219" priority="194" operator="lessThan">
      <formula>0</formula>
    </cfRule>
    <cfRule type="cellIs" dxfId="218" priority="193" operator="equal">
      <formula>0</formula>
    </cfRule>
  </conditionalFormatting>
  <conditionalFormatting sqref="AHQ8">
    <cfRule type="cellIs" dxfId="217" priority="192" operator="lessThan">
      <formula>0</formula>
    </cfRule>
    <cfRule type="cellIs" dxfId="216" priority="191" operator="equal">
      <formula>0</formula>
    </cfRule>
  </conditionalFormatting>
  <conditionalFormatting sqref="AHS3:AHS4">
    <cfRule type="cellIs" dxfId="215" priority="200" operator="greaterThan">
      <formula>0</formula>
    </cfRule>
    <cfRule type="cellIs" dxfId="214" priority="199" operator="lessThan">
      <formula>0</formula>
    </cfRule>
    <cfRule type="cellIs" dxfId="213" priority="198" operator="equal">
      <formula>0</formula>
    </cfRule>
  </conditionalFormatting>
  <conditionalFormatting sqref="AHS8">
    <cfRule type="cellIs" dxfId="212" priority="196" operator="lessThan">
      <formula>0</formula>
    </cfRule>
    <cfRule type="cellIs" dxfId="211" priority="195" operator="equal">
      <formula>0</formula>
    </cfRule>
    <cfRule type="cellIs" dxfId="210" priority="197" operator="greaterThan">
      <formula>0</formula>
    </cfRule>
  </conditionalFormatting>
  <conditionalFormatting sqref="AIA3:AIA4">
    <cfRule type="cellIs" dxfId="209" priority="183" operator="equal">
      <formula>0</formula>
    </cfRule>
    <cfRule type="cellIs" dxfId="208" priority="184" operator="lessThan">
      <formula>0</formula>
    </cfRule>
  </conditionalFormatting>
  <conditionalFormatting sqref="AIA8">
    <cfRule type="cellIs" dxfId="207" priority="182" operator="lessThan">
      <formula>0</formula>
    </cfRule>
    <cfRule type="cellIs" dxfId="206" priority="181" operator="equal">
      <formula>0</formula>
    </cfRule>
  </conditionalFormatting>
  <conditionalFormatting sqref="AIC3:AIC4">
    <cfRule type="cellIs" dxfId="205" priority="190" operator="greaterThan">
      <formula>0</formula>
    </cfRule>
    <cfRule type="cellIs" dxfId="204" priority="188" operator="equal">
      <formula>0</formula>
    </cfRule>
    <cfRule type="cellIs" dxfId="203" priority="189" operator="lessThan">
      <formula>0</formula>
    </cfRule>
  </conditionalFormatting>
  <conditionalFormatting sqref="AIC8">
    <cfRule type="cellIs" dxfId="202" priority="187" operator="greaterThan">
      <formula>0</formula>
    </cfRule>
    <cfRule type="cellIs" dxfId="201" priority="186" operator="lessThan">
      <formula>0</formula>
    </cfRule>
    <cfRule type="cellIs" dxfId="200" priority="185" operator="equal">
      <formula>0</formula>
    </cfRule>
  </conditionalFormatting>
  <conditionalFormatting sqref="AIK3:AIK4">
    <cfRule type="cellIs" dxfId="199" priority="174" operator="lessThan">
      <formula>0</formula>
    </cfRule>
    <cfRule type="cellIs" dxfId="198" priority="173" operator="equal">
      <formula>0</formula>
    </cfRule>
  </conditionalFormatting>
  <conditionalFormatting sqref="AIK8">
    <cfRule type="cellIs" dxfId="197" priority="172" operator="lessThan">
      <formula>0</formula>
    </cfRule>
    <cfRule type="cellIs" dxfId="196" priority="171" operator="equal">
      <formula>0</formula>
    </cfRule>
  </conditionalFormatting>
  <conditionalFormatting sqref="AIM3:AIM4">
    <cfRule type="cellIs" dxfId="195" priority="178" operator="equal">
      <formula>0</formula>
    </cfRule>
    <cfRule type="cellIs" dxfId="194" priority="179" operator="lessThan">
      <formula>0</formula>
    </cfRule>
    <cfRule type="cellIs" dxfId="193" priority="180" operator="greaterThan">
      <formula>0</formula>
    </cfRule>
  </conditionalFormatting>
  <conditionalFormatting sqref="AIM8">
    <cfRule type="cellIs" dxfId="192" priority="177" operator="greaterThan">
      <formula>0</formula>
    </cfRule>
    <cfRule type="cellIs" dxfId="191" priority="176" operator="lessThan">
      <formula>0</formula>
    </cfRule>
    <cfRule type="cellIs" dxfId="190" priority="175" operator="equal">
      <formula>0</formula>
    </cfRule>
  </conditionalFormatting>
  <conditionalFormatting sqref="AIU3:AIU4">
    <cfRule type="cellIs" dxfId="189" priority="164" operator="lessThan">
      <formula>0</formula>
    </cfRule>
    <cfRule type="cellIs" dxfId="188" priority="163" operator="equal">
      <formula>0</formula>
    </cfRule>
  </conditionalFormatting>
  <conditionalFormatting sqref="AIU8">
    <cfRule type="cellIs" dxfId="187" priority="162" operator="lessThan">
      <formula>0</formula>
    </cfRule>
    <cfRule type="cellIs" dxfId="186" priority="161" operator="equal">
      <formula>0</formula>
    </cfRule>
  </conditionalFormatting>
  <conditionalFormatting sqref="AIW3:AIW4">
    <cfRule type="cellIs" dxfId="185" priority="170" operator="greaterThan">
      <formula>0</formula>
    </cfRule>
    <cfRule type="cellIs" dxfId="184" priority="169" operator="lessThan">
      <formula>0</formula>
    </cfRule>
    <cfRule type="cellIs" dxfId="183" priority="168" operator="equal">
      <formula>0</formula>
    </cfRule>
  </conditionalFormatting>
  <conditionalFormatting sqref="AIW8">
    <cfRule type="cellIs" dxfId="182" priority="167" operator="greaterThan">
      <formula>0</formula>
    </cfRule>
    <cfRule type="cellIs" dxfId="181" priority="166" operator="lessThan">
      <formula>0</formula>
    </cfRule>
    <cfRule type="cellIs" dxfId="180" priority="165" operator="equal">
      <formula>0</formula>
    </cfRule>
  </conditionalFormatting>
  <conditionalFormatting sqref="AJE3:AJE4">
    <cfRule type="cellIs" dxfId="179" priority="154" operator="lessThan">
      <formula>0</formula>
    </cfRule>
    <cfRule type="cellIs" dxfId="178" priority="153" operator="equal">
      <formula>0</formula>
    </cfRule>
  </conditionalFormatting>
  <conditionalFormatting sqref="AJE8">
    <cfRule type="cellIs" dxfId="177" priority="151" operator="equal">
      <formula>0</formula>
    </cfRule>
    <cfRule type="cellIs" dxfId="176" priority="152" operator="lessThan">
      <formula>0</formula>
    </cfRule>
  </conditionalFormatting>
  <conditionalFormatting sqref="AJG3:AJG4">
    <cfRule type="cellIs" dxfId="175" priority="159" operator="lessThan">
      <formula>0</formula>
    </cfRule>
    <cfRule type="cellIs" dxfId="174" priority="158" operator="equal">
      <formula>0</formula>
    </cfRule>
    <cfRule type="cellIs" dxfId="173" priority="160" operator="greaterThan">
      <formula>0</formula>
    </cfRule>
  </conditionalFormatting>
  <conditionalFormatting sqref="AJG8">
    <cfRule type="cellIs" dxfId="172" priority="156" operator="lessThan">
      <formula>0</formula>
    </cfRule>
    <cfRule type="cellIs" dxfId="171" priority="155" operator="equal">
      <formula>0</formula>
    </cfRule>
    <cfRule type="cellIs" dxfId="170" priority="157" operator="greaterThan">
      <formula>0</formula>
    </cfRule>
  </conditionalFormatting>
  <conditionalFormatting sqref="AJO3:AJO4">
    <cfRule type="cellIs" dxfId="169" priority="143" operator="equal">
      <formula>0</formula>
    </cfRule>
    <cfRule type="cellIs" dxfId="168" priority="144" operator="lessThan">
      <formula>0</formula>
    </cfRule>
  </conditionalFormatting>
  <conditionalFormatting sqref="AJO8">
    <cfRule type="cellIs" dxfId="167" priority="142" operator="lessThan">
      <formula>0</formula>
    </cfRule>
    <cfRule type="cellIs" dxfId="166" priority="141" operator="equal">
      <formula>0</formula>
    </cfRule>
  </conditionalFormatting>
  <conditionalFormatting sqref="AJQ3:AJQ4">
    <cfRule type="cellIs" dxfId="165" priority="149" operator="lessThan">
      <formula>0</formula>
    </cfRule>
    <cfRule type="cellIs" dxfId="164" priority="150" operator="greaterThan">
      <formula>0</formula>
    </cfRule>
    <cfRule type="cellIs" dxfId="163" priority="148" operator="equal">
      <formula>0</formula>
    </cfRule>
  </conditionalFormatting>
  <conditionalFormatting sqref="AJQ8">
    <cfRule type="cellIs" dxfId="162" priority="147" operator="greaterThan">
      <formula>0</formula>
    </cfRule>
    <cfRule type="cellIs" dxfId="161" priority="146" operator="lessThan">
      <formula>0</formula>
    </cfRule>
    <cfRule type="cellIs" dxfId="160" priority="145" operator="equal">
      <formula>0</formula>
    </cfRule>
  </conditionalFormatting>
  <conditionalFormatting sqref="AJY3:AJY4">
    <cfRule type="cellIs" dxfId="159" priority="134" operator="lessThan">
      <formula>0</formula>
    </cfRule>
    <cfRule type="cellIs" dxfId="158" priority="133" operator="equal">
      <formula>0</formula>
    </cfRule>
  </conditionalFormatting>
  <conditionalFormatting sqref="AJY8">
    <cfRule type="cellIs" dxfId="157" priority="132" operator="lessThan">
      <formula>0</formula>
    </cfRule>
    <cfRule type="cellIs" dxfId="156" priority="131" operator="equal">
      <formula>0</formula>
    </cfRule>
  </conditionalFormatting>
  <conditionalFormatting sqref="AKA3:AKA4">
    <cfRule type="cellIs" dxfId="155" priority="139" operator="lessThan">
      <formula>0</formula>
    </cfRule>
    <cfRule type="cellIs" dxfId="154" priority="140" operator="greaterThan">
      <formula>0</formula>
    </cfRule>
    <cfRule type="cellIs" dxfId="153" priority="138" operator="equal">
      <formula>0</formula>
    </cfRule>
  </conditionalFormatting>
  <conditionalFormatting sqref="AKA8">
    <cfRule type="cellIs" dxfId="152" priority="136" operator="lessThan">
      <formula>0</formula>
    </cfRule>
    <cfRule type="cellIs" dxfId="151" priority="135" operator="equal">
      <formula>0</formula>
    </cfRule>
    <cfRule type="cellIs" dxfId="150" priority="137" operator="greaterThan">
      <formula>0</formula>
    </cfRule>
  </conditionalFormatting>
  <conditionalFormatting sqref="AKI3:AKI4">
    <cfRule type="cellIs" dxfId="149" priority="124" operator="lessThan">
      <formula>0</formula>
    </cfRule>
    <cfRule type="cellIs" dxfId="148" priority="123" operator="equal">
      <formula>0</formula>
    </cfRule>
  </conditionalFormatting>
  <conditionalFormatting sqref="AKI8">
    <cfRule type="cellIs" dxfId="147" priority="122" operator="lessThan">
      <formula>0</formula>
    </cfRule>
    <cfRule type="cellIs" dxfId="146" priority="121" operator="equal">
      <formula>0</formula>
    </cfRule>
  </conditionalFormatting>
  <conditionalFormatting sqref="AKK3:AKK4">
    <cfRule type="cellIs" dxfId="145" priority="130" operator="greaterThan">
      <formula>0</formula>
    </cfRule>
    <cfRule type="cellIs" dxfId="144" priority="129" operator="lessThan">
      <formula>0</formula>
    </cfRule>
    <cfRule type="cellIs" dxfId="143" priority="128" operator="equal">
      <formula>0</formula>
    </cfRule>
  </conditionalFormatting>
  <conditionalFormatting sqref="AKK8">
    <cfRule type="cellIs" dxfId="142" priority="126" operator="lessThan">
      <formula>0</formula>
    </cfRule>
    <cfRule type="cellIs" dxfId="141" priority="127" operator="greaterThan">
      <formula>0</formula>
    </cfRule>
    <cfRule type="cellIs" dxfId="140" priority="125" operator="equal">
      <formula>0</formula>
    </cfRule>
  </conditionalFormatting>
  <conditionalFormatting sqref="AKS3:AKS4">
    <cfRule type="cellIs" dxfId="139" priority="114" operator="lessThan">
      <formula>0</formula>
    </cfRule>
    <cfRule type="cellIs" dxfId="138" priority="113" operator="equal">
      <formula>0</formula>
    </cfRule>
  </conditionalFormatting>
  <conditionalFormatting sqref="AKS8">
    <cfRule type="cellIs" dxfId="137" priority="112" operator="lessThan">
      <formula>0</formula>
    </cfRule>
    <cfRule type="cellIs" dxfId="136" priority="111" operator="equal">
      <formula>0</formula>
    </cfRule>
  </conditionalFormatting>
  <conditionalFormatting sqref="AKU3:AKU4">
    <cfRule type="cellIs" dxfId="135" priority="119" operator="lessThan">
      <formula>0</formula>
    </cfRule>
    <cfRule type="cellIs" dxfId="134" priority="118" operator="equal">
      <formula>0</formula>
    </cfRule>
    <cfRule type="cellIs" dxfId="133" priority="120" operator="greaterThan">
      <formula>0</formula>
    </cfRule>
  </conditionalFormatting>
  <conditionalFormatting sqref="AKU8">
    <cfRule type="cellIs" dxfId="132" priority="115" operator="equal">
      <formula>0</formula>
    </cfRule>
    <cfRule type="cellIs" dxfId="131" priority="117" operator="greaterThan">
      <formula>0</formula>
    </cfRule>
    <cfRule type="cellIs" dxfId="130" priority="116" operator="lessThan">
      <formula>0</formula>
    </cfRule>
  </conditionalFormatting>
  <conditionalFormatting sqref="ALC3:ALC4">
    <cfRule type="cellIs" dxfId="129" priority="104" operator="lessThan">
      <formula>0</formula>
    </cfRule>
    <cfRule type="cellIs" dxfId="128" priority="103" operator="equal">
      <formula>0</formula>
    </cfRule>
  </conditionalFormatting>
  <conditionalFormatting sqref="ALC8">
    <cfRule type="cellIs" dxfId="127" priority="102" operator="lessThan">
      <formula>0</formula>
    </cfRule>
    <cfRule type="cellIs" dxfId="126" priority="101" operator="equal">
      <formula>0</formula>
    </cfRule>
  </conditionalFormatting>
  <conditionalFormatting sqref="ALE3:ALE4">
    <cfRule type="cellIs" dxfId="125" priority="110" operator="greaterThan">
      <formula>0</formula>
    </cfRule>
    <cfRule type="cellIs" dxfId="124" priority="109" operator="lessThan">
      <formula>0</formula>
    </cfRule>
    <cfRule type="cellIs" dxfId="123" priority="108" operator="equal">
      <formula>0</formula>
    </cfRule>
  </conditionalFormatting>
  <conditionalFormatting sqref="ALE8">
    <cfRule type="cellIs" dxfId="122" priority="107" operator="greaterThan">
      <formula>0</formula>
    </cfRule>
    <cfRule type="cellIs" dxfId="121" priority="106" operator="lessThan">
      <formula>0</formula>
    </cfRule>
    <cfRule type="cellIs" dxfId="120" priority="105" operator="equal">
      <formula>0</formula>
    </cfRule>
  </conditionalFormatting>
  <conditionalFormatting sqref="ALM3:ALM4">
    <cfRule type="cellIs" dxfId="119" priority="94" operator="lessThan">
      <formula>0</formula>
    </cfRule>
    <cfRule type="cellIs" dxfId="118" priority="93" operator="equal">
      <formula>0</formula>
    </cfRule>
  </conditionalFormatting>
  <conditionalFormatting sqref="ALM8">
    <cfRule type="cellIs" dxfId="117" priority="92" operator="lessThan">
      <formula>0</formula>
    </cfRule>
    <cfRule type="cellIs" dxfId="116" priority="91" operator="equal">
      <formula>0</formula>
    </cfRule>
  </conditionalFormatting>
  <conditionalFormatting sqref="ALO3:ALO4">
    <cfRule type="cellIs" dxfId="115" priority="100" operator="greaterThan">
      <formula>0</formula>
    </cfRule>
    <cfRule type="cellIs" dxfId="114" priority="99" operator="lessThan">
      <formula>0</formula>
    </cfRule>
    <cfRule type="cellIs" dxfId="113" priority="98" operator="equal">
      <formula>0</formula>
    </cfRule>
  </conditionalFormatting>
  <conditionalFormatting sqref="ALO8">
    <cfRule type="cellIs" dxfId="112" priority="97" operator="greaterThan">
      <formula>0</formula>
    </cfRule>
    <cfRule type="cellIs" dxfId="111" priority="96" operator="lessThan">
      <formula>0</formula>
    </cfRule>
    <cfRule type="cellIs" dxfId="110" priority="95" operator="equal">
      <formula>0</formula>
    </cfRule>
  </conditionalFormatting>
  <conditionalFormatting sqref="ALW3:ALW4">
    <cfRule type="cellIs" dxfId="109" priority="83" operator="equal">
      <formula>0</formula>
    </cfRule>
    <cfRule type="cellIs" dxfId="108" priority="84" operator="lessThan">
      <formula>0</formula>
    </cfRule>
  </conditionalFormatting>
  <conditionalFormatting sqref="ALW8">
    <cfRule type="cellIs" dxfId="107" priority="81" operator="equal">
      <formula>0</formula>
    </cfRule>
    <cfRule type="cellIs" dxfId="106" priority="82" operator="lessThan">
      <formula>0</formula>
    </cfRule>
  </conditionalFormatting>
  <conditionalFormatting sqref="ALY3:ALY4">
    <cfRule type="cellIs" dxfId="105" priority="88" operator="equal">
      <formula>0</formula>
    </cfRule>
    <cfRule type="cellIs" dxfId="104" priority="89" operator="lessThan">
      <formula>0</formula>
    </cfRule>
    <cfRule type="cellIs" dxfId="103" priority="90" operator="greaterThan">
      <formula>0</formula>
    </cfRule>
  </conditionalFormatting>
  <conditionalFormatting sqref="ALY8">
    <cfRule type="cellIs" dxfId="102" priority="86" operator="lessThan">
      <formula>0</formula>
    </cfRule>
    <cfRule type="cellIs" dxfId="101" priority="85" operator="equal">
      <formula>0</formula>
    </cfRule>
    <cfRule type="cellIs" dxfId="100" priority="87" operator="greaterThan">
      <formula>0</formula>
    </cfRule>
  </conditionalFormatting>
  <conditionalFormatting sqref="AMG3:AMG4">
    <cfRule type="cellIs" dxfId="99" priority="74" operator="lessThan">
      <formula>0</formula>
    </cfRule>
    <cfRule type="cellIs" dxfId="98" priority="73" operator="equal">
      <formula>0</formula>
    </cfRule>
  </conditionalFormatting>
  <conditionalFormatting sqref="AMG8">
    <cfRule type="cellIs" dxfId="97" priority="72" operator="lessThan">
      <formula>0</formula>
    </cfRule>
    <cfRule type="cellIs" dxfId="96" priority="71" operator="equal">
      <formula>0</formula>
    </cfRule>
  </conditionalFormatting>
  <conditionalFormatting sqref="AMI3:AMI4">
    <cfRule type="cellIs" dxfId="95" priority="78" operator="equal">
      <formula>0</formula>
    </cfRule>
    <cfRule type="cellIs" dxfId="94" priority="80" operator="greaterThan">
      <formula>0</formula>
    </cfRule>
    <cfRule type="cellIs" dxfId="93" priority="79" operator="lessThan">
      <formula>0</formula>
    </cfRule>
  </conditionalFormatting>
  <conditionalFormatting sqref="AMI8">
    <cfRule type="cellIs" dxfId="92" priority="77" operator="greaterThan">
      <formula>0</formula>
    </cfRule>
    <cfRule type="cellIs" dxfId="91" priority="76" operator="lessThan">
      <formula>0</formula>
    </cfRule>
    <cfRule type="cellIs" dxfId="90" priority="75" operator="equal">
      <formula>0</formula>
    </cfRule>
  </conditionalFormatting>
  <conditionalFormatting sqref="AMQ3:AMQ4">
    <cfRule type="cellIs" dxfId="89" priority="64" operator="lessThan">
      <formula>0</formula>
    </cfRule>
    <cfRule type="cellIs" dxfId="88" priority="63" operator="equal">
      <formula>0</formula>
    </cfRule>
  </conditionalFormatting>
  <conditionalFormatting sqref="AMQ8">
    <cfRule type="cellIs" dxfId="87" priority="62" operator="lessThan">
      <formula>0</formula>
    </cfRule>
    <cfRule type="cellIs" dxfId="86" priority="61" operator="equal">
      <formula>0</formula>
    </cfRule>
  </conditionalFormatting>
  <conditionalFormatting sqref="AMS3:AMS4">
    <cfRule type="cellIs" dxfId="85" priority="70" operator="greaterThan">
      <formula>0</formula>
    </cfRule>
    <cfRule type="cellIs" dxfId="84" priority="69" operator="lessThan">
      <formula>0</formula>
    </cfRule>
    <cfRule type="cellIs" dxfId="83" priority="68" operator="equal">
      <formula>0</formula>
    </cfRule>
  </conditionalFormatting>
  <conditionalFormatting sqref="AMS8">
    <cfRule type="cellIs" dxfId="82" priority="67" operator="greaterThan">
      <formula>0</formula>
    </cfRule>
    <cfRule type="cellIs" dxfId="81" priority="66" operator="lessThan">
      <formula>0</formula>
    </cfRule>
    <cfRule type="cellIs" dxfId="80" priority="65" operator="equal">
      <formula>0</formula>
    </cfRule>
  </conditionalFormatting>
  <conditionalFormatting sqref="ANA3:ANA4">
    <cfRule type="cellIs" dxfId="79" priority="53" operator="equal">
      <formula>0</formula>
    </cfRule>
    <cfRule type="cellIs" dxfId="78" priority="54" operator="lessThan">
      <formula>0</formula>
    </cfRule>
  </conditionalFormatting>
  <conditionalFormatting sqref="ANA8">
    <cfRule type="cellIs" dxfId="77" priority="51" operator="equal">
      <formula>0</formula>
    </cfRule>
    <cfRule type="cellIs" dxfId="76" priority="52" operator="lessThan">
      <formula>0</formula>
    </cfRule>
  </conditionalFormatting>
  <conditionalFormatting sqref="ANC3:ANC4">
    <cfRule type="cellIs" dxfId="75" priority="60" operator="greaterThan">
      <formula>0</formula>
    </cfRule>
    <cfRule type="cellIs" dxfId="74" priority="58" operator="equal">
      <formula>0</formula>
    </cfRule>
    <cfRule type="cellIs" dxfId="73" priority="59" operator="lessThan">
      <formula>0</formula>
    </cfRule>
  </conditionalFormatting>
  <conditionalFormatting sqref="ANC8">
    <cfRule type="cellIs" dxfId="72" priority="57" operator="greaterThan">
      <formula>0</formula>
    </cfRule>
    <cfRule type="cellIs" dxfId="71" priority="56" operator="lessThan">
      <formula>0</formula>
    </cfRule>
    <cfRule type="cellIs" dxfId="70" priority="55" operator="equal">
      <formula>0</formula>
    </cfRule>
  </conditionalFormatting>
  <conditionalFormatting sqref="ANK3:ANK4">
    <cfRule type="cellIs" dxfId="69" priority="44" operator="lessThan">
      <formula>0</formula>
    </cfRule>
    <cfRule type="cellIs" dxfId="68" priority="43" operator="equal">
      <formula>0</formula>
    </cfRule>
  </conditionalFormatting>
  <conditionalFormatting sqref="ANK8">
    <cfRule type="cellIs" dxfId="67" priority="42" operator="lessThan">
      <formula>0</formula>
    </cfRule>
    <cfRule type="cellIs" dxfId="66" priority="41" operator="equal">
      <formula>0</formula>
    </cfRule>
  </conditionalFormatting>
  <conditionalFormatting sqref="ANM3:ANM4">
    <cfRule type="cellIs" dxfId="65" priority="49" operator="lessThan">
      <formula>0</formula>
    </cfRule>
    <cfRule type="cellIs" dxfId="64" priority="50" operator="greaterThan">
      <formula>0</formula>
    </cfRule>
    <cfRule type="cellIs" dxfId="63" priority="48" operator="equal">
      <formula>0</formula>
    </cfRule>
  </conditionalFormatting>
  <conditionalFormatting sqref="ANM8">
    <cfRule type="cellIs" dxfId="62" priority="47" operator="greaterThan">
      <formula>0</formula>
    </cfRule>
    <cfRule type="cellIs" dxfId="61" priority="46" operator="lessThan">
      <formula>0</formula>
    </cfRule>
    <cfRule type="cellIs" dxfId="60" priority="45" operator="equal">
      <formula>0</formula>
    </cfRule>
  </conditionalFormatting>
  <conditionalFormatting sqref="ANU3:ANU4">
    <cfRule type="cellIs" dxfId="59" priority="34" operator="lessThan">
      <formula>0</formula>
    </cfRule>
    <cfRule type="cellIs" dxfId="58" priority="33" operator="equal">
      <formula>0</formula>
    </cfRule>
  </conditionalFormatting>
  <conditionalFormatting sqref="ANU8">
    <cfRule type="cellIs" dxfId="57" priority="32" operator="lessThan">
      <formula>0</formula>
    </cfRule>
    <cfRule type="cellIs" dxfId="56" priority="31" operator="equal">
      <formula>0</formula>
    </cfRule>
  </conditionalFormatting>
  <conditionalFormatting sqref="ANW3:ANW4">
    <cfRule type="cellIs" dxfId="55" priority="38" operator="equal">
      <formula>0</formula>
    </cfRule>
    <cfRule type="cellIs" dxfId="54" priority="40" operator="greaterThan">
      <formula>0</formula>
    </cfRule>
    <cfRule type="cellIs" dxfId="53" priority="39" operator="lessThan">
      <formula>0</formula>
    </cfRule>
  </conditionalFormatting>
  <conditionalFormatting sqref="ANW8">
    <cfRule type="cellIs" dxfId="52" priority="35" operator="equal">
      <formula>0</formula>
    </cfRule>
    <cfRule type="cellIs" dxfId="51" priority="36" operator="lessThan">
      <formula>0</formula>
    </cfRule>
    <cfRule type="cellIs" dxfId="50" priority="37" operator="greaterThan">
      <formula>0</formula>
    </cfRule>
  </conditionalFormatting>
  <conditionalFormatting sqref="AOE3:AOE4">
    <cfRule type="cellIs" dxfId="49" priority="24" operator="lessThan">
      <formula>0</formula>
    </cfRule>
    <cfRule type="cellIs" dxfId="48" priority="23" operator="equal">
      <formula>0</formula>
    </cfRule>
  </conditionalFormatting>
  <conditionalFormatting sqref="AOE8">
    <cfRule type="cellIs" dxfId="47" priority="22" operator="lessThan">
      <formula>0</formula>
    </cfRule>
    <cfRule type="cellIs" dxfId="46" priority="21" operator="equal">
      <formula>0</formula>
    </cfRule>
  </conditionalFormatting>
  <conditionalFormatting sqref="AOG3:AOG4">
    <cfRule type="cellIs" dxfId="45" priority="30" operator="greaterThan">
      <formula>0</formula>
    </cfRule>
    <cfRule type="cellIs" dxfId="44" priority="29" operator="lessThan">
      <formula>0</formula>
    </cfRule>
    <cfRule type="cellIs" dxfId="43" priority="28" operator="equal">
      <formula>0</formula>
    </cfRule>
  </conditionalFormatting>
  <conditionalFormatting sqref="AOG8">
    <cfRule type="cellIs" dxfId="42" priority="27" operator="greaterThan">
      <formula>0</formula>
    </cfRule>
    <cfRule type="cellIs" dxfId="41" priority="26" operator="lessThan">
      <formula>0</formula>
    </cfRule>
    <cfRule type="cellIs" dxfId="40" priority="25" operator="equal">
      <formula>0</formula>
    </cfRule>
  </conditionalFormatting>
  <conditionalFormatting sqref="AOO3:AOO4">
    <cfRule type="cellIs" dxfId="39" priority="13" operator="equal">
      <formula>0</formula>
    </cfRule>
    <cfRule type="cellIs" dxfId="38" priority="14" operator="lessThan">
      <formula>0</formula>
    </cfRule>
  </conditionalFormatting>
  <conditionalFormatting sqref="AOO8">
    <cfRule type="cellIs" dxfId="37" priority="11" operator="equal">
      <formula>0</formula>
    </cfRule>
    <cfRule type="cellIs" dxfId="36" priority="12" operator="lessThan">
      <formula>0</formula>
    </cfRule>
  </conditionalFormatting>
  <conditionalFormatting sqref="AOQ3:AOQ4">
    <cfRule type="cellIs" dxfId="35" priority="20" operator="greaterThan">
      <formula>0</formula>
    </cfRule>
    <cfRule type="cellIs" dxfId="34" priority="19" operator="lessThan">
      <formula>0</formula>
    </cfRule>
    <cfRule type="cellIs" dxfId="33" priority="18" operator="equal">
      <formula>0</formula>
    </cfRule>
  </conditionalFormatting>
  <conditionalFormatting sqref="AOQ8">
    <cfRule type="cellIs" dxfId="32" priority="16" operator="lessThan">
      <formula>0</formula>
    </cfRule>
    <cfRule type="cellIs" dxfId="31" priority="15" operator="equal">
      <formula>0</formula>
    </cfRule>
    <cfRule type="cellIs" dxfId="30" priority="17" operator="greaterThan">
      <formula>0</formula>
    </cfRule>
  </conditionalFormatting>
  <conditionalFormatting sqref="AOY3:AOY4">
    <cfRule type="cellIs" dxfId="9" priority="3" operator="equal">
      <formula>0</formula>
    </cfRule>
    <cfRule type="cellIs" dxfId="8" priority="4" operator="lessThan">
      <formula>0</formula>
    </cfRule>
  </conditionalFormatting>
  <conditionalFormatting sqref="AOY8">
    <cfRule type="cellIs" dxfId="7" priority="1" operator="equal">
      <formula>0</formula>
    </cfRule>
    <cfRule type="cellIs" dxfId="6" priority="2" operator="lessThan">
      <formula>0</formula>
    </cfRule>
  </conditionalFormatting>
  <conditionalFormatting sqref="APA3:APA4">
    <cfRule type="cellIs" dxfId="5" priority="8" operator="equal">
      <formula>0</formula>
    </cfRule>
    <cfRule type="cellIs" dxfId="4" priority="9" operator="lessThan">
      <formula>0</formula>
    </cfRule>
    <cfRule type="cellIs" dxfId="3" priority="10" operator="greaterThan">
      <formula>0</formula>
    </cfRule>
  </conditionalFormatting>
  <conditionalFormatting sqref="APA8">
    <cfRule type="cellIs" dxfId="2" priority="5" operator="equal">
      <formula>0</formula>
    </cfRule>
    <cfRule type="cellIs" dxfId="1" priority="6" operator="lessThan">
      <formula>0</formula>
    </cfRule>
    <cfRule type="cellIs" dxfId="0" priority="7" operator="greaterThan">
      <formula>0</formula>
    </cfRule>
  </conditionalFormatting>
  <pageMargins left="0.25" right="0.25" top="0.80208333333333337" bottom="0.75" header="0.3" footer="0.3"/>
  <pageSetup fitToWidth="0" fitToHeight="0" orientation="landscape" r:id="rId1"/>
  <headerFooter>
    <oddHeader>&amp;L&amp;"Calibri,Bold"&amp;16SOUTH&amp;C&amp;"Calibri,Bold"&amp;16BEER - HOP AND WINE&amp;R&amp;"-,Bold"&amp;16MON for THUR - VN&amp;11
&amp;"-,Regular"&amp;7Printed &amp;D &amp;T</oddHeader>
    <oddFooter>&amp;C&amp;7&amp;Z&amp;F(GV 10/14/25)&amp;R&amp;7&amp;P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CB55-1FCD-4D37-9F5A-8700D411ABE4}">
  <sheetPr>
    <tabColor rgb="FFFF0000"/>
  </sheetPr>
  <dimension ref="A1:Z16"/>
  <sheetViews>
    <sheetView topLeftCell="K1" zoomScale="130" zoomScaleNormal="130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9" hidden="1" customWidth="1"/>
    <col min="3" max="3" width="2.42578125" style="10" hidden="1" customWidth="1"/>
    <col min="4" max="4" width="3.140625" style="9" hidden="1" customWidth="1"/>
    <col min="5" max="5" width="2.42578125" style="10" hidden="1" customWidth="1"/>
    <col min="6" max="10" width="3.140625" style="9" hidden="1" customWidth="1"/>
    <col min="11" max="11" width="1.28515625" style="1" customWidth="1"/>
    <col min="12" max="12" width="3.140625" style="9" customWidth="1"/>
    <col min="13" max="13" width="2.42578125" style="10" customWidth="1"/>
    <col min="14" max="14" width="3.140625" style="9" customWidth="1"/>
    <col min="15" max="15" width="2.42578125" style="10" customWidth="1"/>
    <col min="16" max="20" width="3.140625" style="9" customWidth="1"/>
    <col min="22" max="22" width="8.42578125" style="20" bestFit="1" customWidth="1"/>
    <col min="23" max="23" width="33.85546875" style="20" bestFit="1" customWidth="1"/>
    <col min="24" max="24" width="26.42578125" bestFit="1" customWidth="1"/>
    <col min="25" max="25" width="12.140625" customWidth="1"/>
    <col min="26" max="26" width="10" bestFit="1" customWidth="1"/>
  </cols>
  <sheetData>
    <row r="1" spans="2:26" x14ac:dyDescent="0.25">
      <c r="B1" s="34"/>
      <c r="C1" s="35"/>
      <c r="D1" s="56"/>
      <c r="E1" s="57"/>
      <c r="F1" s="58"/>
      <c r="G1" s="39"/>
      <c r="H1" s="39"/>
      <c r="I1" s="40"/>
      <c r="J1" s="40"/>
      <c r="L1" s="34" t="s">
        <v>0</v>
      </c>
      <c r="M1" s="35"/>
      <c r="N1" s="36"/>
      <c r="O1" s="37"/>
      <c r="P1" s="38"/>
      <c r="Q1" s="39" t="s">
        <v>1</v>
      </c>
      <c r="R1" s="39"/>
      <c r="S1" s="40"/>
      <c r="T1" s="40"/>
    </row>
    <row r="2" spans="2:26" x14ac:dyDescent="0.25">
      <c r="B2" s="34"/>
      <c r="C2" s="35"/>
      <c r="D2" s="34"/>
      <c r="E2" s="35"/>
      <c r="F2" s="4"/>
      <c r="G2" s="4"/>
      <c r="H2" s="4"/>
      <c r="I2" s="5"/>
      <c r="J2" s="4"/>
      <c r="L2" s="34" t="s">
        <v>32</v>
      </c>
      <c r="M2" s="35"/>
      <c r="N2" s="34" t="s">
        <v>33</v>
      </c>
      <c r="O2" s="35"/>
      <c r="P2" s="4" t="s">
        <v>34</v>
      </c>
      <c r="Q2" s="4" t="s">
        <v>35</v>
      </c>
      <c r="R2" s="4" t="s">
        <v>36</v>
      </c>
      <c r="S2" s="5" t="s">
        <v>37</v>
      </c>
      <c r="T2" s="4" t="s">
        <v>38</v>
      </c>
      <c r="V2" s="21" t="s">
        <v>48</v>
      </c>
      <c r="W2" s="22" t="s">
        <v>49</v>
      </c>
    </row>
    <row r="3" spans="2:26" x14ac:dyDescent="0.25">
      <c r="B3" s="2"/>
      <c r="C3" s="8"/>
      <c r="D3" s="2"/>
      <c r="E3" s="8"/>
      <c r="F3" s="7"/>
      <c r="G3" s="4"/>
      <c r="H3" s="11"/>
      <c r="I3" s="7"/>
      <c r="J3" s="11"/>
      <c r="L3" s="2"/>
      <c r="M3" s="8" t="s">
        <v>40</v>
      </c>
      <c r="N3" s="2"/>
      <c r="O3" s="8" t="s">
        <v>40</v>
      </c>
      <c r="P3" s="7" t="str">
        <f>IF(OR(ISNUMBER(L3), ISNUMBER(N3)), IF(ISNUMBER(L3), L3, 0) + IF(ISNUMBER(N3), N3, 0), "")</f>
        <v/>
      </c>
      <c r="Q3" s="4"/>
      <c r="R3" s="11" t="str">
        <f t="shared" ref="R3:R4" si="0">IF(ISNUMBER(P3), (F3+G3)-P3, "")</f>
        <v/>
      </c>
      <c r="S3" s="7"/>
      <c r="T3" s="11" t="str">
        <f t="shared" ref="T3:T4" si="1">IF(ISNUMBER(S3), S3-R3, "")</f>
        <v/>
      </c>
      <c r="V3" s="21" t="s">
        <v>50</v>
      </c>
      <c r="W3" s="22" t="s">
        <v>51</v>
      </c>
    </row>
    <row r="4" spans="2:26" x14ac:dyDescent="0.25">
      <c r="B4" s="2"/>
      <c r="C4" s="8"/>
      <c r="D4" s="2"/>
      <c r="E4" s="8"/>
      <c r="F4" s="7"/>
      <c r="G4" s="4"/>
      <c r="H4" s="11"/>
      <c r="I4" s="7"/>
      <c r="J4" s="11"/>
      <c r="L4" s="2"/>
      <c r="M4" s="8" t="s">
        <v>40</v>
      </c>
      <c r="N4" s="2"/>
      <c r="O4" s="8" t="s">
        <v>40</v>
      </c>
      <c r="P4" s="7" t="str">
        <f>IF(OR(ISNUMBER(L4), ISNUMBER(N4)), IF(ISNUMBER(L4), L4, 0) + IF(ISNUMBER(N4), N4, 0), "")</f>
        <v/>
      </c>
      <c r="Q4" s="4"/>
      <c r="R4" s="11" t="str">
        <f t="shared" si="0"/>
        <v/>
      </c>
      <c r="S4" s="7"/>
      <c r="T4" s="11" t="str">
        <f t="shared" si="1"/>
        <v/>
      </c>
      <c r="V4" s="21" t="s">
        <v>52</v>
      </c>
      <c r="W4" s="22" t="s">
        <v>53</v>
      </c>
    </row>
    <row r="6" spans="2:26" x14ac:dyDescent="0.25">
      <c r="B6" s="34"/>
      <c r="C6" s="35"/>
      <c r="D6" s="41"/>
      <c r="E6" s="42"/>
      <c r="F6" s="42"/>
      <c r="G6" s="42"/>
      <c r="H6" s="42"/>
      <c r="I6" s="42"/>
      <c r="J6" s="43"/>
      <c r="L6" s="34" t="s">
        <v>34</v>
      </c>
      <c r="M6" s="35"/>
      <c r="N6" s="41" t="s">
        <v>43</v>
      </c>
      <c r="O6" s="42"/>
      <c r="P6" s="42"/>
      <c r="Q6" s="42"/>
      <c r="R6" s="42"/>
      <c r="S6" s="42"/>
      <c r="T6" s="43"/>
      <c r="V6" s="59" t="s">
        <v>54</v>
      </c>
      <c r="W6" s="60"/>
      <c r="X6" s="60"/>
      <c r="Y6" s="61"/>
    </row>
    <row r="7" spans="2:26" x14ac:dyDescent="0.25">
      <c r="B7" s="2"/>
      <c r="C7" s="8"/>
      <c r="D7" s="44"/>
      <c r="E7" s="45"/>
      <c r="F7" s="45"/>
      <c r="G7" s="45"/>
      <c r="H7" s="45"/>
      <c r="I7" s="45"/>
      <c r="J7" s="46"/>
      <c r="L7" s="2"/>
      <c r="M7" s="8" t="s">
        <v>40</v>
      </c>
      <c r="N7" s="44"/>
      <c r="O7" s="45"/>
      <c r="P7" s="45"/>
      <c r="Q7" s="45"/>
      <c r="R7" s="45"/>
      <c r="S7" s="45"/>
      <c r="T7" s="46"/>
      <c r="V7" s="23" t="s">
        <v>55</v>
      </c>
      <c r="W7" s="23" t="s">
        <v>56</v>
      </c>
      <c r="X7" s="24" t="s">
        <v>57</v>
      </c>
      <c r="Y7" s="24" t="s">
        <v>58</v>
      </c>
    </row>
    <row r="8" spans="2:26" x14ac:dyDescent="0.25">
      <c r="B8" s="15"/>
      <c r="C8" s="16"/>
      <c r="D8" s="15"/>
      <c r="E8" s="16"/>
      <c r="G8" s="17"/>
      <c r="H8" s="14"/>
      <c r="J8" s="14"/>
      <c r="L8" s="15"/>
      <c r="M8" s="16"/>
      <c r="N8" s="15"/>
      <c r="O8" s="16"/>
      <c r="Q8" s="17"/>
      <c r="R8" s="14"/>
      <c r="T8" s="14"/>
      <c r="V8" s="25">
        <v>0.5</v>
      </c>
      <c r="W8" s="26">
        <v>1984</v>
      </c>
      <c r="X8" s="29"/>
      <c r="Y8" s="28">
        <f>(X8*17)/W8</f>
        <v>0</v>
      </c>
    </row>
    <row r="9" spans="2:26" x14ac:dyDescent="0.25">
      <c r="V9" s="25">
        <v>0.25</v>
      </c>
      <c r="W9" s="26">
        <v>992</v>
      </c>
      <c r="X9" s="29"/>
      <c r="Y9" s="28">
        <f t="shared" ref="Y9:Y10" si="2">(X9*17)/W9</f>
        <v>0</v>
      </c>
      <c r="Z9" s="32">
        <v>46126</v>
      </c>
    </row>
    <row r="10" spans="2:26" x14ac:dyDescent="0.25">
      <c r="V10" s="25">
        <v>0.16666666666666666</v>
      </c>
      <c r="W10" s="26">
        <v>640</v>
      </c>
      <c r="X10" s="27">
        <v>7</v>
      </c>
      <c r="Y10" s="28">
        <f t="shared" si="2"/>
        <v>0.18593750000000001</v>
      </c>
      <c r="Z10" t="s">
        <v>70</v>
      </c>
    </row>
    <row r="11" spans="2:26" x14ac:dyDescent="0.25">
      <c r="V11" s="25">
        <v>0.16666666666666666</v>
      </c>
      <c r="W11" s="26">
        <v>640</v>
      </c>
      <c r="X11" s="27">
        <v>11</v>
      </c>
      <c r="Y11" s="28">
        <f t="shared" ref="Y11" si="3">(X11*17)/W11</f>
        <v>0.29218749999999999</v>
      </c>
      <c r="Z11" t="s">
        <v>69</v>
      </c>
    </row>
    <row r="14" spans="2:26" x14ac:dyDescent="0.25">
      <c r="W14" s="26">
        <v>31</v>
      </c>
    </row>
    <row r="15" spans="2:26" x14ac:dyDescent="0.25">
      <c r="W15" s="26">
        <v>38</v>
      </c>
    </row>
    <row r="16" spans="2:26" x14ac:dyDescent="0.25">
      <c r="V16" s="30" t="s">
        <v>59</v>
      </c>
      <c r="W16" s="31">
        <f>SUM(W14:W15)</f>
        <v>69</v>
      </c>
    </row>
  </sheetData>
  <mergeCells count="17">
    <mergeCell ref="B6:C6"/>
    <mergeCell ref="D6:J7"/>
    <mergeCell ref="L6:M6"/>
    <mergeCell ref="N6:T7"/>
    <mergeCell ref="V6:Y6"/>
    <mergeCell ref="Q1:R1"/>
    <mergeCell ref="S1:T1"/>
    <mergeCell ref="B2:C2"/>
    <mergeCell ref="D2:E2"/>
    <mergeCell ref="L2:M2"/>
    <mergeCell ref="N2:O2"/>
    <mergeCell ref="B1:C1"/>
    <mergeCell ref="D1:F1"/>
    <mergeCell ref="G1:H1"/>
    <mergeCell ref="I1:J1"/>
    <mergeCell ref="L1:M1"/>
    <mergeCell ref="N1:P1"/>
  </mergeCells>
  <conditionalFormatting sqref="H3:H4">
    <cfRule type="cellIs" dxfId="29" priority="13" operator="equal">
      <formula>0</formula>
    </cfRule>
    <cfRule type="cellIs" dxfId="28" priority="14" operator="lessThan">
      <formula>0</formula>
    </cfRule>
  </conditionalFormatting>
  <conditionalFormatting sqref="H8">
    <cfRule type="cellIs" dxfId="27" priority="11" operator="equal">
      <formula>0</formula>
    </cfRule>
    <cfRule type="cellIs" dxfId="26" priority="12" operator="lessThan">
      <formula>0</formula>
    </cfRule>
  </conditionalFormatting>
  <conditionalFormatting sqref="J3:J4">
    <cfRule type="cellIs" dxfId="25" priority="18" operator="equal">
      <formula>0</formula>
    </cfRule>
    <cfRule type="cellIs" dxfId="24" priority="19" operator="lessThan">
      <formula>0</formula>
    </cfRule>
    <cfRule type="cellIs" dxfId="23" priority="20" operator="greaterThan">
      <formula>0</formula>
    </cfRule>
  </conditionalFormatting>
  <conditionalFormatting sqref="J8">
    <cfRule type="cellIs" dxfId="22" priority="15" operator="equal">
      <formula>0</formula>
    </cfRule>
    <cfRule type="cellIs" dxfId="21" priority="16" operator="lessThan">
      <formula>0</formula>
    </cfRule>
    <cfRule type="cellIs" dxfId="20" priority="17" operator="greaterThan">
      <formula>0</formula>
    </cfRule>
  </conditionalFormatting>
  <conditionalFormatting sqref="R3:R4">
    <cfRule type="cellIs" dxfId="19" priority="3" operator="equal">
      <formula>0</formula>
    </cfRule>
    <cfRule type="cellIs" dxfId="18" priority="4" operator="lessThan">
      <formula>0</formula>
    </cfRule>
  </conditionalFormatting>
  <conditionalFormatting sqref="R8">
    <cfRule type="cellIs" dxfId="17" priority="1" operator="equal">
      <formula>0</formula>
    </cfRule>
    <cfRule type="cellIs" dxfId="16" priority="2" operator="lessThan">
      <formula>0</formula>
    </cfRule>
  </conditionalFormatting>
  <conditionalFormatting sqref="T3:T4">
    <cfRule type="cellIs" dxfId="15" priority="8" operator="equal">
      <formula>0</formula>
    </cfRule>
    <cfRule type="cellIs" dxfId="14" priority="9" operator="lessThan">
      <formula>0</formula>
    </cfRule>
    <cfRule type="cellIs" dxfId="13" priority="10" operator="greaterThan">
      <formula>0</formula>
    </cfRule>
  </conditionalFormatting>
  <conditionalFormatting sqref="T8">
    <cfRule type="cellIs" dxfId="12" priority="5" operator="equal">
      <formula>0</formula>
    </cfRule>
    <cfRule type="cellIs" dxfId="11" priority="6" operator="lessThan">
      <formula>0</formula>
    </cfRule>
    <cfRule type="cellIs" dxfId="10" priority="7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46FC-B622-4209-A14F-9D63E1FE52B8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B054ED10-D6E0-4C26-88CB-120E50D528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337C70-1884-4B02-AE05-241266176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HOP AND WINE</vt:lpstr>
      <vt:lpstr>PURCHASING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2026-09-22T10:17:09Z</cp:lastPrinted>
  <dcterms:created xsi:type="dcterms:W3CDTF">2024-08-19T14:03:20Z</dcterms:created>
  <dcterms:modified xsi:type="dcterms:W3CDTF">2026-09-22T11:14:50Z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