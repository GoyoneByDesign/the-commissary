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Vienna/02. INVENTORY ORDER FORMS/"/>
    </mc:Choice>
  </mc:AlternateContent>
  <xr:revisionPtr revIDLastSave="895" documentId="13_ncr:1_{CC6ED868-AD7C-4D90-9E3F-03D575C4EC92}" xr6:coauthVersionLast="47" xr6:coauthVersionMax="47" xr10:uidLastSave="{A7059512-FEF7-4181-B280-4A793F47F096}"/>
  <bookViews>
    <workbookView xWindow="28680" yWindow="-120" windowWidth="29040" windowHeight="15720" firstSheet="2" activeTab="2" xr2:uid="{00000000-000D-0000-FFFF-FFFF00000000}"/>
  </bookViews>
  <sheets>
    <sheet name="Leonard - Old 8-20-26" sheetId="9" state="hidden" r:id="rId1"/>
    <sheet name="Leonard - Old 8-20-26 (2)" sheetId="10" state="hidden" r:id="rId2"/>
    <sheet name="Leonard - Bi-Weekly" sheetId="12" r:id="rId3"/>
    <sheet name="Leonard - Monthly" sheetId="11" r:id="rId4"/>
    <sheet name="DATA LISTS" sheetId="7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1" l="1"/>
  <c r="P1" i="12"/>
</calcChain>
</file>

<file path=xl/sharedStrings.xml><?xml version="1.0" encoding="utf-8"?>
<sst xmlns="http://schemas.openxmlformats.org/spreadsheetml/2006/main" count="1658" uniqueCount="234">
  <si>
    <t>MOD</t>
  </si>
  <si>
    <t>DATE</t>
  </si>
  <si>
    <t>NAME</t>
  </si>
  <si>
    <t>TIME OF INV:</t>
  </si>
  <si>
    <t>CS PACKED</t>
  </si>
  <si>
    <t>ITEM</t>
  </si>
  <si>
    <t>INVENTORY</t>
  </si>
  <si>
    <t>PAR</t>
  </si>
  <si>
    <t>ORD</t>
  </si>
  <si>
    <t>CODE</t>
  </si>
  <si>
    <t>/</t>
  </si>
  <si>
    <t>EA</t>
  </si>
  <si>
    <t>CS</t>
  </si>
  <si>
    <t>CUP PORTION 2oz</t>
  </si>
  <si>
    <t>SLV</t>
  </si>
  <si>
    <t>S-P200BLK</t>
  </si>
  <si>
    <t>LID 2oz</t>
  </si>
  <si>
    <t>D-PL200N</t>
  </si>
  <si>
    <t>CUP SALSA 3.25oz BLK</t>
  </si>
  <si>
    <t>S-P325BLK</t>
  </si>
  <si>
    <t>CONT 3 COMPT FOIL &amp; LID</t>
  </si>
  <si>
    <t xml:space="preserve">H-2045   </t>
  </si>
  <si>
    <t>CONT SM BLK 6X6</t>
  </si>
  <si>
    <t>EP-PP225BK</t>
  </si>
  <si>
    <t>CONT 3 COMP BLK</t>
  </si>
  <si>
    <t>EP-PP883BK</t>
  </si>
  <si>
    <t>CONT BLK 32oz</t>
  </si>
  <si>
    <t>D-B32SB</t>
  </si>
  <si>
    <t>CONT BLK 64oz</t>
  </si>
  <si>
    <t>D-B64SB</t>
  </si>
  <si>
    <t>LID 32/64oz</t>
  </si>
  <si>
    <t>D-C2464BDL</t>
  </si>
  <si>
    <t>CONT CLEAR</t>
  </si>
  <si>
    <t>D-C90PST1</t>
  </si>
  <si>
    <t>CONT 4 COMP BLK</t>
  </si>
  <si>
    <t>S-919020</t>
  </si>
  <si>
    <t>PK</t>
  </si>
  <si>
    <t>BAG SOPAPILLA</t>
  </si>
  <si>
    <t>BX</t>
  </si>
  <si>
    <t>FP-508</t>
  </si>
  <si>
    <t>FOIL ALUMINUM ROLL LG</t>
  </si>
  <si>
    <t>WP-285</t>
  </si>
  <si>
    <t>FILM ROLL SM</t>
  </si>
  <si>
    <t>CONT FOIL ALACARTE SM</t>
  </si>
  <si>
    <t>H-2060</t>
  </si>
  <si>
    <t>LID BOARD ALACARTE SM</t>
  </si>
  <si>
    <t>H-2060L</t>
  </si>
  <si>
    <t>CONT FOIL PLATTER LG</t>
  </si>
  <si>
    <t>WP-5708</t>
  </si>
  <si>
    <t>LID BOARD PLATTER LG</t>
  </si>
  <si>
    <t>H-2062L</t>
  </si>
  <si>
    <t>BOX NACHO</t>
  </si>
  <si>
    <t>SC-0967</t>
  </si>
  <si>
    <t>BOX PIZZA</t>
  </si>
  <si>
    <t>A-10COR</t>
  </si>
  <si>
    <t>WAX SPECIAL</t>
  </si>
  <si>
    <t>SP-1212-SP</t>
  </si>
  <si>
    <t>WAX BLUE</t>
  </si>
  <si>
    <t>MN-110844</t>
  </si>
  <si>
    <t>WAX RED</t>
  </si>
  <si>
    <t>MN-110840</t>
  </si>
  <si>
    <t>WAX GREEN</t>
  </si>
  <si>
    <t>MN-110842</t>
  </si>
  <si>
    <t>WAX BLACK</t>
  </si>
  <si>
    <t>MN-110846</t>
  </si>
  <si>
    <t>BAG CLEAR CHIPS SM</t>
  </si>
  <si>
    <t>E-7G063515</t>
  </si>
  <si>
    <t>BAG CLEAR CHIPS MD/LG</t>
  </si>
  <si>
    <t>E-10G084018</t>
  </si>
  <si>
    <t>BAG PAPER SM</t>
  </si>
  <si>
    <t>BD</t>
  </si>
  <si>
    <t>D-71004</t>
  </si>
  <si>
    <t>BAG PAPER MD</t>
  </si>
  <si>
    <t>D-71008</t>
  </si>
  <si>
    <t>BAG PAPER LG</t>
  </si>
  <si>
    <t>D-80083</t>
  </si>
  <si>
    <t>LOGO - BAG PLASTIC SM</t>
  </si>
  <si>
    <t>G-8515-AN</t>
  </si>
  <si>
    <t>LOGO - BAG PLASTIC MD</t>
  </si>
  <si>
    <t>G-ANITA-M</t>
  </si>
  <si>
    <t>LOGO - BAG PLASTIC LG</t>
  </si>
  <si>
    <t>G-12920-AN</t>
  </si>
  <si>
    <t>LOGO - BAG PAPER MD</t>
  </si>
  <si>
    <t>FC-13713-AN</t>
  </si>
  <si>
    <t>LOGO - BAG PAPER LG</t>
  </si>
  <si>
    <t>FC-14916-AN</t>
  </si>
  <si>
    <t>WRAP. BLK FORKS</t>
  </si>
  <si>
    <t>AC-S1601FB</t>
  </si>
  <si>
    <t>WRAP. BLK KNIFE</t>
  </si>
  <si>
    <t>AC-S3601FB</t>
  </si>
  <si>
    <t>WRAP. BLK SPOON</t>
  </si>
  <si>
    <t xml:space="preserve">AC-S2601FB </t>
  </si>
  <si>
    <t>NAPKIN CARRYOUT</t>
  </si>
  <si>
    <t>SCA-DX900</t>
  </si>
  <si>
    <t>TOWEL BROWN</t>
  </si>
  <si>
    <t>SCA-290088</t>
  </si>
  <si>
    <t>PLASTIC APRON</t>
  </si>
  <si>
    <t>R-RPA20HW</t>
  </si>
  <si>
    <t>OIL CONE FILTER</t>
  </si>
  <si>
    <t>D-FC10</t>
  </si>
  <si>
    <t>PINK SOAP</t>
  </si>
  <si>
    <t>BLEACH</t>
  </si>
  <si>
    <t>CG-4942</t>
  </si>
  <si>
    <t>SOAP REFILL HAND</t>
  </si>
  <si>
    <t>GJ-5361</t>
  </si>
  <si>
    <t>SANITIZER REFILL</t>
  </si>
  <si>
    <t>GJ-5392</t>
  </si>
  <si>
    <t>GLOVES MD</t>
  </si>
  <si>
    <t>EM-4102</t>
  </si>
  <si>
    <t>GLOVES LG</t>
  </si>
  <si>
    <t>EM-4103</t>
  </si>
  <si>
    <t>CUP COFFEE 16oz</t>
  </si>
  <si>
    <t>S-316W</t>
  </si>
  <si>
    <t>CUP COFFEE 20oz</t>
  </si>
  <si>
    <t>S-420W</t>
  </si>
  <si>
    <t>LID COFFEE</t>
  </si>
  <si>
    <t>S-TLB316</t>
  </si>
  <si>
    <t>SLEEVE COFFEE</t>
  </si>
  <si>
    <t>S-SLEEVE-AN</t>
  </si>
  <si>
    <t>FOIL GOLD/SILVER</t>
  </si>
  <si>
    <t>H-51210GOLD</t>
  </si>
  <si>
    <t>WAX PAPER FOLDED-LG</t>
  </si>
  <si>
    <t>MN-105303</t>
  </si>
  <si>
    <t>RL</t>
  </si>
  <si>
    <t xml:space="preserve">TOILET PAPER </t>
  </si>
  <si>
    <t>SCA-12024402</t>
  </si>
  <si>
    <t>TRASH LINER 40X48</t>
  </si>
  <si>
    <t>S-404814</t>
  </si>
  <si>
    <t>POS STICKY PAPER</t>
  </si>
  <si>
    <t>IX-90232241</t>
  </si>
  <si>
    <t>CONT 8oz</t>
  </si>
  <si>
    <t>EP-PSC08W</t>
  </si>
  <si>
    <t>CONT 16oz</t>
  </si>
  <si>
    <t>EP-PSC16W</t>
  </si>
  <si>
    <t>LID 8oz/16oz</t>
  </si>
  <si>
    <t>EP-PPSL</t>
  </si>
  <si>
    <t>CHORIZO</t>
  </si>
  <si>
    <t>SP-1212-BC</t>
  </si>
  <si>
    <t>SAUSAGE</t>
  </si>
  <si>
    <t>SP-1212-GS</t>
  </si>
  <si>
    <t>BACON</t>
  </si>
  <si>
    <t>SP-1212-RB</t>
  </si>
  <si>
    <t>B-4R</t>
  </si>
  <si>
    <t>TK-420580</t>
  </si>
  <si>
    <t>1/3 SIZE PAN 4"</t>
  </si>
  <si>
    <t>H-4035</t>
  </si>
  <si>
    <t>1/3 SIZE LID</t>
  </si>
  <si>
    <t>H-4030-25</t>
  </si>
  <si>
    <t>HALF SIZE PAN 2"</t>
  </si>
  <si>
    <t>H-320</t>
  </si>
  <si>
    <t>HALF SIZE PAN 4"</t>
  </si>
  <si>
    <t>H-321-35</t>
  </si>
  <si>
    <t>HALF SIZE LID</t>
  </si>
  <si>
    <t>H-2049FC</t>
  </si>
  <si>
    <t>FULL SIZE PAN 4"</t>
  </si>
  <si>
    <t>H-20190050</t>
  </si>
  <si>
    <t>FULL SIZE LID</t>
  </si>
  <si>
    <t>FULL SIZE PAN 6"</t>
  </si>
  <si>
    <t>H-82020</t>
  </si>
  <si>
    <t>BOWL 160oz BLK</t>
  </si>
  <si>
    <t>SAB-94160</t>
  </si>
  <si>
    <t>LID 160oz</t>
  </si>
  <si>
    <t>SAB-54160</t>
  </si>
  <si>
    <t>SERVING FORK</t>
  </si>
  <si>
    <t>ID-U1125BK</t>
  </si>
  <si>
    <t>SERVING SPOON</t>
  </si>
  <si>
    <t>ID-U1025BK</t>
  </si>
  <si>
    <t>SERVING TONG</t>
  </si>
  <si>
    <t>CHAFER</t>
  </si>
  <si>
    <t>FH-F125</t>
  </si>
  <si>
    <t>CHAFING FUEL</t>
  </si>
  <si>
    <t>FH-F800</t>
  </si>
  <si>
    <t>COFFEE BOX 160oz</t>
  </si>
  <si>
    <t>L-6999</t>
  </si>
  <si>
    <t>AS</t>
  </si>
  <si>
    <t>AM</t>
  </si>
  <si>
    <t>BK</t>
  </si>
  <si>
    <t>PM</t>
  </si>
  <si>
    <t>CH</t>
  </si>
  <si>
    <t>FX</t>
  </si>
  <si>
    <t>HN</t>
  </si>
  <si>
    <t>LS</t>
  </si>
  <si>
    <t>MN</t>
  </si>
  <si>
    <t>SP</t>
  </si>
  <si>
    <t>VN</t>
  </si>
  <si>
    <t>CM</t>
  </si>
  <si>
    <t>PLATE PLASTIC 10" BLK</t>
  </si>
  <si>
    <t>EP-PP103BK</t>
  </si>
  <si>
    <t>CUP COFFEE 12oz</t>
  </si>
  <si>
    <t>S-412W</t>
  </si>
  <si>
    <t>TOWEL MULTIFOLD WHT</t>
  </si>
  <si>
    <t xml:space="preserve">LP-40DW4 </t>
  </si>
  <si>
    <t>SW-122</t>
  </si>
  <si>
    <t>EMI-209BK</t>
  </si>
  <si>
    <t>LID SODA</t>
  </si>
  <si>
    <t>D-626TS</t>
  </si>
  <si>
    <t>STIR</t>
  </si>
  <si>
    <t>BS-1241203</t>
  </si>
  <si>
    <t>New</t>
  </si>
  <si>
    <t>TWIST TIE</t>
  </si>
  <si>
    <t>CATERING ITEMS</t>
  </si>
  <si>
    <t>H-2050FC</t>
  </si>
  <si>
    <t xml:space="preserve"> - This order is due every 4 weeks on Tuesday.</t>
  </si>
  <si>
    <t>K-AM64</t>
  </si>
  <si>
    <t>AMMONIA</t>
  </si>
  <si>
    <t>OZ</t>
  </si>
  <si>
    <t>C-60606</t>
  </si>
  <si>
    <t>PINE SOL</t>
  </si>
  <si>
    <t>NCL-1126-29</t>
  </si>
  <si>
    <t>DELIMER</t>
  </si>
  <si>
    <t>S-334011</t>
  </si>
  <si>
    <t>TRASH LINER 33X40</t>
  </si>
  <si>
    <t>R-RGB49</t>
  </si>
  <si>
    <t>GRILL BRICK</t>
  </si>
  <si>
    <t>SILVERWARE BANDS</t>
  </si>
  <si>
    <t xml:space="preserve">TWIST TIES </t>
  </si>
  <si>
    <t>UA-24PET-AN</t>
  </si>
  <si>
    <t>CUP SODA 24oz</t>
  </si>
  <si>
    <t xml:space="preserve"> /</t>
  </si>
  <si>
    <t>UA-20PET-AN</t>
  </si>
  <si>
    <t>CUP SODA 20oz</t>
  </si>
  <si>
    <t>UA-16PET-AN</t>
  </si>
  <si>
    <t>CUP SODA 16oz</t>
  </si>
  <si>
    <t>BEVERAGE CUPS</t>
  </si>
  <si>
    <t>Next Order Date:</t>
  </si>
  <si>
    <t>H-2045</t>
  </si>
  <si>
    <t>NAPKIN DINNER</t>
  </si>
  <si>
    <t>GRILL CLEANER</t>
  </si>
  <si>
    <t>3M-700-40</t>
  </si>
  <si>
    <t>CATERING</t>
  </si>
  <si>
    <t>UP-12AN</t>
  </si>
  <si>
    <t>UP-16AN</t>
  </si>
  <si>
    <t>UP-20AN</t>
  </si>
  <si>
    <t>TOWEL WHITE MULTIFOLD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</si>
</sst>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;@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i/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1">
    <xf numFmtId="0" fontId="0" fillId="0" borderId="0" xfId="0"/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right"/>
    </xf>
    <xf numFmtId="0" fontId="3" fillId="0" borderId="0" xfId="0" applyFont="1"/>
    <xf numFmtId="0" fontId="2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1" xfId="0" applyFont="1" applyBorder="1"/>
    <xf numFmtId="1" fontId="2" fillId="0" borderId="1" xfId="0" applyNumberFormat="1" applyFont="1" applyBorder="1" applyAlignment="1" applyProtection="1">
      <alignment horizontal="center"/>
      <protection locked="0"/>
    </xf>
    <xf numFmtId="1" fontId="3" fillId="0" borderId="4" xfId="0" applyNumberFormat="1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1" fontId="4" fillId="0" borderId="4" xfId="0" applyNumberFormat="1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1" xfId="0" applyFont="1" applyBorder="1"/>
    <xf numFmtId="164" fontId="5" fillId="0" borderId="1" xfId="0" applyNumberFormat="1" applyFont="1" applyBorder="1" applyAlignment="1" applyProtection="1">
      <alignment horizontal="center"/>
      <protection locked="0"/>
    </xf>
    <xf numFmtId="0" fontId="4" fillId="0" borderId="1" xfId="0" applyFont="1" applyBorder="1" applyAlignment="1">
      <alignment horizontal="center"/>
    </xf>
    <xf numFmtId="1" fontId="5" fillId="0" borderId="1" xfId="0" applyNumberFormat="1" applyFont="1" applyBorder="1" applyAlignment="1" applyProtection="1">
      <alignment horizontal="center"/>
      <protection locked="0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/>
    </xf>
    <xf numFmtId="1" fontId="4" fillId="0" borderId="1" xfId="0" applyNumberFormat="1" applyFont="1" applyBorder="1" applyAlignment="1" applyProtection="1">
      <alignment horizontal="center"/>
      <protection locked="0"/>
    </xf>
    <xf numFmtId="164" fontId="4" fillId="0" borderId="1" xfId="0" applyNumberFormat="1" applyFont="1" applyBorder="1" applyAlignment="1" applyProtection="1">
      <alignment horizontal="center"/>
      <protection locked="0"/>
    </xf>
    <xf numFmtId="16" fontId="4" fillId="0" borderId="0" xfId="0" applyNumberFormat="1" applyFont="1"/>
    <xf numFmtId="0" fontId="5" fillId="0" borderId="1" xfId="0" applyFont="1" applyBorder="1"/>
    <xf numFmtId="1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left"/>
    </xf>
    <xf numFmtId="165" fontId="5" fillId="2" borderId="0" xfId="0" applyNumberFormat="1" applyFont="1" applyFill="1" applyAlignment="1">
      <alignment horizontal="center"/>
    </xf>
    <xf numFmtId="0" fontId="6" fillId="0" borderId="0" xfId="0" applyFont="1" applyAlignment="1">
      <alignment horizontal="left"/>
    </xf>
    <xf numFmtId="1" fontId="4" fillId="0" borderId="2" xfId="0" applyNumberFormat="1" applyFont="1" applyBorder="1" applyAlignment="1">
      <alignment horizontal="right"/>
    </xf>
    <xf numFmtId="164" fontId="4" fillId="0" borderId="2" xfId="0" applyNumberFormat="1" applyFont="1" applyBorder="1" applyAlignment="1">
      <alignment horizontal="right"/>
    </xf>
    <xf numFmtId="164" fontId="4" fillId="0" borderId="5" xfId="0" applyNumberFormat="1" applyFont="1" applyBorder="1" applyAlignment="1" applyProtection="1">
      <alignment horizontal="center"/>
      <protection locked="0"/>
    </xf>
    <xf numFmtId="0" fontId="4" fillId="0" borderId="5" xfId="0" applyFont="1" applyBorder="1" applyAlignment="1">
      <alignment horizontal="center"/>
    </xf>
    <xf numFmtId="1" fontId="4" fillId="0" borderId="6" xfId="0" applyNumberFormat="1" applyFont="1" applyBorder="1" applyAlignment="1">
      <alignment horizontal="right"/>
    </xf>
    <xf numFmtId="0" fontId="4" fillId="0" borderId="7" xfId="0" applyFont="1" applyBorder="1" applyAlignment="1">
      <alignment horizontal="left"/>
    </xf>
    <xf numFmtId="1" fontId="4" fillId="0" borderId="5" xfId="0" applyNumberFormat="1" applyFont="1" applyBorder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8">
    <cellStyle name="Normal" xfId="0" builtinId="0"/>
    <cellStyle name="Normal 10" xfId="1" xr:uid="{00000000-0005-0000-0000-000001000000}"/>
    <cellStyle name="Normal 10 2" xfId="2" xr:uid="{00000000-0005-0000-0000-000002000000}"/>
    <cellStyle name="Normal 2" xfId="3" xr:uid="{00000000-0005-0000-0000-000003000000}"/>
    <cellStyle name="Normal 3 2" xfId="4" xr:uid="{00000000-0005-0000-0000-000004000000}"/>
    <cellStyle name="Normal 8" xfId="5" xr:uid="{00000000-0005-0000-0000-000005000000}"/>
    <cellStyle name="Normal 8 2" xfId="6" xr:uid="{00000000-0005-0000-0000-000006000000}"/>
    <cellStyle name="Normal 9 2" xfId="7" xr:uid="{00000000-0005-0000-0000-000007000000}"/>
  </cellStyles>
  <dxfs count="15">
    <dxf>
      <fill>
        <patternFill>
          <bgColor rgb="FFFFFF00"/>
        </patternFill>
      </fill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8E588-3B02-4D63-BB35-82E92C8A3504}">
  <dimension ref="A1:M90"/>
  <sheetViews>
    <sheetView zoomScale="130" zoomScaleNormal="130" zoomScalePageLayoutView="130" workbookViewId="0">
      <selection activeCell="E39" sqref="E39"/>
    </sheetView>
  </sheetViews>
  <sheetFormatPr defaultRowHeight="12.75" customHeight="1" x14ac:dyDescent="0.25"/>
  <cols>
    <col min="1" max="1" width="5.42578125" style="35" customWidth="1"/>
    <col min="2" max="2" width="1.7109375" style="32" bestFit="1" customWidth="1"/>
    <col min="3" max="3" width="5" style="33" bestFit="1" customWidth="1"/>
    <col min="4" max="4" width="3.140625" style="33" bestFit="1" customWidth="1"/>
    <col min="5" max="5" width="21.7109375" style="24" bestFit="1" customWidth="1"/>
    <col min="6" max="7" width="5.5703125" style="24" customWidth="1"/>
    <col min="8" max="8" width="4.85546875" style="24" bestFit="1" customWidth="1"/>
    <col min="9" max="9" width="4.7109375" style="24" bestFit="1" customWidth="1"/>
    <col min="10" max="10" width="5.140625" style="24" customWidth="1"/>
    <col min="11" max="11" width="11.5703125" style="24" bestFit="1" customWidth="1"/>
    <col min="12" max="12" width="1.42578125" style="24" customWidth="1"/>
    <col min="13" max="14" width="4.7109375" style="24" customWidth="1"/>
    <col min="15" max="16384" width="9.140625" style="24"/>
  </cols>
  <sheetData>
    <row r="1" spans="1:11" ht="12.75" customHeight="1" x14ac:dyDescent="0.25">
      <c r="A1" s="28" t="s">
        <v>0</v>
      </c>
      <c r="B1" s="56"/>
      <c r="C1" s="56"/>
      <c r="D1" s="56"/>
      <c r="E1" s="56"/>
      <c r="F1" s="35"/>
      <c r="G1" s="28" t="s">
        <v>1</v>
      </c>
      <c r="H1" s="56"/>
      <c r="I1" s="56"/>
      <c r="J1" s="56"/>
    </row>
    <row r="2" spans="1:11" ht="12.75" customHeight="1" x14ac:dyDescent="0.25">
      <c r="A2" s="28" t="s">
        <v>2</v>
      </c>
      <c r="B2" s="56"/>
      <c r="C2" s="56"/>
      <c r="D2" s="56"/>
      <c r="E2" s="56"/>
      <c r="F2" s="35"/>
      <c r="G2" s="28" t="s">
        <v>3</v>
      </c>
      <c r="H2" s="56"/>
      <c r="I2" s="56"/>
      <c r="J2" s="56"/>
    </row>
    <row r="3" spans="1:11" ht="5.25" customHeight="1" x14ac:dyDescent="0.25">
      <c r="A3" s="28"/>
      <c r="B3" s="29"/>
      <c r="C3" s="30"/>
      <c r="D3" s="30"/>
      <c r="E3" s="31"/>
      <c r="F3" s="31"/>
      <c r="G3" s="32"/>
      <c r="H3" s="32"/>
      <c r="I3" s="33"/>
      <c r="J3" s="33"/>
      <c r="K3" s="31"/>
    </row>
    <row r="4" spans="1:11" s="34" customFormat="1" ht="12.75" customHeight="1" x14ac:dyDescent="0.25">
      <c r="A4" s="52" t="s">
        <v>4</v>
      </c>
      <c r="B4" s="53"/>
      <c r="C4" s="53"/>
      <c r="D4" s="53"/>
      <c r="E4" s="14" t="s">
        <v>5</v>
      </c>
      <c r="F4" s="52" t="s">
        <v>6</v>
      </c>
      <c r="G4" s="54"/>
      <c r="H4" s="55" t="s">
        <v>7</v>
      </c>
      <c r="I4" s="55"/>
      <c r="J4" s="15" t="s">
        <v>8</v>
      </c>
      <c r="K4" s="15" t="s">
        <v>9</v>
      </c>
    </row>
    <row r="5" spans="1:11" ht="12.75" customHeight="1" x14ac:dyDescent="0.25">
      <c r="A5" s="16">
        <v>20</v>
      </c>
      <c r="B5" s="17" t="s">
        <v>10</v>
      </c>
      <c r="C5" s="18">
        <v>50</v>
      </c>
      <c r="D5" s="19" t="s">
        <v>11</v>
      </c>
      <c r="E5" s="20" t="s">
        <v>188</v>
      </c>
      <c r="F5" s="21"/>
      <c r="G5" s="22" t="s">
        <v>14</v>
      </c>
      <c r="H5" s="16">
        <v>6</v>
      </c>
      <c r="I5" s="19" t="s">
        <v>14</v>
      </c>
      <c r="J5" s="23"/>
      <c r="K5" s="22" t="s">
        <v>189</v>
      </c>
    </row>
    <row r="6" spans="1:11" ht="12.75" customHeight="1" x14ac:dyDescent="0.25">
      <c r="A6" s="16">
        <v>20</v>
      </c>
      <c r="B6" s="17" t="s">
        <v>10</v>
      </c>
      <c r="C6" s="18">
        <v>50</v>
      </c>
      <c r="D6" s="19" t="s">
        <v>11</v>
      </c>
      <c r="E6" s="20" t="s">
        <v>111</v>
      </c>
      <c r="F6" s="21"/>
      <c r="G6" s="22" t="s">
        <v>14</v>
      </c>
      <c r="H6" s="16">
        <v>6</v>
      </c>
      <c r="I6" s="19" t="s">
        <v>14</v>
      </c>
      <c r="J6" s="23"/>
      <c r="K6" s="22" t="s">
        <v>112</v>
      </c>
    </row>
    <row r="7" spans="1:11" ht="12.75" customHeight="1" x14ac:dyDescent="0.25">
      <c r="A7" s="16">
        <v>15</v>
      </c>
      <c r="B7" s="17" t="s">
        <v>10</v>
      </c>
      <c r="C7" s="18">
        <v>40</v>
      </c>
      <c r="D7" s="19" t="s">
        <v>11</v>
      </c>
      <c r="E7" s="20" t="s">
        <v>113</v>
      </c>
      <c r="F7" s="21"/>
      <c r="G7" s="22" t="s">
        <v>14</v>
      </c>
      <c r="H7" s="16">
        <v>6</v>
      </c>
      <c r="I7" s="19" t="s">
        <v>14</v>
      </c>
      <c r="J7" s="23"/>
      <c r="K7" s="22" t="s">
        <v>114</v>
      </c>
    </row>
    <row r="8" spans="1:11" ht="12.75" customHeight="1" x14ac:dyDescent="0.25">
      <c r="A8" s="16">
        <v>20</v>
      </c>
      <c r="B8" s="17" t="s">
        <v>10</v>
      </c>
      <c r="C8" s="18">
        <v>50</v>
      </c>
      <c r="D8" s="19" t="s">
        <v>11</v>
      </c>
      <c r="E8" s="20" t="s">
        <v>115</v>
      </c>
      <c r="F8" s="21"/>
      <c r="G8" s="22" t="s">
        <v>14</v>
      </c>
      <c r="H8" s="16">
        <v>2</v>
      </c>
      <c r="I8" s="19" t="s">
        <v>14</v>
      </c>
      <c r="J8" s="23"/>
      <c r="K8" s="22" t="s">
        <v>116</v>
      </c>
    </row>
    <row r="9" spans="1:11" ht="12.75" customHeight="1" x14ac:dyDescent="0.25">
      <c r="A9" s="16">
        <v>1</v>
      </c>
      <c r="B9" s="17" t="s">
        <v>10</v>
      </c>
      <c r="C9" s="18">
        <v>1000</v>
      </c>
      <c r="D9" s="19" t="s">
        <v>11</v>
      </c>
      <c r="E9" s="20" t="s">
        <v>194</v>
      </c>
      <c r="F9" s="21"/>
      <c r="G9" s="22" t="s">
        <v>14</v>
      </c>
      <c r="H9" s="16">
        <v>4</v>
      </c>
      <c r="I9" s="19" t="s">
        <v>14</v>
      </c>
      <c r="J9" s="23"/>
      <c r="K9" s="22" t="s">
        <v>195</v>
      </c>
    </row>
    <row r="10" spans="1:11" ht="12.75" customHeight="1" x14ac:dyDescent="0.25">
      <c r="A10" s="16">
        <v>1</v>
      </c>
      <c r="B10" s="17" t="s">
        <v>10</v>
      </c>
      <c r="C10" s="18">
        <v>1000</v>
      </c>
      <c r="D10" s="19" t="s">
        <v>11</v>
      </c>
      <c r="E10" s="20" t="s">
        <v>117</v>
      </c>
      <c r="F10" s="21"/>
      <c r="G10" s="25" t="s">
        <v>12</v>
      </c>
      <c r="H10" s="16">
        <v>1</v>
      </c>
      <c r="I10" s="26" t="s">
        <v>12</v>
      </c>
      <c r="J10" s="23"/>
      <c r="K10" s="22" t="s">
        <v>118</v>
      </c>
    </row>
    <row r="11" spans="1:11" ht="12.75" customHeight="1" x14ac:dyDescent="0.25">
      <c r="A11" s="16">
        <v>10</v>
      </c>
      <c r="B11" s="17" t="s">
        <v>10</v>
      </c>
      <c r="C11" s="18">
        <v>250</v>
      </c>
      <c r="D11" s="19" t="s">
        <v>11</v>
      </c>
      <c r="E11" s="20" t="s">
        <v>13</v>
      </c>
      <c r="F11" s="21"/>
      <c r="G11" s="22" t="s">
        <v>14</v>
      </c>
      <c r="H11" s="16">
        <v>5</v>
      </c>
      <c r="I11" s="19" t="s">
        <v>14</v>
      </c>
      <c r="J11" s="23"/>
      <c r="K11" s="22" t="s">
        <v>15</v>
      </c>
    </row>
    <row r="12" spans="1:11" ht="12.75" customHeight="1" x14ac:dyDescent="0.25">
      <c r="A12" s="16">
        <v>20</v>
      </c>
      <c r="B12" s="17" t="s">
        <v>10</v>
      </c>
      <c r="C12" s="18">
        <v>125</v>
      </c>
      <c r="D12" s="19" t="s">
        <v>11</v>
      </c>
      <c r="E12" s="20" t="s">
        <v>16</v>
      </c>
      <c r="F12" s="21"/>
      <c r="G12" s="22" t="s">
        <v>14</v>
      </c>
      <c r="H12" s="16">
        <v>6</v>
      </c>
      <c r="I12" s="19" t="s">
        <v>14</v>
      </c>
      <c r="J12" s="23"/>
      <c r="K12" s="22" t="s">
        <v>17</v>
      </c>
    </row>
    <row r="13" spans="1:11" ht="12.75" customHeight="1" x14ac:dyDescent="0.25">
      <c r="A13" s="16">
        <v>10</v>
      </c>
      <c r="B13" s="17" t="s">
        <v>10</v>
      </c>
      <c r="C13" s="18">
        <v>250</v>
      </c>
      <c r="D13" s="19" t="s">
        <v>11</v>
      </c>
      <c r="E13" s="20" t="s">
        <v>18</v>
      </c>
      <c r="F13" s="21"/>
      <c r="G13" s="22" t="s">
        <v>14</v>
      </c>
      <c r="H13" s="16">
        <v>8</v>
      </c>
      <c r="I13" s="19" t="s">
        <v>14</v>
      </c>
      <c r="J13" s="23"/>
      <c r="K13" s="22" t="s">
        <v>19</v>
      </c>
    </row>
    <row r="14" spans="1:11" ht="12.75" customHeight="1" x14ac:dyDescent="0.25">
      <c r="A14" s="16">
        <v>20</v>
      </c>
      <c r="B14" s="17" t="s">
        <v>10</v>
      </c>
      <c r="C14" s="18">
        <v>50</v>
      </c>
      <c r="D14" s="19" t="s">
        <v>11</v>
      </c>
      <c r="E14" s="20" t="s">
        <v>130</v>
      </c>
      <c r="F14" s="21"/>
      <c r="G14" s="22" t="s">
        <v>14</v>
      </c>
      <c r="H14" s="16">
        <v>10</v>
      </c>
      <c r="I14" s="19" t="s">
        <v>14</v>
      </c>
      <c r="J14" s="23"/>
      <c r="K14" s="22" t="s">
        <v>131</v>
      </c>
    </row>
    <row r="15" spans="1:11" ht="12.75" customHeight="1" x14ac:dyDescent="0.25">
      <c r="A15" s="16">
        <v>20</v>
      </c>
      <c r="B15" s="17" t="s">
        <v>10</v>
      </c>
      <c r="C15" s="18">
        <v>50</v>
      </c>
      <c r="D15" s="19" t="s">
        <v>11</v>
      </c>
      <c r="E15" s="20" t="s">
        <v>132</v>
      </c>
      <c r="F15" s="21"/>
      <c r="G15" s="22" t="s">
        <v>14</v>
      </c>
      <c r="H15" s="16">
        <v>10</v>
      </c>
      <c r="I15" s="19" t="s">
        <v>14</v>
      </c>
      <c r="J15" s="23"/>
      <c r="K15" s="22" t="s">
        <v>133</v>
      </c>
    </row>
    <row r="16" spans="1:11" ht="12.75" customHeight="1" x14ac:dyDescent="0.25">
      <c r="A16" s="16">
        <v>10</v>
      </c>
      <c r="B16" s="17" t="s">
        <v>10</v>
      </c>
      <c r="C16" s="18">
        <v>100</v>
      </c>
      <c r="D16" s="19" t="s">
        <v>11</v>
      </c>
      <c r="E16" s="20" t="s">
        <v>134</v>
      </c>
      <c r="F16" s="21"/>
      <c r="G16" s="22" t="s">
        <v>14</v>
      </c>
      <c r="H16" s="16">
        <v>5</v>
      </c>
      <c r="I16" s="19" t="s">
        <v>14</v>
      </c>
      <c r="J16" s="23"/>
      <c r="K16" s="22" t="s">
        <v>135</v>
      </c>
    </row>
    <row r="17" spans="1:11" ht="12.75" customHeight="1" x14ac:dyDescent="0.25">
      <c r="A17" s="16">
        <v>4</v>
      </c>
      <c r="B17" s="17" t="s">
        <v>10</v>
      </c>
      <c r="C17" s="18">
        <v>150</v>
      </c>
      <c r="D17" s="19" t="s">
        <v>11</v>
      </c>
      <c r="E17" s="20" t="s">
        <v>22</v>
      </c>
      <c r="F17" s="21"/>
      <c r="G17" s="22" t="s">
        <v>14</v>
      </c>
      <c r="H17" s="16">
        <v>2</v>
      </c>
      <c r="I17" s="19" t="s">
        <v>14</v>
      </c>
      <c r="J17" s="23"/>
      <c r="K17" s="22" t="s">
        <v>23</v>
      </c>
    </row>
    <row r="18" spans="1:11" ht="12.75" customHeight="1" x14ac:dyDescent="0.25">
      <c r="A18" s="16">
        <v>1</v>
      </c>
      <c r="B18" s="17" t="s">
        <v>10</v>
      </c>
      <c r="C18" s="18">
        <v>150</v>
      </c>
      <c r="D18" s="19" t="s">
        <v>11</v>
      </c>
      <c r="E18" s="20" t="s">
        <v>24</v>
      </c>
      <c r="F18" s="21"/>
      <c r="G18" s="25" t="s">
        <v>12</v>
      </c>
      <c r="H18" s="16">
        <v>2</v>
      </c>
      <c r="I18" s="26" t="s">
        <v>12</v>
      </c>
      <c r="J18" s="23"/>
      <c r="K18" s="22" t="s">
        <v>25</v>
      </c>
    </row>
    <row r="19" spans="1:11" ht="12.75" customHeight="1" x14ac:dyDescent="0.25">
      <c r="A19" s="16">
        <v>4</v>
      </c>
      <c r="B19" s="17" t="s">
        <v>10</v>
      </c>
      <c r="C19" s="18">
        <v>63</v>
      </c>
      <c r="D19" s="19" t="s">
        <v>11</v>
      </c>
      <c r="E19" s="20" t="s">
        <v>26</v>
      </c>
      <c r="F19" s="21"/>
      <c r="G19" s="22" t="s">
        <v>14</v>
      </c>
      <c r="H19" s="16">
        <v>2</v>
      </c>
      <c r="I19" s="19" t="s">
        <v>14</v>
      </c>
      <c r="J19" s="23"/>
      <c r="K19" s="22" t="s">
        <v>27</v>
      </c>
    </row>
    <row r="20" spans="1:11" ht="12.75" customHeight="1" x14ac:dyDescent="0.25">
      <c r="A20" s="16">
        <v>4</v>
      </c>
      <c r="B20" s="17" t="s">
        <v>10</v>
      </c>
      <c r="C20" s="18">
        <v>63</v>
      </c>
      <c r="D20" s="19" t="s">
        <v>11</v>
      </c>
      <c r="E20" s="20" t="s">
        <v>28</v>
      </c>
      <c r="F20" s="21"/>
      <c r="G20" s="22" t="s">
        <v>14</v>
      </c>
      <c r="H20" s="16">
        <v>2</v>
      </c>
      <c r="I20" s="19" t="s">
        <v>14</v>
      </c>
      <c r="J20" s="23"/>
      <c r="K20" s="22" t="s">
        <v>29</v>
      </c>
    </row>
    <row r="21" spans="1:11" ht="12.75" customHeight="1" x14ac:dyDescent="0.25">
      <c r="A21" s="16">
        <v>4</v>
      </c>
      <c r="B21" s="17" t="s">
        <v>10</v>
      </c>
      <c r="C21" s="18">
        <v>63</v>
      </c>
      <c r="D21" s="19" t="s">
        <v>11</v>
      </c>
      <c r="E21" s="20" t="s">
        <v>30</v>
      </c>
      <c r="F21" s="21"/>
      <c r="G21" s="22" t="s">
        <v>14</v>
      </c>
      <c r="H21" s="16">
        <v>2</v>
      </c>
      <c r="I21" s="19" t="s">
        <v>14</v>
      </c>
      <c r="J21" s="23"/>
      <c r="K21" s="22" t="s">
        <v>31</v>
      </c>
    </row>
    <row r="22" spans="1:11" ht="12.75" customHeight="1" x14ac:dyDescent="0.25">
      <c r="A22" s="16">
        <v>2</v>
      </c>
      <c r="B22" s="17" t="s">
        <v>10</v>
      </c>
      <c r="C22" s="18">
        <v>125</v>
      </c>
      <c r="D22" s="19" t="s">
        <v>11</v>
      </c>
      <c r="E22" s="20" t="s">
        <v>32</v>
      </c>
      <c r="F22" s="21"/>
      <c r="G22" s="22" t="s">
        <v>14</v>
      </c>
      <c r="H22" s="16">
        <v>1</v>
      </c>
      <c r="I22" s="19" t="s">
        <v>14</v>
      </c>
      <c r="J22" s="23"/>
      <c r="K22" s="22" t="s">
        <v>33</v>
      </c>
    </row>
    <row r="23" spans="1:11" ht="12.75" customHeight="1" x14ac:dyDescent="0.25">
      <c r="A23" s="16">
        <v>1</v>
      </c>
      <c r="B23" s="17" t="s">
        <v>10</v>
      </c>
      <c r="C23" s="18">
        <v>100</v>
      </c>
      <c r="D23" s="19" t="s">
        <v>11</v>
      </c>
      <c r="E23" s="20" t="s">
        <v>34</v>
      </c>
      <c r="F23" s="21"/>
      <c r="G23" s="25" t="s">
        <v>12</v>
      </c>
      <c r="H23" s="16">
        <v>0.4</v>
      </c>
      <c r="I23" s="26" t="s">
        <v>12</v>
      </c>
      <c r="J23" s="23"/>
      <c r="K23" s="22" t="s">
        <v>35</v>
      </c>
    </row>
    <row r="24" spans="1:11" ht="12.75" customHeight="1" x14ac:dyDescent="0.25">
      <c r="A24" s="16">
        <v>1</v>
      </c>
      <c r="B24" s="17" t="s">
        <v>10</v>
      </c>
      <c r="C24" s="18">
        <v>250</v>
      </c>
      <c r="D24" s="19" t="s">
        <v>11</v>
      </c>
      <c r="E24" s="20" t="s">
        <v>20</v>
      </c>
      <c r="F24" s="21"/>
      <c r="G24" s="25" t="s">
        <v>12</v>
      </c>
      <c r="H24" s="16">
        <v>1.2</v>
      </c>
      <c r="I24" s="26" t="s">
        <v>12</v>
      </c>
      <c r="J24" s="23"/>
      <c r="K24" s="22" t="s">
        <v>21</v>
      </c>
    </row>
    <row r="25" spans="1:11" ht="12.75" customHeight="1" x14ac:dyDescent="0.25">
      <c r="A25" s="16">
        <v>1</v>
      </c>
      <c r="B25" s="17" t="s">
        <v>10</v>
      </c>
      <c r="C25" s="18">
        <v>500</v>
      </c>
      <c r="D25" s="19" t="s">
        <v>11</v>
      </c>
      <c r="E25" s="20" t="s">
        <v>43</v>
      </c>
      <c r="F25" s="21"/>
      <c r="G25" s="22" t="s">
        <v>14</v>
      </c>
      <c r="H25" s="16">
        <v>0.5</v>
      </c>
      <c r="I25" s="19" t="s">
        <v>14</v>
      </c>
      <c r="J25" s="23"/>
      <c r="K25" s="22" t="s">
        <v>44</v>
      </c>
    </row>
    <row r="26" spans="1:11" ht="12.75" customHeight="1" x14ac:dyDescent="0.25">
      <c r="A26" s="16">
        <v>2</v>
      </c>
      <c r="B26" s="17" t="s">
        <v>10</v>
      </c>
      <c r="C26" s="18">
        <v>250</v>
      </c>
      <c r="D26" s="19" t="s">
        <v>11</v>
      </c>
      <c r="E26" s="20" t="s">
        <v>45</v>
      </c>
      <c r="F26" s="21"/>
      <c r="G26" s="22" t="s">
        <v>14</v>
      </c>
      <c r="H26" s="16">
        <v>0.5</v>
      </c>
      <c r="I26" s="19" t="s">
        <v>14</v>
      </c>
      <c r="J26" s="23"/>
      <c r="K26" s="22" t="s">
        <v>46</v>
      </c>
    </row>
    <row r="27" spans="1:11" ht="12.75" customHeight="1" x14ac:dyDescent="0.25">
      <c r="A27" s="16">
        <v>4</v>
      </c>
      <c r="B27" s="17" t="s">
        <v>10</v>
      </c>
      <c r="C27" s="18">
        <v>125</v>
      </c>
      <c r="D27" s="19" t="s">
        <v>11</v>
      </c>
      <c r="E27" s="20" t="s">
        <v>47</v>
      </c>
      <c r="F27" s="21"/>
      <c r="G27" s="22" t="s">
        <v>14</v>
      </c>
      <c r="H27" s="16">
        <v>2</v>
      </c>
      <c r="I27" s="19" t="s">
        <v>14</v>
      </c>
      <c r="J27" s="23"/>
      <c r="K27" s="22" t="s">
        <v>48</v>
      </c>
    </row>
    <row r="28" spans="1:11" ht="12.75" customHeight="1" x14ac:dyDescent="0.25">
      <c r="A28" s="16">
        <v>2</v>
      </c>
      <c r="B28" s="17" t="s">
        <v>10</v>
      </c>
      <c r="C28" s="18">
        <v>250</v>
      </c>
      <c r="D28" s="19" t="s">
        <v>11</v>
      </c>
      <c r="E28" s="20" t="s">
        <v>49</v>
      </c>
      <c r="F28" s="21"/>
      <c r="G28" s="22" t="s">
        <v>14</v>
      </c>
      <c r="H28" s="16">
        <v>1</v>
      </c>
      <c r="I28" s="19" t="s">
        <v>14</v>
      </c>
      <c r="J28" s="23"/>
      <c r="K28" s="22" t="s">
        <v>50</v>
      </c>
    </row>
    <row r="29" spans="1:11" ht="12.75" customHeight="1" x14ac:dyDescent="0.25">
      <c r="A29" s="16">
        <v>1</v>
      </c>
      <c r="B29" s="17" t="s">
        <v>10</v>
      </c>
      <c r="C29" s="18">
        <v>250</v>
      </c>
      <c r="D29" s="19" t="s">
        <v>11</v>
      </c>
      <c r="E29" s="20" t="s">
        <v>51</v>
      </c>
      <c r="F29" s="21"/>
      <c r="G29" s="25" t="s">
        <v>12</v>
      </c>
      <c r="H29" s="16">
        <v>1</v>
      </c>
      <c r="I29" s="26" t="s">
        <v>12</v>
      </c>
      <c r="J29" s="23"/>
      <c r="K29" s="22" t="s">
        <v>52</v>
      </c>
    </row>
    <row r="30" spans="1:11" ht="12.75" customHeight="1" x14ac:dyDescent="0.25">
      <c r="A30" s="16">
        <v>1</v>
      </c>
      <c r="B30" s="17" t="s">
        <v>10</v>
      </c>
      <c r="C30" s="18">
        <v>50</v>
      </c>
      <c r="D30" s="19" t="s">
        <v>11</v>
      </c>
      <c r="E30" s="20" t="s">
        <v>53</v>
      </c>
      <c r="F30" s="21"/>
      <c r="G30" s="25" t="s">
        <v>12</v>
      </c>
      <c r="H30" s="16">
        <v>0.5</v>
      </c>
      <c r="I30" s="26" t="s">
        <v>12</v>
      </c>
      <c r="J30" s="23"/>
      <c r="K30" s="22" t="s">
        <v>54</v>
      </c>
    </row>
    <row r="31" spans="1:11" ht="12.75" customHeight="1" x14ac:dyDescent="0.25">
      <c r="A31" s="16">
        <v>5</v>
      </c>
      <c r="B31" s="17" t="s">
        <v>10</v>
      </c>
      <c r="C31" s="18">
        <v>1000</v>
      </c>
      <c r="D31" s="19" t="s">
        <v>11</v>
      </c>
      <c r="E31" s="20" t="s">
        <v>55</v>
      </c>
      <c r="F31" s="21"/>
      <c r="G31" s="22" t="s">
        <v>36</v>
      </c>
      <c r="H31" s="16">
        <v>5</v>
      </c>
      <c r="I31" s="19" t="s">
        <v>36</v>
      </c>
      <c r="J31" s="23"/>
      <c r="K31" s="22" t="s">
        <v>56</v>
      </c>
    </row>
    <row r="32" spans="1:11" ht="12.75" customHeight="1" x14ac:dyDescent="0.25">
      <c r="A32" s="16">
        <v>5</v>
      </c>
      <c r="B32" s="17" t="s">
        <v>10</v>
      </c>
      <c r="C32" s="18">
        <v>1000</v>
      </c>
      <c r="D32" s="19" t="s">
        <v>11</v>
      </c>
      <c r="E32" s="20" t="s">
        <v>140</v>
      </c>
      <c r="F32" s="21"/>
      <c r="G32" s="22" t="s">
        <v>38</v>
      </c>
      <c r="H32" s="16">
        <v>2</v>
      </c>
      <c r="I32" s="19" t="s">
        <v>38</v>
      </c>
      <c r="J32" s="23"/>
      <c r="K32" s="22" t="s">
        <v>141</v>
      </c>
    </row>
    <row r="33" spans="1:11" ht="12.75" customHeight="1" x14ac:dyDescent="0.25">
      <c r="A33" s="16">
        <v>5</v>
      </c>
      <c r="B33" s="17" t="s">
        <v>10</v>
      </c>
      <c r="C33" s="18">
        <v>1000</v>
      </c>
      <c r="D33" s="19" t="s">
        <v>11</v>
      </c>
      <c r="E33" s="20" t="s">
        <v>138</v>
      </c>
      <c r="F33" s="21"/>
      <c r="G33" s="22" t="s">
        <v>38</v>
      </c>
      <c r="H33" s="16">
        <v>2</v>
      </c>
      <c r="I33" s="19" t="s">
        <v>38</v>
      </c>
      <c r="J33" s="23"/>
      <c r="K33" s="22" t="s">
        <v>139</v>
      </c>
    </row>
    <row r="34" spans="1:11" ht="12.75" customHeight="1" x14ac:dyDescent="0.25">
      <c r="A34" s="16">
        <v>5</v>
      </c>
      <c r="B34" s="17" t="s">
        <v>10</v>
      </c>
      <c r="C34" s="18">
        <v>1000</v>
      </c>
      <c r="D34" s="19" t="s">
        <v>11</v>
      </c>
      <c r="E34" s="20" t="s">
        <v>136</v>
      </c>
      <c r="F34" s="21"/>
      <c r="G34" s="22" t="s">
        <v>38</v>
      </c>
      <c r="H34" s="16">
        <v>1</v>
      </c>
      <c r="I34" s="19" t="s">
        <v>38</v>
      </c>
      <c r="J34" s="23"/>
      <c r="K34" s="22" t="s">
        <v>137</v>
      </c>
    </row>
    <row r="35" spans="1:11" ht="12.75" customHeight="1" x14ac:dyDescent="0.25">
      <c r="A35" s="16">
        <v>2</v>
      </c>
      <c r="B35" s="17" t="s">
        <v>10</v>
      </c>
      <c r="C35" s="18">
        <v>1000</v>
      </c>
      <c r="D35" s="19" t="s">
        <v>11</v>
      </c>
      <c r="E35" s="20" t="s">
        <v>57</v>
      </c>
      <c r="F35" s="21"/>
      <c r="G35" s="22" t="s">
        <v>36</v>
      </c>
      <c r="H35" s="16">
        <v>0.5</v>
      </c>
      <c r="I35" s="19" t="s">
        <v>36</v>
      </c>
      <c r="J35" s="23"/>
      <c r="K35" s="22" t="s">
        <v>58</v>
      </c>
    </row>
    <row r="36" spans="1:11" ht="12.75" customHeight="1" x14ac:dyDescent="0.25">
      <c r="A36" s="16">
        <v>2</v>
      </c>
      <c r="B36" s="17" t="s">
        <v>10</v>
      </c>
      <c r="C36" s="18">
        <v>1000</v>
      </c>
      <c r="D36" s="19" t="s">
        <v>11</v>
      </c>
      <c r="E36" s="20" t="s">
        <v>59</v>
      </c>
      <c r="F36" s="21"/>
      <c r="G36" s="22" t="s">
        <v>36</v>
      </c>
      <c r="H36" s="16">
        <v>0.5</v>
      </c>
      <c r="I36" s="19" t="s">
        <v>36</v>
      </c>
      <c r="J36" s="23"/>
      <c r="K36" s="22" t="s">
        <v>60</v>
      </c>
    </row>
    <row r="37" spans="1:11" ht="12.75" customHeight="1" x14ac:dyDescent="0.25">
      <c r="A37" s="16">
        <v>2</v>
      </c>
      <c r="B37" s="17" t="s">
        <v>10</v>
      </c>
      <c r="C37" s="18">
        <v>1000</v>
      </c>
      <c r="D37" s="19" t="s">
        <v>11</v>
      </c>
      <c r="E37" s="20" t="s">
        <v>61</v>
      </c>
      <c r="F37" s="21"/>
      <c r="G37" s="22" t="s">
        <v>36</v>
      </c>
      <c r="H37" s="16">
        <v>0.5</v>
      </c>
      <c r="I37" s="19" t="s">
        <v>36</v>
      </c>
      <c r="J37" s="23"/>
      <c r="K37" s="22" t="s">
        <v>62</v>
      </c>
    </row>
    <row r="38" spans="1:11" ht="12.75" customHeight="1" x14ac:dyDescent="0.25">
      <c r="A38" s="16">
        <v>2</v>
      </c>
      <c r="B38" s="17" t="s">
        <v>10</v>
      </c>
      <c r="C38" s="18">
        <v>1000</v>
      </c>
      <c r="D38" s="19" t="s">
        <v>11</v>
      </c>
      <c r="E38" s="20" t="s">
        <v>63</v>
      </c>
      <c r="F38" s="21"/>
      <c r="G38" s="22" t="s">
        <v>36</v>
      </c>
      <c r="H38" s="16">
        <v>0.5</v>
      </c>
      <c r="I38" s="19" t="s">
        <v>36</v>
      </c>
      <c r="J38" s="23"/>
      <c r="K38" s="22" t="s">
        <v>64</v>
      </c>
    </row>
    <row r="39" spans="1:11" ht="12.75" customHeight="1" x14ac:dyDescent="0.25">
      <c r="A39" s="16">
        <v>6</v>
      </c>
      <c r="B39" s="17" t="s">
        <v>10</v>
      </c>
      <c r="C39" s="18">
        <v>600</v>
      </c>
      <c r="D39" s="19" t="s">
        <v>11</v>
      </c>
      <c r="E39" s="20" t="s">
        <v>119</v>
      </c>
      <c r="F39" s="21"/>
      <c r="G39" s="22" t="s">
        <v>38</v>
      </c>
      <c r="H39" s="16">
        <v>2</v>
      </c>
      <c r="I39" s="19" t="s">
        <v>38</v>
      </c>
      <c r="J39" s="23"/>
      <c r="K39" s="22" t="s">
        <v>120</v>
      </c>
    </row>
    <row r="40" spans="1:11" ht="12.75" customHeight="1" x14ac:dyDescent="0.25">
      <c r="A40" s="16">
        <v>12</v>
      </c>
      <c r="B40" s="17" t="s">
        <v>10</v>
      </c>
      <c r="C40" s="18">
        <v>500</v>
      </c>
      <c r="D40" s="19" t="s">
        <v>11</v>
      </c>
      <c r="E40" s="20" t="s">
        <v>121</v>
      </c>
      <c r="F40" s="21"/>
      <c r="G40" s="22" t="s">
        <v>38</v>
      </c>
      <c r="H40" s="16">
        <v>1</v>
      </c>
      <c r="I40" s="19" t="s">
        <v>38</v>
      </c>
      <c r="J40" s="23"/>
      <c r="K40" s="22" t="s">
        <v>122</v>
      </c>
    </row>
    <row r="41" spans="1:11" ht="12.75" customHeight="1" x14ac:dyDescent="0.25">
      <c r="A41" s="16">
        <v>2</v>
      </c>
      <c r="B41" s="17" t="s">
        <v>10</v>
      </c>
      <c r="C41" s="18">
        <v>200</v>
      </c>
      <c r="D41" s="19" t="s">
        <v>11</v>
      </c>
      <c r="E41" s="20" t="s">
        <v>69</v>
      </c>
      <c r="F41" s="21"/>
      <c r="G41" s="25" t="s">
        <v>70</v>
      </c>
      <c r="H41" s="16">
        <v>1</v>
      </c>
      <c r="I41" s="26" t="s">
        <v>70</v>
      </c>
      <c r="J41" s="23"/>
      <c r="K41" s="22" t="s">
        <v>71</v>
      </c>
    </row>
    <row r="42" spans="1:11" ht="12.75" customHeight="1" x14ac:dyDescent="0.25">
      <c r="A42" s="16">
        <v>2</v>
      </c>
      <c r="B42" s="17" t="s">
        <v>10</v>
      </c>
      <c r="C42" s="18">
        <v>200</v>
      </c>
      <c r="D42" s="19" t="s">
        <v>11</v>
      </c>
      <c r="E42" s="20" t="s">
        <v>72</v>
      </c>
      <c r="F42" s="21"/>
      <c r="G42" s="25" t="s">
        <v>70</v>
      </c>
      <c r="H42" s="16">
        <v>1</v>
      </c>
      <c r="I42" s="26" t="s">
        <v>70</v>
      </c>
      <c r="J42" s="23"/>
      <c r="K42" s="22" t="s">
        <v>73</v>
      </c>
    </row>
    <row r="43" spans="1:11" ht="12.75" customHeight="1" x14ac:dyDescent="0.25">
      <c r="A43" s="16">
        <v>1</v>
      </c>
      <c r="B43" s="17" t="s">
        <v>10</v>
      </c>
      <c r="C43" s="18">
        <v>500</v>
      </c>
      <c r="D43" s="19" t="s">
        <v>11</v>
      </c>
      <c r="E43" s="20" t="s">
        <v>74</v>
      </c>
      <c r="F43" s="21"/>
      <c r="G43" s="25" t="s">
        <v>70</v>
      </c>
      <c r="H43" s="16">
        <v>2</v>
      </c>
      <c r="I43" s="26" t="s">
        <v>70</v>
      </c>
      <c r="J43" s="23"/>
      <c r="K43" s="22" t="s">
        <v>75</v>
      </c>
    </row>
    <row r="44" spans="1:11" ht="12.75" customHeight="1" x14ac:dyDescent="0.25">
      <c r="A44" s="16">
        <v>1</v>
      </c>
      <c r="B44" s="17" t="s">
        <v>10</v>
      </c>
      <c r="C44" s="18">
        <v>500</v>
      </c>
      <c r="D44" s="19" t="s">
        <v>11</v>
      </c>
      <c r="E44" s="20" t="s">
        <v>76</v>
      </c>
      <c r="F44" s="21"/>
      <c r="G44" s="25" t="s">
        <v>12</v>
      </c>
      <c r="H44" s="16">
        <v>2</v>
      </c>
      <c r="I44" s="26" t="s">
        <v>12</v>
      </c>
      <c r="J44" s="23"/>
      <c r="K44" s="22" t="s">
        <v>77</v>
      </c>
    </row>
    <row r="45" spans="1:11" ht="12.75" customHeight="1" x14ac:dyDescent="0.25">
      <c r="A45" s="16">
        <v>1</v>
      </c>
      <c r="B45" s="17" t="s">
        <v>10</v>
      </c>
      <c r="C45" s="18">
        <v>1000</v>
      </c>
      <c r="D45" s="19" t="s">
        <v>11</v>
      </c>
      <c r="E45" s="20" t="s">
        <v>78</v>
      </c>
      <c r="F45" s="21"/>
      <c r="G45" s="25" t="s">
        <v>12</v>
      </c>
      <c r="H45" s="16">
        <v>0.2</v>
      </c>
      <c r="I45" s="26" t="s">
        <v>12</v>
      </c>
      <c r="J45" s="23"/>
      <c r="K45" s="22" t="s">
        <v>79</v>
      </c>
    </row>
    <row r="46" spans="1:11" ht="12.75" customHeight="1" x14ac:dyDescent="0.25">
      <c r="A46" s="16">
        <v>1</v>
      </c>
      <c r="B46" s="17" t="s">
        <v>10</v>
      </c>
      <c r="C46" s="18">
        <v>1000</v>
      </c>
      <c r="D46" s="19" t="s">
        <v>11</v>
      </c>
      <c r="E46" s="20" t="s">
        <v>80</v>
      </c>
      <c r="F46" s="21"/>
      <c r="G46" s="25" t="s">
        <v>12</v>
      </c>
      <c r="H46" s="16">
        <v>1.5</v>
      </c>
      <c r="I46" s="26" t="s">
        <v>12</v>
      </c>
      <c r="J46" s="23"/>
      <c r="K46" s="22" t="s">
        <v>81</v>
      </c>
    </row>
    <row r="47" spans="1:11" ht="12.75" customHeight="1" x14ac:dyDescent="0.25">
      <c r="A47" s="16">
        <v>1</v>
      </c>
      <c r="B47" s="17" t="s">
        <v>10</v>
      </c>
      <c r="C47" s="18">
        <v>250</v>
      </c>
      <c r="D47" s="19" t="s">
        <v>11</v>
      </c>
      <c r="E47" s="20" t="s">
        <v>82</v>
      </c>
      <c r="F47" s="21"/>
      <c r="G47" s="25" t="s">
        <v>12</v>
      </c>
      <c r="H47" s="16">
        <v>0.3</v>
      </c>
      <c r="I47" s="26" t="s">
        <v>12</v>
      </c>
      <c r="J47" s="23"/>
      <c r="K47" s="22" t="s">
        <v>83</v>
      </c>
    </row>
    <row r="48" spans="1:11" ht="12.75" customHeight="1" x14ac:dyDescent="0.25">
      <c r="A48" s="16">
        <v>1</v>
      </c>
      <c r="B48" s="17" t="s">
        <v>10</v>
      </c>
      <c r="C48" s="18">
        <v>200</v>
      </c>
      <c r="D48" s="19" t="s">
        <v>11</v>
      </c>
      <c r="E48" s="20" t="s">
        <v>84</v>
      </c>
      <c r="F48" s="21"/>
      <c r="G48" s="25" t="s">
        <v>12</v>
      </c>
      <c r="H48" s="16">
        <v>0.3</v>
      </c>
      <c r="I48" s="26" t="s">
        <v>12</v>
      </c>
      <c r="J48" s="23"/>
      <c r="K48" s="22" t="s">
        <v>85</v>
      </c>
    </row>
    <row r="49" spans="1:13" ht="12.75" customHeight="1" x14ac:dyDescent="0.25">
      <c r="A49" s="16">
        <v>1</v>
      </c>
      <c r="B49" s="17" t="s">
        <v>10</v>
      </c>
      <c r="C49" s="18">
        <v>1000</v>
      </c>
      <c r="D49" s="19" t="s">
        <v>11</v>
      </c>
      <c r="E49" s="20" t="s">
        <v>37</v>
      </c>
      <c r="F49" s="21"/>
      <c r="G49" s="22" t="s">
        <v>38</v>
      </c>
      <c r="H49" s="16">
        <v>1</v>
      </c>
      <c r="I49" s="19" t="s">
        <v>38</v>
      </c>
      <c r="J49" s="23"/>
      <c r="K49" s="22" t="s">
        <v>39</v>
      </c>
    </row>
    <row r="50" spans="1:13" ht="12.75" customHeight="1" x14ac:dyDescent="0.25">
      <c r="A50" s="16">
        <v>1</v>
      </c>
      <c r="B50" s="17" t="s">
        <v>10</v>
      </c>
      <c r="C50" s="18">
        <v>1000</v>
      </c>
      <c r="D50" s="19" t="s">
        <v>11</v>
      </c>
      <c r="E50" s="20" t="s">
        <v>196</v>
      </c>
      <c r="F50" s="21"/>
      <c r="G50" s="22" t="s">
        <v>38</v>
      </c>
      <c r="H50" s="16"/>
      <c r="I50" s="19" t="s">
        <v>38</v>
      </c>
      <c r="J50" s="23"/>
      <c r="K50" s="22" t="s">
        <v>197</v>
      </c>
      <c r="M50" s="24" t="s">
        <v>198</v>
      </c>
    </row>
    <row r="51" spans="1:13" ht="12.75" customHeight="1" x14ac:dyDescent="0.25">
      <c r="A51" s="16">
        <v>10</v>
      </c>
      <c r="B51" s="17" t="s">
        <v>10</v>
      </c>
      <c r="C51" s="18">
        <v>100</v>
      </c>
      <c r="D51" s="19" t="s">
        <v>11</v>
      </c>
      <c r="E51" s="20" t="s">
        <v>65</v>
      </c>
      <c r="F51" s="21"/>
      <c r="G51" s="22" t="s">
        <v>36</v>
      </c>
      <c r="H51" s="16">
        <v>7</v>
      </c>
      <c r="I51" s="19" t="s">
        <v>36</v>
      </c>
      <c r="J51" s="23"/>
      <c r="K51" s="22" t="s">
        <v>66</v>
      </c>
    </row>
    <row r="52" spans="1:13" ht="12.75" customHeight="1" x14ac:dyDescent="0.25">
      <c r="A52" s="16">
        <v>10</v>
      </c>
      <c r="B52" s="17" t="s">
        <v>10</v>
      </c>
      <c r="C52" s="18">
        <v>100</v>
      </c>
      <c r="D52" s="19" t="s">
        <v>11</v>
      </c>
      <c r="E52" s="20" t="s">
        <v>67</v>
      </c>
      <c r="F52" s="21"/>
      <c r="G52" s="22" t="s">
        <v>36</v>
      </c>
      <c r="H52" s="16">
        <v>2</v>
      </c>
      <c r="I52" s="19" t="s">
        <v>36</v>
      </c>
      <c r="J52" s="23"/>
      <c r="K52" s="22" t="s">
        <v>68</v>
      </c>
    </row>
    <row r="53" spans="1:13" ht="12.75" customHeight="1" x14ac:dyDescent="0.25">
      <c r="A53" s="16">
        <v>1</v>
      </c>
      <c r="B53" s="17" t="s">
        <v>10</v>
      </c>
      <c r="C53" s="18">
        <v>2000</v>
      </c>
      <c r="D53" s="19" t="s">
        <v>11</v>
      </c>
      <c r="E53" s="20" t="s">
        <v>199</v>
      </c>
      <c r="F53" s="21"/>
      <c r="G53" s="22" t="s">
        <v>38</v>
      </c>
      <c r="H53" s="16">
        <v>0.5</v>
      </c>
      <c r="I53" s="19" t="s">
        <v>38</v>
      </c>
      <c r="J53" s="23"/>
      <c r="K53" s="22" t="s">
        <v>142</v>
      </c>
    </row>
    <row r="54" spans="1:13" ht="12.75" customHeight="1" x14ac:dyDescent="0.25">
      <c r="A54" s="16">
        <v>1</v>
      </c>
      <c r="B54" s="17" t="s">
        <v>10</v>
      </c>
      <c r="C54" s="18">
        <v>1</v>
      </c>
      <c r="D54" s="19" t="s">
        <v>11</v>
      </c>
      <c r="E54" s="20" t="s">
        <v>40</v>
      </c>
      <c r="F54" s="21"/>
      <c r="G54" s="22" t="s">
        <v>11</v>
      </c>
      <c r="H54" s="16">
        <v>0.5</v>
      </c>
      <c r="I54" s="19" t="s">
        <v>11</v>
      </c>
      <c r="J54" s="23"/>
      <c r="K54" s="22" t="s">
        <v>41</v>
      </c>
    </row>
    <row r="55" spans="1:13" ht="12.75" customHeight="1" x14ac:dyDescent="0.25">
      <c r="A55" s="16">
        <v>1</v>
      </c>
      <c r="B55" s="17" t="s">
        <v>10</v>
      </c>
      <c r="C55" s="18">
        <v>1</v>
      </c>
      <c r="D55" s="19" t="s">
        <v>11</v>
      </c>
      <c r="E55" s="20" t="s">
        <v>42</v>
      </c>
      <c r="F55" s="21"/>
      <c r="G55" s="22" t="s">
        <v>11</v>
      </c>
      <c r="H55" s="16">
        <v>0.5</v>
      </c>
      <c r="I55" s="19" t="s">
        <v>11</v>
      </c>
      <c r="J55" s="23"/>
      <c r="K55" s="22" t="s">
        <v>192</v>
      </c>
    </row>
    <row r="56" spans="1:13" ht="12.75" customHeight="1" x14ac:dyDescent="0.25">
      <c r="A56" s="16">
        <v>1</v>
      </c>
      <c r="B56" s="17" t="s">
        <v>10</v>
      </c>
      <c r="C56" s="18">
        <v>1000</v>
      </c>
      <c r="D56" s="19" t="s">
        <v>11</v>
      </c>
      <c r="E56" s="20" t="s">
        <v>86</v>
      </c>
      <c r="F56" s="21"/>
      <c r="G56" s="25" t="s">
        <v>12</v>
      </c>
      <c r="H56" s="16">
        <v>1</v>
      </c>
      <c r="I56" s="26" t="s">
        <v>12</v>
      </c>
      <c r="J56" s="23"/>
      <c r="K56" s="22" t="s">
        <v>87</v>
      </c>
    </row>
    <row r="57" spans="1:13" ht="12.75" customHeight="1" x14ac:dyDescent="0.25">
      <c r="A57" s="16">
        <v>1</v>
      </c>
      <c r="B57" s="17" t="s">
        <v>10</v>
      </c>
      <c r="C57" s="18">
        <v>1000</v>
      </c>
      <c r="D57" s="19" t="s">
        <v>11</v>
      </c>
      <c r="E57" s="20" t="s">
        <v>88</v>
      </c>
      <c r="F57" s="21"/>
      <c r="G57" s="25" t="s">
        <v>12</v>
      </c>
      <c r="H57" s="16">
        <v>0.7</v>
      </c>
      <c r="I57" s="26" t="s">
        <v>12</v>
      </c>
      <c r="J57" s="23"/>
      <c r="K57" s="22" t="s">
        <v>89</v>
      </c>
    </row>
    <row r="58" spans="1:13" ht="12.75" customHeight="1" x14ac:dyDescent="0.25">
      <c r="A58" s="16">
        <v>1</v>
      </c>
      <c r="B58" s="17" t="s">
        <v>10</v>
      </c>
      <c r="C58" s="18">
        <v>1000</v>
      </c>
      <c r="D58" s="19" t="s">
        <v>11</v>
      </c>
      <c r="E58" s="20" t="s">
        <v>90</v>
      </c>
      <c r="F58" s="21"/>
      <c r="G58" s="25" t="s">
        <v>12</v>
      </c>
      <c r="H58" s="16">
        <v>0.5</v>
      </c>
      <c r="I58" s="26" t="s">
        <v>12</v>
      </c>
      <c r="J58" s="23"/>
      <c r="K58" s="22" t="s">
        <v>91</v>
      </c>
    </row>
    <row r="59" spans="1:13" ht="12.75" customHeight="1" x14ac:dyDescent="0.25">
      <c r="A59" s="16">
        <v>12</v>
      </c>
      <c r="B59" s="17" t="s">
        <v>10</v>
      </c>
      <c r="C59" s="18">
        <v>500</v>
      </c>
      <c r="D59" s="19" t="s">
        <v>11</v>
      </c>
      <c r="E59" s="20" t="s">
        <v>92</v>
      </c>
      <c r="F59" s="21"/>
      <c r="G59" s="25" t="s">
        <v>12</v>
      </c>
      <c r="H59" s="16">
        <v>2.5</v>
      </c>
      <c r="I59" s="26" t="s">
        <v>12</v>
      </c>
      <c r="J59" s="23"/>
      <c r="K59" s="22" t="s">
        <v>93</v>
      </c>
    </row>
    <row r="60" spans="1:13" ht="12.75" customHeight="1" x14ac:dyDescent="0.25">
      <c r="A60" s="16">
        <v>1</v>
      </c>
      <c r="B60" s="17" t="s">
        <v>10</v>
      </c>
      <c r="C60" s="18">
        <v>12</v>
      </c>
      <c r="D60" s="19" t="s">
        <v>11</v>
      </c>
      <c r="E60" s="20" t="s">
        <v>128</v>
      </c>
      <c r="F60" s="21"/>
      <c r="G60" s="22" t="s">
        <v>11</v>
      </c>
      <c r="H60" s="16">
        <v>6</v>
      </c>
      <c r="I60" s="19" t="s">
        <v>11</v>
      </c>
      <c r="J60" s="23"/>
      <c r="K60" s="22" t="s">
        <v>129</v>
      </c>
    </row>
    <row r="61" spans="1:13" ht="12.75" customHeight="1" x14ac:dyDescent="0.25">
      <c r="A61" s="16">
        <v>12</v>
      </c>
      <c r="B61" s="17" t="s">
        <v>10</v>
      </c>
      <c r="C61" s="18">
        <v>250</v>
      </c>
      <c r="D61" s="19" t="s">
        <v>11</v>
      </c>
      <c r="E61" s="20" t="s">
        <v>190</v>
      </c>
      <c r="F61" s="21"/>
      <c r="G61" s="22" t="s">
        <v>36</v>
      </c>
      <c r="H61" s="16">
        <v>4</v>
      </c>
      <c r="I61" s="19" t="s">
        <v>36</v>
      </c>
      <c r="J61" s="23"/>
      <c r="K61" s="22" t="s">
        <v>143</v>
      </c>
    </row>
    <row r="62" spans="1:13" ht="12.75" customHeight="1" x14ac:dyDescent="0.25">
      <c r="A62" s="16">
        <v>1</v>
      </c>
      <c r="B62" s="17" t="s">
        <v>10</v>
      </c>
      <c r="C62" s="18">
        <v>6</v>
      </c>
      <c r="D62" s="19" t="s">
        <v>11</v>
      </c>
      <c r="E62" s="20" t="s">
        <v>94</v>
      </c>
      <c r="F62" s="21"/>
      <c r="G62" s="22" t="s">
        <v>11</v>
      </c>
      <c r="H62" s="16">
        <v>5</v>
      </c>
      <c r="I62" s="19" t="s">
        <v>11</v>
      </c>
      <c r="J62" s="23"/>
      <c r="K62" s="22" t="s">
        <v>95</v>
      </c>
    </row>
    <row r="63" spans="1:13" ht="12.75" customHeight="1" x14ac:dyDescent="0.25">
      <c r="A63" s="16">
        <v>1</v>
      </c>
      <c r="B63" s="17" t="s">
        <v>10</v>
      </c>
      <c r="C63" s="18">
        <v>12</v>
      </c>
      <c r="D63" s="19" t="s">
        <v>123</v>
      </c>
      <c r="E63" s="20" t="s">
        <v>124</v>
      </c>
      <c r="F63" s="21"/>
      <c r="G63" s="22" t="s">
        <v>11</v>
      </c>
      <c r="H63" s="16">
        <v>7</v>
      </c>
      <c r="I63" s="19" t="s">
        <v>11</v>
      </c>
      <c r="J63" s="23"/>
      <c r="K63" s="22" t="s">
        <v>125</v>
      </c>
    </row>
    <row r="64" spans="1:13" ht="12.75" customHeight="1" x14ac:dyDescent="0.25">
      <c r="A64" s="16">
        <v>1</v>
      </c>
      <c r="B64" s="17" t="s">
        <v>10</v>
      </c>
      <c r="C64" s="18">
        <v>50</v>
      </c>
      <c r="D64" s="19" t="s">
        <v>11</v>
      </c>
      <c r="E64" s="20" t="s">
        <v>98</v>
      </c>
      <c r="F64" s="21"/>
      <c r="G64" s="22" t="s">
        <v>38</v>
      </c>
      <c r="H64" s="16">
        <v>0.5</v>
      </c>
      <c r="I64" s="19" t="s">
        <v>38</v>
      </c>
      <c r="J64" s="23"/>
      <c r="K64" s="22" t="s">
        <v>99</v>
      </c>
    </row>
    <row r="65" spans="1:11" ht="12.75" customHeight="1" x14ac:dyDescent="0.25">
      <c r="A65" s="16">
        <v>1</v>
      </c>
      <c r="B65" s="17" t="s">
        <v>10</v>
      </c>
      <c r="C65" s="18">
        <v>100</v>
      </c>
      <c r="D65" s="19" t="s">
        <v>11</v>
      </c>
      <c r="E65" s="20" t="s">
        <v>107</v>
      </c>
      <c r="F65" s="21"/>
      <c r="G65" s="22" t="s">
        <v>38</v>
      </c>
      <c r="H65" s="16">
        <v>6</v>
      </c>
      <c r="I65" s="19" t="s">
        <v>38</v>
      </c>
      <c r="J65" s="23"/>
      <c r="K65" s="22" t="s">
        <v>108</v>
      </c>
    </row>
    <row r="66" spans="1:11" ht="12.75" customHeight="1" x14ac:dyDescent="0.25">
      <c r="A66" s="16">
        <v>1</v>
      </c>
      <c r="B66" s="17" t="s">
        <v>10</v>
      </c>
      <c r="C66" s="18">
        <v>100</v>
      </c>
      <c r="D66" s="19" t="s">
        <v>11</v>
      </c>
      <c r="E66" s="20" t="s">
        <v>109</v>
      </c>
      <c r="F66" s="21"/>
      <c r="G66" s="22" t="s">
        <v>38</v>
      </c>
      <c r="H66" s="16">
        <v>11</v>
      </c>
      <c r="I66" s="19" t="s">
        <v>38</v>
      </c>
      <c r="J66" s="23"/>
      <c r="K66" s="22" t="s">
        <v>110</v>
      </c>
    </row>
    <row r="67" spans="1:11" ht="12.75" customHeight="1" x14ac:dyDescent="0.25">
      <c r="A67" s="16">
        <v>1</v>
      </c>
      <c r="B67" s="17" t="s">
        <v>10</v>
      </c>
      <c r="C67" s="18">
        <v>100</v>
      </c>
      <c r="D67" s="19" t="s">
        <v>11</v>
      </c>
      <c r="E67" s="20" t="s">
        <v>96</v>
      </c>
      <c r="F67" s="21"/>
      <c r="G67" s="22" t="s">
        <v>38</v>
      </c>
      <c r="H67" s="16">
        <v>1</v>
      </c>
      <c r="I67" s="19" t="s">
        <v>38</v>
      </c>
      <c r="J67" s="23"/>
      <c r="K67" s="22" t="s">
        <v>97</v>
      </c>
    </row>
    <row r="68" spans="1:11" ht="12.75" customHeight="1" x14ac:dyDescent="0.25">
      <c r="A68" s="16">
        <v>10</v>
      </c>
      <c r="B68" s="17" t="s">
        <v>10</v>
      </c>
      <c r="C68" s="18">
        <v>25</v>
      </c>
      <c r="D68" s="19" t="s">
        <v>11</v>
      </c>
      <c r="E68" s="20" t="s">
        <v>126</v>
      </c>
      <c r="F68" s="21"/>
      <c r="G68" s="22" t="s">
        <v>11</v>
      </c>
      <c r="H68" s="16">
        <v>8</v>
      </c>
      <c r="I68" s="19" t="s">
        <v>11</v>
      </c>
      <c r="J68" s="23"/>
      <c r="K68" s="22" t="s">
        <v>127</v>
      </c>
    </row>
    <row r="69" spans="1:11" ht="12.75" customHeight="1" x14ac:dyDescent="0.25">
      <c r="A69" s="16">
        <v>1</v>
      </c>
      <c r="B69" s="17" t="s">
        <v>10</v>
      </c>
      <c r="C69" s="18">
        <v>2</v>
      </c>
      <c r="D69" s="19" t="s">
        <v>11</v>
      </c>
      <c r="E69" s="20" t="s">
        <v>103</v>
      </c>
      <c r="F69" s="21"/>
      <c r="G69" s="22" t="s">
        <v>11</v>
      </c>
      <c r="H69" s="16">
        <v>2</v>
      </c>
      <c r="I69" s="19" t="s">
        <v>11</v>
      </c>
      <c r="J69" s="23"/>
      <c r="K69" s="22" t="s">
        <v>104</v>
      </c>
    </row>
    <row r="70" spans="1:11" ht="12.75" customHeight="1" x14ac:dyDescent="0.25">
      <c r="A70" s="16">
        <v>1</v>
      </c>
      <c r="B70" s="17" t="s">
        <v>10</v>
      </c>
      <c r="C70" s="18">
        <v>2</v>
      </c>
      <c r="D70" s="19" t="s">
        <v>11</v>
      </c>
      <c r="E70" s="20" t="s">
        <v>105</v>
      </c>
      <c r="F70" s="21"/>
      <c r="G70" s="22" t="s">
        <v>11</v>
      </c>
      <c r="H70" s="16">
        <v>3</v>
      </c>
      <c r="I70" s="19" t="s">
        <v>11</v>
      </c>
      <c r="J70" s="23"/>
      <c r="K70" s="22" t="s">
        <v>106</v>
      </c>
    </row>
    <row r="71" spans="1:11" ht="12.75" customHeight="1" x14ac:dyDescent="0.25">
      <c r="A71" s="16">
        <v>1</v>
      </c>
      <c r="B71" s="17" t="s">
        <v>10</v>
      </c>
      <c r="C71" s="18">
        <v>4</v>
      </c>
      <c r="D71" s="19" t="s">
        <v>11</v>
      </c>
      <c r="E71" s="20" t="s">
        <v>100</v>
      </c>
      <c r="F71" s="21"/>
      <c r="G71" s="22" t="s">
        <v>11</v>
      </c>
      <c r="H71" s="16">
        <v>5</v>
      </c>
      <c r="I71" s="19" t="s">
        <v>11</v>
      </c>
      <c r="J71" s="23"/>
      <c r="K71" s="27" t="s">
        <v>191</v>
      </c>
    </row>
    <row r="72" spans="1:11" ht="12.75" customHeight="1" x14ac:dyDescent="0.25">
      <c r="A72" s="16">
        <v>1</v>
      </c>
      <c r="B72" s="17" t="s">
        <v>10</v>
      </c>
      <c r="C72" s="18">
        <v>4</v>
      </c>
      <c r="D72" s="19" t="s">
        <v>11</v>
      </c>
      <c r="E72" s="20" t="s">
        <v>101</v>
      </c>
      <c r="F72" s="21"/>
      <c r="G72" s="22" t="s">
        <v>11</v>
      </c>
      <c r="H72" s="16">
        <v>2</v>
      </c>
      <c r="I72" s="19" t="s">
        <v>11</v>
      </c>
      <c r="J72" s="23"/>
      <c r="K72" s="22" t="s">
        <v>102</v>
      </c>
    </row>
    <row r="73" spans="1:11" ht="12.75" customHeight="1" x14ac:dyDescent="0.25">
      <c r="A73" s="57" t="s">
        <v>4</v>
      </c>
      <c r="B73" s="58"/>
      <c r="C73" s="58"/>
      <c r="D73" s="58"/>
      <c r="E73" s="11" t="s">
        <v>200</v>
      </c>
      <c r="F73" s="57" t="s">
        <v>6</v>
      </c>
      <c r="G73" s="59"/>
      <c r="H73" s="60" t="s">
        <v>7</v>
      </c>
      <c r="I73" s="60"/>
      <c r="J73" s="12" t="s">
        <v>8</v>
      </c>
      <c r="K73" s="12" t="s">
        <v>9</v>
      </c>
    </row>
    <row r="74" spans="1:11" ht="12.75" customHeight="1" x14ac:dyDescent="0.25">
      <c r="A74" s="3">
        <v>1</v>
      </c>
      <c r="B74" s="6" t="s">
        <v>10</v>
      </c>
      <c r="C74" s="10">
        <v>200</v>
      </c>
      <c r="D74" s="7" t="s">
        <v>11</v>
      </c>
      <c r="E74" s="8" t="s">
        <v>144</v>
      </c>
      <c r="F74" s="2"/>
      <c r="G74" s="5" t="s">
        <v>12</v>
      </c>
      <c r="H74" s="3">
        <v>0.2</v>
      </c>
      <c r="I74" s="13" t="s">
        <v>12</v>
      </c>
      <c r="J74" s="9"/>
      <c r="K74" s="1" t="s">
        <v>145</v>
      </c>
    </row>
    <row r="75" spans="1:11" ht="12.75" customHeight="1" x14ac:dyDescent="0.25">
      <c r="A75" s="3">
        <v>1</v>
      </c>
      <c r="B75" s="6" t="s">
        <v>10</v>
      </c>
      <c r="C75" s="10">
        <v>200</v>
      </c>
      <c r="D75" s="7" t="s">
        <v>11</v>
      </c>
      <c r="E75" s="8" t="s">
        <v>146</v>
      </c>
      <c r="F75" s="2"/>
      <c r="G75" s="5" t="s">
        <v>12</v>
      </c>
      <c r="H75" s="3">
        <v>0.2</v>
      </c>
      <c r="I75" s="13" t="s">
        <v>12</v>
      </c>
      <c r="J75" s="9"/>
      <c r="K75" s="1" t="s">
        <v>147</v>
      </c>
    </row>
    <row r="76" spans="1:11" ht="12.75" customHeight="1" x14ac:dyDescent="0.25">
      <c r="A76" s="3">
        <v>1</v>
      </c>
      <c r="B76" s="6" t="s">
        <v>10</v>
      </c>
      <c r="C76" s="10">
        <v>100</v>
      </c>
      <c r="D76" s="7" t="s">
        <v>11</v>
      </c>
      <c r="E76" s="8" t="s">
        <v>148</v>
      </c>
      <c r="F76" s="2"/>
      <c r="G76" s="5" t="s">
        <v>12</v>
      </c>
      <c r="H76" s="3">
        <v>1</v>
      </c>
      <c r="I76" s="13" t="s">
        <v>12</v>
      </c>
      <c r="J76" s="9"/>
      <c r="K76" s="1" t="s">
        <v>149</v>
      </c>
    </row>
    <row r="77" spans="1:11" ht="12.75" customHeight="1" x14ac:dyDescent="0.25">
      <c r="A77" s="3">
        <v>1</v>
      </c>
      <c r="B77" s="6" t="s">
        <v>10</v>
      </c>
      <c r="C77" s="10">
        <v>100</v>
      </c>
      <c r="D77" s="7" t="s">
        <v>11</v>
      </c>
      <c r="E77" s="8" t="s">
        <v>150</v>
      </c>
      <c r="F77" s="2"/>
      <c r="G77" s="5" t="s">
        <v>12</v>
      </c>
      <c r="H77" s="3">
        <v>3</v>
      </c>
      <c r="I77" s="13" t="s">
        <v>12</v>
      </c>
      <c r="J77" s="9"/>
      <c r="K77" s="1" t="s">
        <v>151</v>
      </c>
    </row>
    <row r="78" spans="1:11" ht="12.75" customHeight="1" x14ac:dyDescent="0.25">
      <c r="A78" s="3">
        <v>1</v>
      </c>
      <c r="B78" s="6" t="s">
        <v>10</v>
      </c>
      <c r="C78" s="10">
        <v>100</v>
      </c>
      <c r="D78" s="7" t="s">
        <v>11</v>
      </c>
      <c r="E78" s="8" t="s">
        <v>152</v>
      </c>
      <c r="F78" s="2"/>
      <c r="G78" s="5" t="s">
        <v>12</v>
      </c>
      <c r="H78" s="3">
        <v>3</v>
      </c>
      <c r="I78" s="13" t="s">
        <v>12</v>
      </c>
      <c r="J78" s="9"/>
      <c r="K78" s="1" t="s">
        <v>153</v>
      </c>
    </row>
    <row r="79" spans="1:11" ht="12.75" customHeight="1" x14ac:dyDescent="0.25">
      <c r="A79" s="3">
        <v>1</v>
      </c>
      <c r="B79" s="6" t="s">
        <v>10</v>
      </c>
      <c r="C79" s="10">
        <v>50</v>
      </c>
      <c r="D79" s="7" t="s">
        <v>11</v>
      </c>
      <c r="E79" s="8" t="s">
        <v>154</v>
      </c>
      <c r="F79" s="2"/>
      <c r="G79" s="5" t="s">
        <v>12</v>
      </c>
      <c r="H79" s="3">
        <v>2</v>
      </c>
      <c r="I79" s="13" t="s">
        <v>12</v>
      </c>
      <c r="J79" s="9"/>
      <c r="K79" s="1" t="s">
        <v>155</v>
      </c>
    </row>
    <row r="80" spans="1:11" ht="12.75" customHeight="1" x14ac:dyDescent="0.25">
      <c r="A80" s="3">
        <v>1</v>
      </c>
      <c r="B80" s="6" t="s">
        <v>10</v>
      </c>
      <c r="C80" s="10">
        <v>50</v>
      </c>
      <c r="D80" s="7" t="s">
        <v>11</v>
      </c>
      <c r="E80" s="8" t="s">
        <v>157</v>
      </c>
      <c r="F80" s="2"/>
      <c r="G80" s="5" t="s">
        <v>12</v>
      </c>
      <c r="H80" s="3">
        <v>1</v>
      </c>
      <c r="I80" s="13" t="s">
        <v>12</v>
      </c>
      <c r="J80" s="9"/>
      <c r="K80" s="1" t="s">
        <v>158</v>
      </c>
    </row>
    <row r="81" spans="1:11" ht="12.75" customHeight="1" x14ac:dyDescent="0.25">
      <c r="A81" s="3">
        <v>1</v>
      </c>
      <c r="B81" s="6" t="s">
        <v>10</v>
      </c>
      <c r="C81" s="10">
        <v>50</v>
      </c>
      <c r="D81" s="7" t="s">
        <v>11</v>
      </c>
      <c r="E81" s="8" t="s">
        <v>156</v>
      </c>
      <c r="F81" s="2"/>
      <c r="G81" s="5" t="s">
        <v>12</v>
      </c>
      <c r="H81" s="3">
        <v>0.5</v>
      </c>
      <c r="I81" s="13" t="s">
        <v>12</v>
      </c>
      <c r="J81" s="9"/>
      <c r="K81" s="1" t="s">
        <v>201</v>
      </c>
    </row>
    <row r="82" spans="1:11" ht="12.75" customHeight="1" x14ac:dyDescent="0.25">
      <c r="A82" s="3">
        <v>1</v>
      </c>
      <c r="B82" s="6" t="s">
        <v>10</v>
      </c>
      <c r="C82" s="10">
        <v>50</v>
      </c>
      <c r="D82" s="7" t="s">
        <v>11</v>
      </c>
      <c r="E82" s="8" t="s">
        <v>159</v>
      </c>
      <c r="F82" s="2"/>
      <c r="G82" s="1" t="s">
        <v>11</v>
      </c>
      <c r="H82" s="3">
        <v>10</v>
      </c>
      <c r="I82" s="7" t="s">
        <v>11</v>
      </c>
      <c r="J82" s="9"/>
      <c r="K82" s="1" t="s">
        <v>160</v>
      </c>
    </row>
    <row r="83" spans="1:11" ht="12.75" customHeight="1" x14ac:dyDescent="0.25">
      <c r="A83" s="3">
        <v>1</v>
      </c>
      <c r="B83" s="6" t="s">
        <v>10</v>
      </c>
      <c r="C83" s="10">
        <v>50</v>
      </c>
      <c r="D83" s="7" t="s">
        <v>11</v>
      </c>
      <c r="E83" s="8" t="s">
        <v>161</v>
      </c>
      <c r="F83" s="2"/>
      <c r="G83" s="1" t="s">
        <v>11</v>
      </c>
      <c r="H83" s="3">
        <v>10</v>
      </c>
      <c r="I83" s="7" t="s">
        <v>11</v>
      </c>
      <c r="J83" s="9"/>
      <c r="K83" s="1" t="s">
        <v>162</v>
      </c>
    </row>
    <row r="84" spans="1:11" ht="12.75" customHeight="1" x14ac:dyDescent="0.25">
      <c r="A84" s="3">
        <v>1</v>
      </c>
      <c r="B84" s="6" t="s">
        <v>10</v>
      </c>
      <c r="C84" s="10">
        <v>144</v>
      </c>
      <c r="D84" s="7" t="s">
        <v>11</v>
      </c>
      <c r="E84" s="8" t="s">
        <v>163</v>
      </c>
      <c r="F84" s="2"/>
      <c r="G84" s="5" t="s">
        <v>12</v>
      </c>
      <c r="H84" s="3">
        <v>2</v>
      </c>
      <c r="I84" s="13" t="s">
        <v>12</v>
      </c>
      <c r="J84" s="9"/>
      <c r="K84" s="1" t="s">
        <v>164</v>
      </c>
    </row>
    <row r="85" spans="1:11" ht="12.75" customHeight="1" x14ac:dyDescent="0.25">
      <c r="A85" s="3">
        <v>1</v>
      </c>
      <c r="B85" s="6" t="s">
        <v>10</v>
      </c>
      <c r="C85" s="10">
        <v>144</v>
      </c>
      <c r="D85" s="7" t="s">
        <v>11</v>
      </c>
      <c r="E85" s="8" t="s">
        <v>165</v>
      </c>
      <c r="F85" s="2"/>
      <c r="G85" s="5" t="s">
        <v>12</v>
      </c>
      <c r="H85" s="3">
        <v>2</v>
      </c>
      <c r="I85" s="13" t="s">
        <v>12</v>
      </c>
      <c r="J85" s="9"/>
      <c r="K85" s="1" t="s">
        <v>166</v>
      </c>
    </row>
    <row r="86" spans="1:11" ht="12.75" customHeight="1" x14ac:dyDescent="0.25">
      <c r="A86" s="3">
        <v>1</v>
      </c>
      <c r="B86" s="6" t="s">
        <v>10</v>
      </c>
      <c r="C86" s="10">
        <v>72</v>
      </c>
      <c r="D86" s="7" t="s">
        <v>11</v>
      </c>
      <c r="E86" s="4" t="s">
        <v>167</v>
      </c>
      <c r="F86" s="2"/>
      <c r="G86" s="5" t="s">
        <v>12</v>
      </c>
      <c r="H86" s="3">
        <v>2</v>
      </c>
      <c r="I86" s="13" t="s">
        <v>12</v>
      </c>
      <c r="J86" s="9"/>
      <c r="K86" s="1" t="s">
        <v>193</v>
      </c>
    </row>
    <row r="87" spans="1:11" ht="12.75" customHeight="1" x14ac:dyDescent="0.25">
      <c r="A87" s="3">
        <v>1</v>
      </c>
      <c r="B87" s="6" t="s">
        <v>10</v>
      </c>
      <c r="C87" s="10">
        <v>25</v>
      </c>
      <c r="D87" s="7" t="s">
        <v>11</v>
      </c>
      <c r="E87" s="8" t="s">
        <v>168</v>
      </c>
      <c r="F87" s="2"/>
      <c r="G87" s="1" t="s">
        <v>11</v>
      </c>
      <c r="H87" s="3">
        <v>20</v>
      </c>
      <c r="I87" s="7" t="s">
        <v>11</v>
      </c>
      <c r="J87" s="9"/>
      <c r="K87" s="1" t="s">
        <v>169</v>
      </c>
    </row>
    <row r="88" spans="1:11" ht="12.75" customHeight="1" x14ac:dyDescent="0.25">
      <c r="A88" s="3">
        <v>1</v>
      </c>
      <c r="B88" s="6" t="s">
        <v>10</v>
      </c>
      <c r="C88" s="10">
        <v>72</v>
      </c>
      <c r="D88" s="7" t="s">
        <v>11</v>
      </c>
      <c r="E88" s="8" t="s">
        <v>170</v>
      </c>
      <c r="F88" s="2"/>
      <c r="G88" s="5" t="s">
        <v>12</v>
      </c>
      <c r="H88" s="3">
        <v>1</v>
      </c>
      <c r="I88" s="13" t="s">
        <v>12</v>
      </c>
      <c r="J88" s="9"/>
      <c r="K88" s="1" t="s">
        <v>171</v>
      </c>
    </row>
    <row r="89" spans="1:11" ht="12.75" customHeight="1" x14ac:dyDescent="0.25">
      <c r="A89" s="3">
        <v>1</v>
      </c>
      <c r="B89" s="6" t="s">
        <v>10</v>
      </c>
      <c r="C89" s="10">
        <v>400</v>
      </c>
      <c r="D89" s="7" t="s">
        <v>11</v>
      </c>
      <c r="E89" s="8" t="s">
        <v>186</v>
      </c>
      <c r="F89" s="2"/>
      <c r="G89" s="5" t="s">
        <v>12</v>
      </c>
      <c r="H89" s="3">
        <v>2.5</v>
      </c>
      <c r="I89" s="13" t="s">
        <v>12</v>
      </c>
      <c r="J89" s="9"/>
      <c r="K89" s="1" t="s">
        <v>187</v>
      </c>
    </row>
    <row r="90" spans="1:11" ht="12.75" customHeight="1" x14ac:dyDescent="0.25">
      <c r="A90" s="3">
        <v>1</v>
      </c>
      <c r="B90" s="6" t="s">
        <v>10</v>
      </c>
      <c r="C90" s="10">
        <v>20</v>
      </c>
      <c r="D90" s="7" t="s">
        <v>11</v>
      </c>
      <c r="E90" s="8" t="s">
        <v>172</v>
      </c>
      <c r="F90" s="2"/>
      <c r="G90" s="1" t="s">
        <v>11</v>
      </c>
      <c r="H90" s="3">
        <v>15</v>
      </c>
      <c r="I90" s="7" t="s">
        <v>11</v>
      </c>
      <c r="J90" s="9"/>
      <c r="K90" s="1" t="s">
        <v>173</v>
      </c>
    </row>
  </sheetData>
  <sheetProtection selectLockedCells="1"/>
  <dataConsolidate/>
  <mergeCells count="10">
    <mergeCell ref="A73:D73"/>
    <mergeCell ref="F73:G73"/>
    <mergeCell ref="H73:I73"/>
    <mergeCell ref="B1:E1"/>
    <mergeCell ref="H1:J1"/>
    <mergeCell ref="B2:E2"/>
    <mergeCell ref="H2:J2"/>
    <mergeCell ref="A4:D4"/>
    <mergeCell ref="F4:G4"/>
    <mergeCell ref="H4:I4"/>
  </mergeCells>
  <conditionalFormatting sqref="J5:J72">
    <cfRule type="cellIs" dxfId="14" priority="5" operator="lessThan">
      <formula>0</formula>
    </cfRule>
    <cfRule type="cellIs" dxfId="13" priority="6" operator="equal">
      <formula>0</formula>
    </cfRule>
  </conditionalFormatting>
  <conditionalFormatting sqref="J74:J90">
    <cfRule type="cellIs" dxfId="12" priority="1" operator="lessThan">
      <formula>0</formula>
    </cfRule>
    <cfRule type="cellIs" dxfId="11" priority="2" operator="equal">
      <formula>0</formula>
    </cfRule>
  </conditionalFormatting>
  <pageMargins left="0.25" right="0.25" top="0.7" bottom="0.5" header="0.25" footer="0.25"/>
  <pageSetup orientation="portrait" r:id="rId1"/>
  <headerFooter>
    <oddHeader>&amp;L&amp;"Aptos Narrow,Bold"&amp;14NORTH&amp;C&amp;"Aptos Narrow,Bold"&amp;14LEONARD PAPER
&amp;8Inventory - Tue, 11AM&amp;R&amp;"Aptos Narrow,Bold"&amp;14TUE for WED - &amp;UVN&amp;"Aptos Narrow,Regular"&amp;U
&amp;7 Printed &amp;D &amp;T</oddHeader>
    <oddFooter>&amp;C&amp;"Aptos Narrow,Regular"&amp;7REP: MJ LEONARD CELL: 410-458-6136 - EMAIL: mjleonard@leonardpaper.com
&amp;Z&amp;F(GV 8/14/26)&amp;R&amp;"Aptos Narrow,Regular"&amp;7&amp;P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1E01-882A-438F-9B63-18BCA332D6A9}">
  <dimension ref="A1:M90"/>
  <sheetViews>
    <sheetView zoomScale="130" zoomScaleNormal="130" zoomScalePageLayoutView="130" workbookViewId="0">
      <selection activeCell="K13" sqref="K13"/>
    </sheetView>
  </sheetViews>
  <sheetFormatPr defaultRowHeight="12.75" customHeight="1" x14ac:dyDescent="0.25"/>
  <cols>
    <col min="1" max="1" width="5.42578125" style="35" customWidth="1"/>
    <col min="2" max="2" width="1.7109375" style="32" bestFit="1" customWidth="1"/>
    <col min="3" max="3" width="5" style="33" bestFit="1" customWidth="1"/>
    <col min="4" max="4" width="3.140625" style="33" bestFit="1" customWidth="1"/>
    <col min="5" max="5" width="21.7109375" style="24" bestFit="1" customWidth="1"/>
    <col min="6" max="7" width="5.5703125" style="24" customWidth="1"/>
    <col min="8" max="8" width="4.85546875" style="24" bestFit="1" customWidth="1"/>
    <col min="9" max="9" width="4.7109375" style="24" bestFit="1" customWidth="1"/>
    <col min="10" max="10" width="5.140625" style="24" customWidth="1"/>
    <col min="11" max="11" width="11.5703125" style="24" bestFit="1" customWidth="1"/>
    <col min="12" max="12" width="1.42578125" style="24" customWidth="1"/>
    <col min="13" max="14" width="4.7109375" style="24" customWidth="1"/>
    <col min="15" max="16384" width="9.140625" style="24"/>
  </cols>
  <sheetData>
    <row r="1" spans="1:11" ht="12.75" customHeight="1" x14ac:dyDescent="0.25">
      <c r="A1" s="28" t="s">
        <v>0</v>
      </c>
      <c r="B1" s="56"/>
      <c r="C1" s="56"/>
      <c r="D1" s="56"/>
      <c r="E1" s="56"/>
      <c r="F1" s="35"/>
      <c r="G1" s="28" t="s">
        <v>1</v>
      </c>
      <c r="H1" s="56"/>
      <c r="I1" s="56"/>
      <c r="J1" s="56"/>
    </row>
    <row r="2" spans="1:11" ht="12.75" customHeight="1" x14ac:dyDescent="0.25">
      <c r="A2" s="28" t="s">
        <v>2</v>
      </c>
      <c r="B2" s="56"/>
      <c r="C2" s="56"/>
      <c r="D2" s="56"/>
      <c r="E2" s="56"/>
      <c r="F2" s="35"/>
      <c r="G2" s="28" t="s">
        <v>3</v>
      </c>
      <c r="H2" s="56"/>
      <c r="I2" s="56"/>
      <c r="J2" s="56"/>
    </row>
    <row r="3" spans="1:11" ht="5.25" customHeight="1" x14ac:dyDescent="0.25">
      <c r="A3" s="28"/>
      <c r="B3" s="29"/>
      <c r="C3" s="30"/>
      <c r="D3" s="30"/>
      <c r="E3" s="31"/>
      <c r="F3" s="31"/>
      <c r="G3" s="32"/>
      <c r="H3" s="32"/>
      <c r="I3" s="33"/>
      <c r="J3" s="33"/>
      <c r="K3" s="31"/>
    </row>
    <row r="4" spans="1:11" s="34" customFormat="1" ht="12.75" customHeight="1" x14ac:dyDescent="0.25">
      <c r="A4" s="52" t="s">
        <v>4</v>
      </c>
      <c r="B4" s="53"/>
      <c r="C4" s="53"/>
      <c r="D4" s="53"/>
      <c r="E4" s="14" t="s">
        <v>5</v>
      </c>
      <c r="F4" s="52" t="s">
        <v>6</v>
      </c>
      <c r="G4" s="54"/>
      <c r="H4" s="55" t="s">
        <v>7</v>
      </c>
      <c r="I4" s="55"/>
      <c r="J4" s="15" t="s">
        <v>8</v>
      </c>
      <c r="K4" s="15" t="s">
        <v>9</v>
      </c>
    </row>
    <row r="5" spans="1:11" ht="12.75" customHeight="1" x14ac:dyDescent="0.25">
      <c r="A5" s="16">
        <v>20</v>
      </c>
      <c r="B5" s="17" t="s">
        <v>10</v>
      </c>
      <c r="C5" s="18">
        <v>50</v>
      </c>
      <c r="D5" s="19" t="s">
        <v>11</v>
      </c>
      <c r="E5" s="20" t="s">
        <v>188</v>
      </c>
      <c r="F5" s="21"/>
      <c r="G5" s="22" t="s">
        <v>14</v>
      </c>
      <c r="H5" s="16">
        <v>6</v>
      </c>
      <c r="I5" s="19" t="s">
        <v>14</v>
      </c>
      <c r="J5" s="23"/>
      <c r="K5" s="22" t="s">
        <v>189</v>
      </c>
    </row>
    <row r="6" spans="1:11" ht="12.75" customHeight="1" x14ac:dyDescent="0.25">
      <c r="A6" s="16">
        <v>20</v>
      </c>
      <c r="B6" s="17" t="s">
        <v>10</v>
      </c>
      <c r="C6" s="18">
        <v>50</v>
      </c>
      <c r="D6" s="19" t="s">
        <v>11</v>
      </c>
      <c r="E6" s="20" t="s">
        <v>111</v>
      </c>
      <c r="F6" s="21"/>
      <c r="G6" s="22" t="s">
        <v>14</v>
      </c>
      <c r="H6" s="16">
        <v>6</v>
      </c>
      <c r="I6" s="19" t="s">
        <v>14</v>
      </c>
      <c r="J6" s="23"/>
      <c r="K6" s="22" t="s">
        <v>112</v>
      </c>
    </row>
    <row r="7" spans="1:11" ht="12.75" customHeight="1" x14ac:dyDescent="0.25">
      <c r="A7" s="16">
        <v>15</v>
      </c>
      <c r="B7" s="17" t="s">
        <v>10</v>
      </c>
      <c r="C7" s="18">
        <v>40</v>
      </c>
      <c r="D7" s="19" t="s">
        <v>11</v>
      </c>
      <c r="E7" s="20" t="s">
        <v>113</v>
      </c>
      <c r="F7" s="21"/>
      <c r="G7" s="22" t="s">
        <v>14</v>
      </c>
      <c r="H7" s="16">
        <v>6</v>
      </c>
      <c r="I7" s="19" t="s">
        <v>14</v>
      </c>
      <c r="J7" s="23"/>
      <c r="K7" s="22" t="s">
        <v>114</v>
      </c>
    </row>
    <row r="8" spans="1:11" ht="12.75" customHeight="1" x14ac:dyDescent="0.25">
      <c r="A8" s="16">
        <v>20</v>
      </c>
      <c r="B8" s="17" t="s">
        <v>10</v>
      </c>
      <c r="C8" s="18">
        <v>50</v>
      </c>
      <c r="D8" s="19" t="s">
        <v>11</v>
      </c>
      <c r="E8" s="20" t="s">
        <v>115</v>
      </c>
      <c r="F8" s="21"/>
      <c r="G8" s="22" t="s">
        <v>14</v>
      </c>
      <c r="H8" s="16">
        <v>2</v>
      </c>
      <c r="I8" s="19" t="s">
        <v>14</v>
      </c>
      <c r="J8" s="23"/>
      <c r="K8" s="22" t="s">
        <v>116</v>
      </c>
    </row>
    <row r="9" spans="1:11" ht="12.75" customHeight="1" x14ac:dyDescent="0.25">
      <c r="A9" s="16">
        <v>1</v>
      </c>
      <c r="B9" s="17" t="s">
        <v>10</v>
      </c>
      <c r="C9" s="18">
        <v>1000</v>
      </c>
      <c r="D9" s="19" t="s">
        <v>11</v>
      </c>
      <c r="E9" s="20" t="s">
        <v>194</v>
      </c>
      <c r="F9" s="21"/>
      <c r="G9" s="22" t="s">
        <v>14</v>
      </c>
      <c r="H9" s="16">
        <v>4</v>
      </c>
      <c r="I9" s="19" t="s">
        <v>14</v>
      </c>
      <c r="J9" s="23"/>
      <c r="K9" s="22" t="s">
        <v>195</v>
      </c>
    </row>
    <row r="10" spans="1:11" ht="12.75" customHeight="1" x14ac:dyDescent="0.25">
      <c r="A10" s="16">
        <v>1</v>
      </c>
      <c r="B10" s="17" t="s">
        <v>10</v>
      </c>
      <c r="C10" s="18">
        <v>1000</v>
      </c>
      <c r="D10" s="19" t="s">
        <v>11</v>
      </c>
      <c r="E10" s="20" t="s">
        <v>117</v>
      </c>
      <c r="F10" s="21"/>
      <c r="G10" s="25" t="s">
        <v>12</v>
      </c>
      <c r="H10" s="16">
        <v>1</v>
      </c>
      <c r="I10" s="26" t="s">
        <v>12</v>
      </c>
      <c r="J10" s="23"/>
      <c r="K10" s="22" t="s">
        <v>118</v>
      </c>
    </row>
    <row r="11" spans="1:11" ht="12.75" customHeight="1" x14ac:dyDescent="0.25">
      <c r="A11" s="16">
        <v>10</v>
      </c>
      <c r="B11" s="17" t="s">
        <v>10</v>
      </c>
      <c r="C11" s="18">
        <v>250</v>
      </c>
      <c r="D11" s="19" t="s">
        <v>11</v>
      </c>
      <c r="E11" s="20" t="s">
        <v>13</v>
      </c>
      <c r="F11" s="21"/>
      <c r="G11" s="22" t="s">
        <v>14</v>
      </c>
      <c r="H11" s="16">
        <v>5</v>
      </c>
      <c r="I11" s="19" t="s">
        <v>14</v>
      </c>
      <c r="J11" s="23"/>
      <c r="K11" s="22" t="s">
        <v>15</v>
      </c>
    </row>
    <row r="12" spans="1:11" ht="12.75" customHeight="1" x14ac:dyDescent="0.25">
      <c r="A12" s="16">
        <v>20</v>
      </c>
      <c r="B12" s="17" t="s">
        <v>10</v>
      </c>
      <c r="C12" s="18">
        <v>125</v>
      </c>
      <c r="D12" s="19" t="s">
        <v>11</v>
      </c>
      <c r="E12" s="20" t="s">
        <v>16</v>
      </c>
      <c r="F12" s="21"/>
      <c r="G12" s="22" t="s">
        <v>14</v>
      </c>
      <c r="H12" s="16">
        <v>6</v>
      </c>
      <c r="I12" s="19" t="s">
        <v>14</v>
      </c>
      <c r="J12" s="23"/>
      <c r="K12" s="22" t="s">
        <v>17</v>
      </c>
    </row>
    <row r="13" spans="1:11" ht="12.75" customHeight="1" x14ac:dyDescent="0.25">
      <c r="A13" s="16">
        <v>10</v>
      </c>
      <c r="B13" s="17" t="s">
        <v>10</v>
      </c>
      <c r="C13" s="18">
        <v>250</v>
      </c>
      <c r="D13" s="19" t="s">
        <v>11</v>
      </c>
      <c r="E13" s="20" t="s">
        <v>18</v>
      </c>
      <c r="F13" s="21"/>
      <c r="G13" s="22" t="s">
        <v>14</v>
      </c>
      <c r="H13" s="16">
        <v>8</v>
      </c>
      <c r="I13" s="19" t="s">
        <v>14</v>
      </c>
      <c r="J13" s="23"/>
      <c r="K13" s="22" t="s">
        <v>19</v>
      </c>
    </row>
    <row r="14" spans="1:11" ht="12.75" customHeight="1" x14ac:dyDescent="0.25">
      <c r="A14" s="16">
        <v>20</v>
      </c>
      <c r="B14" s="17" t="s">
        <v>10</v>
      </c>
      <c r="C14" s="18">
        <v>50</v>
      </c>
      <c r="D14" s="19" t="s">
        <v>11</v>
      </c>
      <c r="E14" s="20" t="s">
        <v>130</v>
      </c>
      <c r="F14" s="21"/>
      <c r="G14" s="22" t="s">
        <v>14</v>
      </c>
      <c r="H14" s="16">
        <v>10</v>
      </c>
      <c r="I14" s="19" t="s">
        <v>14</v>
      </c>
      <c r="J14" s="23"/>
      <c r="K14" s="22" t="s">
        <v>131</v>
      </c>
    </row>
    <row r="15" spans="1:11" ht="12.75" customHeight="1" x14ac:dyDescent="0.25">
      <c r="A15" s="16">
        <v>20</v>
      </c>
      <c r="B15" s="17" t="s">
        <v>10</v>
      </c>
      <c r="C15" s="18">
        <v>50</v>
      </c>
      <c r="D15" s="19" t="s">
        <v>11</v>
      </c>
      <c r="E15" s="20" t="s">
        <v>132</v>
      </c>
      <c r="F15" s="21"/>
      <c r="G15" s="22" t="s">
        <v>14</v>
      </c>
      <c r="H15" s="16">
        <v>10</v>
      </c>
      <c r="I15" s="19" t="s">
        <v>14</v>
      </c>
      <c r="J15" s="23"/>
      <c r="K15" s="22" t="s">
        <v>133</v>
      </c>
    </row>
    <row r="16" spans="1:11" ht="12.75" customHeight="1" x14ac:dyDescent="0.25">
      <c r="A16" s="16">
        <v>10</v>
      </c>
      <c r="B16" s="17" t="s">
        <v>10</v>
      </c>
      <c r="C16" s="18">
        <v>100</v>
      </c>
      <c r="D16" s="19" t="s">
        <v>11</v>
      </c>
      <c r="E16" s="20" t="s">
        <v>134</v>
      </c>
      <c r="F16" s="21"/>
      <c r="G16" s="22" t="s">
        <v>14</v>
      </c>
      <c r="H16" s="16">
        <v>5</v>
      </c>
      <c r="I16" s="19" t="s">
        <v>14</v>
      </c>
      <c r="J16" s="23"/>
      <c r="K16" s="22" t="s">
        <v>135</v>
      </c>
    </row>
    <row r="17" spans="1:11" ht="12.75" customHeight="1" x14ac:dyDescent="0.25">
      <c r="A17" s="16">
        <v>4</v>
      </c>
      <c r="B17" s="17" t="s">
        <v>10</v>
      </c>
      <c r="C17" s="18">
        <v>150</v>
      </c>
      <c r="D17" s="19" t="s">
        <v>11</v>
      </c>
      <c r="E17" s="20" t="s">
        <v>22</v>
      </c>
      <c r="F17" s="21"/>
      <c r="G17" s="22" t="s">
        <v>14</v>
      </c>
      <c r="H17" s="16">
        <v>2</v>
      </c>
      <c r="I17" s="19" t="s">
        <v>14</v>
      </c>
      <c r="J17" s="23"/>
      <c r="K17" s="22" t="s">
        <v>23</v>
      </c>
    </row>
    <row r="18" spans="1:11" ht="12.75" customHeight="1" x14ac:dyDescent="0.25">
      <c r="A18" s="16">
        <v>1</v>
      </c>
      <c r="B18" s="17" t="s">
        <v>10</v>
      </c>
      <c r="C18" s="18">
        <v>150</v>
      </c>
      <c r="D18" s="19" t="s">
        <v>11</v>
      </c>
      <c r="E18" s="20" t="s">
        <v>24</v>
      </c>
      <c r="F18" s="21"/>
      <c r="G18" s="25" t="s">
        <v>12</v>
      </c>
      <c r="H18" s="16">
        <v>2</v>
      </c>
      <c r="I18" s="26" t="s">
        <v>12</v>
      </c>
      <c r="J18" s="23"/>
      <c r="K18" s="22" t="s">
        <v>25</v>
      </c>
    </row>
    <row r="19" spans="1:11" ht="12.75" customHeight="1" x14ac:dyDescent="0.25">
      <c r="A19" s="16">
        <v>4</v>
      </c>
      <c r="B19" s="17" t="s">
        <v>10</v>
      </c>
      <c r="C19" s="18">
        <v>63</v>
      </c>
      <c r="D19" s="19" t="s">
        <v>11</v>
      </c>
      <c r="E19" s="20" t="s">
        <v>26</v>
      </c>
      <c r="F19" s="21"/>
      <c r="G19" s="22" t="s">
        <v>14</v>
      </c>
      <c r="H19" s="16">
        <v>2</v>
      </c>
      <c r="I19" s="19" t="s">
        <v>14</v>
      </c>
      <c r="J19" s="23"/>
      <c r="K19" s="22" t="s">
        <v>27</v>
      </c>
    </row>
    <row r="20" spans="1:11" ht="12.75" customHeight="1" x14ac:dyDescent="0.25">
      <c r="A20" s="16">
        <v>4</v>
      </c>
      <c r="B20" s="17" t="s">
        <v>10</v>
      </c>
      <c r="C20" s="18">
        <v>63</v>
      </c>
      <c r="D20" s="19" t="s">
        <v>11</v>
      </c>
      <c r="E20" s="20" t="s">
        <v>28</v>
      </c>
      <c r="F20" s="21"/>
      <c r="G20" s="22" t="s">
        <v>14</v>
      </c>
      <c r="H20" s="16">
        <v>2</v>
      </c>
      <c r="I20" s="19" t="s">
        <v>14</v>
      </c>
      <c r="J20" s="23"/>
      <c r="K20" s="22" t="s">
        <v>29</v>
      </c>
    </row>
    <row r="21" spans="1:11" ht="12.75" customHeight="1" x14ac:dyDescent="0.25">
      <c r="A21" s="16">
        <v>4</v>
      </c>
      <c r="B21" s="17" t="s">
        <v>10</v>
      </c>
      <c r="C21" s="18">
        <v>63</v>
      </c>
      <c r="D21" s="19" t="s">
        <v>11</v>
      </c>
      <c r="E21" s="20" t="s">
        <v>30</v>
      </c>
      <c r="F21" s="21"/>
      <c r="G21" s="22" t="s">
        <v>14</v>
      </c>
      <c r="H21" s="16">
        <v>2</v>
      </c>
      <c r="I21" s="19" t="s">
        <v>14</v>
      </c>
      <c r="J21" s="23"/>
      <c r="K21" s="22" t="s">
        <v>31</v>
      </c>
    </row>
    <row r="22" spans="1:11" ht="12.75" customHeight="1" x14ac:dyDescent="0.25">
      <c r="A22" s="16">
        <v>2</v>
      </c>
      <c r="B22" s="17" t="s">
        <v>10</v>
      </c>
      <c r="C22" s="18">
        <v>125</v>
      </c>
      <c r="D22" s="19" t="s">
        <v>11</v>
      </c>
      <c r="E22" s="20" t="s">
        <v>32</v>
      </c>
      <c r="F22" s="21"/>
      <c r="G22" s="22" t="s">
        <v>14</v>
      </c>
      <c r="H22" s="16">
        <v>1</v>
      </c>
      <c r="I22" s="19" t="s">
        <v>14</v>
      </c>
      <c r="J22" s="23"/>
      <c r="K22" s="22" t="s">
        <v>33</v>
      </c>
    </row>
    <row r="23" spans="1:11" ht="12.75" customHeight="1" x14ac:dyDescent="0.25">
      <c r="A23" s="16">
        <v>1</v>
      </c>
      <c r="B23" s="17" t="s">
        <v>10</v>
      </c>
      <c r="C23" s="18">
        <v>100</v>
      </c>
      <c r="D23" s="19" t="s">
        <v>11</v>
      </c>
      <c r="E23" s="20" t="s">
        <v>34</v>
      </c>
      <c r="F23" s="21"/>
      <c r="G23" s="25" t="s">
        <v>12</v>
      </c>
      <c r="H23" s="16">
        <v>0.4</v>
      </c>
      <c r="I23" s="26" t="s">
        <v>12</v>
      </c>
      <c r="J23" s="23"/>
      <c r="K23" s="22" t="s">
        <v>35</v>
      </c>
    </row>
    <row r="24" spans="1:11" ht="12.75" customHeight="1" x14ac:dyDescent="0.25">
      <c r="A24" s="16">
        <v>1</v>
      </c>
      <c r="B24" s="17" t="s">
        <v>10</v>
      </c>
      <c r="C24" s="18">
        <v>250</v>
      </c>
      <c r="D24" s="19" t="s">
        <v>11</v>
      </c>
      <c r="E24" s="20" t="s">
        <v>20</v>
      </c>
      <c r="F24" s="21"/>
      <c r="G24" s="25" t="s">
        <v>12</v>
      </c>
      <c r="H24" s="16">
        <v>1.2</v>
      </c>
      <c r="I24" s="26" t="s">
        <v>12</v>
      </c>
      <c r="J24" s="23"/>
      <c r="K24" s="22" t="s">
        <v>21</v>
      </c>
    </row>
    <row r="25" spans="1:11" ht="12.75" customHeight="1" x14ac:dyDescent="0.25">
      <c r="A25" s="16">
        <v>1</v>
      </c>
      <c r="B25" s="17" t="s">
        <v>10</v>
      </c>
      <c r="C25" s="18">
        <v>500</v>
      </c>
      <c r="D25" s="19" t="s">
        <v>11</v>
      </c>
      <c r="E25" s="20" t="s">
        <v>43</v>
      </c>
      <c r="F25" s="21"/>
      <c r="G25" s="22" t="s">
        <v>14</v>
      </c>
      <c r="H25" s="16">
        <v>0.5</v>
      </c>
      <c r="I25" s="19" t="s">
        <v>14</v>
      </c>
      <c r="J25" s="23"/>
      <c r="K25" s="22" t="s">
        <v>44</v>
      </c>
    </row>
    <row r="26" spans="1:11" ht="12.75" customHeight="1" x14ac:dyDescent="0.25">
      <c r="A26" s="16">
        <v>2</v>
      </c>
      <c r="B26" s="17" t="s">
        <v>10</v>
      </c>
      <c r="C26" s="18">
        <v>250</v>
      </c>
      <c r="D26" s="19" t="s">
        <v>11</v>
      </c>
      <c r="E26" s="20" t="s">
        <v>45</v>
      </c>
      <c r="F26" s="21"/>
      <c r="G26" s="22" t="s">
        <v>14</v>
      </c>
      <c r="H26" s="16">
        <v>0.5</v>
      </c>
      <c r="I26" s="19" t="s">
        <v>14</v>
      </c>
      <c r="J26" s="23"/>
      <c r="K26" s="22" t="s">
        <v>46</v>
      </c>
    </row>
    <row r="27" spans="1:11" ht="12.75" customHeight="1" x14ac:dyDescent="0.25">
      <c r="A27" s="16">
        <v>4</v>
      </c>
      <c r="B27" s="17" t="s">
        <v>10</v>
      </c>
      <c r="C27" s="18">
        <v>125</v>
      </c>
      <c r="D27" s="19" t="s">
        <v>11</v>
      </c>
      <c r="E27" s="20" t="s">
        <v>47</v>
      </c>
      <c r="F27" s="21"/>
      <c r="G27" s="22" t="s">
        <v>14</v>
      </c>
      <c r="H27" s="16">
        <v>2</v>
      </c>
      <c r="I27" s="19" t="s">
        <v>14</v>
      </c>
      <c r="J27" s="23"/>
      <c r="K27" s="22" t="s">
        <v>48</v>
      </c>
    </row>
    <row r="28" spans="1:11" ht="12.75" customHeight="1" x14ac:dyDescent="0.25">
      <c r="A28" s="16">
        <v>2</v>
      </c>
      <c r="B28" s="17" t="s">
        <v>10</v>
      </c>
      <c r="C28" s="18">
        <v>250</v>
      </c>
      <c r="D28" s="19" t="s">
        <v>11</v>
      </c>
      <c r="E28" s="20" t="s">
        <v>49</v>
      </c>
      <c r="F28" s="21"/>
      <c r="G28" s="22" t="s">
        <v>14</v>
      </c>
      <c r="H28" s="16">
        <v>1</v>
      </c>
      <c r="I28" s="19" t="s">
        <v>14</v>
      </c>
      <c r="J28" s="23"/>
      <c r="K28" s="22" t="s">
        <v>50</v>
      </c>
    </row>
    <row r="29" spans="1:11" ht="12.75" customHeight="1" x14ac:dyDescent="0.25">
      <c r="A29" s="16">
        <v>1</v>
      </c>
      <c r="B29" s="17" t="s">
        <v>10</v>
      </c>
      <c r="C29" s="18">
        <v>250</v>
      </c>
      <c r="D29" s="19" t="s">
        <v>11</v>
      </c>
      <c r="E29" s="20" t="s">
        <v>51</v>
      </c>
      <c r="F29" s="21"/>
      <c r="G29" s="25" t="s">
        <v>12</v>
      </c>
      <c r="H29" s="16">
        <v>1</v>
      </c>
      <c r="I29" s="26" t="s">
        <v>12</v>
      </c>
      <c r="J29" s="23"/>
      <c r="K29" s="22" t="s">
        <v>52</v>
      </c>
    </row>
    <row r="30" spans="1:11" ht="12.75" customHeight="1" x14ac:dyDescent="0.25">
      <c r="A30" s="16">
        <v>1</v>
      </c>
      <c r="B30" s="17" t="s">
        <v>10</v>
      </c>
      <c r="C30" s="18">
        <v>50</v>
      </c>
      <c r="D30" s="19" t="s">
        <v>11</v>
      </c>
      <c r="E30" s="20" t="s">
        <v>53</v>
      </c>
      <c r="F30" s="21"/>
      <c r="G30" s="25" t="s">
        <v>12</v>
      </c>
      <c r="H30" s="16">
        <v>0.5</v>
      </c>
      <c r="I30" s="26" t="s">
        <v>12</v>
      </c>
      <c r="J30" s="23"/>
      <c r="K30" s="22" t="s">
        <v>54</v>
      </c>
    </row>
    <row r="31" spans="1:11" ht="12.75" customHeight="1" x14ac:dyDescent="0.25">
      <c r="A31" s="16">
        <v>5</v>
      </c>
      <c r="B31" s="17" t="s">
        <v>10</v>
      </c>
      <c r="C31" s="18">
        <v>1000</v>
      </c>
      <c r="D31" s="19" t="s">
        <v>11</v>
      </c>
      <c r="E31" s="20" t="s">
        <v>55</v>
      </c>
      <c r="F31" s="21"/>
      <c r="G31" s="22" t="s">
        <v>36</v>
      </c>
      <c r="H31" s="16">
        <v>5</v>
      </c>
      <c r="I31" s="19" t="s">
        <v>36</v>
      </c>
      <c r="J31" s="23"/>
      <c r="K31" s="22" t="s">
        <v>56</v>
      </c>
    </row>
    <row r="32" spans="1:11" ht="12.75" customHeight="1" x14ac:dyDescent="0.25">
      <c r="A32" s="16">
        <v>5</v>
      </c>
      <c r="B32" s="17" t="s">
        <v>10</v>
      </c>
      <c r="C32" s="18">
        <v>1000</v>
      </c>
      <c r="D32" s="19" t="s">
        <v>11</v>
      </c>
      <c r="E32" s="20" t="s">
        <v>140</v>
      </c>
      <c r="F32" s="21"/>
      <c r="G32" s="22" t="s">
        <v>38</v>
      </c>
      <c r="H32" s="16">
        <v>2</v>
      </c>
      <c r="I32" s="19" t="s">
        <v>38</v>
      </c>
      <c r="J32" s="23"/>
      <c r="K32" s="22" t="s">
        <v>141</v>
      </c>
    </row>
    <row r="33" spans="1:11" ht="12.75" customHeight="1" x14ac:dyDescent="0.25">
      <c r="A33" s="16">
        <v>5</v>
      </c>
      <c r="B33" s="17" t="s">
        <v>10</v>
      </c>
      <c r="C33" s="18">
        <v>1000</v>
      </c>
      <c r="D33" s="19" t="s">
        <v>11</v>
      </c>
      <c r="E33" s="20" t="s">
        <v>138</v>
      </c>
      <c r="F33" s="21"/>
      <c r="G33" s="22" t="s">
        <v>38</v>
      </c>
      <c r="H33" s="16">
        <v>2</v>
      </c>
      <c r="I33" s="19" t="s">
        <v>38</v>
      </c>
      <c r="J33" s="23"/>
      <c r="K33" s="22" t="s">
        <v>139</v>
      </c>
    </row>
    <row r="34" spans="1:11" ht="12.75" customHeight="1" x14ac:dyDescent="0.25">
      <c r="A34" s="16">
        <v>5</v>
      </c>
      <c r="B34" s="17" t="s">
        <v>10</v>
      </c>
      <c r="C34" s="18">
        <v>1000</v>
      </c>
      <c r="D34" s="19" t="s">
        <v>11</v>
      </c>
      <c r="E34" s="20" t="s">
        <v>136</v>
      </c>
      <c r="F34" s="21"/>
      <c r="G34" s="22" t="s">
        <v>38</v>
      </c>
      <c r="H34" s="16">
        <v>1</v>
      </c>
      <c r="I34" s="19" t="s">
        <v>38</v>
      </c>
      <c r="J34" s="23"/>
      <c r="K34" s="22" t="s">
        <v>137</v>
      </c>
    </row>
    <row r="35" spans="1:11" ht="12.75" customHeight="1" x14ac:dyDescent="0.25">
      <c r="A35" s="16">
        <v>2</v>
      </c>
      <c r="B35" s="17" t="s">
        <v>10</v>
      </c>
      <c r="C35" s="18">
        <v>1000</v>
      </c>
      <c r="D35" s="19" t="s">
        <v>11</v>
      </c>
      <c r="E35" s="20" t="s">
        <v>57</v>
      </c>
      <c r="F35" s="21"/>
      <c r="G35" s="22" t="s">
        <v>36</v>
      </c>
      <c r="H35" s="16">
        <v>0.5</v>
      </c>
      <c r="I35" s="19" t="s">
        <v>36</v>
      </c>
      <c r="J35" s="23"/>
      <c r="K35" s="22" t="s">
        <v>58</v>
      </c>
    </row>
    <row r="36" spans="1:11" ht="12.75" customHeight="1" x14ac:dyDescent="0.25">
      <c r="A36" s="16">
        <v>2</v>
      </c>
      <c r="B36" s="17" t="s">
        <v>10</v>
      </c>
      <c r="C36" s="18">
        <v>1000</v>
      </c>
      <c r="D36" s="19" t="s">
        <v>11</v>
      </c>
      <c r="E36" s="20" t="s">
        <v>59</v>
      </c>
      <c r="F36" s="21"/>
      <c r="G36" s="22" t="s">
        <v>36</v>
      </c>
      <c r="H36" s="16">
        <v>0.5</v>
      </c>
      <c r="I36" s="19" t="s">
        <v>36</v>
      </c>
      <c r="J36" s="23"/>
      <c r="K36" s="22" t="s">
        <v>60</v>
      </c>
    </row>
    <row r="37" spans="1:11" ht="12.75" customHeight="1" x14ac:dyDescent="0.25">
      <c r="A37" s="16">
        <v>2</v>
      </c>
      <c r="B37" s="17" t="s">
        <v>10</v>
      </c>
      <c r="C37" s="18">
        <v>1000</v>
      </c>
      <c r="D37" s="19" t="s">
        <v>11</v>
      </c>
      <c r="E37" s="20" t="s">
        <v>61</v>
      </c>
      <c r="F37" s="21"/>
      <c r="G37" s="22" t="s">
        <v>36</v>
      </c>
      <c r="H37" s="16">
        <v>0.5</v>
      </c>
      <c r="I37" s="19" t="s">
        <v>36</v>
      </c>
      <c r="J37" s="23"/>
      <c r="K37" s="22" t="s">
        <v>62</v>
      </c>
    </row>
    <row r="38" spans="1:11" ht="12.75" customHeight="1" x14ac:dyDescent="0.25">
      <c r="A38" s="16">
        <v>2</v>
      </c>
      <c r="B38" s="17" t="s">
        <v>10</v>
      </c>
      <c r="C38" s="18">
        <v>1000</v>
      </c>
      <c r="D38" s="19" t="s">
        <v>11</v>
      </c>
      <c r="E38" s="20" t="s">
        <v>63</v>
      </c>
      <c r="F38" s="21"/>
      <c r="G38" s="22" t="s">
        <v>36</v>
      </c>
      <c r="H38" s="16">
        <v>0.5</v>
      </c>
      <c r="I38" s="19" t="s">
        <v>36</v>
      </c>
      <c r="J38" s="23"/>
      <c r="K38" s="22" t="s">
        <v>64</v>
      </c>
    </row>
    <row r="39" spans="1:11" ht="12.75" customHeight="1" x14ac:dyDescent="0.25">
      <c r="A39" s="16">
        <v>6</v>
      </c>
      <c r="B39" s="17" t="s">
        <v>10</v>
      </c>
      <c r="C39" s="18">
        <v>600</v>
      </c>
      <c r="D39" s="19" t="s">
        <v>11</v>
      </c>
      <c r="E39" s="20" t="s">
        <v>119</v>
      </c>
      <c r="F39" s="21"/>
      <c r="G39" s="22" t="s">
        <v>38</v>
      </c>
      <c r="H39" s="16">
        <v>2</v>
      </c>
      <c r="I39" s="19" t="s">
        <v>38</v>
      </c>
      <c r="J39" s="23"/>
      <c r="K39" s="22" t="s">
        <v>120</v>
      </c>
    </row>
    <row r="40" spans="1:11" ht="12.75" customHeight="1" x14ac:dyDescent="0.25">
      <c r="A40" s="16">
        <v>12</v>
      </c>
      <c r="B40" s="17" t="s">
        <v>10</v>
      </c>
      <c r="C40" s="18">
        <v>500</v>
      </c>
      <c r="D40" s="19" t="s">
        <v>11</v>
      </c>
      <c r="E40" s="20" t="s">
        <v>121</v>
      </c>
      <c r="F40" s="21"/>
      <c r="G40" s="22" t="s">
        <v>38</v>
      </c>
      <c r="H40" s="16">
        <v>1</v>
      </c>
      <c r="I40" s="19" t="s">
        <v>38</v>
      </c>
      <c r="J40" s="23"/>
      <c r="K40" s="22" t="s">
        <v>122</v>
      </c>
    </row>
    <row r="41" spans="1:11" ht="12.75" customHeight="1" x14ac:dyDescent="0.25">
      <c r="A41" s="16">
        <v>2</v>
      </c>
      <c r="B41" s="17" t="s">
        <v>10</v>
      </c>
      <c r="C41" s="18">
        <v>200</v>
      </c>
      <c r="D41" s="19" t="s">
        <v>11</v>
      </c>
      <c r="E41" s="20" t="s">
        <v>69</v>
      </c>
      <c r="F41" s="21"/>
      <c r="G41" s="25" t="s">
        <v>70</v>
      </c>
      <c r="H41" s="16">
        <v>1</v>
      </c>
      <c r="I41" s="26" t="s">
        <v>70</v>
      </c>
      <c r="J41" s="23"/>
      <c r="K41" s="22" t="s">
        <v>71</v>
      </c>
    </row>
    <row r="42" spans="1:11" ht="12.75" customHeight="1" x14ac:dyDescent="0.25">
      <c r="A42" s="16">
        <v>2</v>
      </c>
      <c r="B42" s="17" t="s">
        <v>10</v>
      </c>
      <c r="C42" s="18">
        <v>200</v>
      </c>
      <c r="D42" s="19" t="s">
        <v>11</v>
      </c>
      <c r="E42" s="20" t="s">
        <v>72</v>
      </c>
      <c r="F42" s="21"/>
      <c r="G42" s="25" t="s">
        <v>70</v>
      </c>
      <c r="H42" s="16">
        <v>1</v>
      </c>
      <c r="I42" s="26" t="s">
        <v>70</v>
      </c>
      <c r="J42" s="23"/>
      <c r="K42" s="22" t="s">
        <v>73</v>
      </c>
    </row>
    <row r="43" spans="1:11" ht="12.75" customHeight="1" x14ac:dyDescent="0.25">
      <c r="A43" s="16">
        <v>1</v>
      </c>
      <c r="B43" s="17" t="s">
        <v>10</v>
      </c>
      <c r="C43" s="18">
        <v>500</v>
      </c>
      <c r="D43" s="19" t="s">
        <v>11</v>
      </c>
      <c r="E43" s="20" t="s">
        <v>74</v>
      </c>
      <c r="F43" s="21"/>
      <c r="G43" s="25" t="s">
        <v>70</v>
      </c>
      <c r="H43" s="16">
        <v>2</v>
      </c>
      <c r="I43" s="26" t="s">
        <v>70</v>
      </c>
      <c r="J43" s="23"/>
      <c r="K43" s="22" t="s">
        <v>75</v>
      </c>
    </row>
    <row r="44" spans="1:11" ht="12.75" customHeight="1" x14ac:dyDescent="0.25">
      <c r="A44" s="16">
        <v>1</v>
      </c>
      <c r="B44" s="17" t="s">
        <v>10</v>
      </c>
      <c r="C44" s="18">
        <v>500</v>
      </c>
      <c r="D44" s="19" t="s">
        <v>11</v>
      </c>
      <c r="E44" s="20" t="s">
        <v>76</v>
      </c>
      <c r="F44" s="21"/>
      <c r="G44" s="25" t="s">
        <v>12</v>
      </c>
      <c r="H44" s="16">
        <v>2</v>
      </c>
      <c r="I44" s="26" t="s">
        <v>12</v>
      </c>
      <c r="J44" s="23"/>
      <c r="K44" s="22" t="s">
        <v>77</v>
      </c>
    </row>
    <row r="45" spans="1:11" ht="12.75" customHeight="1" x14ac:dyDescent="0.25">
      <c r="A45" s="16">
        <v>1</v>
      </c>
      <c r="B45" s="17" t="s">
        <v>10</v>
      </c>
      <c r="C45" s="18">
        <v>1000</v>
      </c>
      <c r="D45" s="19" t="s">
        <v>11</v>
      </c>
      <c r="E45" s="20" t="s">
        <v>78</v>
      </c>
      <c r="F45" s="21"/>
      <c r="G45" s="25" t="s">
        <v>12</v>
      </c>
      <c r="H45" s="16">
        <v>0.2</v>
      </c>
      <c r="I45" s="26" t="s">
        <v>12</v>
      </c>
      <c r="J45" s="23"/>
      <c r="K45" s="22" t="s">
        <v>79</v>
      </c>
    </row>
    <row r="46" spans="1:11" ht="12.75" customHeight="1" x14ac:dyDescent="0.25">
      <c r="A46" s="16">
        <v>1</v>
      </c>
      <c r="B46" s="17" t="s">
        <v>10</v>
      </c>
      <c r="C46" s="18">
        <v>1000</v>
      </c>
      <c r="D46" s="19" t="s">
        <v>11</v>
      </c>
      <c r="E46" s="20" t="s">
        <v>80</v>
      </c>
      <c r="F46" s="21"/>
      <c r="G46" s="25" t="s">
        <v>12</v>
      </c>
      <c r="H46" s="16">
        <v>1.5</v>
      </c>
      <c r="I46" s="26" t="s">
        <v>12</v>
      </c>
      <c r="J46" s="23"/>
      <c r="K46" s="22" t="s">
        <v>81</v>
      </c>
    </row>
    <row r="47" spans="1:11" ht="12.75" customHeight="1" x14ac:dyDescent="0.25">
      <c r="A47" s="16">
        <v>1</v>
      </c>
      <c r="B47" s="17" t="s">
        <v>10</v>
      </c>
      <c r="C47" s="18">
        <v>250</v>
      </c>
      <c r="D47" s="19" t="s">
        <v>11</v>
      </c>
      <c r="E47" s="20" t="s">
        <v>82</v>
      </c>
      <c r="F47" s="21"/>
      <c r="G47" s="25" t="s">
        <v>12</v>
      </c>
      <c r="H47" s="16">
        <v>0.3</v>
      </c>
      <c r="I47" s="26" t="s">
        <v>12</v>
      </c>
      <c r="J47" s="23"/>
      <c r="K47" s="22" t="s">
        <v>83</v>
      </c>
    </row>
    <row r="48" spans="1:11" ht="12.75" customHeight="1" x14ac:dyDescent="0.25">
      <c r="A48" s="16">
        <v>1</v>
      </c>
      <c r="B48" s="17" t="s">
        <v>10</v>
      </c>
      <c r="C48" s="18">
        <v>200</v>
      </c>
      <c r="D48" s="19" t="s">
        <v>11</v>
      </c>
      <c r="E48" s="20" t="s">
        <v>84</v>
      </c>
      <c r="F48" s="21"/>
      <c r="G48" s="25" t="s">
        <v>12</v>
      </c>
      <c r="H48" s="16">
        <v>0.3</v>
      </c>
      <c r="I48" s="26" t="s">
        <v>12</v>
      </c>
      <c r="J48" s="23"/>
      <c r="K48" s="22" t="s">
        <v>85</v>
      </c>
    </row>
    <row r="49" spans="1:13" ht="12.75" customHeight="1" x14ac:dyDescent="0.25">
      <c r="A49" s="16">
        <v>1</v>
      </c>
      <c r="B49" s="17" t="s">
        <v>10</v>
      </c>
      <c r="C49" s="18">
        <v>1000</v>
      </c>
      <c r="D49" s="19" t="s">
        <v>11</v>
      </c>
      <c r="E49" s="20" t="s">
        <v>37</v>
      </c>
      <c r="F49" s="21"/>
      <c r="G49" s="22" t="s">
        <v>38</v>
      </c>
      <c r="H49" s="16">
        <v>1</v>
      </c>
      <c r="I49" s="19" t="s">
        <v>38</v>
      </c>
      <c r="J49" s="23"/>
      <c r="K49" s="22" t="s">
        <v>39</v>
      </c>
    </row>
    <row r="50" spans="1:13" ht="12.75" customHeight="1" x14ac:dyDescent="0.25">
      <c r="A50" s="16">
        <v>1</v>
      </c>
      <c r="B50" s="17" t="s">
        <v>10</v>
      </c>
      <c r="C50" s="18">
        <v>1000</v>
      </c>
      <c r="D50" s="19" t="s">
        <v>11</v>
      </c>
      <c r="E50" s="20" t="s">
        <v>196</v>
      </c>
      <c r="F50" s="21"/>
      <c r="G50" s="22" t="s">
        <v>38</v>
      </c>
      <c r="H50" s="16"/>
      <c r="I50" s="19" t="s">
        <v>38</v>
      </c>
      <c r="J50" s="23"/>
      <c r="K50" s="22" t="s">
        <v>197</v>
      </c>
      <c r="M50" s="24" t="s">
        <v>198</v>
      </c>
    </row>
    <row r="51" spans="1:13" ht="12.75" customHeight="1" x14ac:dyDescent="0.25">
      <c r="A51" s="16">
        <v>10</v>
      </c>
      <c r="B51" s="17" t="s">
        <v>10</v>
      </c>
      <c r="C51" s="18">
        <v>100</v>
      </c>
      <c r="D51" s="19" t="s">
        <v>11</v>
      </c>
      <c r="E51" s="20" t="s">
        <v>65</v>
      </c>
      <c r="F51" s="21"/>
      <c r="G51" s="22" t="s">
        <v>36</v>
      </c>
      <c r="H51" s="16">
        <v>7</v>
      </c>
      <c r="I51" s="19" t="s">
        <v>36</v>
      </c>
      <c r="J51" s="23"/>
      <c r="K51" s="22" t="s">
        <v>66</v>
      </c>
    </row>
    <row r="52" spans="1:13" ht="12.75" customHeight="1" x14ac:dyDescent="0.25">
      <c r="A52" s="16">
        <v>10</v>
      </c>
      <c r="B52" s="17" t="s">
        <v>10</v>
      </c>
      <c r="C52" s="18">
        <v>100</v>
      </c>
      <c r="D52" s="19" t="s">
        <v>11</v>
      </c>
      <c r="E52" s="20" t="s">
        <v>67</v>
      </c>
      <c r="F52" s="21"/>
      <c r="G52" s="22" t="s">
        <v>36</v>
      </c>
      <c r="H52" s="16">
        <v>2</v>
      </c>
      <c r="I52" s="19" t="s">
        <v>36</v>
      </c>
      <c r="J52" s="23"/>
      <c r="K52" s="22" t="s">
        <v>68</v>
      </c>
    </row>
    <row r="53" spans="1:13" ht="12.75" customHeight="1" x14ac:dyDescent="0.25">
      <c r="A53" s="16">
        <v>1</v>
      </c>
      <c r="B53" s="17" t="s">
        <v>10</v>
      </c>
      <c r="C53" s="18">
        <v>2000</v>
      </c>
      <c r="D53" s="19" t="s">
        <v>11</v>
      </c>
      <c r="E53" s="20" t="s">
        <v>199</v>
      </c>
      <c r="F53" s="21"/>
      <c r="G53" s="22" t="s">
        <v>38</v>
      </c>
      <c r="H53" s="16">
        <v>0.5</v>
      </c>
      <c r="I53" s="19" t="s">
        <v>38</v>
      </c>
      <c r="J53" s="23"/>
      <c r="K53" s="22" t="s">
        <v>142</v>
      </c>
    </row>
    <row r="54" spans="1:13" ht="12.75" customHeight="1" x14ac:dyDescent="0.25">
      <c r="A54" s="16">
        <v>1</v>
      </c>
      <c r="B54" s="17" t="s">
        <v>10</v>
      </c>
      <c r="C54" s="18">
        <v>1</v>
      </c>
      <c r="D54" s="19" t="s">
        <v>11</v>
      </c>
      <c r="E54" s="20" t="s">
        <v>40</v>
      </c>
      <c r="F54" s="21"/>
      <c r="G54" s="22" t="s">
        <v>11</v>
      </c>
      <c r="H54" s="16">
        <v>0.5</v>
      </c>
      <c r="I54" s="19" t="s">
        <v>11</v>
      </c>
      <c r="J54" s="23"/>
      <c r="K54" s="22" t="s">
        <v>41</v>
      </c>
    </row>
    <row r="55" spans="1:13" ht="12.75" customHeight="1" x14ac:dyDescent="0.25">
      <c r="A55" s="16">
        <v>1</v>
      </c>
      <c r="B55" s="17" t="s">
        <v>10</v>
      </c>
      <c r="C55" s="18">
        <v>1</v>
      </c>
      <c r="D55" s="19" t="s">
        <v>11</v>
      </c>
      <c r="E55" s="20" t="s">
        <v>42</v>
      </c>
      <c r="F55" s="21"/>
      <c r="G55" s="22" t="s">
        <v>11</v>
      </c>
      <c r="H55" s="16">
        <v>0.5</v>
      </c>
      <c r="I55" s="19" t="s">
        <v>11</v>
      </c>
      <c r="J55" s="23"/>
      <c r="K55" s="22" t="s">
        <v>192</v>
      </c>
    </row>
    <row r="56" spans="1:13" ht="12.75" customHeight="1" x14ac:dyDescent="0.25">
      <c r="A56" s="16">
        <v>1</v>
      </c>
      <c r="B56" s="17" t="s">
        <v>10</v>
      </c>
      <c r="C56" s="18">
        <v>1000</v>
      </c>
      <c r="D56" s="19" t="s">
        <v>11</v>
      </c>
      <c r="E56" s="20" t="s">
        <v>86</v>
      </c>
      <c r="F56" s="21"/>
      <c r="G56" s="25" t="s">
        <v>12</v>
      </c>
      <c r="H56" s="16">
        <v>1</v>
      </c>
      <c r="I56" s="26" t="s">
        <v>12</v>
      </c>
      <c r="J56" s="23"/>
      <c r="K56" s="22" t="s">
        <v>87</v>
      </c>
    </row>
    <row r="57" spans="1:13" ht="12.75" customHeight="1" x14ac:dyDescent="0.25">
      <c r="A57" s="16">
        <v>1</v>
      </c>
      <c r="B57" s="17" t="s">
        <v>10</v>
      </c>
      <c r="C57" s="18">
        <v>1000</v>
      </c>
      <c r="D57" s="19" t="s">
        <v>11</v>
      </c>
      <c r="E57" s="20" t="s">
        <v>88</v>
      </c>
      <c r="F57" s="21"/>
      <c r="G57" s="25" t="s">
        <v>12</v>
      </c>
      <c r="H57" s="16">
        <v>0.7</v>
      </c>
      <c r="I57" s="26" t="s">
        <v>12</v>
      </c>
      <c r="J57" s="23"/>
      <c r="K57" s="22" t="s">
        <v>89</v>
      </c>
    </row>
    <row r="58" spans="1:13" ht="12.75" customHeight="1" x14ac:dyDescent="0.25">
      <c r="A58" s="16">
        <v>1</v>
      </c>
      <c r="B58" s="17" t="s">
        <v>10</v>
      </c>
      <c r="C58" s="18">
        <v>1000</v>
      </c>
      <c r="D58" s="19" t="s">
        <v>11</v>
      </c>
      <c r="E58" s="20" t="s">
        <v>90</v>
      </c>
      <c r="F58" s="21"/>
      <c r="G58" s="25" t="s">
        <v>12</v>
      </c>
      <c r="H58" s="16">
        <v>0.5</v>
      </c>
      <c r="I58" s="26" t="s">
        <v>12</v>
      </c>
      <c r="J58" s="23"/>
      <c r="K58" s="22" t="s">
        <v>91</v>
      </c>
    </row>
    <row r="59" spans="1:13" ht="12.75" customHeight="1" x14ac:dyDescent="0.25">
      <c r="A59" s="16">
        <v>12</v>
      </c>
      <c r="B59" s="17" t="s">
        <v>10</v>
      </c>
      <c r="C59" s="18">
        <v>500</v>
      </c>
      <c r="D59" s="19" t="s">
        <v>11</v>
      </c>
      <c r="E59" s="20" t="s">
        <v>92</v>
      </c>
      <c r="F59" s="21"/>
      <c r="G59" s="25" t="s">
        <v>12</v>
      </c>
      <c r="H59" s="16">
        <v>2.5</v>
      </c>
      <c r="I59" s="26" t="s">
        <v>12</v>
      </c>
      <c r="J59" s="23"/>
      <c r="K59" s="22" t="s">
        <v>93</v>
      </c>
    </row>
    <row r="60" spans="1:13" ht="12.75" customHeight="1" x14ac:dyDescent="0.25">
      <c r="A60" s="16">
        <v>1</v>
      </c>
      <c r="B60" s="17" t="s">
        <v>10</v>
      </c>
      <c r="C60" s="18">
        <v>12</v>
      </c>
      <c r="D60" s="19" t="s">
        <v>11</v>
      </c>
      <c r="E60" s="20" t="s">
        <v>128</v>
      </c>
      <c r="F60" s="21"/>
      <c r="G60" s="22" t="s">
        <v>11</v>
      </c>
      <c r="H60" s="16">
        <v>6</v>
      </c>
      <c r="I60" s="19" t="s">
        <v>11</v>
      </c>
      <c r="J60" s="23"/>
      <c r="K60" s="22" t="s">
        <v>129</v>
      </c>
    </row>
    <row r="61" spans="1:13" ht="12.75" customHeight="1" x14ac:dyDescent="0.25">
      <c r="A61" s="16">
        <v>12</v>
      </c>
      <c r="B61" s="17" t="s">
        <v>10</v>
      </c>
      <c r="C61" s="18">
        <v>250</v>
      </c>
      <c r="D61" s="19" t="s">
        <v>11</v>
      </c>
      <c r="E61" s="20" t="s">
        <v>190</v>
      </c>
      <c r="F61" s="21"/>
      <c r="G61" s="22" t="s">
        <v>36</v>
      </c>
      <c r="H61" s="16">
        <v>4</v>
      </c>
      <c r="I61" s="19" t="s">
        <v>36</v>
      </c>
      <c r="J61" s="23"/>
      <c r="K61" s="22" t="s">
        <v>143</v>
      </c>
    </row>
    <row r="62" spans="1:13" ht="12.75" customHeight="1" x14ac:dyDescent="0.25">
      <c r="A62" s="16">
        <v>1</v>
      </c>
      <c r="B62" s="17" t="s">
        <v>10</v>
      </c>
      <c r="C62" s="18">
        <v>6</v>
      </c>
      <c r="D62" s="19" t="s">
        <v>11</v>
      </c>
      <c r="E62" s="20" t="s">
        <v>94</v>
      </c>
      <c r="F62" s="21"/>
      <c r="G62" s="22" t="s">
        <v>11</v>
      </c>
      <c r="H62" s="16">
        <v>5</v>
      </c>
      <c r="I62" s="19" t="s">
        <v>11</v>
      </c>
      <c r="J62" s="23"/>
      <c r="K62" s="22" t="s">
        <v>95</v>
      </c>
    </row>
    <row r="63" spans="1:13" ht="12.75" customHeight="1" x14ac:dyDescent="0.25">
      <c r="A63" s="16">
        <v>1</v>
      </c>
      <c r="B63" s="17" t="s">
        <v>10</v>
      </c>
      <c r="C63" s="18">
        <v>12</v>
      </c>
      <c r="D63" s="19" t="s">
        <v>123</v>
      </c>
      <c r="E63" s="20" t="s">
        <v>124</v>
      </c>
      <c r="F63" s="21"/>
      <c r="G63" s="22" t="s">
        <v>11</v>
      </c>
      <c r="H63" s="16">
        <v>7</v>
      </c>
      <c r="I63" s="19" t="s">
        <v>11</v>
      </c>
      <c r="J63" s="23"/>
      <c r="K63" s="22" t="s">
        <v>125</v>
      </c>
    </row>
    <row r="64" spans="1:13" ht="12.75" customHeight="1" x14ac:dyDescent="0.25">
      <c r="A64" s="16">
        <v>1</v>
      </c>
      <c r="B64" s="17" t="s">
        <v>10</v>
      </c>
      <c r="C64" s="18">
        <v>50</v>
      </c>
      <c r="D64" s="19" t="s">
        <v>11</v>
      </c>
      <c r="E64" s="20" t="s">
        <v>98</v>
      </c>
      <c r="F64" s="21"/>
      <c r="G64" s="22" t="s">
        <v>38</v>
      </c>
      <c r="H64" s="16">
        <v>0.5</v>
      </c>
      <c r="I64" s="19" t="s">
        <v>38</v>
      </c>
      <c r="J64" s="23"/>
      <c r="K64" s="22" t="s">
        <v>99</v>
      </c>
    </row>
    <row r="65" spans="1:11" ht="12.75" customHeight="1" x14ac:dyDescent="0.25">
      <c r="A65" s="16">
        <v>1</v>
      </c>
      <c r="B65" s="17" t="s">
        <v>10</v>
      </c>
      <c r="C65" s="18">
        <v>100</v>
      </c>
      <c r="D65" s="19" t="s">
        <v>11</v>
      </c>
      <c r="E65" s="20" t="s">
        <v>107</v>
      </c>
      <c r="F65" s="21"/>
      <c r="G65" s="22" t="s">
        <v>38</v>
      </c>
      <c r="H65" s="16">
        <v>6</v>
      </c>
      <c r="I65" s="19" t="s">
        <v>38</v>
      </c>
      <c r="J65" s="23"/>
      <c r="K65" s="22" t="s">
        <v>108</v>
      </c>
    </row>
    <row r="66" spans="1:11" ht="12.75" customHeight="1" x14ac:dyDescent="0.25">
      <c r="A66" s="16">
        <v>1</v>
      </c>
      <c r="B66" s="17" t="s">
        <v>10</v>
      </c>
      <c r="C66" s="18">
        <v>100</v>
      </c>
      <c r="D66" s="19" t="s">
        <v>11</v>
      </c>
      <c r="E66" s="20" t="s">
        <v>109</v>
      </c>
      <c r="F66" s="21"/>
      <c r="G66" s="22" t="s">
        <v>38</v>
      </c>
      <c r="H66" s="16">
        <v>11</v>
      </c>
      <c r="I66" s="19" t="s">
        <v>38</v>
      </c>
      <c r="J66" s="23"/>
      <c r="K66" s="22" t="s">
        <v>110</v>
      </c>
    </row>
    <row r="67" spans="1:11" ht="12.75" customHeight="1" x14ac:dyDescent="0.25">
      <c r="A67" s="16">
        <v>1</v>
      </c>
      <c r="B67" s="17" t="s">
        <v>10</v>
      </c>
      <c r="C67" s="18">
        <v>100</v>
      </c>
      <c r="D67" s="19" t="s">
        <v>11</v>
      </c>
      <c r="E67" s="20" t="s">
        <v>96</v>
      </c>
      <c r="F67" s="21"/>
      <c r="G67" s="22" t="s">
        <v>38</v>
      </c>
      <c r="H67" s="16">
        <v>1</v>
      </c>
      <c r="I67" s="19" t="s">
        <v>38</v>
      </c>
      <c r="J67" s="23"/>
      <c r="K67" s="22" t="s">
        <v>97</v>
      </c>
    </row>
    <row r="68" spans="1:11" ht="12.75" customHeight="1" x14ac:dyDescent="0.25">
      <c r="A68" s="16">
        <v>10</v>
      </c>
      <c r="B68" s="17" t="s">
        <v>10</v>
      </c>
      <c r="C68" s="18">
        <v>25</v>
      </c>
      <c r="D68" s="19" t="s">
        <v>11</v>
      </c>
      <c r="E68" s="20" t="s">
        <v>126</v>
      </c>
      <c r="F68" s="21"/>
      <c r="G68" s="22" t="s">
        <v>11</v>
      </c>
      <c r="H68" s="16">
        <v>8</v>
      </c>
      <c r="I68" s="19" t="s">
        <v>11</v>
      </c>
      <c r="J68" s="23"/>
      <c r="K68" s="22" t="s">
        <v>127</v>
      </c>
    </row>
    <row r="69" spans="1:11" ht="12.75" customHeight="1" x14ac:dyDescent="0.25">
      <c r="A69" s="16">
        <v>1</v>
      </c>
      <c r="B69" s="17" t="s">
        <v>10</v>
      </c>
      <c r="C69" s="18">
        <v>2</v>
      </c>
      <c r="D69" s="19" t="s">
        <v>11</v>
      </c>
      <c r="E69" s="20" t="s">
        <v>103</v>
      </c>
      <c r="F69" s="21"/>
      <c r="G69" s="22" t="s">
        <v>11</v>
      </c>
      <c r="H69" s="16">
        <v>2</v>
      </c>
      <c r="I69" s="19" t="s">
        <v>11</v>
      </c>
      <c r="J69" s="23"/>
      <c r="K69" s="22" t="s">
        <v>104</v>
      </c>
    </row>
    <row r="70" spans="1:11" ht="12.75" customHeight="1" x14ac:dyDescent="0.25">
      <c r="A70" s="16">
        <v>1</v>
      </c>
      <c r="B70" s="17" t="s">
        <v>10</v>
      </c>
      <c r="C70" s="18">
        <v>2</v>
      </c>
      <c r="D70" s="19" t="s">
        <v>11</v>
      </c>
      <c r="E70" s="20" t="s">
        <v>105</v>
      </c>
      <c r="F70" s="21"/>
      <c r="G70" s="22" t="s">
        <v>11</v>
      </c>
      <c r="H70" s="16">
        <v>3</v>
      </c>
      <c r="I70" s="19" t="s">
        <v>11</v>
      </c>
      <c r="J70" s="23"/>
      <c r="K70" s="22" t="s">
        <v>106</v>
      </c>
    </row>
    <row r="71" spans="1:11" ht="12.75" customHeight="1" x14ac:dyDescent="0.25">
      <c r="A71" s="16">
        <v>1</v>
      </c>
      <c r="B71" s="17" t="s">
        <v>10</v>
      </c>
      <c r="C71" s="18">
        <v>4</v>
      </c>
      <c r="D71" s="19" t="s">
        <v>11</v>
      </c>
      <c r="E71" s="20" t="s">
        <v>100</v>
      </c>
      <c r="F71" s="21"/>
      <c r="G71" s="22" t="s">
        <v>11</v>
      </c>
      <c r="H71" s="16">
        <v>5</v>
      </c>
      <c r="I71" s="19" t="s">
        <v>11</v>
      </c>
      <c r="J71" s="23"/>
      <c r="K71" s="27" t="s">
        <v>191</v>
      </c>
    </row>
    <row r="72" spans="1:11" ht="12.75" customHeight="1" x14ac:dyDescent="0.25">
      <c r="A72" s="16">
        <v>1</v>
      </c>
      <c r="B72" s="17" t="s">
        <v>10</v>
      </c>
      <c r="C72" s="18">
        <v>4</v>
      </c>
      <c r="D72" s="19" t="s">
        <v>11</v>
      </c>
      <c r="E72" s="20" t="s">
        <v>101</v>
      </c>
      <c r="F72" s="21"/>
      <c r="G72" s="22" t="s">
        <v>11</v>
      </c>
      <c r="H72" s="16">
        <v>2</v>
      </c>
      <c r="I72" s="19" t="s">
        <v>11</v>
      </c>
      <c r="J72" s="23"/>
      <c r="K72" s="22" t="s">
        <v>102</v>
      </c>
    </row>
    <row r="73" spans="1:11" ht="12.75" customHeight="1" x14ac:dyDescent="0.25">
      <c r="A73" s="57" t="s">
        <v>4</v>
      </c>
      <c r="B73" s="58"/>
      <c r="C73" s="58"/>
      <c r="D73" s="58"/>
      <c r="E73" s="11" t="s">
        <v>200</v>
      </c>
      <c r="F73" s="57" t="s">
        <v>6</v>
      </c>
      <c r="G73" s="59"/>
      <c r="H73" s="60" t="s">
        <v>7</v>
      </c>
      <c r="I73" s="60"/>
      <c r="J73" s="12" t="s">
        <v>8</v>
      </c>
      <c r="K73" s="12" t="s">
        <v>9</v>
      </c>
    </row>
    <row r="74" spans="1:11" ht="12.75" customHeight="1" x14ac:dyDescent="0.25">
      <c r="A74" s="3">
        <v>1</v>
      </c>
      <c r="B74" s="6" t="s">
        <v>10</v>
      </c>
      <c r="C74" s="10">
        <v>200</v>
      </c>
      <c r="D74" s="7" t="s">
        <v>11</v>
      </c>
      <c r="E74" s="8" t="s">
        <v>144</v>
      </c>
      <c r="F74" s="2"/>
      <c r="G74" s="5" t="s">
        <v>12</v>
      </c>
      <c r="H74" s="3">
        <v>0.2</v>
      </c>
      <c r="I74" s="13" t="s">
        <v>12</v>
      </c>
      <c r="J74" s="9"/>
      <c r="K74" s="1" t="s">
        <v>145</v>
      </c>
    </row>
    <row r="75" spans="1:11" ht="12.75" customHeight="1" x14ac:dyDescent="0.25">
      <c r="A75" s="3">
        <v>1</v>
      </c>
      <c r="B75" s="6" t="s">
        <v>10</v>
      </c>
      <c r="C75" s="10">
        <v>200</v>
      </c>
      <c r="D75" s="7" t="s">
        <v>11</v>
      </c>
      <c r="E75" s="8" t="s">
        <v>146</v>
      </c>
      <c r="F75" s="2"/>
      <c r="G75" s="5" t="s">
        <v>12</v>
      </c>
      <c r="H75" s="3">
        <v>0.2</v>
      </c>
      <c r="I75" s="13" t="s">
        <v>12</v>
      </c>
      <c r="J75" s="9"/>
      <c r="K75" s="1" t="s">
        <v>147</v>
      </c>
    </row>
    <row r="76" spans="1:11" ht="12.75" customHeight="1" x14ac:dyDescent="0.25">
      <c r="A76" s="3">
        <v>1</v>
      </c>
      <c r="B76" s="6" t="s">
        <v>10</v>
      </c>
      <c r="C76" s="10">
        <v>100</v>
      </c>
      <c r="D76" s="7" t="s">
        <v>11</v>
      </c>
      <c r="E76" s="8" t="s">
        <v>148</v>
      </c>
      <c r="F76" s="2"/>
      <c r="G76" s="5" t="s">
        <v>12</v>
      </c>
      <c r="H76" s="3">
        <v>1</v>
      </c>
      <c r="I76" s="13" t="s">
        <v>12</v>
      </c>
      <c r="J76" s="9"/>
      <c r="K76" s="1" t="s">
        <v>149</v>
      </c>
    </row>
    <row r="77" spans="1:11" ht="12.75" customHeight="1" x14ac:dyDescent="0.25">
      <c r="A77" s="3">
        <v>1</v>
      </c>
      <c r="B77" s="6" t="s">
        <v>10</v>
      </c>
      <c r="C77" s="10">
        <v>100</v>
      </c>
      <c r="D77" s="7" t="s">
        <v>11</v>
      </c>
      <c r="E77" s="8" t="s">
        <v>150</v>
      </c>
      <c r="F77" s="2"/>
      <c r="G77" s="5" t="s">
        <v>12</v>
      </c>
      <c r="H77" s="3">
        <v>3</v>
      </c>
      <c r="I77" s="13" t="s">
        <v>12</v>
      </c>
      <c r="J77" s="9"/>
      <c r="K77" s="1" t="s">
        <v>151</v>
      </c>
    </row>
    <row r="78" spans="1:11" ht="12.75" customHeight="1" x14ac:dyDescent="0.25">
      <c r="A78" s="3">
        <v>1</v>
      </c>
      <c r="B78" s="6" t="s">
        <v>10</v>
      </c>
      <c r="C78" s="10">
        <v>100</v>
      </c>
      <c r="D78" s="7" t="s">
        <v>11</v>
      </c>
      <c r="E78" s="8" t="s">
        <v>152</v>
      </c>
      <c r="F78" s="2"/>
      <c r="G78" s="5" t="s">
        <v>12</v>
      </c>
      <c r="H78" s="3">
        <v>3</v>
      </c>
      <c r="I78" s="13" t="s">
        <v>12</v>
      </c>
      <c r="J78" s="9"/>
      <c r="K78" s="1" t="s">
        <v>153</v>
      </c>
    </row>
    <row r="79" spans="1:11" ht="12.75" customHeight="1" x14ac:dyDescent="0.25">
      <c r="A79" s="3">
        <v>1</v>
      </c>
      <c r="B79" s="6" t="s">
        <v>10</v>
      </c>
      <c r="C79" s="10">
        <v>50</v>
      </c>
      <c r="D79" s="7" t="s">
        <v>11</v>
      </c>
      <c r="E79" s="8" t="s">
        <v>154</v>
      </c>
      <c r="F79" s="2"/>
      <c r="G79" s="5" t="s">
        <v>12</v>
      </c>
      <c r="H79" s="3">
        <v>2</v>
      </c>
      <c r="I79" s="13" t="s">
        <v>12</v>
      </c>
      <c r="J79" s="9"/>
      <c r="K79" s="1" t="s">
        <v>155</v>
      </c>
    </row>
    <row r="80" spans="1:11" ht="12.75" customHeight="1" x14ac:dyDescent="0.25">
      <c r="A80" s="3">
        <v>1</v>
      </c>
      <c r="B80" s="6" t="s">
        <v>10</v>
      </c>
      <c r="C80" s="10">
        <v>50</v>
      </c>
      <c r="D80" s="7" t="s">
        <v>11</v>
      </c>
      <c r="E80" s="8" t="s">
        <v>157</v>
      </c>
      <c r="F80" s="2"/>
      <c r="G80" s="5" t="s">
        <v>12</v>
      </c>
      <c r="H80" s="3">
        <v>1</v>
      </c>
      <c r="I80" s="13" t="s">
        <v>12</v>
      </c>
      <c r="J80" s="9"/>
      <c r="K80" s="1" t="s">
        <v>158</v>
      </c>
    </row>
    <row r="81" spans="1:11" ht="12.75" customHeight="1" x14ac:dyDescent="0.25">
      <c r="A81" s="3">
        <v>1</v>
      </c>
      <c r="B81" s="6" t="s">
        <v>10</v>
      </c>
      <c r="C81" s="10">
        <v>50</v>
      </c>
      <c r="D81" s="7" t="s">
        <v>11</v>
      </c>
      <c r="E81" s="8" t="s">
        <v>156</v>
      </c>
      <c r="F81" s="2"/>
      <c r="G81" s="5" t="s">
        <v>12</v>
      </c>
      <c r="H81" s="3">
        <v>0.5</v>
      </c>
      <c r="I81" s="13" t="s">
        <v>12</v>
      </c>
      <c r="J81" s="9"/>
      <c r="K81" s="1" t="s">
        <v>201</v>
      </c>
    </row>
    <row r="82" spans="1:11" ht="12.75" customHeight="1" x14ac:dyDescent="0.25">
      <c r="A82" s="3">
        <v>1</v>
      </c>
      <c r="B82" s="6" t="s">
        <v>10</v>
      </c>
      <c r="C82" s="10">
        <v>50</v>
      </c>
      <c r="D82" s="7" t="s">
        <v>11</v>
      </c>
      <c r="E82" s="8" t="s">
        <v>159</v>
      </c>
      <c r="F82" s="2"/>
      <c r="G82" s="1" t="s">
        <v>11</v>
      </c>
      <c r="H82" s="3">
        <v>10</v>
      </c>
      <c r="I82" s="7" t="s">
        <v>11</v>
      </c>
      <c r="J82" s="9"/>
      <c r="K82" s="1" t="s">
        <v>160</v>
      </c>
    </row>
    <row r="83" spans="1:11" ht="12.75" customHeight="1" x14ac:dyDescent="0.25">
      <c r="A83" s="3">
        <v>1</v>
      </c>
      <c r="B83" s="6" t="s">
        <v>10</v>
      </c>
      <c r="C83" s="10">
        <v>50</v>
      </c>
      <c r="D83" s="7" t="s">
        <v>11</v>
      </c>
      <c r="E83" s="8" t="s">
        <v>161</v>
      </c>
      <c r="F83" s="2"/>
      <c r="G83" s="1" t="s">
        <v>11</v>
      </c>
      <c r="H83" s="3">
        <v>10</v>
      </c>
      <c r="I83" s="7" t="s">
        <v>11</v>
      </c>
      <c r="J83" s="9"/>
      <c r="K83" s="1" t="s">
        <v>162</v>
      </c>
    </row>
    <row r="84" spans="1:11" ht="12.75" customHeight="1" x14ac:dyDescent="0.25">
      <c r="A84" s="3">
        <v>1</v>
      </c>
      <c r="B84" s="6" t="s">
        <v>10</v>
      </c>
      <c r="C84" s="10">
        <v>144</v>
      </c>
      <c r="D84" s="7" t="s">
        <v>11</v>
      </c>
      <c r="E84" s="8" t="s">
        <v>163</v>
      </c>
      <c r="F84" s="2"/>
      <c r="G84" s="5" t="s">
        <v>12</v>
      </c>
      <c r="H84" s="3">
        <v>2</v>
      </c>
      <c r="I84" s="13" t="s">
        <v>12</v>
      </c>
      <c r="J84" s="9"/>
      <c r="K84" s="1" t="s">
        <v>164</v>
      </c>
    </row>
    <row r="85" spans="1:11" ht="12.75" customHeight="1" x14ac:dyDescent="0.25">
      <c r="A85" s="3">
        <v>1</v>
      </c>
      <c r="B85" s="6" t="s">
        <v>10</v>
      </c>
      <c r="C85" s="10">
        <v>144</v>
      </c>
      <c r="D85" s="7" t="s">
        <v>11</v>
      </c>
      <c r="E85" s="8" t="s">
        <v>165</v>
      </c>
      <c r="F85" s="2"/>
      <c r="G85" s="5" t="s">
        <v>12</v>
      </c>
      <c r="H85" s="3">
        <v>2</v>
      </c>
      <c r="I85" s="13" t="s">
        <v>12</v>
      </c>
      <c r="J85" s="9"/>
      <c r="K85" s="1" t="s">
        <v>166</v>
      </c>
    </row>
    <row r="86" spans="1:11" ht="12.75" customHeight="1" x14ac:dyDescent="0.25">
      <c r="A86" s="3">
        <v>1</v>
      </c>
      <c r="B86" s="6" t="s">
        <v>10</v>
      </c>
      <c r="C86" s="10">
        <v>72</v>
      </c>
      <c r="D86" s="7" t="s">
        <v>11</v>
      </c>
      <c r="E86" s="4" t="s">
        <v>167</v>
      </c>
      <c r="F86" s="2"/>
      <c r="G86" s="5" t="s">
        <v>12</v>
      </c>
      <c r="H86" s="3">
        <v>2</v>
      </c>
      <c r="I86" s="13" t="s">
        <v>12</v>
      </c>
      <c r="J86" s="9"/>
      <c r="K86" s="1" t="s">
        <v>193</v>
      </c>
    </row>
    <row r="87" spans="1:11" ht="12.75" customHeight="1" x14ac:dyDescent="0.25">
      <c r="A87" s="3">
        <v>1</v>
      </c>
      <c r="B87" s="6" t="s">
        <v>10</v>
      </c>
      <c r="C87" s="10">
        <v>25</v>
      </c>
      <c r="D87" s="7" t="s">
        <v>11</v>
      </c>
      <c r="E87" s="8" t="s">
        <v>168</v>
      </c>
      <c r="F87" s="2"/>
      <c r="G87" s="1" t="s">
        <v>11</v>
      </c>
      <c r="H87" s="3">
        <v>20</v>
      </c>
      <c r="I87" s="7" t="s">
        <v>11</v>
      </c>
      <c r="J87" s="9"/>
      <c r="K87" s="1" t="s">
        <v>169</v>
      </c>
    </row>
    <row r="88" spans="1:11" ht="12.75" customHeight="1" x14ac:dyDescent="0.25">
      <c r="A88" s="3">
        <v>1</v>
      </c>
      <c r="B88" s="6" t="s">
        <v>10</v>
      </c>
      <c r="C88" s="10">
        <v>72</v>
      </c>
      <c r="D88" s="7" t="s">
        <v>11</v>
      </c>
      <c r="E88" s="8" t="s">
        <v>170</v>
      </c>
      <c r="F88" s="2"/>
      <c r="G88" s="5" t="s">
        <v>12</v>
      </c>
      <c r="H88" s="3">
        <v>1</v>
      </c>
      <c r="I88" s="13" t="s">
        <v>12</v>
      </c>
      <c r="J88" s="9"/>
      <c r="K88" s="1" t="s">
        <v>171</v>
      </c>
    </row>
    <row r="89" spans="1:11" ht="12.75" customHeight="1" x14ac:dyDescent="0.25">
      <c r="A89" s="3">
        <v>1</v>
      </c>
      <c r="B89" s="6" t="s">
        <v>10</v>
      </c>
      <c r="C89" s="10">
        <v>400</v>
      </c>
      <c r="D89" s="7" t="s">
        <v>11</v>
      </c>
      <c r="E89" s="8" t="s">
        <v>186</v>
      </c>
      <c r="F89" s="2"/>
      <c r="G89" s="5" t="s">
        <v>12</v>
      </c>
      <c r="H89" s="3">
        <v>2.5</v>
      </c>
      <c r="I89" s="13" t="s">
        <v>12</v>
      </c>
      <c r="J89" s="9"/>
      <c r="K89" s="1" t="s">
        <v>187</v>
      </c>
    </row>
    <row r="90" spans="1:11" ht="12.75" customHeight="1" x14ac:dyDescent="0.25">
      <c r="A90" s="3">
        <v>1</v>
      </c>
      <c r="B90" s="6" t="s">
        <v>10</v>
      </c>
      <c r="C90" s="10">
        <v>20</v>
      </c>
      <c r="D90" s="7" t="s">
        <v>11</v>
      </c>
      <c r="E90" s="8" t="s">
        <v>172</v>
      </c>
      <c r="F90" s="2"/>
      <c r="G90" s="1" t="s">
        <v>11</v>
      </c>
      <c r="H90" s="3">
        <v>15</v>
      </c>
      <c r="I90" s="7" t="s">
        <v>11</v>
      </c>
      <c r="J90" s="9"/>
      <c r="K90" s="1" t="s">
        <v>173</v>
      </c>
    </row>
  </sheetData>
  <sheetProtection selectLockedCells="1"/>
  <dataConsolidate/>
  <mergeCells count="10">
    <mergeCell ref="A73:D73"/>
    <mergeCell ref="F73:G73"/>
    <mergeCell ref="H73:I73"/>
    <mergeCell ref="B1:E1"/>
    <mergeCell ref="H1:J1"/>
    <mergeCell ref="B2:E2"/>
    <mergeCell ref="H2:J2"/>
    <mergeCell ref="A4:D4"/>
    <mergeCell ref="F4:G4"/>
    <mergeCell ref="H4:I4"/>
  </mergeCells>
  <conditionalFormatting sqref="J5:J72">
    <cfRule type="cellIs" dxfId="10" priority="3" operator="lessThan">
      <formula>0</formula>
    </cfRule>
    <cfRule type="cellIs" dxfId="9" priority="4" operator="equal">
      <formula>0</formula>
    </cfRule>
  </conditionalFormatting>
  <conditionalFormatting sqref="J74:J90">
    <cfRule type="cellIs" dxfId="8" priority="1" operator="lessThan">
      <formula>0</formula>
    </cfRule>
    <cfRule type="cellIs" dxfId="7" priority="2" operator="equal">
      <formula>0</formula>
    </cfRule>
  </conditionalFormatting>
  <pageMargins left="0.25" right="0.25" top="0.7" bottom="0.5" header="0.25" footer="0.25"/>
  <pageSetup orientation="portrait" r:id="rId1"/>
  <headerFooter>
    <oddHeader>&amp;L&amp;"Aptos Narrow,Bold"&amp;14NORTH&amp;C&amp;"Aptos Narrow,Bold"&amp;14LEONARD PAPER
&amp;8Inventory - Tue, 11AM&amp;R&amp;"Aptos Narrow,Bold"&amp;14TUE for WED - &amp;UVN&amp;"Aptos Narrow,Regular"&amp;U
&amp;7 Printed &amp;D &amp;T</oddHeader>
    <oddFooter>&amp;C&amp;"Aptos Narrow,Regular"&amp;7REP: MJ LEONARD CELL: 410-458-6136 - EMAIL: mjleonard@leonardpaper.com
&amp;Z&amp;F(GV 8/14/26)&amp;R&amp;"Aptos Narrow,Regular"&amp;7&amp;P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E012C-8056-4B01-A12F-3E9C92BF06BE}">
  <dimension ref="A1:Q68"/>
  <sheetViews>
    <sheetView tabSelected="1" view="pageLayout" zoomScale="115" zoomScaleNormal="115" zoomScalePageLayoutView="115" workbookViewId="0">
      <selection activeCell="F50" sqref="F50"/>
    </sheetView>
  </sheetViews>
  <sheetFormatPr defaultRowHeight="13.5" customHeight="1" x14ac:dyDescent="0.25"/>
  <cols>
    <col min="1" max="1" width="5.42578125" style="35" customWidth="1"/>
    <col min="2" max="2" width="1.7109375" style="32" bestFit="1" customWidth="1"/>
    <col min="3" max="3" width="5" style="33" bestFit="1" customWidth="1"/>
    <col min="4" max="4" width="3.140625" style="33" bestFit="1" customWidth="1"/>
    <col min="5" max="5" width="21.7109375" style="24" bestFit="1" customWidth="1"/>
    <col min="6" max="6" width="5.85546875" style="24" customWidth="1"/>
    <col min="7" max="7" width="5.140625" style="24" customWidth="1"/>
    <col min="8" max="8" width="4.85546875" style="24" bestFit="1" customWidth="1"/>
    <col min="9" max="9" width="4.7109375" style="24" bestFit="1" customWidth="1"/>
    <col min="10" max="10" width="5.140625" style="24" customWidth="1"/>
    <col min="11" max="11" width="11.5703125" style="24" bestFit="1" customWidth="1"/>
    <col min="12" max="12" width="1.42578125" style="24" customWidth="1"/>
    <col min="13" max="13" width="5.85546875" style="32" hidden="1" customWidth="1"/>
    <col min="14" max="14" width="5.5703125" style="32" hidden="1" customWidth="1"/>
    <col min="15" max="15" width="4.7109375" style="24" customWidth="1"/>
    <col min="16" max="16" width="11" style="24" customWidth="1"/>
    <col min="17" max="17" width="5.85546875" style="24" customWidth="1"/>
    <col min="18" max="16384" width="9.140625" style="24"/>
  </cols>
  <sheetData>
    <row r="1" spans="1:17" ht="13.5" customHeight="1" x14ac:dyDescent="0.25">
      <c r="A1" s="28" t="s">
        <v>0</v>
      </c>
      <c r="B1" s="56"/>
      <c r="C1" s="56"/>
      <c r="D1" s="56"/>
      <c r="E1" s="56"/>
      <c r="F1" s="35"/>
      <c r="G1" s="28" t="s">
        <v>1</v>
      </c>
      <c r="H1" s="56"/>
      <c r="I1" s="56"/>
      <c r="J1" s="56"/>
      <c r="O1" s="28" t="s">
        <v>224</v>
      </c>
      <c r="P1" s="42">
        <f ca="1">_xlfn.LET(_xlpm.anchor,DATE(2026,8,11),_xlpm.cycle,14,_xlpm.next,_xlpm.anchor+_xlfn.CEILING.MATH(MAX(0,TODAY()-_xlpm.anchor),_xlpm.cycle),IF(_xlpm.next=TODAY(),"DUE TODAY",_xlpm.next))</f>
        <v>46301</v>
      </c>
    </row>
    <row r="2" spans="1:17" ht="13.5" customHeight="1" x14ac:dyDescent="0.25">
      <c r="A2" s="28" t="s">
        <v>2</v>
      </c>
      <c r="B2" s="56"/>
      <c r="C2" s="56"/>
      <c r="D2" s="56"/>
      <c r="E2" s="56"/>
      <c r="F2" s="35"/>
      <c r="G2" s="28" t="s">
        <v>3</v>
      </c>
      <c r="H2" s="56"/>
      <c r="I2" s="56"/>
      <c r="J2" s="56"/>
      <c r="P2" s="28"/>
      <c r="Q2" s="40"/>
    </row>
    <row r="3" spans="1:17" ht="5.25" customHeight="1" x14ac:dyDescent="0.25">
      <c r="A3" s="28"/>
      <c r="B3" s="29"/>
      <c r="C3" s="30"/>
      <c r="D3" s="30"/>
      <c r="E3" s="31"/>
      <c r="F3" s="31"/>
      <c r="G3" s="32"/>
      <c r="H3" s="32"/>
      <c r="I3" s="33"/>
      <c r="J3" s="33"/>
      <c r="K3" s="31"/>
    </row>
    <row r="4" spans="1:17" ht="13.5" customHeight="1" x14ac:dyDescent="0.25">
      <c r="A4" s="52" t="s">
        <v>4</v>
      </c>
      <c r="B4" s="53"/>
      <c r="C4" s="53"/>
      <c r="D4" s="53"/>
      <c r="E4" s="14" t="s">
        <v>5</v>
      </c>
      <c r="F4" s="52" t="s">
        <v>6</v>
      </c>
      <c r="G4" s="54"/>
      <c r="H4" s="55" t="s">
        <v>7</v>
      </c>
      <c r="I4" s="55"/>
      <c r="J4" s="15" t="s">
        <v>8</v>
      </c>
      <c r="K4" s="15" t="s">
        <v>9</v>
      </c>
    </row>
    <row r="5" spans="1:17" ht="13.5" customHeight="1" x14ac:dyDescent="0.25">
      <c r="A5" s="16">
        <v>20</v>
      </c>
      <c r="B5" s="17" t="s">
        <v>10</v>
      </c>
      <c r="C5" s="18">
        <v>50</v>
      </c>
      <c r="D5" s="19" t="s">
        <v>11</v>
      </c>
      <c r="E5" s="20" t="s">
        <v>115</v>
      </c>
      <c r="F5" s="37"/>
      <c r="G5" s="22" t="s">
        <v>14</v>
      </c>
      <c r="H5" s="44">
        <v>20</v>
      </c>
      <c r="I5" s="19" t="s">
        <v>14</v>
      </c>
      <c r="J5" s="36"/>
      <c r="K5" s="22" t="s">
        <v>116</v>
      </c>
      <c r="M5" s="32">
        <v>15</v>
      </c>
    </row>
    <row r="6" spans="1:17" ht="13.5" customHeight="1" x14ac:dyDescent="0.25">
      <c r="A6" s="16">
        <v>10</v>
      </c>
      <c r="B6" s="17" t="s">
        <v>10</v>
      </c>
      <c r="C6" s="18">
        <v>100</v>
      </c>
      <c r="D6" s="19" t="s">
        <v>11</v>
      </c>
      <c r="E6" s="20" t="s">
        <v>194</v>
      </c>
      <c r="F6" s="21"/>
      <c r="G6" s="22" t="s">
        <v>14</v>
      </c>
      <c r="H6" s="44">
        <v>15</v>
      </c>
      <c r="I6" s="19" t="s">
        <v>14</v>
      </c>
      <c r="J6" s="36"/>
      <c r="K6" s="22" t="s">
        <v>195</v>
      </c>
      <c r="M6" s="32">
        <v>24</v>
      </c>
    </row>
    <row r="7" spans="1:17" ht="13.5" customHeight="1" x14ac:dyDescent="0.25">
      <c r="A7" s="16">
        <v>10</v>
      </c>
      <c r="B7" s="17" t="s">
        <v>10</v>
      </c>
      <c r="C7" s="18">
        <v>250</v>
      </c>
      <c r="D7" s="19" t="s">
        <v>11</v>
      </c>
      <c r="E7" s="20" t="s">
        <v>13</v>
      </c>
      <c r="F7" s="37"/>
      <c r="G7" s="22" t="s">
        <v>14</v>
      </c>
      <c r="H7" s="44">
        <v>8</v>
      </c>
      <c r="I7" s="19" t="s">
        <v>14</v>
      </c>
      <c r="J7" s="36"/>
      <c r="K7" s="22" t="s">
        <v>15</v>
      </c>
      <c r="M7" s="32">
        <v>8</v>
      </c>
    </row>
    <row r="8" spans="1:17" ht="13.5" customHeight="1" x14ac:dyDescent="0.25">
      <c r="A8" s="16">
        <v>25</v>
      </c>
      <c r="B8" s="17" t="s">
        <v>10</v>
      </c>
      <c r="C8" s="18">
        <v>100</v>
      </c>
      <c r="D8" s="19" t="s">
        <v>11</v>
      </c>
      <c r="E8" s="20" t="s">
        <v>16</v>
      </c>
      <c r="F8" s="37"/>
      <c r="G8" s="22" t="s">
        <v>14</v>
      </c>
      <c r="H8" s="44">
        <v>12</v>
      </c>
      <c r="I8" s="19" t="s">
        <v>14</v>
      </c>
      <c r="J8" s="36"/>
      <c r="K8" s="22" t="s">
        <v>17</v>
      </c>
      <c r="M8" s="32">
        <v>30</v>
      </c>
    </row>
    <row r="9" spans="1:17" ht="13.5" customHeight="1" x14ac:dyDescent="0.25">
      <c r="A9" s="16">
        <v>20</v>
      </c>
      <c r="B9" s="17" t="s">
        <v>10</v>
      </c>
      <c r="C9" s="18">
        <v>125</v>
      </c>
      <c r="D9" s="19" t="s">
        <v>11</v>
      </c>
      <c r="E9" s="20" t="s">
        <v>18</v>
      </c>
      <c r="F9" s="37"/>
      <c r="G9" s="22" t="s">
        <v>14</v>
      </c>
      <c r="H9" s="44">
        <v>18</v>
      </c>
      <c r="I9" s="19" t="s">
        <v>14</v>
      </c>
      <c r="J9" s="36"/>
      <c r="K9" s="22" t="s">
        <v>19</v>
      </c>
      <c r="M9" s="32">
        <v>12</v>
      </c>
    </row>
    <row r="10" spans="1:17" ht="13.5" customHeight="1" x14ac:dyDescent="0.25">
      <c r="A10" s="16">
        <v>4</v>
      </c>
      <c r="B10" s="17" t="s">
        <v>10</v>
      </c>
      <c r="C10" s="18">
        <v>150</v>
      </c>
      <c r="D10" s="19" t="s">
        <v>11</v>
      </c>
      <c r="E10" s="20" t="s">
        <v>22</v>
      </c>
      <c r="F10" s="37"/>
      <c r="G10" s="22" t="s">
        <v>14</v>
      </c>
      <c r="H10" s="44">
        <v>5</v>
      </c>
      <c r="I10" s="19" t="s">
        <v>14</v>
      </c>
      <c r="J10" s="36"/>
      <c r="K10" s="22" t="s">
        <v>23</v>
      </c>
    </row>
    <row r="11" spans="1:17" ht="13.5" customHeight="1" x14ac:dyDescent="0.25">
      <c r="A11" s="16">
        <v>1</v>
      </c>
      <c r="B11" s="17" t="s">
        <v>10</v>
      </c>
      <c r="C11" s="18">
        <v>150</v>
      </c>
      <c r="D11" s="19" t="s">
        <v>11</v>
      </c>
      <c r="E11" s="20" t="s">
        <v>24</v>
      </c>
      <c r="F11" s="37"/>
      <c r="G11" s="25" t="s">
        <v>12</v>
      </c>
      <c r="H11" s="44">
        <v>5</v>
      </c>
      <c r="I11" s="26" t="s">
        <v>12</v>
      </c>
      <c r="J11" s="36"/>
      <c r="K11" s="22" t="s">
        <v>25</v>
      </c>
      <c r="M11" s="32">
        <v>4</v>
      </c>
    </row>
    <row r="12" spans="1:17" ht="13.5" customHeight="1" x14ac:dyDescent="0.25">
      <c r="A12" s="16">
        <v>4</v>
      </c>
      <c r="B12" s="17" t="s">
        <v>10</v>
      </c>
      <c r="C12" s="18">
        <v>63</v>
      </c>
      <c r="D12" s="19" t="s">
        <v>11</v>
      </c>
      <c r="E12" s="20" t="s">
        <v>28</v>
      </c>
      <c r="F12" s="37"/>
      <c r="G12" s="22" t="s">
        <v>14</v>
      </c>
      <c r="H12" s="44">
        <v>3</v>
      </c>
      <c r="I12" s="19" t="s">
        <v>14</v>
      </c>
      <c r="J12" s="36"/>
      <c r="K12" s="22" t="s">
        <v>29</v>
      </c>
      <c r="M12" s="32">
        <v>5</v>
      </c>
    </row>
    <row r="13" spans="1:17" ht="13.5" customHeight="1" x14ac:dyDescent="0.25">
      <c r="A13" s="16">
        <v>4</v>
      </c>
      <c r="B13" s="17" t="s">
        <v>10</v>
      </c>
      <c r="C13" s="18">
        <v>63</v>
      </c>
      <c r="D13" s="19" t="s">
        <v>11</v>
      </c>
      <c r="E13" s="20" t="s">
        <v>30</v>
      </c>
      <c r="F13" s="37"/>
      <c r="G13" s="22" t="s">
        <v>14</v>
      </c>
      <c r="H13" s="44">
        <v>3</v>
      </c>
      <c r="I13" s="19" t="s">
        <v>14</v>
      </c>
      <c r="J13" s="36"/>
      <c r="K13" s="22" t="s">
        <v>31</v>
      </c>
      <c r="M13" s="32">
        <v>3</v>
      </c>
    </row>
    <row r="14" spans="1:17" ht="13.5" customHeight="1" x14ac:dyDescent="0.25">
      <c r="A14" s="16">
        <v>2</v>
      </c>
      <c r="B14" s="17" t="s">
        <v>10</v>
      </c>
      <c r="C14" s="18">
        <v>125</v>
      </c>
      <c r="D14" s="19" t="s">
        <v>11</v>
      </c>
      <c r="E14" s="20" t="s">
        <v>32</v>
      </c>
      <c r="F14" s="37"/>
      <c r="G14" s="22" t="s">
        <v>14</v>
      </c>
      <c r="H14" s="44">
        <v>2</v>
      </c>
      <c r="I14" s="19" t="s">
        <v>14</v>
      </c>
      <c r="J14" s="36"/>
      <c r="K14" s="22" t="s">
        <v>33</v>
      </c>
      <c r="M14" s="32">
        <v>4</v>
      </c>
    </row>
    <row r="15" spans="1:17" ht="13.5" customHeight="1" x14ac:dyDescent="0.25">
      <c r="A15" s="16">
        <v>1</v>
      </c>
      <c r="B15" s="17" t="s">
        <v>10</v>
      </c>
      <c r="C15" s="18">
        <v>250</v>
      </c>
      <c r="D15" s="19" t="s">
        <v>11</v>
      </c>
      <c r="E15" s="20" t="s">
        <v>20</v>
      </c>
      <c r="F15" s="37"/>
      <c r="G15" s="25" t="s">
        <v>12</v>
      </c>
      <c r="H15" s="44">
        <v>3</v>
      </c>
      <c r="I15" s="26" t="s">
        <v>12</v>
      </c>
      <c r="J15" s="36"/>
      <c r="K15" s="22" t="s">
        <v>225</v>
      </c>
      <c r="M15" s="32">
        <v>2</v>
      </c>
    </row>
    <row r="16" spans="1:17" ht="13.5" customHeight="1" x14ac:dyDescent="0.25">
      <c r="A16" s="16">
        <v>1</v>
      </c>
      <c r="B16" s="17" t="s">
        <v>10</v>
      </c>
      <c r="C16" s="18">
        <v>500</v>
      </c>
      <c r="D16" s="19" t="s">
        <v>11</v>
      </c>
      <c r="E16" s="20" t="s">
        <v>43</v>
      </c>
      <c r="F16" s="37"/>
      <c r="G16" s="22" t="s">
        <v>14</v>
      </c>
      <c r="H16" s="44">
        <v>1</v>
      </c>
      <c r="I16" s="19" t="s">
        <v>14</v>
      </c>
      <c r="J16" s="36"/>
      <c r="K16" s="22" t="s">
        <v>44</v>
      </c>
      <c r="M16" s="32">
        <v>4</v>
      </c>
    </row>
    <row r="17" spans="1:13" ht="13.5" customHeight="1" x14ac:dyDescent="0.25">
      <c r="A17" s="16">
        <v>2</v>
      </c>
      <c r="B17" s="17" t="s">
        <v>10</v>
      </c>
      <c r="C17" s="18">
        <v>250</v>
      </c>
      <c r="D17" s="19" t="s">
        <v>11</v>
      </c>
      <c r="E17" s="20" t="s">
        <v>45</v>
      </c>
      <c r="F17" s="37"/>
      <c r="G17" s="22" t="s">
        <v>14</v>
      </c>
      <c r="H17" s="44">
        <v>2</v>
      </c>
      <c r="I17" s="19" t="s">
        <v>14</v>
      </c>
      <c r="J17" s="36"/>
      <c r="K17" s="22" t="s">
        <v>46</v>
      </c>
      <c r="M17" s="32">
        <v>6</v>
      </c>
    </row>
    <row r="18" spans="1:13" ht="13.5" customHeight="1" x14ac:dyDescent="0.25">
      <c r="A18" s="16">
        <v>4</v>
      </c>
      <c r="B18" s="17" t="s">
        <v>10</v>
      </c>
      <c r="C18" s="18">
        <v>125</v>
      </c>
      <c r="D18" s="19" t="s">
        <v>11</v>
      </c>
      <c r="E18" s="20" t="s">
        <v>47</v>
      </c>
      <c r="F18" s="37"/>
      <c r="G18" s="22" t="s">
        <v>14</v>
      </c>
      <c r="H18" s="44">
        <v>4</v>
      </c>
      <c r="I18" s="19" t="s">
        <v>14</v>
      </c>
      <c r="J18" s="36"/>
      <c r="K18" s="22" t="s">
        <v>48</v>
      </c>
      <c r="M18" s="32">
        <v>2</v>
      </c>
    </row>
    <row r="19" spans="1:13" ht="13.5" customHeight="1" x14ac:dyDescent="0.25">
      <c r="A19" s="16">
        <v>2</v>
      </c>
      <c r="B19" s="17" t="s">
        <v>10</v>
      </c>
      <c r="C19" s="18">
        <v>250</v>
      </c>
      <c r="D19" s="19" t="s">
        <v>11</v>
      </c>
      <c r="E19" s="20" t="s">
        <v>49</v>
      </c>
      <c r="F19" s="37"/>
      <c r="G19" s="22" t="s">
        <v>14</v>
      </c>
      <c r="H19" s="44">
        <v>2</v>
      </c>
      <c r="I19" s="19" t="s">
        <v>14</v>
      </c>
      <c r="J19" s="36"/>
      <c r="K19" s="22" t="s">
        <v>50</v>
      </c>
      <c r="M19" s="32">
        <v>4</v>
      </c>
    </row>
    <row r="20" spans="1:13" ht="13.5" customHeight="1" x14ac:dyDescent="0.25">
      <c r="A20" s="16">
        <v>1</v>
      </c>
      <c r="B20" s="17" t="s">
        <v>10</v>
      </c>
      <c r="C20" s="18">
        <v>50</v>
      </c>
      <c r="D20" s="19" t="s">
        <v>11</v>
      </c>
      <c r="E20" s="20" t="s">
        <v>53</v>
      </c>
      <c r="F20" s="37"/>
      <c r="G20" s="25" t="s">
        <v>12</v>
      </c>
      <c r="H20" s="44">
        <v>2</v>
      </c>
      <c r="I20" s="26" t="s">
        <v>12</v>
      </c>
      <c r="J20" s="36"/>
      <c r="K20" s="22" t="s">
        <v>54</v>
      </c>
      <c r="M20" s="32">
        <v>2</v>
      </c>
    </row>
    <row r="21" spans="1:13" ht="13.5" customHeight="1" x14ac:dyDescent="0.25">
      <c r="A21" s="16">
        <v>5</v>
      </c>
      <c r="B21" s="17" t="s">
        <v>10</v>
      </c>
      <c r="C21" s="18">
        <v>1000</v>
      </c>
      <c r="D21" s="19" t="s">
        <v>11</v>
      </c>
      <c r="E21" s="20" t="s">
        <v>55</v>
      </c>
      <c r="F21" s="37"/>
      <c r="G21" s="22" t="s">
        <v>36</v>
      </c>
      <c r="H21" s="44">
        <v>12</v>
      </c>
      <c r="I21" s="19" t="s">
        <v>36</v>
      </c>
      <c r="J21" s="36"/>
      <c r="K21" s="22" t="s">
        <v>56</v>
      </c>
    </row>
    <row r="22" spans="1:13" ht="13.5" customHeight="1" x14ac:dyDescent="0.25">
      <c r="A22" s="16">
        <v>5</v>
      </c>
      <c r="B22" s="17" t="s">
        <v>10</v>
      </c>
      <c r="C22" s="18">
        <v>1000</v>
      </c>
      <c r="D22" s="19" t="s">
        <v>11</v>
      </c>
      <c r="E22" s="20" t="s">
        <v>140</v>
      </c>
      <c r="F22" s="37"/>
      <c r="G22" s="22" t="s">
        <v>38</v>
      </c>
      <c r="H22" s="44">
        <v>4</v>
      </c>
      <c r="I22" s="19" t="s">
        <v>38</v>
      </c>
      <c r="J22" s="36"/>
      <c r="K22" s="22" t="s">
        <v>141</v>
      </c>
      <c r="M22" s="32">
        <v>15</v>
      </c>
    </row>
    <row r="23" spans="1:13" ht="13.5" customHeight="1" x14ac:dyDescent="0.25">
      <c r="A23" s="16">
        <v>2</v>
      </c>
      <c r="B23" s="17" t="s">
        <v>10</v>
      </c>
      <c r="C23" s="18">
        <v>1000</v>
      </c>
      <c r="D23" s="19" t="s">
        <v>11</v>
      </c>
      <c r="E23" s="20" t="s">
        <v>57</v>
      </c>
      <c r="F23" s="37"/>
      <c r="G23" s="22" t="s">
        <v>36</v>
      </c>
      <c r="H23" s="44">
        <v>2</v>
      </c>
      <c r="I23" s="19" t="s">
        <v>36</v>
      </c>
      <c r="J23" s="36"/>
      <c r="K23" s="22" t="s">
        <v>58</v>
      </c>
      <c r="M23" s="32">
        <v>3</v>
      </c>
    </row>
    <row r="24" spans="1:13" ht="13.5" customHeight="1" x14ac:dyDescent="0.25">
      <c r="A24" s="16">
        <v>2</v>
      </c>
      <c r="B24" s="17" t="s">
        <v>10</v>
      </c>
      <c r="C24" s="18">
        <v>1000</v>
      </c>
      <c r="D24" s="19" t="s">
        <v>11</v>
      </c>
      <c r="E24" s="20" t="s">
        <v>59</v>
      </c>
      <c r="F24" s="37"/>
      <c r="G24" s="22" t="s">
        <v>36</v>
      </c>
      <c r="H24" s="44">
        <v>2</v>
      </c>
      <c r="I24" s="19" t="s">
        <v>36</v>
      </c>
      <c r="J24" s="36"/>
      <c r="K24" s="22" t="s">
        <v>60</v>
      </c>
      <c r="M24" s="32">
        <v>2</v>
      </c>
    </row>
    <row r="25" spans="1:13" ht="13.5" customHeight="1" x14ac:dyDescent="0.25">
      <c r="A25" s="16">
        <v>2</v>
      </c>
      <c r="B25" s="17" t="s">
        <v>10</v>
      </c>
      <c r="C25" s="18">
        <v>1000</v>
      </c>
      <c r="D25" s="19" t="s">
        <v>11</v>
      </c>
      <c r="E25" s="20" t="s">
        <v>61</v>
      </c>
      <c r="F25" s="37"/>
      <c r="G25" s="22" t="s">
        <v>36</v>
      </c>
      <c r="H25" s="44">
        <v>2</v>
      </c>
      <c r="I25" s="19" t="s">
        <v>36</v>
      </c>
      <c r="J25" s="36"/>
      <c r="K25" s="22" t="s">
        <v>62</v>
      </c>
      <c r="M25" s="32">
        <v>3</v>
      </c>
    </row>
    <row r="26" spans="1:13" ht="13.5" customHeight="1" x14ac:dyDescent="0.25">
      <c r="A26" s="16">
        <v>2</v>
      </c>
      <c r="B26" s="17" t="s">
        <v>10</v>
      </c>
      <c r="C26" s="18">
        <v>1000</v>
      </c>
      <c r="D26" s="19" t="s">
        <v>11</v>
      </c>
      <c r="E26" s="20" t="s">
        <v>63</v>
      </c>
      <c r="F26" s="37"/>
      <c r="G26" s="22" t="s">
        <v>36</v>
      </c>
      <c r="H26" s="44">
        <v>2</v>
      </c>
      <c r="I26" s="19" t="s">
        <v>36</v>
      </c>
      <c r="J26" s="36"/>
      <c r="K26" s="22" t="s">
        <v>64</v>
      </c>
      <c r="M26" s="32">
        <v>2</v>
      </c>
    </row>
    <row r="27" spans="1:13" ht="13.5" customHeight="1" x14ac:dyDescent="0.25">
      <c r="A27" s="16">
        <v>6</v>
      </c>
      <c r="B27" s="17" t="s">
        <v>10</v>
      </c>
      <c r="C27" s="18">
        <v>600</v>
      </c>
      <c r="D27" s="19" t="s">
        <v>11</v>
      </c>
      <c r="E27" s="20" t="s">
        <v>119</v>
      </c>
      <c r="F27" s="37"/>
      <c r="G27" s="22" t="s">
        <v>38</v>
      </c>
      <c r="H27" s="44">
        <v>4</v>
      </c>
      <c r="I27" s="19" t="s">
        <v>38</v>
      </c>
      <c r="J27" s="36"/>
      <c r="K27" s="22" t="s">
        <v>120</v>
      </c>
      <c r="M27" s="32">
        <v>2</v>
      </c>
    </row>
    <row r="28" spans="1:13" ht="13.5" customHeight="1" x14ac:dyDescent="0.25">
      <c r="A28" s="16">
        <v>2</v>
      </c>
      <c r="B28" s="17" t="s">
        <v>10</v>
      </c>
      <c r="C28" s="18">
        <v>200</v>
      </c>
      <c r="D28" s="19" t="s">
        <v>11</v>
      </c>
      <c r="E28" s="20" t="s">
        <v>69</v>
      </c>
      <c r="F28" s="37"/>
      <c r="G28" s="25" t="s">
        <v>70</v>
      </c>
      <c r="H28" s="44">
        <v>3</v>
      </c>
      <c r="I28" s="26" t="s">
        <v>70</v>
      </c>
      <c r="J28" s="36"/>
      <c r="K28" s="22" t="s">
        <v>71</v>
      </c>
    </row>
    <row r="29" spans="1:13" ht="13.5" customHeight="1" x14ac:dyDescent="0.25">
      <c r="A29" s="16">
        <v>2</v>
      </c>
      <c r="B29" s="17" t="s">
        <v>10</v>
      </c>
      <c r="C29" s="18">
        <v>200</v>
      </c>
      <c r="D29" s="19" t="s">
        <v>11</v>
      </c>
      <c r="E29" s="20" t="s">
        <v>72</v>
      </c>
      <c r="F29" s="37"/>
      <c r="G29" s="25" t="s">
        <v>70</v>
      </c>
      <c r="H29" s="44">
        <v>3</v>
      </c>
      <c r="I29" s="26" t="s">
        <v>70</v>
      </c>
      <c r="J29" s="36"/>
      <c r="K29" s="22" t="s">
        <v>73</v>
      </c>
      <c r="M29" s="32">
        <v>3</v>
      </c>
    </row>
    <row r="30" spans="1:13" ht="13.5" customHeight="1" x14ac:dyDescent="0.25">
      <c r="A30" s="16">
        <v>1</v>
      </c>
      <c r="B30" s="17" t="s">
        <v>10</v>
      </c>
      <c r="C30" s="18">
        <v>500</v>
      </c>
      <c r="D30" s="19" t="s">
        <v>11</v>
      </c>
      <c r="E30" s="20" t="s">
        <v>74</v>
      </c>
      <c r="F30" s="37"/>
      <c r="G30" s="25" t="s">
        <v>70</v>
      </c>
      <c r="H30" s="44">
        <v>5</v>
      </c>
      <c r="I30" s="26" t="s">
        <v>70</v>
      </c>
      <c r="J30" s="36"/>
      <c r="K30" s="22" t="s">
        <v>75</v>
      </c>
      <c r="M30" s="32">
        <v>2</v>
      </c>
    </row>
    <row r="31" spans="1:13" ht="13.5" customHeight="1" x14ac:dyDescent="0.25">
      <c r="A31" s="16">
        <v>1</v>
      </c>
      <c r="B31" s="17" t="s">
        <v>10</v>
      </c>
      <c r="C31" s="18">
        <v>500</v>
      </c>
      <c r="D31" s="19" t="s">
        <v>11</v>
      </c>
      <c r="E31" s="20" t="s">
        <v>76</v>
      </c>
      <c r="F31" s="37"/>
      <c r="G31" s="25" t="s">
        <v>12</v>
      </c>
      <c r="H31" s="44">
        <v>5</v>
      </c>
      <c r="I31" s="26" t="s">
        <v>12</v>
      </c>
      <c r="J31" s="36"/>
      <c r="K31" s="22" t="s">
        <v>77</v>
      </c>
      <c r="M31" s="32">
        <v>3</v>
      </c>
    </row>
    <row r="32" spans="1:13" ht="13.5" customHeight="1" x14ac:dyDescent="0.25">
      <c r="A32" s="16">
        <v>1</v>
      </c>
      <c r="B32" s="17" t="s">
        <v>10</v>
      </c>
      <c r="C32" s="18">
        <v>1000</v>
      </c>
      <c r="D32" s="19" t="s">
        <v>11</v>
      </c>
      <c r="E32" s="20" t="s">
        <v>78</v>
      </c>
      <c r="F32" s="37"/>
      <c r="G32" s="25" t="s">
        <v>12</v>
      </c>
      <c r="H32" s="45">
        <v>0.5</v>
      </c>
      <c r="I32" s="26" t="s">
        <v>12</v>
      </c>
      <c r="J32" s="36"/>
      <c r="K32" s="22" t="s">
        <v>79</v>
      </c>
      <c r="M32" s="32">
        <v>5</v>
      </c>
    </row>
    <row r="33" spans="1:15" ht="13.5" customHeight="1" x14ac:dyDescent="0.25">
      <c r="A33" s="16">
        <v>1</v>
      </c>
      <c r="B33" s="17" t="s">
        <v>10</v>
      </c>
      <c r="C33" s="18">
        <v>1000</v>
      </c>
      <c r="D33" s="19" t="s">
        <v>11</v>
      </c>
      <c r="E33" s="20" t="s">
        <v>80</v>
      </c>
      <c r="F33" s="37"/>
      <c r="G33" s="25" t="s">
        <v>12</v>
      </c>
      <c r="H33" s="44">
        <v>3</v>
      </c>
      <c r="I33" s="26" t="s">
        <v>12</v>
      </c>
      <c r="J33" s="36"/>
      <c r="K33" s="22" t="s">
        <v>81</v>
      </c>
      <c r="M33" s="32">
        <v>1</v>
      </c>
    </row>
    <row r="34" spans="1:15" ht="13.5" customHeight="1" x14ac:dyDescent="0.25">
      <c r="A34" s="16">
        <v>1</v>
      </c>
      <c r="B34" s="17" t="s">
        <v>10</v>
      </c>
      <c r="C34" s="18">
        <v>1000</v>
      </c>
      <c r="D34" s="19" t="s">
        <v>11</v>
      </c>
      <c r="E34" s="20" t="s">
        <v>37</v>
      </c>
      <c r="F34" s="37"/>
      <c r="G34" s="22" t="s">
        <v>38</v>
      </c>
      <c r="H34" s="44">
        <v>3</v>
      </c>
      <c r="I34" s="19" t="s">
        <v>38</v>
      </c>
      <c r="J34" s="36"/>
      <c r="K34" s="22" t="s">
        <v>39</v>
      </c>
      <c r="M34" s="32">
        <v>3</v>
      </c>
    </row>
    <row r="35" spans="1:15" ht="13.5" customHeight="1" x14ac:dyDescent="0.25">
      <c r="A35" s="16">
        <v>10</v>
      </c>
      <c r="B35" s="17" t="s">
        <v>10</v>
      </c>
      <c r="C35" s="18">
        <v>100</v>
      </c>
      <c r="D35" s="19" t="s">
        <v>11</v>
      </c>
      <c r="E35" s="20" t="s">
        <v>65</v>
      </c>
      <c r="F35" s="37"/>
      <c r="G35" s="22" t="s">
        <v>36</v>
      </c>
      <c r="H35" s="44">
        <v>10</v>
      </c>
      <c r="I35" s="19" t="s">
        <v>36</v>
      </c>
      <c r="J35" s="36"/>
      <c r="K35" s="22" t="s">
        <v>66</v>
      </c>
      <c r="M35" s="32">
        <v>5</v>
      </c>
    </row>
    <row r="36" spans="1:15" ht="13.5" customHeight="1" x14ac:dyDescent="0.25">
      <c r="A36" s="16">
        <v>1</v>
      </c>
      <c r="B36" s="17" t="s">
        <v>10</v>
      </c>
      <c r="C36" s="18">
        <v>1</v>
      </c>
      <c r="D36" s="19" t="s">
        <v>11</v>
      </c>
      <c r="E36" s="20" t="s">
        <v>42</v>
      </c>
      <c r="F36" s="37"/>
      <c r="G36" s="22" t="s">
        <v>11</v>
      </c>
      <c r="H36" s="44">
        <v>1</v>
      </c>
      <c r="I36" s="19" t="s">
        <v>11</v>
      </c>
      <c r="J36" s="36"/>
      <c r="K36" s="22" t="s">
        <v>192</v>
      </c>
    </row>
    <row r="37" spans="1:15" ht="13.5" customHeight="1" x14ac:dyDescent="0.25">
      <c r="A37" s="16">
        <v>1</v>
      </c>
      <c r="B37" s="17" t="s">
        <v>10</v>
      </c>
      <c r="C37" s="18">
        <v>1000</v>
      </c>
      <c r="D37" s="19" t="s">
        <v>11</v>
      </c>
      <c r="E37" s="20" t="s">
        <v>86</v>
      </c>
      <c r="F37" s="37"/>
      <c r="G37" s="25" t="s">
        <v>12</v>
      </c>
      <c r="H37" s="44">
        <v>2</v>
      </c>
      <c r="I37" s="26" t="s">
        <v>12</v>
      </c>
      <c r="J37" s="36"/>
      <c r="K37" s="22" t="s">
        <v>87</v>
      </c>
    </row>
    <row r="38" spans="1:15" ht="13.5" customHeight="1" x14ac:dyDescent="0.25">
      <c r="A38" s="16">
        <v>1</v>
      </c>
      <c r="B38" s="17" t="s">
        <v>10</v>
      </c>
      <c r="C38" s="18">
        <v>1000</v>
      </c>
      <c r="D38" s="19" t="s">
        <v>11</v>
      </c>
      <c r="E38" s="20" t="s">
        <v>88</v>
      </c>
      <c r="F38" s="37"/>
      <c r="G38" s="25" t="s">
        <v>12</v>
      </c>
      <c r="H38" s="44">
        <v>2</v>
      </c>
      <c r="I38" s="26" t="s">
        <v>12</v>
      </c>
      <c r="J38" s="36"/>
      <c r="K38" s="22" t="s">
        <v>89</v>
      </c>
      <c r="M38" s="32">
        <v>3</v>
      </c>
    </row>
    <row r="39" spans="1:15" ht="13.5" customHeight="1" x14ac:dyDescent="0.25">
      <c r="A39" s="16">
        <v>20</v>
      </c>
      <c r="B39" s="17" t="s">
        <v>10</v>
      </c>
      <c r="C39" s="18">
        <v>100</v>
      </c>
      <c r="D39" s="19" t="s">
        <v>11</v>
      </c>
      <c r="E39" s="20" t="s">
        <v>226</v>
      </c>
      <c r="F39" s="46"/>
      <c r="G39" s="47"/>
      <c r="H39" s="48"/>
      <c r="I39" s="49"/>
      <c r="J39" s="50"/>
      <c r="K39" s="47"/>
      <c r="M39" s="32">
        <v>3</v>
      </c>
    </row>
    <row r="40" spans="1:15" ht="13.5" customHeight="1" x14ac:dyDescent="0.25">
      <c r="A40" s="16">
        <v>12</v>
      </c>
      <c r="B40" s="17" t="s">
        <v>10</v>
      </c>
      <c r="C40" s="18">
        <v>500</v>
      </c>
      <c r="D40" s="19" t="s">
        <v>11</v>
      </c>
      <c r="E40" s="20" t="s">
        <v>92</v>
      </c>
      <c r="F40" s="37"/>
      <c r="G40" s="25" t="s">
        <v>12</v>
      </c>
      <c r="H40" s="44">
        <v>6</v>
      </c>
      <c r="I40" s="26" t="s">
        <v>12</v>
      </c>
      <c r="J40" s="36"/>
      <c r="K40" s="22" t="s">
        <v>93</v>
      </c>
      <c r="M40" s="32">
        <v>60</v>
      </c>
    </row>
    <row r="41" spans="1:15" ht="13.5" customHeight="1" x14ac:dyDescent="0.25">
      <c r="A41" s="16">
        <v>1</v>
      </c>
      <c r="B41" s="17" t="s">
        <v>10</v>
      </c>
      <c r="C41" s="18">
        <v>12</v>
      </c>
      <c r="D41" s="19" t="s">
        <v>11</v>
      </c>
      <c r="E41" s="20" t="s">
        <v>128</v>
      </c>
      <c r="F41" s="37"/>
      <c r="G41" s="22" t="s">
        <v>11</v>
      </c>
      <c r="H41" s="44">
        <v>11</v>
      </c>
      <c r="I41" s="19" t="s">
        <v>11</v>
      </c>
      <c r="J41" s="36"/>
      <c r="K41" s="22" t="s">
        <v>129</v>
      </c>
    </row>
    <row r="42" spans="1:15" ht="13.5" customHeight="1" x14ac:dyDescent="0.25">
      <c r="A42" s="16">
        <v>1</v>
      </c>
      <c r="B42" s="17" t="s">
        <v>10</v>
      </c>
      <c r="C42" s="18">
        <v>1000</v>
      </c>
      <c r="D42" s="19" t="s">
        <v>11</v>
      </c>
      <c r="E42" s="20" t="s">
        <v>196</v>
      </c>
      <c r="F42" s="37"/>
      <c r="G42" s="22" t="s">
        <v>38</v>
      </c>
      <c r="H42" s="44">
        <v>3</v>
      </c>
      <c r="I42" s="19" t="s">
        <v>38</v>
      </c>
      <c r="J42" s="36"/>
      <c r="K42" s="22" t="s">
        <v>197</v>
      </c>
      <c r="M42" s="43" t="s">
        <v>198</v>
      </c>
      <c r="N42" s="24"/>
      <c r="O42" s="24" t="s">
        <v>198</v>
      </c>
    </row>
    <row r="43" spans="1:15" ht="13.5" customHeight="1" x14ac:dyDescent="0.25">
      <c r="A43" s="16">
        <v>12</v>
      </c>
      <c r="B43" s="17" t="s">
        <v>10</v>
      </c>
      <c r="C43" s="18">
        <v>250</v>
      </c>
      <c r="D43" s="19" t="s">
        <v>36</v>
      </c>
      <c r="E43" s="20" t="s">
        <v>233</v>
      </c>
      <c r="F43" s="37"/>
      <c r="G43" s="22" t="s">
        <v>178</v>
      </c>
      <c r="H43" s="44"/>
      <c r="I43" s="19" t="s">
        <v>36</v>
      </c>
      <c r="J43" s="36"/>
      <c r="K43" s="22" t="s">
        <v>143</v>
      </c>
      <c r="M43" s="43"/>
      <c r="N43" s="24"/>
    </row>
    <row r="44" spans="1:15" ht="13.5" customHeight="1" x14ac:dyDescent="0.25">
      <c r="A44" s="16">
        <v>1</v>
      </c>
      <c r="B44" s="17" t="s">
        <v>10</v>
      </c>
      <c r="C44" s="18">
        <v>6</v>
      </c>
      <c r="D44" s="19" t="s">
        <v>11</v>
      </c>
      <c r="E44" s="20" t="s">
        <v>94</v>
      </c>
      <c r="F44" s="37"/>
      <c r="G44" s="22" t="s">
        <v>11</v>
      </c>
      <c r="H44" s="44">
        <v>11</v>
      </c>
      <c r="I44" s="19" t="s">
        <v>11</v>
      </c>
      <c r="J44" s="36"/>
      <c r="K44" s="22" t="s">
        <v>95</v>
      </c>
      <c r="M44" s="32">
        <v>6</v>
      </c>
    </row>
    <row r="45" spans="1:15" ht="13.5" customHeight="1" x14ac:dyDescent="0.25">
      <c r="A45" s="16">
        <v>1</v>
      </c>
      <c r="B45" s="17" t="s">
        <v>10</v>
      </c>
      <c r="C45" s="18">
        <v>12</v>
      </c>
      <c r="D45" s="19" t="s">
        <v>123</v>
      </c>
      <c r="E45" s="20" t="s">
        <v>124</v>
      </c>
      <c r="F45" s="37"/>
      <c r="G45" s="22" t="s">
        <v>11</v>
      </c>
      <c r="H45" s="44">
        <v>15</v>
      </c>
      <c r="I45" s="19" t="s">
        <v>11</v>
      </c>
      <c r="J45" s="36"/>
      <c r="K45" s="22" t="s">
        <v>125</v>
      </c>
      <c r="M45" s="32">
        <v>18</v>
      </c>
    </row>
    <row r="46" spans="1:15" ht="13.5" customHeight="1" x14ac:dyDescent="0.25">
      <c r="A46" s="16">
        <v>1</v>
      </c>
      <c r="B46" s="17" t="s">
        <v>10</v>
      </c>
      <c r="C46" s="18">
        <v>100</v>
      </c>
      <c r="D46" s="19" t="s">
        <v>11</v>
      </c>
      <c r="E46" s="20" t="s">
        <v>107</v>
      </c>
      <c r="F46" s="37"/>
      <c r="G46" s="22" t="s">
        <v>38</v>
      </c>
      <c r="H46" s="44">
        <v>13</v>
      </c>
      <c r="I46" s="19" t="s">
        <v>38</v>
      </c>
      <c r="J46" s="36"/>
      <c r="K46" s="22" t="s">
        <v>108</v>
      </c>
      <c r="M46" s="32">
        <v>20</v>
      </c>
    </row>
    <row r="47" spans="1:15" ht="13.5" customHeight="1" x14ac:dyDescent="0.25">
      <c r="A47" s="16">
        <v>1</v>
      </c>
      <c r="B47" s="17" t="s">
        <v>10</v>
      </c>
      <c r="C47" s="18">
        <v>100</v>
      </c>
      <c r="D47" s="19" t="s">
        <v>11</v>
      </c>
      <c r="E47" s="20" t="s">
        <v>109</v>
      </c>
      <c r="F47" s="37"/>
      <c r="G47" s="22" t="s">
        <v>38</v>
      </c>
      <c r="H47" s="44">
        <v>24</v>
      </c>
      <c r="I47" s="19" t="s">
        <v>38</v>
      </c>
      <c r="J47" s="36"/>
      <c r="K47" s="22" t="s">
        <v>110</v>
      </c>
      <c r="M47" s="32">
        <v>10</v>
      </c>
    </row>
    <row r="48" spans="1:15" ht="13.5" customHeight="1" x14ac:dyDescent="0.25">
      <c r="A48" s="16">
        <v>10</v>
      </c>
      <c r="B48" s="17" t="s">
        <v>10</v>
      </c>
      <c r="C48" s="18">
        <v>25</v>
      </c>
      <c r="D48" s="19" t="s">
        <v>11</v>
      </c>
      <c r="E48" s="20" t="s">
        <v>126</v>
      </c>
      <c r="F48" s="37"/>
      <c r="G48" s="22" t="s">
        <v>11</v>
      </c>
      <c r="H48" s="44">
        <v>18</v>
      </c>
      <c r="I48" s="19" t="s">
        <v>11</v>
      </c>
      <c r="J48" s="36"/>
      <c r="K48" s="22" t="s">
        <v>127</v>
      </c>
      <c r="M48" s="32">
        <v>10</v>
      </c>
    </row>
    <row r="49" spans="1:13" ht="13.5" customHeight="1" x14ac:dyDescent="0.25">
      <c r="A49" s="16">
        <v>1</v>
      </c>
      <c r="B49" s="17" t="s">
        <v>10</v>
      </c>
      <c r="C49" s="18">
        <v>40</v>
      </c>
      <c r="D49" s="19" t="s">
        <v>11</v>
      </c>
      <c r="E49" s="20" t="s">
        <v>227</v>
      </c>
      <c r="F49" s="37"/>
      <c r="G49" s="22" t="s">
        <v>11</v>
      </c>
      <c r="H49" s="44">
        <v>30</v>
      </c>
      <c r="I49" s="19" t="s">
        <v>11</v>
      </c>
      <c r="J49" s="36"/>
      <c r="K49" s="22" t="s">
        <v>228</v>
      </c>
    </row>
    <row r="50" spans="1:13" ht="13.5" customHeight="1" x14ac:dyDescent="0.25">
      <c r="A50" s="16">
        <v>1</v>
      </c>
      <c r="B50" s="17" t="s">
        <v>10</v>
      </c>
      <c r="C50" s="18">
        <v>4</v>
      </c>
      <c r="D50" s="19" t="s">
        <v>11</v>
      </c>
      <c r="E50" s="20" t="s">
        <v>100</v>
      </c>
      <c r="F50" s="37"/>
      <c r="G50" s="22" t="s">
        <v>11</v>
      </c>
      <c r="H50" s="44">
        <v>11</v>
      </c>
      <c r="I50" s="19" t="s">
        <v>11</v>
      </c>
      <c r="J50" s="36"/>
      <c r="K50" s="27" t="s">
        <v>191</v>
      </c>
      <c r="M50" s="32">
        <v>30</v>
      </c>
    </row>
    <row r="51" spans="1:13" ht="13.5" customHeight="1" x14ac:dyDescent="0.25">
      <c r="A51" s="52" t="s">
        <v>229</v>
      </c>
      <c r="B51" s="53"/>
      <c r="C51" s="53"/>
      <c r="D51" s="53"/>
      <c r="E51" s="14" t="s">
        <v>5</v>
      </c>
      <c r="F51" s="52" t="s">
        <v>6</v>
      </c>
      <c r="G51" s="54"/>
      <c r="H51" s="55" t="s">
        <v>7</v>
      </c>
      <c r="I51" s="55"/>
      <c r="J51" s="15" t="s">
        <v>8</v>
      </c>
      <c r="K51" s="15" t="s">
        <v>9</v>
      </c>
      <c r="M51" s="32">
        <v>6</v>
      </c>
    </row>
    <row r="52" spans="1:13" ht="13.5" customHeight="1" x14ac:dyDescent="0.25">
      <c r="A52" s="16">
        <v>1</v>
      </c>
      <c r="B52" s="17" t="s">
        <v>10</v>
      </c>
      <c r="C52" s="18">
        <v>200</v>
      </c>
      <c r="D52" s="19" t="s">
        <v>11</v>
      </c>
      <c r="E52" s="20" t="s">
        <v>144</v>
      </c>
      <c r="F52" s="21"/>
      <c r="G52" s="25" t="s">
        <v>12</v>
      </c>
      <c r="H52" s="45">
        <v>0.2</v>
      </c>
      <c r="I52" s="26" t="s">
        <v>12</v>
      </c>
      <c r="J52" s="36"/>
      <c r="K52" s="22" t="s">
        <v>145</v>
      </c>
    </row>
    <row r="53" spans="1:13" ht="13.5" customHeight="1" x14ac:dyDescent="0.25">
      <c r="A53" s="16">
        <v>1</v>
      </c>
      <c r="B53" s="17" t="s">
        <v>10</v>
      </c>
      <c r="C53" s="18">
        <v>200</v>
      </c>
      <c r="D53" s="19" t="s">
        <v>11</v>
      </c>
      <c r="E53" s="20" t="s">
        <v>146</v>
      </c>
      <c r="F53" s="21"/>
      <c r="G53" s="25" t="s">
        <v>12</v>
      </c>
      <c r="H53" s="45">
        <v>0.2</v>
      </c>
      <c r="I53" s="26" t="s">
        <v>12</v>
      </c>
      <c r="J53" s="36"/>
      <c r="K53" s="22" t="s">
        <v>147</v>
      </c>
    </row>
    <row r="54" spans="1:13" ht="13.5" customHeight="1" x14ac:dyDescent="0.25">
      <c r="A54" s="16">
        <v>1</v>
      </c>
      <c r="B54" s="17" t="s">
        <v>10</v>
      </c>
      <c r="C54" s="18">
        <v>100</v>
      </c>
      <c r="D54" s="19" t="s">
        <v>11</v>
      </c>
      <c r="E54" s="20" t="s">
        <v>148</v>
      </c>
      <c r="F54" s="46"/>
      <c r="G54" s="47"/>
      <c r="H54" s="48"/>
      <c r="I54" s="49"/>
      <c r="J54" s="50"/>
      <c r="K54" s="47"/>
    </row>
    <row r="55" spans="1:13" ht="13.5" customHeight="1" x14ac:dyDescent="0.25">
      <c r="A55" s="16">
        <v>1</v>
      </c>
      <c r="B55" s="17" t="s">
        <v>10</v>
      </c>
      <c r="C55" s="18">
        <v>100</v>
      </c>
      <c r="D55" s="19" t="s">
        <v>11</v>
      </c>
      <c r="E55" s="20" t="s">
        <v>150</v>
      </c>
      <c r="F55" s="21"/>
      <c r="G55" s="25" t="s">
        <v>12</v>
      </c>
      <c r="H55" s="44">
        <v>4</v>
      </c>
      <c r="I55" s="26" t="s">
        <v>12</v>
      </c>
      <c r="J55" s="36"/>
      <c r="K55" s="22" t="s">
        <v>151</v>
      </c>
    </row>
    <row r="56" spans="1:13" ht="13.5" customHeight="1" x14ac:dyDescent="0.25">
      <c r="A56" s="16">
        <v>1</v>
      </c>
      <c r="B56" s="17" t="s">
        <v>10</v>
      </c>
      <c r="C56" s="18">
        <v>100</v>
      </c>
      <c r="D56" s="19" t="s">
        <v>11</v>
      </c>
      <c r="E56" s="20" t="s">
        <v>152</v>
      </c>
      <c r="F56" s="21"/>
      <c r="G56" s="25" t="s">
        <v>12</v>
      </c>
      <c r="H56" s="44">
        <v>4</v>
      </c>
      <c r="I56" s="26" t="s">
        <v>12</v>
      </c>
      <c r="J56" s="36"/>
      <c r="K56" s="22" t="s">
        <v>153</v>
      </c>
    </row>
    <row r="57" spans="1:13" ht="13.5" customHeight="1" x14ac:dyDescent="0.25">
      <c r="A57" s="16">
        <v>1</v>
      </c>
      <c r="B57" s="17" t="s">
        <v>10</v>
      </c>
      <c r="C57" s="18">
        <v>50</v>
      </c>
      <c r="D57" s="19" t="s">
        <v>11</v>
      </c>
      <c r="E57" s="20" t="s">
        <v>154</v>
      </c>
      <c r="F57" s="21"/>
      <c r="G57" s="25" t="s">
        <v>12</v>
      </c>
      <c r="H57" s="44">
        <v>1</v>
      </c>
      <c r="I57" s="26" t="s">
        <v>12</v>
      </c>
      <c r="J57" s="36"/>
      <c r="K57" s="22" t="s">
        <v>155</v>
      </c>
    </row>
    <row r="58" spans="1:13" ht="13.5" customHeight="1" x14ac:dyDescent="0.25">
      <c r="A58" s="16">
        <v>1</v>
      </c>
      <c r="B58" s="17" t="s">
        <v>10</v>
      </c>
      <c r="C58" s="18">
        <v>50</v>
      </c>
      <c r="D58" s="19" t="s">
        <v>11</v>
      </c>
      <c r="E58" s="20" t="s">
        <v>157</v>
      </c>
      <c r="F58" s="21"/>
      <c r="G58" s="25" t="s">
        <v>12</v>
      </c>
      <c r="H58" s="44">
        <v>1</v>
      </c>
      <c r="I58" s="26" t="s">
        <v>12</v>
      </c>
      <c r="J58" s="36"/>
      <c r="K58" s="22" t="s">
        <v>158</v>
      </c>
    </row>
    <row r="59" spans="1:13" ht="13.5" customHeight="1" x14ac:dyDescent="0.25">
      <c r="A59" s="16">
        <v>1</v>
      </c>
      <c r="B59" s="17" t="s">
        <v>10</v>
      </c>
      <c r="C59" s="18">
        <v>50</v>
      </c>
      <c r="D59" s="19" t="s">
        <v>11</v>
      </c>
      <c r="E59" s="20" t="s">
        <v>156</v>
      </c>
      <c r="F59" s="21"/>
      <c r="G59" s="25" t="s">
        <v>12</v>
      </c>
      <c r="H59" s="45">
        <v>0.2</v>
      </c>
      <c r="I59" s="26" t="s">
        <v>12</v>
      </c>
      <c r="J59" s="36"/>
      <c r="K59" s="22" t="s">
        <v>201</v>
      </c>
    </row>
    <row r="60" spans="1:13" ht="13.5" customHeight="1" x14ac:dyDescent="0.25">
      <c r="A60" s="16">
        <v>1</v>
      </c>
      <c r="B60" s="17" t="s">
        <v>10</v>
      </c>
      <c r="C60" s="18">
        <v>50</v>
      </c>
      <c r="D60" s="19" t="s">
        <v>11</v>
      </c>
      <c r="E60" s="20" t="s">
        <v>159</v>
      </c>
      <c r="F60" s="21"/>
      <c r="G60" s="25" t="s">
        <v>12</v>
      </c>
      <c r="H60" s="45">
        <v>0.5</v>
      </c>
      <c r="I60" s="26" t="s">
        <v>12</v>
      </c>
      <c r="J60" s="36"/>
      <c r="K60" s="22" t="s">
        <v>160</v>
      </c>
    </row>
    <row r="61" spans="1:13" ht="13.5" customHeight="1" x14ac:dyDescent="0.25">
      <c r="A61" s="16">
        <v>1</v>
      </c>
      <c r="B61" s="17" t="s">
        <v>10</v>
      </c>
      <c r="C61" s="18">
        <v>50</v>
      </c>
      <c r="D61" s="19" t="s">
        <v>11</v>
      </c>
      <c r="E61" s="20" t="s">
        <v>161</v>
      </c>
      <c r="F61" s="21"/>
      <c r="G61" s="25" t="s">
        <v>12</v>
      </c>
      <c r="H61" s="45">
        <v>0.5</v>
      </c>
      <c r="I61" s="26" t="s">
        <v>12</v>
      </c>
      <c r="J61" s="36"/>
      <c r="K61" s="22" t="s">
        <v>162</v>
      </c>
    </row>
    <row r="62" spans="1:13" ht="13.5" customHeight="1" x14ac:dyDescent="0.25">
      <c r="A62" s="16">
        <v>1</v>
      </c>
      <c r="B62" s="17" t="s">
        <v>10</v>
      </c>
      <c r="C62" s="18">
        <v>144</v>
      </c>
      <c r="D62" s="19" t="s">
        <v>11</v>
      </c>
      <c r="E62" s="20" t="s">
        <v>163</v>
      </c>
      <c r="F62" s="21"/>
      <c r="G62" s="25" t="s">
        <v>12</v>
      </c>
      <c r="H62" s="44">
        <v>1</v>
      </c>
      <c r="I62" s="26" t="s">
        <v>12</v>
      </c>
      <c r="J62" s="36"/>
      <c r="K62" s="22" t="s">
        <v>164</v>
      </c>
    </row>
    <row r="63" spans="1:13" ht="13.5" customHeight="1" x14ac:dyDescent="0.25">
      <c r="A63" s="16">
        <v>1</v>
      </c>
      <c r="B63" s="17" t="s">
        <v>10</v>
      </c>
      <c r="C63" s="18">
        <v>144</v>
      </c>
      <c r="D63" s="19" t="s">
        <v>11</v>
      </c>
      <c r="E63" s="20" t="s">
        <v>165</v>
      </c>
      <c r="F63" s="21"/>
      <c r="G63" s="25" t="s">
        <v>12</v>
      </c>
      <c r="H63" s="44">
        <v>1</v>
      </c>
      <c r="I63" s="26" t="s">
        <v>12</v>
      </c>
      <c r="J63" s="36"/>
      <c r="K63" s="22" t="s">
        <v>166</v>
      </c>
    </row>
    <row r="64" spans="1:13" ht="13.5" customHeight="1" x14ac:dyDescent="0.25">
      <c r="A64" s="16">
        <v>1</v>
      </c>
      <c r="B64" s="17" t="s">
        <v>10</v>
      </c>
      <c r="C64" s="18">
        <v>72</v>
      </c>
      <c r="D64" s="19" t="s">
        <v>11</v>
      </c>
      <c r="E64" s="24" t="s">
        <v>167</v>
      </c>
      <c r="F64" s="21"/>
      <c r="G64" s="25" t="s">
        <v>12</v>
      </c>
      <c r="H64" s="44">
        <v>1</v>
      </c>
      <c r="I64" s="26" t="s">
        <v>12</v>
      </c>
      <c r="J64" s="36"/>
      <c r="K64" s="22" t="s">
        <v>193</v>
      </c>
    </row>
    <row r="65" spans="1:11" ht="13.5" customHeight="1" x14ac:dyDescent="0.25">
      <c r="A65" s="16">
        <v>1</v>
      </c>
      <c r="B65" s="17" t="s">
        <v>10</v>
      </c>
      <c r="C65" s="18">
        <v>25</v>
      </c>
      <c r="D65" s="19" t="s">
        <v>11</v>
      </c>
      <c r="E65" s="20" t="s">
        <v>168</v>
      </c>
      <c r="F65" s="21"/>
      <c r="G65" s="25" t="s">
        <v>12</v>
      </c>
      <c r="H65" s="44">
        <v>2</v>
      </c>
      <c r="I65" s="26" t="s">
        <v>12</v>
      </c>
      <c r="J65" s="36"/>
      <c r="K65" s="22" t="s">
        <v>169</v>
      </c>
    </row>
    <row r="66" spans="1:11" ht="13.5" customHeight="1" x14ac:dyDescent="0.25">
      <c r="A66" s="16">
        <v>1</v>
      </c>
      <c r="B66" s="17" t="s">
        <v>10</v>
      </c>
      <c r="C66" s="18">
        <v>72</v>
      </c>
      <c r="D66" s="19" t="s">
        <v>11</v>
      </c>
      <c r="E66" s="20" t="s">
        <v>170</v>
      </c>
      <c r="F66" s="21"/>
      <c r="G66" s="25" t="s">
        <v>12</v>
      </c>
      <c r="H66" s="44">
        <v>2</v>
      </c>
      <c r="I66" s="26" t="s">
        <v>12</v>
      </c>
      <c r="J66" s="36"/>
      <c r="K66" s="22" t="s">
        <v>171</v>
      </c>
    </row>
    <row r="67" spans="1:11" ht="13.5" customHeight="1" x14ac:dyDescent="0.25">
      <c r="A67" s="16">
        <v>1</v>
      </c>
      <c r="B67" s="17" t="s">
        <v>10</v>
      </c>
      <c r="C67" s="18">
        <v>400</v>
      </c>
      <c r="D67" s="19" t="s">
        <v>11</v>
      </c>
      <c r="E67" s="20" t="s">
        <v>186</v>
      </c>
      <c r="F67" s="21"/>
      <c r="G67" s="25" t="s">
        <v>12</v>
      </c>
      <c r="H67" s="44">
        <v>5</v>
      </c>
      <c r="I67" s="26" t="s">
        <v>12</v>
      </c>
      <c r="J67" s="51"/>
      <c r="K67" s="22" t="s">
        <v>187</v>
      </c>
    </row>
    <row r="68" spans="1:11" ht="13.5" customHeight="1" x14ac:dyDescent="0.25">
      <c r="A68" s="16">
        <v>1</v>
      </c>
      <c r="B68" s="17" t="s">
        <v>10</v>
      </c>
      <c r="C68" s="18">
        <v>20</v>
      </c>
      <c r="D68" s="19" t="s">
        <v>11</v>
      </c>
      <c r="E68" s="20" t="s">
        <v>172</v>
      </c>
      <c r="F68" s="21"/>
      <c r="G68" s="25" t="s">
        <v>12</v>
      </c>
      <c r="H68" s="44">
        <v>1</v>
      </c>
      <c r="I68" s="26" t="s">
        <v>12</v>
      </c>
      <c r="J68" s="36"/>
      <c r="K68" s="22" t="s">
        <v>173</v>
      </c>
    </row>
  </sheetData>
  <sheetProtection algorithmName="SHA-512" hashValue="pgkoSa04na4lOhLaYQJylTpx8lm+kOvc5p5t46IIAlA6BQGjO85A0L3l4QhNgLZTxLFQT7diZjp1JQEljHgFyg==" saltValue="CHXjcrsxLavPwyfQNigzaA==" spinCount="100000" sheet="1" selectLockedCells="1"/>
  <dataConsolidate/>
  <mergeCells count="10">
    <mergeCell ref="A51:D51"/>
    <mergeCell ref="F51:G51"/>
    <mergeCell ref="H51:I51"/>
    <mergeCell ref="B1:E1"/>
    <mergeCell ref="H1:J1"/>
    <mergeCell ref="B2:E2"/>
    <mergeCell ref="H2:J2"/>
    <mergeCell ref="A4:D4"/>
    <mergeCell ref="F4:G4"/>
    <mergeCell ref="H4:I4"/>
  </mergeCells>
  <conditionalFormatting sqref="J5:J50 J52:J66 J68">
    <cfRule type="cellIs" dxfId="6" priority="5" operator="lessThan">
      <formula>0</formula>
    </cfRule>
    <cfRule type="cellIs" dxfId="5" priority="6" operator="equal">
      <formula>0</formula>
    </cfRule>
  </conditionalFormatting>
  <conditionalFormatting sqref="P1">
    <cfRule type="containsText" dxfId="4" priority="9" operator="containsText" text="DUE TODAY">
      <formula>NOT(ISERROR(SEARCH("DUE TODAY",P1)))</formula>
    </cfRule>
  </conditionalFormatting>
  <pageMargins left="0.25" right="0.25" top="0.7" bottom="0.5" header="0.25" footer="0.25"/>
  <pageSetup orientation="portrait" r:id="rId1"/>
  <headerFooter>
    <oddHeader>&amp;L&amp;"Aptos Narrow,Bold"&amp;14SOUTH&amp;C&amp;"Aptos Narrow,Bold"&amp;14BI-WKLY - LEONARD PAPER
&amp;8Inventory - Tue, 11AM&amp;R&amp;"Aptos Narrow,Bold"&amp;14TUE for WED - &amp;UVN&amp;"Aptos Narrow,Regular"&amp;U
&amp;7Printed &amp;D &amp;T</oddHeader>
    <oddFooter>&amp;C&amp;"Times New Roman,Regular"&amp;7REP: MJ LEONARD CELL: 410-458-6136 - EMAIL: mjleonard@leonardpaper.com
&amp;Z&amp;F(GV 8/14/26)&amp;R&amp;"Aptos Narrow,Regular"&amp;7&amp;P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56DB6-9244-4E86-BF16-1FE88DFF39C7}">
  <dimension ref="A1:P38"/>
  <sheetViews>
    <sheetView view="pageLayout" zoomScale="115" zoomScaleNormal="145" zoomScalePageLayoutView="115" workbookViewId="0">
      <selection activeCell="J17" sqref="J17"/>
    </sheetView>
  </sheetViews>
  <sheetFormatPr defaultRowHeight="13.5" customHeight="1" x14ac:dyDescent="0.25"/>
  <cols>
    <col min="1" max="1" width="5.42578125" style="35" customWidth="1"/>
    <col min="2" max="2" width="1.7109375" style="32" bestFit="1" customWidth="1"/>
    <col min="3" max="3" width="5" style="33" bestFit="1" customWidth="1"/>
    <col min="4" max="4" width="3.140625" style="33" bestFit="1" customWidth="1"/>
    <col min="5" max="5" width="21.7109375" style="24" bestFit="1" customWidth="1"/>
    <col min="6" max="6" width="5.85546875" style="24" customWidth="1"/>
    <col min="7" max="7" width="5.140625" style="24" customWidth="1"/>
    <col min="8" max="8" width="4.85546875" style="24" bestFit="1" customWidth="1"/>
    <col min="9" max="9" width="4.7109375" style="24" bestFit="1" customWidth="1"/>
    <col min="10" max="10" width="5.140625" style="24" customWidth="1"/>
    <col min="11" max="11" width="11.5703125" style="24" bestFit="1" customWidth="1"/>
    <col min="12" max="12" width="1.42578125" style="24" customWidth="1"/>
    <col min="13" max="13" width="4.140625" style="32" bestFit="1" customWidth="1"/>
    <col min="14" max="14" width="11" style="24" customWidth="1"/>
    <col min="15" max="15" width="7" style="24" bestFit="1" customWidth="1"/>
    <col min="16" max="16" width="6.5703125" style="24" bestFit="1" customWidth="1"/>
    <col min="17" max="16384" width="9.140625" style="24"/>
  </cols>
  <sheetData>
    <row r="1" spans="1:16" ht="13.5" customHeight="1" x14ac:dyDescent="0.25">
      <c r="A1" s="28" t="s">
        <v>0</v>
      </c>
      <c r="B1" s="56"/>
      <c r="C1" s="56"/>
      <c r="D1" s="56"/>
      <c r="E1" s="56"/>
      <c r="F1" s="35"/>
      <c r="G1" s="28" t="s">
        <v>1</v>
      </c>
      <c r="H1" s="56"/>
      <c r="I1" s="56"/>
      <c r="J1" s="56"/>
      <c r="M1" s="28" t="s">
        <v>224</v>
      </c>
      <c r="N1" s="42">
        <f ca="1">_xlfn.LET(_xlpm.anchor,DATE(2026,7,28),_xlpm.cycle,28,_xlpm.next,_xlpm.anchor+_xlfn.CEILING.MATH(MAX(0,TODAY()-_xlpm.anchor),_xlpm.cycle),IF(_xlpm.next=TODAY(),"DUE TODAY",_xlpm.next))</f>
        <v>46315</v>
      </c>
      <c r="O1" s="41"/>
    </row>
    <row r="2" spans="1:16" ht="13.5" customHeight="1" x14ac:dyDescent="0.25">
      <c r="A2" s="28" t="s">
        <v>2</v>
      </c>
      <c r="B2" s="56"/>
      <c r="C2" s="56"/>
      <c r="D2" s="56"/>
      <c r="E2" s="56"/>
      <c r="F2" s="35"/>
      <c r="G2" s="28" t="s">
        <v>3</v>
      </c>
      <c r="H2" s="56"/>
      <c r="I2" s="56"/>
      <c r="J2" s="56"/>
      <c r="N2" s="28"/>
      <c r="O2" s="40"/>
    </row>
    <row r="3" spans="1:16" ht="5.25" customHeight="1" x14ac:dyDescent="0.25">
      <c r="A3" s="28"/>
      <c r="B3" s="29"/>
      <c r="C3" s="30"/>
      <c r="D3" s="30"/>
      <c r="E3" s="31"/>
      <c r="F3" s="31"/>
      <c r="G3" s="32"/>
      <c r="H3" s="32"/>
      <c r="I3" s="33"/>
      <c r="J3" s="33"/>
      <c r="K3" s="31"/>
    </row>
    <row r="4" spans="1:16" ht="13.5" customHeight="1" x14ac:dyDescent="0.25">
      <c r="A4" s="52" t="s">
        <v>4</v>
      </c>
      <c r="B4" s="53"/>
      <c r="C4" s="53"/>
      <c r="D4" s="53"/>
      <c r="E4" s="39" t="s">
        <v>223</v>
      </c>
      <c r="F4" s="52" t="s">
        <v>6</v>
      </c>
      <c r="G4" s="54"/>
      <c r="H4" s="55" t="s">
        <v>7</v>
      </c>
      <c r="I4" s="55"/>
      <c r="J4" s="15" t="s">
        <v>8</v>
      </c>
      <c r="K4" s="15" t="s">
        <v>9</v>
      </c>
    </row>
    <row r="5" spans="1:16" ht="13.5" customHeight="1" x14ac:dyDescent="0.25">
      <c r="A5" s="16">
        <v>20</v>
      </c>
      <c r="B5" s="17" t="s">
        <v>218</v>
      </c>
      <c r="C5" s="18">
        <v>50</v>
      </c>
      <c r="D5" s="19" t="s">
        <v>14</v>
      </c>
      <c r="E5" s="20" t="s">
        <v>222</v>
      </c>
      <c r="F5" s="21"/>
      <c r="G5" s="22" t="s">
        <v>14</v>
      </c>
      <c r="H5" s="16">
        <v>15</v>
      </c>
      <c r="I5" s="19" t="s">
        <v>14</v>
      </c>
      <c r="J5" s="23"/>
      <c r="K5" s="22" t="s">
        <v>221</v>
      </c>
    </row>
    <row r="6" spans="1:16" ht="13.5" customHeight="1" x14ac:dyDescent="0.25">
      <c r="A6" s="16">
        <v>12</v>
      </c>
      <c r="B6" s="17" t="s">
        <v>218</v>
      </c>
      <c r="C6" s="18">
        <v>50</v>
      </c>
      <c r="D6" s="19" t="s">
        <v>14</v>
      </c>
      <c r="E6" s="20" t="s">
        <v>220</v>
      </c>
      <c r="F6" s="37"/>
      <c r="G6" s="22" t="s">
        <v>14</v>
      </c>
      <c r="H6" s="16">
        <v>10</v>
      </c>
      <c r="I6" s="19" t="s">
        <v>14</v>
      </c>
      <c r="J6" s="23"/>
      <c r="K6" s="22" t="s">
        <v>219</v>
      </c>
    </row>
    <row r="7" spans="1:16" ht="13.5" customHeight="1" x14ac:dyDescent="0.25">
      <c r="A7" s="16">
        <v>12</v>
      </c>
      <c r="B7" s="17" t="s">
        <v>218</v>
      </c>
      <c r="C7" s="18">
        <v>50</v>
      </c>
      <c r="D7" s="19" t="s">
        <v>14</v>
      </c>
      <c r="E7" s="20" t="s">
        <v>217</v>
      </c>
      <c r="F7" s="37"/>
      <c r="G7" s="22" t="s">
        <v>14</v>
      </c>
      <c r="H7" s="16">
        <v>10</v>
      </c>
      <c r="I7" s="19" t="s">
        <v>14</v>
      </c>
      <c r="J7" s="23"/>
      <c r="K7" s="22" t="s">
        <v>216</v>
      </c>
    </row>
    <row r="8" spans="1:16" ht="13.5" customHeight="1" x14ac:dyDescent="0.25">
      <c r="A8" s="16">
        <v>20</v>
      </c>
      <c r="B8" s="17" t="s">
        <v>10</v>
      </c>
      <c r="C8" s="18">
        <v>50</v>
      </c>
      <c r="D8" s="19" t="s">
        <v>11</v>
      </c>
      <c r="E8" s="20" t="s">
        <v>188</v>
      </c>
      <c r="F8" s="21"/>
      <c r="G8" s="22" t="s">
        <v>14</v>
      </c>
      <c r="H8" s="16">
        <v>6</v>
      </c>
      <c r="I8" s="19" t="s">
        <v>14</v>
      </c>
      <c r="J8" s="23"/>
      <c r="K8" s="22" t="s">
        <v>230</v>
      </c>
    </row>
    <row r="9" spans="1:16" ht="13.5" customHeight="1" x14ac:dyDescent="0.25">
      <c r="A9" s="16">
        <v>20</v>
      </c>
      <c r="B9" s="17" t="s">
        <v>10</v>
      </c>
      <c r="C9" s="18">
        <v>50</v>
      </c>
      <c r="D9" s="19" t="s">
        <v>11</v>
      </c>
      <c r="E9" s="20" t="s">
        <v>111</v>
      </c>
      <c r="F9" s="37"/>
      <c r="G9" s="22" t="s">
        <v>14</v>
      </c>
      <c r="H9" s="16">
        <v>6</v>
      </c>
      <c r="I9" s="19" t="s">
        <v>14</v>
      </c>
      <c r="J9" s="23"/>
      <c r="K9" s="22" t="s">
        <v>231</v>
      </c>
    </row>
    <row r="10" spans="1:16" ht="13.5" customHeight="1" x14ac:dyDescent="0.25">
      <c r="A10" s="16">
        <v>20</v>
      </c>
      <c r="B10" s="17" t="s">
        <v>10</v>
      </c>
      <c r="C10" s="18">
        <v>25</v>
      </c>
      <c r="D10" s="19" t="s">
        <v>11</v>
      </c>
      <c r="E10" s="20" t="s">
        <v>113</v>
      </c>
      <c r="F10" s="37"/>
      <c r="G10" s="22" t="s">
        <v>14</v>
      </c>
      <c r="H10" s="16">
        <v>6</v>
      </c>
      <c r="I10" s="19" t="s">
        <v>14</v>
      </c>
      <c r="J10" s="23"/>
      <c r="K10" s="22" t="s">
        <v>232</v>
      </c>
    </row>
    <row r="11" spans="1:16" ht="13.5" customHeight="1" x14ac:dyDescent="0.25">
      <c r="A11" s="16">
        <v>1</v>
      </c>
      <c r="B11" s="17" t="s">
        <v>10</v>
      </c>
      <c r="C11" s="18">
        <v>1000</v>
      </c>
      <c r="D11" s="19" t="s">
        <v>11</v>
      </c>
      <c r="E11" s="20" t="s">
        <v>117</v>
      </c>
      <c r="F11" s="37"/>
      <c r="G11" s="25" t="s">
        <v>12</v>
      </c>
      <c r="H11" s="16">
        <v>1.5</v>
      </c>
      <c r="I11" s="26" t="s">
        <v>12</v>
      </c>
      <c r="J11" s="23"/>
      <c r="K11" s="22" t="s">
        <v>118</v>
      </c>
    </row>
    <row r="12" spans="1:16" ht="13.5" customHeight="1" x14ac:dyDescent="0.25">
      <c r="A12" s="16">
        <v>20</v>
      </c>
      <c r="B12" s="17" t="s">
        <v>10</v>
      </c>
      <c r="C12" s="18">
        <v>50</v>
      </c>
      <c r="D12" s="19" t="s">
        <v>11</v>
      </c>
      <c r="E12" s="20" t="s">
        <v>130</v>
      </c>
      <c r="F12" s="37"/>
      <c r="G12" s="22" t="s">
        <v>14</v>
      </c>
      <c r="H12" s="16">
        <v>20</v>
      </c>
      <c r="I12" s="19" t="s">
        <v>14</v>
      </c>
      <c r="J12" s="23"/>
      <c r="K12" s="22" t="s">
        <v>131</v>
      </c>
    </row>
    <row r="13" spans="1:16" ht="13.5" customHeight="1" x14ac:dyDescent="0.25">
      <c r="A13" s="16">
        <v>20</v>
      </c>
      <c r="B13" s="17" t="s">
        <v>10</v>
      </c>
      <c r="C13" s="18">
        <v>50</v>
      </c>
      <c r="D13" s="19" t="s">
        <v>11</v>
      </c>
      <c r="E13" s="20" t="s">
        <v>132</v>
      </c>
      <c r="F13" s="37"/>
      <c r="G13" s="22" t="s">
        <v>14</v>
      </c>
      <c r="H13" s="16">
        <v>20</v>
      </c>
      <c r="I13" s="19" t="s">
        <v>14</v>
      </c>
      <c r="J13" s="23"/>
      <c r="K13" s="22" t="s">
        <v>133</v>
      </c>
    </row>
    <row r="14" spans="1:16" ht="13.5" customHeight="1" x14ac:dyDescent="0.25">
      <c r="A14" s="16">
        <v>10</v>
      </c>
      <c r="B14" s="17" t="s">
        <v>10</v>
      </c>
      <c r="C14" s="18">
        <v>100</v>
      </c>
      <c r="D14" s="19" t="s">
        <v>11</v>
      </c>
      <c r="E14" s="20" t="s">
        <v>134</v>
      </c>
      <c r="F14" s="37"/>
      <c r="G14" s="22" t="s">
        <v>14</v>
      </c>
      <c r="H14" s="16">
        <v>10</v>
      </c>
      <c r="I14" s="19" t="s">
        <v>14</v>
      </c>
      <c r="J14" s="23"/>
      <c r="K14" s="22" t="s">
        <v>135</v>
      </c>
    </row>
    <row r="15" spans="1:16" ht="13.5" customHeight="1" x14ac:dyDescent="0.25">
      <c r="A15" s="16">
        <v>4</v>
      </c>
      <c r="B15" s="17" t="s">
        <v>10</v>
      </c>
      <c r="C15" s="18">
        <v>63</v>
      </c>
      <c r="D15" s="19" t="s">
        <v>11</v>
      </c>
      <c r="E15" s="20" t="s">
        <v>26</v>
      </c>
      <c r="F15" s="37"/>
      <c r="G15" s="22" t="s">
        <v>14</v>
      </c>
      <c r="H15" s="16">
        <v>4</v>
      </c>
      <c r="I15" s="19" t="s">
        <v>14</v>
      </c>
      <c r="J15" s="23"/>
      <c r="K15" s="22" t="s">
        <v>27</v>
      </c>
      <c r="N15" s="38"/>
      <c r="O15" s="38"/>
      <c r="P15" s="38"/>
    </row>
    <row r="16" spans="1:16" ht="13.5" customHeight="1" x14ac:dyDescent="0.25">
      <c r="A16" s="16">
        <v>1</v>
      </c>
      <c r="B16" s="17" t="s">
        <v>10</v>
      </c>
      <c r="C16" s="18">
        <v>100</v>
      </c>
      <c r="D16" s="19" t="s">
        <v>11</v>
      </c>
      <c r="E16" s="20" t="s">
        <v>34</v>
      </c>
      <c r="F16" s="37"/>
      <c r="G16" s="25" t="s">
        <v>12</v>
      </c>
      <c r="H16" s="16">
        <v>1</v>
      </c>
      <c r="I16" s="26" t="s">
        <v>12</v>
      </c>
      <c r="J16" s="23"/>
      <c r="K16" s="22" t="s">
        <v>35</v>
      </c>
    </row>
    <row r="17" spans="1:11" ht="13.5" customHeight="1" x14ac:dyDescent="0.25">
      <c r="A17" s="16">
        <v>1</v>
      </c>
      <c r="B17" s="17" t="s">
        <v>10</v>
      </c>
      <c r="C17" s="18">
        <v>250</v>
      </c>
      <c r="D17" s="19" t="s">
        <v>11</v>
      </c>
      <c r="E17" s="20" t="s">
        <v>51</v>
      </c>
      <c r="F17" s="37"/>
      <c r="G17" s="25" t="s">
        <v>12</v>
      </c>
      <c r="H17" s="16">
        <v>2</v>
      </c>
      <c r="I17" s="26" t="s">
        <v>12</v>
      </c>
      <c r="J17" s="23"/>
      <c r="K17" s="22" t="s">
        <v>52</v>
      </c>
    </row>
    <row r="18" spans="1:11" ht="13.5" customHeight="1" x14ac:dyDescent="0.25">
      <c r="A18" s="16">
        <v>5</v>
      </c>
      <c r="B18" s="17" t="s">
        <v>10</v>
      </c>
      <c r="C18" s="18">
        <v>1000</v>
      </c>
      <c r="D18" s="19" t="s">
        <v>11</v>
      </c>
      <c r="E18" s="20" t="s">
        <v>138</v>
      </c>
      <c r="F18" s="37"/>
      <c r="G18" s="22" t="s">
        <v>38</v>
      </c>
      <c r="H18" s="16">
        <v>5</v>
      </c>
      <c r="I18" s="19" t="s">
        <v>38</v>
      </c>
      <c r="J18" s="23"/>
      <c r="K18" s="22" t="s">
        <v>139</v>
      </c>
    </row>
    <row r="19" spans="1:11" ht="13.5" customHeight="1" x14ac:dyDescent="0.25">
      <c r="A19" s="16">
        <v>5</v>
      </c>
      <c r="B19" s="17" t="s">
        <v>10</v>
      </c>
      <c r="C19" s="18">
        <v>1000</v>
      </c>
      <c r="D19" s="19" t="s">
        <v>11</v>
      </c>
      <c r="E19" s="20" t="s">
        <v>136</v>
      </c>
      <c r="F19" s="37"/>
      <c r="G19" s="22" t="s">
        <v>38</v>
      </c>
      <c r="H19" s="16">
        <v>5</v>
      </c>
      <c r="I19" s="19" t="s">
        <v>38</v>
      </c>
      <c r="J19" s="23"/>
      <c r="K19" s="22" t="s">
        <v>137</v>
      </c>
    </row>
    <row r="20" spans="1:11" ht="13.5" customHeight="1" x14ac:dyDescent="0.25">
      <c r="A20" s="16">
        <v>12</v>
      </c>
      <c r="B20" s="17" t="s">
        <v>10</v>
      </c>
      <c r="C20" s="18">
        <v>500</v>
      </c>
      <c r="D20" s="19" t="s">
        <v>11</v>
      </c>
      <c r="E20" s="20" t="s">
        <v>121</v>
      </c>
      <c r="F20" s="37"/>
      <c r="G20" s="22" t="s">
        <v>38</v>
      </c>
      <c r="H20" s="16">
        <v>2</v>
      </c>
      <c r="I20" s="19" t="s">
        <v>38</v>
      </c>
      <c r="J20" s="23"/>
      <c r="K20" s="22" t="s">
        <v>122</v>
      </c>
    </row>
    <row r="21" spans="1:11" ht="13.5" customHeight="1" x14ac:dyDescent="0.25">
      <c r="A21" s="16">
        <v>1</v>
      </c>
      <c r="B21" s="17" t="s">
        <v>10</v>
      </c>
      <c r="C21" s="18">
        <v>250</v>
      </c>
      <c r="D21" s="19" t="s">
        <v>11</v>
      </c>
      <c r="E21" s="20" t="s">
        <v>82</v>
      </c>
      <c r="F21" s="37"/>
      <c r="G21" s="25" t="s">
        <v>12</v>
      </c>
      <c r="H21" s="16">
        <v>0.6</v>
      </c>
      <c r="I21" s="26" t="s">
        <v>12</v>
      </c>
      <c r="J21" s="23"/>
      <c r="K21" s="22" t="s">
        <v>83</v>
      </c>
    </row>
    <row r="22" spans="1:11" ht="13.5" customHeight="1" x14ac:dyDescent="0.25">
      <c r="A22" s="16">
        <v>1</v>
      </c>
      <c r="B22" s="17" t="s">
        <v>10</v>
      </c>
      <c r="C22" s="18">
        <v>200</v>
      </c>
      <c r="D22" s="19" t="s">
        <v>11</v>
      </c>
      <c r="E22" s="20" t="s">
        <v>84</v>
      </c>
      <c r="F22" s="37"/>
      <c r="G22" s="25" t="s">
        <v>12</v>
      </c>
      <c r="H22" s="16">
        <v>0.6</v>
      </c>
      <c r="I22" s="26" t="s">
        <v>12</v>
      </c>
      <c r="J22" s="23"/>
      <c r="K22" s="22" t="s">
        <v>85</v>
      </c>
    </row>
    <row r="23" spans="1:11" ht="13.5" customHeight="1" x14ac:dyDescent="0.25">
      <c r="A23" s="16">
        <v>10</v>
      </c>
      <c r="B23" s="17" t="s">
        <v>10</v>
      </c>
      <c r="C23" s="18">
        <v>100</v>
      </c>
      <c r="D23" s="19" t="s">
        <v>11</v>
      </c>
      <c r="E23" s="20" t="s">
        <v>67</v>
      </c>
      <c r="F23" s="37"/>
      <c r="G23" s="22" t="s">
        <v>36</v>
      </c>
      <c r="H23" s="16">
        <v>5</v>
      </c>
      <c r="I23" s="19" t="s">
        <v>36</v>
      </c>
      <c r="J23" s="23"/>
      <c r="K23" s="22" t="s">
        <v>68</v>
      </c>
    </row>
    <row r="24" spans="1:11" ht="13.5" customHeight="1" x14ac:dyDescent="0.25">
      <c r="A24" s="16">
        <v>1</v>
      </c>
      <c r="B24" s="17" t="s">
        <v>10</v>
      </c>
      <c r="C24" s="18">
        <v>2000</v>
      </c>
      <c r="D24" s="19" t="s">
        <v>11</v>
      </c>
      <c r="E24" s="20" t="s">
        <v>215</v>
      </c>
      <c r="F24" s="37"/>
      <c r="G24" s="22" t="s">
        <v>38</v>
      </c>
      <c r="H24" s="16">
        <v>0.2</v>
      </c>
      <c r="I24" s="19" t="s">
        <v>38</v>
      </c>
      <c r="J24" s="23"/>
      <c r="K24" s="22" t="s">
        <v>142</v>
      </c>
    </row>
    <row r="25" spans="1:11" ht="13.5" customHeight="1" x14ac:dyDescent="0.25">
      <c r="A25" s="16">
        <v>1</v>
      </c>
      <c r="B25" s="17" t="s">
        <v>10</v>
      </c>
      <c r="C25" s="18">
        <v>1</v>
      </c>
      <c r="D25" s="19" t="s">
        <v>11</v>
      </c>
      <c r="E25" s="20" t="s">
        <v>40</v>
      </c>
      <c r="F25" s="37"/>
      <c r="G25" s="22" t="s">
        <v>11</v>
      </c>
      <c r="H25" s="16">
        <v>1</v>
      </c>
      <c r="I25" s="19" t="s">
        <v>11</v>
      </c>
      <c r="J25" s="23"/>
      <c r="K25" s="22" t="s">
        <v>41</v>
      </c>
    </row>
    <row r="26" spans="1:11" ht="13.5" customHeight="1" x14ac:dyDescent="0.25">
      <c r="A26" s="16">
        <v>1</v>
      </c>
      <c r="B26" s="17" t="s">
        <v>10</v>
      </c>
      <c r="C26" s="18">
        <v>1000</v>
      </c>
      <c r="D26" s="19" t="s">
        <v>11</v>
      </c>
      <c r="E26" s="20" t="s">
        <v>90</v>
      </c>
      <c r="F26" s="37"/>
      <c r="G26" s="25" t="s">
        <v>12</v>
      </c>
      <c r="H26" s="16">
        <v>1</v>
      </c>
      <c r="I26" s="26" t="s">
        <v>12</v>
      </c>
      <c r="J26" s="23"/>
      <c r="K26" s="22" t="s">
        <v>91</v>
      </c>
    </row>
    <row r="27" spans="1:11" ht="13.5" customHeight="1" x14ac:dyDescent="0.25">
      <c r="A27" s="16">
        <v>1</v>
      </c>
      <c r="B27" s="17" t="s">
        <v>10</v>
      </c>
      <c r="C27" s="18">
        <v>5000</v>
      </c>
      <c r="D27" s="19" t="s">
        <v>11</v>
      </c>
      <c r="E27" s="20" t="s">
        <v>214</v>
      </c>
      <c r="F27" s="46"/>
      <c r="G27" s="47"/>
      <c r="H27" s="48"/>
      <c r="I27" s="49"/>
      <c r="J27" s="50"/>
      <c r="K27" s="47"/>
    </row>
    <row r="28" spans="1:11" ht="13.5" customHeight="1" x14ac:dyDescent="0.25">
      <c r="A28" s="16">
        <v>1</v>
      </c>
      <c r="B28" s="17" t="s">
        <v>10</v>
      </c>
      <c r="C28" s="18">
        <v>50</v>
      </c>
      <c r="D28" s="19" t="s">
        <v>11</v>
      </c>
      <c r="E28" s="20" t="s">
        <v>98</v>
      </c>
      <c r="F28" s="37"/>
      <c r="G28" s="22" t="s">
        <v>38</v>
      </c>
      <c r="H28" s="16">
        <v>1</v>
      </c>
      <c r="I28" s="19" t="s">
        <v>38</v>
      </c>
      <c r="J28" s="23"/>
      <c r="K28" s="22" t="s">
        <v>99</v>
      </c>
    </row>
    <row r="29" spans="1:11" ht="13.5" customHeight="1" x14ac:dyDescent="0.25">
      <c r="A29" s="16">
        <v>1</v>
      </c>
      <c r="B29" s="17" t="s">
        <v>10</v>
      </c>
      <c r="C29" s="18">
        <v>12</v>
      </c>
      <c r="D29" s="19" t="s">
        <v>11</v>
      </c>
      <c r="E29" s="20" t="s">
        <v>213</v>
      </c>
      <c r="F29" s="37"/>
      <c r="G29" s="22" t="s">
        <v>11</v>
      </c>
      <c r="H29" s="16">
        <v>6</v>
      </c>
      <c r="I29" s="19" t="s">
        <v>11</v>
      </c>
      <c r="J29" s="23"/>
      <c r="K29" s="22" t="s">
        <v>212</v>
      </c>
    </row>
    <row r="30" spans="1:11" ht="13.5" customHeight="1" x14ac:dyDescent="0.25">
      <c r="A30" s="16">
        <v>1</v>
      </c>
      <c r="B30" s="17" t="s">
        <v>10</v>
      </c>
      <c r="C30" s="18">
        <v>100</v>
      </c>
      <c r="D30" s="19" t="s">
        <v>11</v>
      </c>
      <c r="E30" s="20" t="s">
        <v>96</v>
      </c>
      <c r="F30" s="37"/>
      <c r="G30" s="22" t="s">
        <v>38</v>
      </c>
      <c r="H30" s="16">
        <v>2</v>
      </c>
      <c r="I30" s="19" t="s">
        <v>38</v>
      </c>
      <c r="J30" s="23"/>
      <c r="K30" s="22" t="s">
        <v>97</v>
      </c>
    </row>
    <row r="31" spans="1:11" ht="13.5" customHeight="1" x14ac:dyDescent="0.25">
      <c r="A31" s="16">
        <v>20</v>
      </c>
      <c r="B31" s="17" t="s">
        <v>10</v>
      </c>
      <c r="C31" s="18">
        <v>25</v>
      </c>
      <c r="D31" s="19" t="s">
        <v>11</v>
      </c>
      <c r="E31" s="20" t="s">
        <v>211</v>
      </c>
      <c r="F31" s="37"/>
      <c r="G31" s="22" t="s">
        <v>11</v>
      </c>
      <c r="H31" s="16">
        <v>10</v>
      </c>
      <c r="I31" s="19" t="s">
        <v>11</v>
      </c>
      <c r="J31" s="23"/>
      <c r="K31" s="22" t="s">
        <v>210</v>
      </c>
    </row>
    <row r="32" spans="1:11" ht="13.5" customHeight="1" x14ac:dyDescent="0.25">
      <c r="A32" s="16">
        <v>1</v>
      </c>
      <c r="B32" s="17" t="s">
        <v>10</v>
      </c>
      <c r="C32" s="18">
        <v>2</v>
      </c>
      <c r="D32" s="19" t="s">
        <v>11</v>
      </c>
      <c r="E32" s="20" t="s">
        <v>103</v>
      </c>
      <c r="F32" s="37"/>
      <c r="G32" s="22" t="s">
        <v>11</v>
      </c>
      <c r="H32" s="16">
        <v>2</v>
      </c>
      <c r="I32" s="19" t="s">
        <v>11</v>
      </c>
      <c r="J32" s="23"/>
      <c r="K32" s="22" t="s">
        <v>104</v>
      </c>
    </row>
    <row r="33" spans="1:11" ht="13.5" customHeight="1" x14ac:dyDescent="0.25">
      <c r="A33" s="16">
        <v>1</v>
      </c>
      <c r="B33" s="17" t="s">
        <v>10</v>
      </c>
      <c r="C33" s="18">
        <v>4</v>
      </c>
      <c r="D33" s="19" t="s">
        <v>11</v>
      </c>
      <c r="E33" s="20" t="s">
        <v>101</v>
      </c>
      <c r="F33" s="37"/>
      <c r="G33" s="22" t="s">
        <v>11</v>
      </c>
      <c r="H33" s="16">
        <v>4</v>
      </c>
      <c r="I33" s="19" t="s">
        <v>11</v>
      </c>
      <c r="J33" s="23"/>
      <c r="K33" s="22" t="s">
        <v>102</v>
      </c>
    </row>
    <row r="34" spans="1:11" ht="13.5" customHeight="1" x14ac:dyDescent="0.25">
      <c r="A34" s="16">
        <v>4</v>
      </c>
      <c r="B34" s="17" t="s">
        <v>10</v>
      </c>
      <c r="C34" s="18">
        <v>128</v>
      </c>
      <c r="D34" s="19" t="s">
        <v>205</v>
      </c>
      <c r="E34" s="20" t="s">
        <v>209</v>
      </c>
      <c r="F34" s="37"/>
      <c r="G34" s="22" t="s">
        <v>11</v>
      </c>
      <c r="H34" s="16">
        <v>1</v>
      </c>
      <c r="I34" s="19" t="s">
        <v>11</v>
      </c>
      <c r="J34" s="23"/>
      <c r="K34" s="22" t="s">
        <v>208</v>
      </c>
    </row>
    <row r="35" spans="1:11" ht="13.5" customHeight="1" x14ac:dyDescent="0.25">
      <c r="A35" s="16">
        <v>3</v>
      </c>
      <c r="B35" s="17" t="s">
        <v>10</v>
      </c>
      <c r="C35" s="18">
        <v>80</v>
      </c>
      <c r="D35" s="19" t="s">
        <v>205</v>
      </c>
      <c r="E35" s="20" t="s">
        <v>207</v>
      </c>
      <c r="F35" s="37"/>
      <c r="G35" s="22" t="s">
        <v>11</v>
      </c>
      <c r="H35" s="16">
        <v>3</v>
      </c>
      <c r="I35" s="19" t="s">
        <v>11</v>
      </c>
      <c r="J35" s="23"/>
      <c r="K35" s="22" t="s">
        <v>206</v>
      </c>
    </row>
    <row r="36" spans="1:11" ht="13.5" customHeight="1" x14ac:dyDescent="0.25">
      <c r="A36" s="16">
        <v>8</v>
      </c>
      <c r="B36" s="17" t="s">
        <v>10</v>
      </c>
      <c r="C36" s="18">
        <v>64</v>
      </c>
      <c r="D36" s="19" t="s">
        <v>205</v>
      </c>
      <c r="E36" s="20" t="s">
        <v>204</v>
      </c>
      <c r="F36" s="37"/>
      <c r="G36" s="22" t="s">
        <v>11</v>
      </c>
      <c r="H36" s="16">
        <v>4</v>
      </c>
      <c r="I36" s="19" t="s">
        <v>11</v>
      </c>
      <c r="J36" s="23"/>
      <c r="K36" s="22" t="s">
        <v>203</v>
      </c>
    </row>
    <row r="38" spans="1:11" ht="13.5" customHeight="1" x14ac:dyDescent="0.25">
      <c r="A38" s="30" t="s">
        <v>202</v>
      </c>
      <c r="E38" s="30"/>
    </row>
  </sheetData>
  <sheetProtection algorithmName="SHA-512" hashValue="kPOA5r580/rFjRQQ4pTQM9Zjbp+Krj9AmUfti1mshUdMu2FSPiIsaW5sVUmfI6ARYpSxr1hC060Uhf+nvCr+Sg==" saltValue="IuI7+A9y214Vx7O3YVGHpg==" spinCount="100000" sheet="1" selectLockedCells="1"/>
  <dataConsolidate/>
  <mergeCells count="7">
    <mergeCell ref="H1:J1"/>
    <mergeCell ref="B1:E1"/>
    <mergeCell ref="B2:E2"/>
    <mergeCell ref="A4:D4"/>
    <mergeCell ref="F4:G4"/>
    <mergeCell ref="H4:I4"/>
    <mergeCell ref="H2:J2"/>
  </mergeCells>
  <conditionalFormatting sqref="J5:J36">
    <cfRule type="cellIs" dxfId="3" priority="1" operator="lessThan">
      <formula>0</formula>
    </cfRule>
    <cfRule type="cellIs" dxfId="2" priority="2" operator="equal">
      <formula>0</formula>
    </cfRule>
  </conditionalFormatting>
  <conditionalFormatting sqref="N1">
    <cfRule type="containsText" dxfId="1" priority="3" operator="containsText" text="DUE TODAY">
      <formula>NOT(ISERROR(SEARCH("DUE TODAY",N1)))</formula>
    </cfRule>
  </conditionalFormatting>
  <conditionalFormatting sqref="O1">
    <cfRule type="expression" dxfId="0" priority="6">
      <formula>O1=TODAY()</formula>
    </cfRule>
  </conditionalFormatting>
  <pageMargins left="0.25" right="0.25" top="0.7" bottom="0.5" header="0.25" footer="0.25"/>
  <pageSetup orientation="portrait" r:id="rId1"/>
  <headerFooter>
    <oddHeader>&amp;L&amp;"Aptos Narrow,Bold"&amp;14SOUTH&amp;C&amp;"Aptos Narrow,Bold"&amp;14MONTHLY - LEONARD PAPER
&amp;8Inventory - Tue, 11AM&amp;R&amp;"Aptos Narrow,Bold"&amp;14TUE for WED - &amp;UVN&amp;"Aptos Narrow,Regular"&amp;U
&amp;7Printed &amp;D &amp;T</oddHeader>
    <oddFooter>&amp;C&amp;"Aptos Narrow,Regular"&amp;7REP: MJ LEONARD CELL: 410-458-6136 - EMAIL: mjleonard@leonardpaper.com
&amp;Z&amp;F (GV 8/14/26)&amp;R&amp;"Aptos Narrow,Regular"&amp;7&amp;P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0A17-DD68-4534-BEB2-9D85610CFFD8}">
  <sheetPr>
    <tabColor rgb="FFFFCCFF"/>
  </sheetPr>
  <dimension ref="B3:C12"/>
  <sheetViews>
    <sheetView workbookViewId="0">
      <selection activeCell="C9" sqref="C9"/>
    </sheetView>
  </sheetViews>
  <sheetFormatPr defaultRowHeight="15" x14ac:dyDescent="0.25"/>
  <sheetData>
    <row r="3" spans="2:3" x14ac:dyDescent="0.25">
      <c r="B3" t="s">
        <v>174</v>
      </c>
      <c r="C3" t="s">
        <v>175</v>
      </c>
    </row>
    <row r="4" spans="2:3" x14ac:dyDescent="0.25">
      <c r="B4" t="s">
        <v>176</v>
      </c>
      <c r="C4" t="s">
        <v>177</v>
      </c>
    </row>
    <row r="5" spans="2:3" x14ac:dyDescent="0.25">
      <c r="B5" t="s">
        <v>178</v>
      </c>
    </row>
    <row r="6" spans="2:3" x14ac:dyDescent="0.25">
      <c r="B6" t="s">
        <v>179</v>
      </c>
    </row>
    <row r="7" spans="2:3" x14ac:dyDescent="0.25">
      <c r="B7" t="s">
        <v>180</v>
      </c>
    </row>
    <row r="8" spans="2:3" x14ac:dyDescent="0.25">
      <c r="B8" t="s">
        <v>181</v>
      </c>
    </row>
    <row r="9" spans="2:3" x14ac:dyDescent="0.25">
      <c r="B9" t="s">
        <v>182</v>
      </c>
    </row>
    <row r="10" spans="2:3" x14ac:dyDescent="0.25">
      <c r="B10" t="s">
        <v>183</v>
      </c>
    </row>
    <row r="11" spans="2:3" x14ac:dyDescent="0.25">
      <c r="B11" t="s">
        <v>184</v>
      </c>
    </row>
    <row r="12" spans="2:3" x14ac:dyDescent="0.25">
      <c r="B12" t="s">
        <v>185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E13937-5A02-4D1D-8BC8-EB58DC0D1B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1B1B28-70CD-4653-BB45-D4E4E0A986DA}">
  <ds:schemaRefs>
    <ds:schemaRef ds:uri="http://schemas.microsoft.com/office/2006/metadata/properties"/>
    <ds:schemaRef ds:uri="http://schemas.microsoft.com/office/infopath/2007/PartnerControls"/>
    <ds:schemaRef ds:uri="bcc748ab-26b4-4781-b66a-e40997006556"/>
    <ds:schemaRef ds:uri="6d08fbde-27e2-4bd5-9b45-4743f0a85776"/>
  </ds:schemaRefs>
</ds:datastoreItem>
</file>

<file path=customXml/itemProps3.xml><?xml version="1.0" encoding="utf-8"?>
<ds:datastoreItem xmlns:ds="http://schemas.openxmlformats.org/officeDocument/2006/customXml" ds:itemID="{FB744138-9619-4F50-B2C7-55A2E93E45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Leonard - Old 8-20-26</vt:lpstr>
      <vt:lpstr>Leonard - Old 8-20-26 (2)</vt:lpstr>
      <vt:lpstr>Leonard - Bi-Weekly</vt:lpstr>
      <vt:lpstr>Leonard - Monthly</vt:lpstr>
      <vt:lpstr>DATA 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 Assistant</cp:lastModifiedBy>
  <cp:revision/>
  <cp:lastPrinted>2025-12-16T13:41:40Z</cp:lastPrinted>
  <dcterms:created xsi:type="dcterms:W3CDTF">2018-10-12T16:08:58Z</dcterms:created>
  <dcterms:modified xsi:type="dcterms:W3CDTF">2026-09-24T11:53:12Z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87000</vt:r8>
  </property>
  <property fmtid="{D5CDD505-2E9C-101B-9397-08002B2CF9AE}" pid="4" name="MediaServiceImageTags">
    <vt:lpwstr/>
  </property>
</Properties>
</file>