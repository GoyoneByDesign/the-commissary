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Herndon/02. INVENTORY ORDER FORMS/"/>
    </mc:Choice>
  </mc:AlternateContent>
  <xr:revisionPtr revIDLastSave="826" documentId="8_{C19A90ED-0EAE-42D2-89FA-F9F49A3DCA16}" xr6:coauthVersionLast="47" xr6:coauthVersionMax="47" xr10:uidLastSave="{36E587FF-1117-4CCF-8628-819083C50D9D}"/>
  <bookViews>
    <workbookView xWindow="-105" yWindow="0" windowWidth="14610" windowHeight="15585" xr2:uid="{E07C68A1-99F8-4C21-B665-3569F21B8DE2}"/>
  </bookViews>
  <sheets>
    <sheet name="HN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9" l="1"/>
  <c r="B2" i="9"/>
</calcChain>
</file>

<file path=xl/sharedStrings.xml><?xml version="1.0" encoding="utf-8"?>
<sst xmlns="http://schemas.openxmlformats.org/spreadsheetml/2006/main" count="246" uniqueCount="136">
  <si>
    <t>TRIPLE SEC</t>
  </si>
  <si>
    <t>COFFEE DECAF</t>
  </si>
  <si>
    <t>KETCHUP</t>
  </si>
  <si>
    <t>MAYONNAISE</t>
  </si>
  <si>
    <t>PC HONEY MUSTARD</t>
  </si>
  <si>
    <t>PC JELLY</t>
  </si>
  <si>
    <t>PC MAYO</t>
  </si>
  <si>
    <t>PC KETCHUP</t>
  </si>
  <si>
    <t>PC LEMON</t>
  </si>
  <si>
    <t>PC HONEY</t>
  </si>
  <si>
    <t>PC SPLENDA</t>
  </si>
  <si>
    <t>SALT SEASONED</t>
  </si>
  <si>
    <t>SALT ROUND</t>
  </si>
  <si>
    <t>BEEF BASE</t>
  </si>
  <si>
    <t>CROUTONS</t>
  </si>
  <si>
    <t>JALAPENOS</t>
  </si>
  <si>
    <t>MUSHROOMS</t>
  </si>
  <si>
    <t>SYRUP</t>
  </si>
  <si>
    <t>VANILLA</t>
  </si>
  <si>
    <t>PANCAKE MIX</t>
  </si>
  <si>
    <t>CORN FLAKES</t>
  </si>
  <si>
    <t>ICE TEA</t>
  </si>
  <si>
    <t>LID SMOOTHIE</t>
  </si>
  <si>
    <t>EMPLOYEE CUPS</t>
  </si>
  <si>
    <t>CUP 24oz SODA slv=50</t>
  </si>
  <si>
    <t>CUP 16oz COFFEE slv=20</t>
  </si>
  <si>
    <t>CUP 20oz COFFEE slv=20</t>
  </si>
  <si>
    <t>SLEEVE COFFEE</t>
  </si>
  <si>
    <t>2 CUP CARRY TRAY</t>
  </si>
  <si>
    <t>4 CUP CARRY TRAY</t>
  </si>
  <si>
    <t>STRAWS box=</t>
  </si>
  <si>
    <t>1/2 PT CONT WHT</t>
  </si>
  <si>
    <t>1 PT CONT WHT</t>
  </si>
  <si>
    <t>1 &amp; 1/2 PT LID</t>
  </si>
  <si>
    <t>FOIL OBLONG SM slv=100</t>
  </si>
  <si>
    <t>FOIL OBLONG SM LID slv=100</t>
  </si>
  <si>
    <t>CONT 32oz (Salad) slv=63</t>
  </si>
  <si>
    <t>CONT 64oz (Taco Salad) slv=63</t>
  </si>
  <si>
    <t>LID 32/64oz Clr</t>
  </si>
  <si>
    <t>WAX SAUSAGE slv=1000</t>
  </si>
  <si>
    <t>WAX YELLOW slv=1000</t>
  </si>
  <si>
    <t>WAX CHORIZO slv=1000</t>
  </si>
  <si>
    <t>WAX BACON slv=1000</t>
  </si>
  <si>
    <t>FOIL GOLD/SILVER box=500</t>
  </si>
  <si>
    <t>WAX WHITE FOLDED box=250</t>
  </si>
  <si>
    <t>TOILET PAPER</t>
  </si>
  <si>
    <t>PINESOL</t>
  </si>
  <si>
    <t>AMMONIA</t>
  </si>
  <si>
    <t>MR. MUSCLE</t>
  </si>
  <si>
    <t>GRILL CLEANER</t>
  </si>
  <si>
    <t>TRASH BAG 33X40 roll=25</t>
  </si>
  <si>
    <t>TRASH BAG 40X48 roll=25</t>
  </si>
  <si>
    <t>SCOURING PAD BLUE</t>
  </si>
  <si>
    <t>GRILL BRICK</t>
  </si>
  <si>
    <t>AGAVE NECTAR</t>
  </si>
  <si>
    <t>GRAPEFRUIT JUICE</t>
  </si>
  <si>
    <t>CRANBERRY JUICE</t>
  </si>
  <si>
    <t>BLOODY MARY MIX</t>
  </si>
  <si>
    <t>TONIC WATER</t>
  </si>
  <si>
    <t>MARGARITA SALT</t>
  </si>
  <si>
    <t>HOT CHOCOLATE</t>
  </si>
  <si>
    <t>HOT TEA</t>
  </si>
  <si>
    <t>A1 SAUCE</t>
  </si>
  <si>
    <t>TABASCO</t>
  </si>
  <si>
    <t>CHOLULA</t>
  </si>
  <si>
    <t>HERSHEYS</t>
  </si>
  <si>
    <t>BKF CEREAL ASSORTED</t>
  </si>
  <si>
    <t>PC PEPPER</t>
  </si>
  <si>
    <t>PC SALT</t>
  </si>
  <si>
    <t>PC MUSTARD</t>
  </si>
  <si>
    <t>PARMESAN</t>
  </si>
  <si>
    <t>PEPPER BLACK</t>
  </si>
  <si>
    <t>GARLIC SALT</t>
  </si>
  <si>
    <t>SALMON SEASONING</t>
  </si>
  <si>
    <t>MONTREAL STEAK SEASONING</t>
  </si>
  <si>
    <t>CINNAMON SUGAR</t>
  </si>
  <si>
    <t>SUGAR 10 X</t>
  </si>
  <si>
    <t>CUP 12oz COCKTAIL slv=50</t>
  </si>
  <si>
    <t>CRAYONS</t>
  </si>
  <si>
    <t>MOP RED (kitchen)</t>
  </si>
  <si>
    <t>MOP GREEN (Dine in)</t>
  </si>
  <si>
    <t>POS PAPER KITCHEN</t>
  </si>
  <si>
    <t>POS PAPER DINING CS/50</t>
  </si>
  <si>
    <t>STICKER 1</t>
  </si>
  <si>
    <t>STICKER 2</t>
  </si>
  <si>
    <t>STICKER 3</t>
  </si>
  <si>
    <t>JUMBO</t>
  </si>
  <si>
    <t>ZORRO</t>
  </si>
  <si>
    <t>WHITE PLAIN</t>
  </si>
  <si>
    <t>BLACK SUN DOT</t>
  </si>
  <si>
    <t>BLUE MON DOT</t>
  </si>
  <si>
    <t>YELLOW TUE DOT</t>
  </si>
  <si>
    <t>RED WED DOT</t>
  </si>
  <si>
    <t>BROWN THUR DOT</t>
  </si>
  <si>
    <t>GREEN FRI DOT</t>
  </si>
  <si>
    <t>ORANGE SAT DOT</t>
  </si>
  <si>
    <t>ANITA'S 2X4"</t>
  </si>
  <si>
    <t>ANITA'S 14"</t>
  </si>
  <si>
    <t>KITCHEN CARTRIDGE</t>
  </si>
  <si>
    <t>LID 3.25oz</t>
  </si>
  <si>
    <t>WAX CUSHION FOIL slv=1000</t>
  </si>
  <si>
    <t>TOOTHPICKS</t>
  </si>
  <si>
    <t>COFFEE FILTERS slv=</t>
  </si>
  <si>
    <t>BEVERAGE NAPKINS</t>
  </si>
  <si>
    <t>HAIRNETS box=</t>
  </si>
  <si>
    <t>HALF GAL BAG - MARGARITA</t>
  </si>
  <si>
    <t>CHLORINE PH TEST KIT</t>
  </si>
  <si>
    <t>LIMEOUT</t>
  </si>
  <si>
    <t>WINDEX</t>
  </si>
  <si>
    <t>AJAX</t>
  </si>
  <si>
    <t>EA</t>
  </si>
  <si>
    <t>PT</t>
  </si>
  <si>
    <t>SLV</t>
  </si>
  <si>
    <t>BX</t>
  </si>
  <si>
    <t>INV</t>
  </si>
  <si>
    <t>ORD</t>
  </si>
  <si>
    <t>MOD</t>
  </si>
  <si>
    <t>TIME</t>
  </si>
  <si>
    <t>DATE</t>
  </si>
  <si>
    <t>NAME</t>
  </si>
  <si>
    <t>BI-WEEKLY - Next Order</t>
  </si>
  <si>
    <t>✔</t>
  </si>
  <si>
    <t>PAR</t>
  </si>
  <si>
    <t>UNIT</t>
  </si>
  <si>
    <t>10/BG</t>
  </si>
  <si>
    <t>BG</t>
  </si>
  <si>
    <t>4/BG</t>
  </si>
  <si>
    <t>CUP 16oz SODA slv=50</t>
  </si>
  <si>
    <t>CUP 20oz SODA slv=50</t>
  </si>
  <si>
    <t>BOX</t>
  </si>
  <si>
    <t>RL</t>
  </si>
  <si>
    <t>4QT</t>
  </si>
  <si>
    <t>MONTHLY - Next Order</t>
  </si>
  <si>
    <t>BI-WEEKLY ITEMS</t>
  </si>
  <si>
    <t>MONTHLY ITEMS</t>
  </si>
  <si>
    <t>DRANO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</si>
</sst>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;@"/>
  </numFmts>
  <fonts count="5" x14ac:knownFonts="1">
    <font>
      <sz val="11"/>
      <color theme="1"/>
      <name val="Times New Roman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" xfId="0" applyFont="1" applyBorder="1"/>
    <xf numFmtId="0" fontId="2" fillId="0" borderId="4" xfId="0" applyFont="1" applyBorder="1"/>
    <xf numFmtId="0" fontId="2" fillId="0" borderId="3" xfId="0" applyFont="1" applyBorder="1"/>
    <xf numFmtId="0" fontId="2" fillId="0" borderId="1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164" fontId="1" fillId="2" borderId="3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</dxfs>
  <tableStyles count="1" defaultTableStyle="TableStyleMedium2" defaultPivotStyle="PivotStyleLight16">
    <tableStyle name="TableStyleMedium2 2" pivot="0" count="7" xr9:uid="{F580BB1E-7E8B-4D9A-84CB-58CE1B07D28C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194B9-1B88-4B84-8A09-1F3DC2E013E0}">
  <dimension ref="A1:O60"/>
  <sheetViews>
    <sheetView tabSelected="1" view="pageLayout" zoomScale="145" zoomScaleNormal="130" zoomScalePageLayoutView="145" workbookViewId="0">
      <selection activeCell="C4" sqref="C4"/>
    </sheetView>
  </sheetViews>
  <sheetFormatPr defaultRowHeight="12.75" customHeight="1" x14ac:dyDescent="0.25"/>
  <cols>
    <col min="1" max="1" width="24.5703125" style="1" bestFit="1" customWidth="1"/>
    <col min="2" max="2" width="5" style="2" bestFit="1" customWidth="1"/>
    <col min="3" max="3" width="3.7109375" style="2" bestFit="1" customWidth="1"/>
    <col min="4" max="4" width="3.5703125" style="2" bestFit="1" customWidth="1"/>
    <col min="5" max="5" width="4.85546875" style="2" bestFit="1" customWidth="1"/>
    <col min="6" max="7" width="4.140625" style="2" customWidth="1"/>
    <col min="8" max="8" width="1.85546875" style="1" customWidth="1"/>
    <col min="9" max="9" width="24.42578125" style="1" bestFit="1" customWidth="1"/>
    <col min="10" max="10" width="5" style="2" bestFit="1" customWidth="1"/>
    <col min="11" max="12" width="3.5703125" style="2" bestFit="1" customWidth="1"/>
    <col min="13" max="13" width="4.5703125" style="2" customWidth="1"/>
    <col min="14" max="15" width="4.140625" style="2" customWidth="1"/>
    <col min="16" max="19" width="3.28515625" style="1" customWidth="1"/>
    <col min="20" max="20" width="23.5703125" style="1" bestFit="1" customWidth="1"/>
    <col min="21" max="16384" width="9.140625" style="1"/>
  </cols>
  <sheetData>
    <row r="1" spans="1:15" ht="12.75" customHeight="1" x14ac:dyDescent="0.25">
      <c r="A1" s="4" t="s">
        <v>119</v>
      </c>
      <c r="B1" s="23"/>
      <c r="C1" s="23"/>
      <c r="D1" s="23"/>
      <c r="E1" s="3" t="s">
        <v>116</v>
      </c>
      <c r="F1" s="23"/>
      <c r="G1" s="23"/>
      <c r="H1" s="23"/>
      <c r="I1" s="4" t="s">
        <v>118</v>
      </c>
      <c r="J1" s="23"/>
      <c r="K1" s="23"/>
      <c r="L1" s="23"/>
      <c r="M1" s="3" t="s">
        <v>117</v>
      </c>
      <c r="N1" s="23"/>
      <c r="O1" s="23"/>
    </row>
    <row r="2" spans="1:15" ht="12.75" customHeight="1" x14ac:dyDescent="0.25">
      <c r="A2" s="5" t="s">
        <v>120</v>
      </c>
      <c r="B2" s="24">
        <f ca="1">_xlfn.LET(_xlpm.anchor,DATE(2026,8,2),_xlpm.cycle,14,_xlpm.next,_xlpm.anchor+_xlfn.CEILING.MATH(MAX(0,TODAY()-_xlpm.anchor),_xlpm.cycle),IF(_xlpm.next=TODAY(),"DUE TODAY",_xlpm.next))</f>
        <v>46292</v>
      </c>
      <c r="C2" s="24"/>
      <c r="D2" s="24"/>
      <c r="E2" s="25"/>
      <c r="F2" s="24"/>
      <c r="G2" s="24"/>
      <c r="I2" s="5" t="s">
        <v>132</v>
      </c>
      <c r="J2" s="24">
        <f ca="1">_xlfn.LET(_xlpm.anchor,DATE(2026,7,26),_xlpm.cycle,28,_xlpm.next,_xlpm.anchor+_xlfn.CEILING.MATH(MAX(0,TODAY()-_xlpm.anchor),_xlpm.cycle),IF(_xlpm.next=TODAY(),"DUE TODAY",_xlpm.next))</f>
        <v>46313</v>
      </c>
      <c r="K2" s="24"/>
      <c r="L2" s="24"/>
      <c r="M2" s="25"/>
      <c r="N2" s="24"/>
      <c r="O2" s="24"/>
    </row>
    <row r="3" spans="1:15" ht="12.75" customHeight="1" x14ac:dyDescent="0.25">
      <c r="A3" s="18" t="s">
        <v>133</v>
      </c>
      <c r="B3" s="6" t="s">
        <v>123</v>
      </c>
      <c r="C3" s="6" t="s">
        <v>114</v>
      </c>
      <c r="D3" s="6" t="s">
        <v>122</v>
      </c>
      <c r="E3" s="6" t="s">
        <v>115</v>
      </c>
      <c r="F3" s="7" t="s">
        <v>121</v>
      </c>
      <c r="G3" s="7" t="s">
        <v>121</v>
      </c>
      <c r="I3" s="18" t="s">
        <v>134</v>
      </c>
      <c r="J3" s="6" t="s">
        <v>123</v>
      </c>
      <c r="K3" s="6" t="s">
        <v>114</v>
      </c>
      <c r="L3" s="6" t="s">
        <v>122</v>
      </c>
      <c r="M3" s="6" t="s">
        <v>115</v>
      </c>
      <c r="N3" s="7" t="s">
        <v>121</v>
      </c>
      <c r="O3" s="7" t="s">
        <v>121</v>
      </c>
    </row>
    <row r="4" spans="1:15" ht="12.75" customHeight="1" x14ac:dyDescent="0.25">
      <c r="A4" s="10" t="s">
        <v>15</v>
      </c>
      <c r="B4" s="7" t="s">
        <v>110</v>
      </c>
      <c r="C4" s="16"/>
      <c r="D4" s="19">
        <v>2</v>
      </c>
      <c r="E4" s="13"/>
      <c r="F4" s="13"/>
      <c r="G4" s="13"/>
      <c r="I4" s="10" t="s">
        <v>54</v>
      </c>
      <c r="J4" s="7" t="s">
        <v>110</v>
      </c>
      <c r="K4" s="17"/>
      <c r="L4" s="22"/>
      <c r="M4" s="17"/>
      <c r="N4" s="13"/>
      <c r="O4" s="13"/>
    </row>
    <row r="5" spans="1:15" ht="12.75" customHeight="1" x14ac:dyDescent="0.25">
      <c r="A5" s="10" t="s">
        <v>16</v>
      </c>
      <c r="B5" s="7" t="s">
        <v>110</v>
      </c>
      <c r="C5" s="13"/>
      <c r="D5" s="19">
        <v>2</v>
      </c>
      <c r="E5" s="13"/>
      <c r="F5" s="13"/>
      <c r="G5" s="13"/>
      <c r="I5" s="10" t="s">
        <v>55</v>
      </c>
      <c r="J5" s="7" t="s">
        <v>110</v>
      </c>
      <c r="K5" s="17"/>
      <c r="L5" s="22"/>
      <c r="M5" s="17"/>
      <c r="N5" s="13"/>
      <c r="O5" s="13"/>
    </row>
    <row r="6" spans="1:15" ht="12.75" customHeight="1" x14ac:dyDescent="0.25">
      <c r="A6" s="10" t="s">
        <v>17</v>
      </c>
      <c r="B6" s="7" t="s">
        <v>110</v>
      </c>
      <c r="C6" s="13"/>
      <c r="D6" s="19">
        <v>3</v>
      </c>
      <c r="E6" s="13"/>
      <c r="F6" s="13"/>
      <c r="G6" s="13"/>
      <c r="I6" s="10" t="s">
        <v>56</v>
      </c>
      <c r="J6" s="7" t="s">
        <v>110</v>
      </c>
      <c r="K6" s="13"/>
      <c r="L6" s="19">
        <v>2</v>
      </c>
      <c r="M6" s="13"/>
      <c r="N6" s="13"/>
      <c r="O6" s="13"/>
    </row>
    <row r="7" spans="1:15" ht="12.75" customHeight="1" x14ac:dyDescent="0.25">
      <c r="A7" s="10" t="s">
        <v>18</v>
      </c>
      <c r="B7" s="7" t="s">
        <v>110</v>
      </c>
      <c r="C7" s="13"/>
      <c r="D7" s="19">
        <v>1</v>
      </c>
      <c r="E7" s="13"/>
      <c r="F7" s="13"/>
      <c r="G7" s="13"/>
      <c r="I7" s="10" t="s">
        <v>57</v>
      </c>
      <c r="J7" s="7" t="s">
        <v>110</v>
      </c>
      <c r="K7" s="13"/>
      <c r="L7" s="19">
        <v>1</v>
      </c>
      <c r="M7" s="13"/>
      <c r="N7" s="13"/>
      <c r="O7" s="13"/>
    </row>
    <row r="8" spans="1:15" ht="12.75" customHeight="1" x14ac:dyDescent="0.25">
      <c r="A8" s="10" t="s">
        <v>0</v>
      </c>
      <c r="B8" s="7" t="s">
        <v>110</v>
      </c>
      <c r="C8" s="13"/>
      <c r="D8" s="19">
        <v>1</v>
      </c>
      <c r="E8" s="13"/>
      <c r="F8" s="13"/>
      <c r="G8" s="13"/>
      <c r="I8" s="10" t="s">
        <v>58</v>
      </c>
      <c r="J8" s="7" t="s">
        <v>110</v>
      </c>
      <c r="K8" s="17"/>
      <c r="L8" s="22"/>
      <c r="M8" s="17"/>
      <c r="N8" s="13"/>
      <c r="O8" s="13"/>
    </row>
    <row r="9" spans="1:15" ht="12.75" customHeight="1" x14ac:dyDescent="0.25">
      <c r="A9" s="10" t="s">
        <v>2</v>
      </c>
      <c r="B9" s="7" t="s">
        <v>110</v>
      </c>
      <c r="C9" s="13"/>
      <c r="D9" s="19">
        <v>4</v>
      </c>
      <c r="E9" s="13"/>
      <c r="F9" s="13"/>
      <c r="G9" s="13"/>
      <c r="I9" s="10" t="s">
        <v>59</v>
      </c>
      <c r="J9" s="7" t="s">
        <v>110</v>
      </c>
      <c r="K9" s="13"/>
      <c r="L9" s="19">
        <v>1</v>
      </c>
      <c r="M9" s="13"/>
      <c r="N9" s="13"/>
      <c r="O9" s="13"/>
    </row>
    <row r="10" spans="1:15" ht="12.75" customHeight="1" x14ac:dyDescent="0.25">
      <c r="A10" s="10" t="s">
        <v>3</v>
      </c>
      <c r="B10" s="7" t="s">
        <v>110</v>
      </c>
      <c r="C10" s="13"/>
      <c r="D10" s="19">
        <v>1</v>
      </c>
      <c r="E10" s="13"/>
      <c r="F10" s="13"/>
      <c r="G10" s="13"/>
      <c r="I10" s="10" t="s">
        <v>62</v>
      </c>
      <c r="J10" s="7" t="s">
        <v>110</v>
      </c>
      <c r="K10" s="13"/>
      <c r="L10" s="19">
        <v>0</v>
      </c>
      <c r="M10" s="13"/>
      <c r="N10" s="13"/>
      <c r="O10" s="13"/>
    </row>
    <row r="11" spans="1:15" ht="12.75" customHeight="1" x14ac:dyDescent="0.25">
      <c r="A11" s="10" t="s">
        <v>64</v>
      </c>
      <c r="B11" s="7" t="s">
        <v>110</v>
      </c>
      <c r="C11" s="13"/>
      <c r="D11" s="19">
        <v>3</v>
      </c>
      <c r="E11" s="13"/>
      <c r="F11" s="13"/>
      <c r="G11" s="13"/>
      <c r="I11" s="10" t="s">
        <v>63</v>
      </c>
      <c r="J11" s="7" t="s">
        <v>110</v>
      </c>
      <c r="K11" s="13"/>
      <c r="L11" s="19">
        <v>2</v>
      </c>
      <c r="M11" s="13"/>
      <c r="N11" s="13"/>
      <c r="O11" s="13"/>
    </row>
    <row r="12" spans="1:15" ht="12.75" customHeight="1" x14ac:dyDescent="0.25">
      <c r="A12" s="10" t="s">
        <v>11</v>
      </c>
      <c r="B12" s="7" t="s">
        <v>110</v>
      </c>
      <c r="C12" s="13"/>
      <c r="D12" s="19">
        <v>1</v>
      </c>
      <c r="E12" s="13"/>
      <c r="F12" s="13"/>
      <c r="G12" s="13"/>
      <c r="I12" s="10" t="s">
        <v>65</v>
      </c>
      <c r="J12" s="7" t="s">
        <v>110</v>
      </c>
      <c r="K12" s="13"/>
      <c r="L12" s="19">
        <v>1</v>
      </c>
      <c r="M12" s="13"/>
      <c r="N12" s="13"/>
      <c r="O12" s="13"/>
    </row>
    <row r="13" spans="1:15" ht="12.75" customHeight="1" x14ac:dyDescent="0.25">
      <c r="A13" s="10" t="s">
        <v>12</v>
      </c>
      <c r="B13" s="7" t="s">
        <v>110</v>
      </c>
      <c r="C13" s="13"/>
      <c r="D13" s="19">
        <v>2</v>
      </c>
      <c r="E13" s="13"/>
      <c r="F13" s="13"/>
      <c r="G13" s="13"/>
      <c r="I13" s="10" t="s">
        <v>70</v>
      </c>
      <c r="J13" s="7" t="s">
        <v>110</v>
      </c>
      <c r="K13" s="13"/>
      <c r="L13" s="19">
        <v>1</v>
      </c>
      <c r="M13" s="13"/>
      <c r="N13" s="13"/>
      <c r="O13" s="13"/>
    </row>
    <row r="14" spans="1:15" ht="12.75" customHeight="1" x14ac:dyDescent="0.25">
      <c r="A14" s="10" t="s">
        <v>19</v>
      </c>
      <c r="B14" s="7" t="s">
        <v>110</v>
      </c>
      <c r="C14" s="13"/>
      <c r="D14" s="19">
        <v>4</v>
      </c>
      <c r="E14" s="13"/>
      <c r="F14" s="13"/>
      <c r="G14" s="13"/>
      <c r="I14" s="10" t="s">
        <v>66</v>
      </c>
      <c r="J14" s="7" t="s">
        <v>126</v>
      </c>
      <c r="K14" s="13"/>
      <c r="L14" s="19">
        <v>1</v>
      </c>
      <c r="M14" s="13"/>
      <c r="N14" s="13"/>
      <c r="O14" s="13"/>
    </row>
    <row r="15" spans="1:15" ht="12.75" customHeight="1" x14ac:dyDescent="0.25">
      <c r="A15" s="10" t="s">
        <v>20</v>
      </c>
      <c r="B15" s="7" t="s">
        <v>131</v>
      </c>
      <c r="C15" s="13"/>
      <c r="D15" s="19">
        <v>1</v>
      </c>
      <c r="E15" s="13"/>
      <c r="F15" s="13"/>
      <c r="G15" s="13"/>
      <c r="I15" s="10" t="s">
        <v>60</v>
      </c>
      <c r="J15" s="7" t="s">
        <v>124</v>
      </c>
      <c r="K15" s="13"/>
      <c r="L15" s="19">
        <v>3</v>
      </c>
      <c r="M15" s="13"/>
      <c r="N15" s="13"/>
      <c r="O15" s="13"/>
    </row>
    <row r="16" spans="1:15" ht="12.75" customHeight="1" x14ac:dyDescent="0.25">
      <c r="A16" s="10" t="s">
        <v>13</v>
      </c>
      <c r="B16" s="7" t="s">
        <v>111</v>
      </c>
      <c r="C16" s="13"/>
      <c r="D16" s="19">
        <v>1</v>
      </c>
      <c r="E16" s="13"/>
      <c r="F16" s="13"/>
      <c r="G16" s="13"/>
      <c r="I16" s="10" t="s">
        <v>61</v>
      </c>
      <c r="J16" s="7" t="s">
        <v>125</v>
      </c>
      <c r="K16" s="13"/>
      <c r="L16" s="19">
        <v>1</v>
      </c>
      <c r="M16" s="13"/>
      <c r="N16" s="13"/>
      <c r="O16" s="13"/>
    </row>
    <row r="17" spans="1:15" ht="12.75" customHeight="1" x14ac:dyDescent="0.25">
      <c r="A17" s="10" t="s">
        <v>14</v>
      </c>
      <c r="B17" s="7" t="s">
        <v>111</v>
      </c>
      <c r="C17" s="13"/>
      <c r="D17" s="19">
        <v>1</v>
      </c>
      <c r="E17" s="13"/>
      <c r="F17" s="13"/>
      <c r="G17" s="13"/>
      <c r="I17" s="10" t="s">
        <v>67</v>
      </c>
      <c r="J17" s="7" t="s">
        <v>125</v>
      </c>
      <c r="K17" s="13"/>
      <c r="L17" s="19">
        <v>1</v>
      </c>
      <c r="M17" s="13"/>
      <c r="N17" s="13"/>
      <c r="O17" s="13"/>
    </row>
    <row r="18" spans="1:15" ht="12.75" customHeight="1" x14ac:dyDescent="0.25">
      <c r="A18" s="10" t="s">
        <v>4</v>
      </c>
      <c r="B18" s="7" t="s">
        <v>125</v>
      </c>
      <c r="C18" s="13"/>
      <c r="D18" s="19">
        <v>1</v>
      </c>
      <c r="E18" s="13"/>
      <c r="F18" s="13"/>
      <c r="G18" s="13"/>
      <c r="I18" s="10" t="s">
        <v>68</v>
      </c>
      <c r="J18" s="7" t="s">
        <v>125</v>
      </c>
      <c r="K18" s="13"/>
      <c r="L18" s="19">
        <v>1</v>
      </c>
      <c r="M18" s="13"/>
      <c r="N18" s="13"/>
      <c r="O18" s="13"/>
    </row>
    <row r="19" spans="1:15" ht="12.75" customHeight="1" x14ac:dyDescent="0.25">
      <c r="A19" s="10" t="s">
        <v>5</v>
      </c>
      <c r="B19" s="7" t="s">
        <v>125</v>
      </c>
      <c r="C19" s="13"/>
      <c r="D19" s="19">
        <v>2</v>
      </c>
      <c r="E19" s="13"/>
      <c r="F19" s="13"/>
      <c r="G19" s="13"/>
      <c r="I19" s="10" t="s">
        <v>69</v>
      </c>
      <c r="J19" s="7" t="s">
        <v>125</v>
      </c>
      <c r="K19" s="13"/>
      <c r="L19" s="19">
        <v>1</v>
      </c>
      <c r="M19" s="13"/>
      <c r="N19" s="13"/>
      <c r="O19" s="13"/>
    </row>
    <row r="20" spans="1:15" ht="12.75" customHeight="1" x14ac:dyDescent="0.25">
      <c r="A20" s="10" t="s">
        <v>6</v>
      </c>
      <c r="B20" s="7" t="s">
        <v>125</v>
      </c>
      <c r="C20" s="13"/>
      <c r="D20" s="19">
        <v>1</v>
      </c>
      <c r="E20" s="13"/>
      <c r="F20" s="13"/>
      <c r="G20" s="13"/>
      <c r="I20" s="10" t="s">
        <v>71</v>
      </c>
      <c r="J20" s="7" t="s">
        <v>111</v>
      </c>
      <c r="K20" s="13"/>
      <c r="L20" s="19">
        <v>1</v>
      </c>
      <c r="M20" s="13"/>
      <c r="N20" s="13"/>
      <c r="O20" s="13"/>
    </row>
    <row r="21" spans="1:15" ht="12.75" customHeight="1" x14ac:dyDescent="0.25">
      <c r="A21" s="10" t="s">
        <v>7</v>
      </c>
      <c r="B21" s="7" t="s">
        <v>125</v>
      </c>
      <c r="C21" s="13"/>
      <c r="D21" s="19">
        <v>1</v>
      </c>
      <c r="E21" s="13"/>
      <c r="F21" s="13"/>
      <c r="G21" s="13"/>
      <c r="I21" s="10" t="s">
        <v>72</v>
      </c>
      <c r="J21" s="7" t="s">
        <v>110</v>
      </c>
      <c r="K21" s="13"/>
      <c r="L21" s="19">
        <v>1</v>
      </c>
      <c r="M21" s="13"/>
      <c r="N21" s="13"/>
      <c r="O21" s="13"/>
    </row>
    <row r="22" spans="1:15" ht="12.75" customHeight="1" x14ac:dyDescent="0.25">
      <c r="A22" s="10" t="s">
        <v>8</v>
      </c>
      <c r="B22" s="7" t="s">
        <v>125</v>
      </c>
      <c r="C22" s="13"/>
      <c r="D22" s="19">
        <v>2</v>
      </c>
      <c r="E22" s="13"/>
      <c r="F22" s="13"/>
      <c r="G22" s="13"/>
      <c r="I22" s="10" t="s">
        <v>73</v>
      </c>
      <c r="J22" s="7" t="s">
        <v>110</v>
      </c>
      <c r="K22" s="13"/>
      <c r="L22" s="19">
        <v>1</v>
      </c>
      <c r="M22" s="13"/>
      <c r="N22" s="13"/>
      <c r="O22" s="13"/>
    </row>
    <row r="23" spans="1:15" ht="12.75" customHeight="1" x14ac:dyDescent="0.25">
      <c r="A23" s="10" t="s">
        <v>9</v>
      </c>
      <c r="B23" s="7" t="s">
        <v>125</v>
      </c>
      <c r="C23" s="13"/>
      <c r="D23" s="19">
        <v>2</v>
      </c>
      <c r="E23" s="13"/>
      <c r="F23" s="13"/>
      <c r="G23" s="13"/>
      <c r="I23" s="10" t="s">
        <v>74</v>
      </c>
      <c r="J23" s="7" t="s">
        <v>110</v>
      </c>
      <c r="K23" s="13"/>
      <c r="L23" s="19">
        <v>1</v>
      </c>
      <c r="M23" s="13"/>
      <c r="N23" s="13"/>
      <c r="O23" s="13"/>
    </row>
    <row r="24" spans="1:15" ht="12.75" customHeight="1" x14ac:dyDescent="0.25">
      <c r="A24" s="10" t="s">
        <v>10</v>
      </c>
      <c r="B24" s="7" t="s">
        <v>125</v>
      </c>
      <c r="C24" s="13"/>
      <c r="D24" s="19">
        <v>2</v>
      </c>
      <c r="E24" s="13"/>
      <c r="F24" s="13"/>
      <c r="G24" s="13"/>
      <c r="I24" s="10" t="s">
        <v>75</v>
      </c>
      <c r="J24" s="7" t="s">
        <v>111</v>
      </c>
      <c r="K24" s="13"/>
      <c r="L24" s="19">
        <v>1</v>
      </c>
      <c r="M24" s="13"/>
      <c r="N24" s="13"/>
      <c r="O24" s="13"/>
    </row>
    <row r="25" spans="1:15" ht="12.75" customHeight="1" thickBot="1" x14ac:dyDescent="0.3">
      <c r="A25" s="10" t="s">
        <v>1</v>
      </c>
      <c r="B25" s="7" t="s">
        <v>110</v>
      </c>
      <c r="C25" s="14"/>
      <c r="D25" s="19">
        <v>14</v>
      </c>
      <c r="E25" s="14"/>
      <c r="F25" s="14"/>
      <c r="G25" s="14"/>
      <c r="I25" s="11" t="s">
        <v>76</v>
      </c>
      <c r="J25" s="9" t="s">
        <v>110</v>
      </c>
      <c r="K25" s="15"/>
      <c r="L25" s="20">
        <v>1</v>
      </c>
      <c r="M25" s="15"/>
      <c r="N25" s="15"/>
      <c r="O25" s="15"/>
    </row>
    <row r="26" spans="1:15" ht="12.75" customHeight="1" thickBot="1" x14ac:dyDescent="0.3">
      <c r="A26" s="11" t="s">
        <v>21</v>
      </c>
      <c r="B26" s="9" t="s">
        <v>126</v>
      </c>
      <c r="C26" s="15"/>
      <c r="D26" s="20">
        <v>4</v>
      </c>
      <c r="E26" s="15"/>
      <c r="F26" s="15"/>
      <c r="G26" s="15"/>
      <c r="I26" s="12" t="s">
        <v>77</v>
      </c>
      <c r="J26" s="8" t="s">
        <v>112</v>
      </c>
      <c r="K26" s="14"/>
      <c r="L26" s="21">
        <v>1</v>
      </c>
      <c r="M26" s="14"/>
      <c r="N26" s="14"/>
      <c r="O26" s="14"/>
    </row>
    <row r="27" spans="1:15" ht="12.75" customHeight="1" x14ac:dyDescent="0.25">
      <c r="A27" s="12" t="s">
        <v>22</v>
      </c>
      <c r="B27" s="8" t="s">
        <v>112</v>
      </c>
      <c r="C27" s="14"/>
      <c r="D27" s="21">
        <v>1</v>
      </c>
      <c r="E27" s="14"/>
      <c r="F27" s="14"/>
      <c r="G27" s="14"/>
      <c r="I27" s="10" t="s">
        <v>78</v>
      </c>
      <c r="J27" s="7" t="s">
        <v>125</v>
      </c>
      <c r="K27" s="13"/>
      <c r="L27" s="19">
        <v>2</v>
      </c>
      <c r="M27" s="13"/>
      <c r="N27" s="13"/>
      <c r="O27" s="13"/>
    </row>
    <row r="28" spans="1:15" ht="12.75" customHeight="1" x14ac:dyDescent="0.25">
      <c r="A28" s="10" t="s">
        <v>23</v>
      </c>
      <c r="B28" s="7" t="s">
        <v>112</v>
      </c>
      <c r="C28" s="13"/>
      <c r="D28" s="19">
        <v>1</v>
      </c>
      <c r="E28" s="13"/>
      <c r="F28" s="13"/>
      <c r="G28" s="13"/>
      <c r="I28" s="10" t="s">
        <v>81</v>
      </c>
      <c r="J28" s="7" t="s">
        <v>110</v>
      </c>
      <c r="K28" s="13"/>
      <c r="L28" s="19">
        <v>3</v>
      </c>
      <c r="M28" s="13"/>
      <c r="N28" s="13"/>
      <c r="O28" s="13"/>
    </row>
    <row r="29" spans="1:15" ht="12.75" customHeight="1" x14ac:dyDescent="0.25">
      <c r="A29" s="10" t="s">
        <v>127</v>
      </c>
      <c r="B29" s="7" t="s">
        <v>112</v>
      </c>
      <c r="C29" s="13"/>
      <c r="D29" s="19">
        <v>10</v>
      </c>
      <c r="E29" s="13"/>
      <c r="F29" s="13"/>
      <c r="G29" s="13"/>
      <c r="I29" s="10" t="s">
        <v>82</v>
      </c>
      <c r="J29" s="7" t="s">
        <v>110</v>
      </c>
      <c r="K29" s="13"/>
      <c r="L29" s="19">
        <v>24</v>
      </c>
      <c r="M29" s="13"/>
      <c r="N29" s="13"/>
      <c r="O29" s="13"/>
    </row>
    <row r="30" spans="1:15" ht="12.75" customHeight="1" x14ac:dyDescent="0.25">
      <c r="A30" s="10" t="s">
        <v>128</v>
      </c>
      <c r="B30" s="7" t="s">
        <v>112</v>
      </c>
      <c r="C30" s="13"/>
      <c r="D30" s="19">
        <v>4</v>
      </c>
      <c r="E30" s="13"/>
      <c r="F30" s="13"/>
      <c r="G30" s="13"/>
      <c r="I30" s="10" t="s">
        <v>98</v>
      </c>
      <c r="J30" s="7" t="s">
        <v>110</v>
      </c>
      <c r="K30" s="13"/>
      <c r="L30" s="19">
        <v>1</v>
      </c>
      <c r="M30" s="13"/>
      <c r="N30" s="13"/>
      <c r="O30" s="13"/>
    </row>
    <row r="31" spans="1:15" ht="12.75" customHeight="1" x14ac:dyDescent="0.25">
      <c r="A31" s="10" t="s">
        <v>24</v>
      </c>
      <c r="B31" s="7" t="s">
        <v>112</v>
      </c>
      <c r="C31" s="13"/>
      <c r="D31" s="19">
        <v>2</v>
      </c>
      <c r="E31" s="13"/>
      <c r="F31" s="13"/>
      <c r="G31" s="13"/>
      <c r="I31" s="10" t="s">
        <v>83</v>
      </c>
      <c r="J31" s="7" t="s">
        <v>110</v>
      </c>
      <c r="K31" s="13"/>
      <c r="L31" s="19">
        <v>1</v>
      </c>
      <c r="M31" s="13"/>
      <c r="N31" s="13"/>
      <c r="O31" s="13"/>
    </row>
    <row r="32" spans="1:15" ht="12.75" customHeight="1" x14ac:dyDescent="0.25">
      <c r="A32" s="10" t="s">
        <v>25</v>
      </c>
      <c r="B32" s="7" t="s">
        <v>112</v>
      </c>
      <c r="C32" s="13"/>
      <c r="D32" s="19">
        <v>4</v>
      </c>
      <c r="E32" s="13"/>
      <c r="F32" s="13"/>
      <c r="G32" s="13"/>
      <c r="I32" s="10" t="s">
        <v>84</v>
      </c>
      <c r="J32" s="7" t="s">
        <v>110</v>
      </c>
      <c r="K32" s="13"/>
      <c r="L32" s="19">
        <v>2</v>
      </c>
      <c r="M32" s="13"/>
      <c r="N32" s="13"/>
      <c r="O32" s="13"/>
    </row>
    <row r="33" spans="1:15" ht="12.75" customHeight="1" x14ac:dyDescent="0.25">
      <c r="A33" s="10" t="s">
        <v>26</v>
      </c>
      <c r="B33" s="7" t="s">
        <v>112</v>
      </c>
      <c r="C33" s="13"/>
      <c r="D33" s="19">
        <v>2</v>
      </c>
      <c r="E33" s="13"/>
      <c r="F33" s="13"/>
      <c r="G33" s="13"/>
      <c r="I33" s="10" t="s">
        <v>85</v>
      </c>
      <c r="J33" s="7" t="s">
        <v>110</v>
      </c>
      <c r="K33" s="13"/>
      <c r="L33" s="19">
        <v>1</v>
      </c>
      <c r="M33" s="13"/>
      <c r="N33" s="13"/>
      <c r="O33" s="13"/>
    </row>
    <row r="34" spans="1:15" ht="12.75" customHeight="1" x14ac:dyDescent="0.25">
      <c r="A34" s="10" t="s">
        <v>27</v>
      </c>
      <c r="B34" s="7" t="s">
        <v>129</v>
      </c>
      <c r="C34" s="13"/>
      <c r="D34" s="19">
        <v>2</v>
      </c>
      <c r="E34" s="13"/>
      <c r="F34" s="13"/>
      <c r="G34" s="13"/>
      <c r="I34" s="10" t="s">
        <v>86</v>
      </c>
      <c r="J34" s="7" t="s">
        <v>110</v>
      </c>
      <c r="K34" s="13"/>
      <c r="L34" s="19">
        <v>1</v>
      </c>
      <c r="M34" s="13"/>
      <c r="N34" s="13"/>
      <c r="O34" s="13"/>
    </row>
    <row r="35" spans="1:15" ht="12.75" customHeight="1" x14ac:dyDescent="0.25">
      <c r="A35" s="10" t="s">
        <v>28</v>
      </c>
      <c r="B35" s="7" t="s">
        <v>110</v>
      </c>
      <c r="C35" s="13"/>
      <c r="D35" s="19">
        <v>2</v>
      </c>
      <c r="E35" s="13"/>
      <c r="F35" s="13"/>
      <c r="G35" s="13"/>
      <c r="I35" s="10" t="s">
        <v>87</v>
      </c>
      <c r="J35" s="7" t="s">
        <v>110</v>
      </c>
      <c r="K35" s="13"/>
      <c r="L35" s="19">
        <v>1</v>
      </c>
      <c r="M35" s="13"/>
      <c r="N35" s="13"/>
      <c r="O35" s="13"/>
    </row>
    <row r="36" spans="1:15" ht="12.75" customHeight="1" x14ac:dyDescent="0.25">
      <c r="A36" s="10" t="s">
        <v>29</v>
      </c>
      <c r="B36" s="7" t="s">
        <v>110</v>
      </c>
      <c r="C36" s="13"/>
      <c r="D36" s="19">
        <v>20</v>
      </c>
      <c r="E36" s="13"/>
      <c r="F36" s="13"/>
      <c r="G36" s="13"/>
      <c r="I36" s="10" t="s">
        <v>88</v>
      </c>
      <c r="J36" s="7" t="s">
        <v>110</v>
      </c>
      <c r="K36" s="13"/>
      <c r="L36" s="19">
        <v>3</v>
      </c>
      <c r="M36" s="13"/>
      <c r="N36" s="13"/>
      <c r="O36" s="13"/>
    </row>
    <row r="37" spans="1:15" ht="12.75" customHeight="1" x14ac:dyDescent="0.25">
      <c r="A37" s="10" t="s">
        <v>30</v>
      </c>
      <c r="B37" s="7" t="s">
        <v>113</v>
      </c>
      <c r="C37" s="13"/>
      <c r="D37" s="19">
        <v>4</v>
      </c>
      <c r="E37" s="13"/>
      <c r="F37" s="13"/>
      <c r="G37" s="13"/>
      <c r="I37" s="10" t="s">
        <v>89</v>
      </c>
      <c r="J37" s="7" t="s">
        <v>110</v>
      </c>
      <c r="K37" s="13"/>
      <c r="L37" s="19">
        <v>1</v>
      </c>
      <c r="M37" s="13"/>
      <c r="N37" s="13"/>
      <c r="O37" s="13"/>
    </row>
    <row r="38" spans="1:15" ht="12.75" customHeight="1" x14ac:dyDescent="0.25">
      <c r="A38" s="10" t="s">
        <v>31</v>
      </c>
      <c r="B38" s="7" t="s">
        <v>112</v>
      </c>
      <c r="C38" s="13"/>
      <c r="D38" s="19">
        <v>7</v>
      </c>
      <c r="E38" s="13"/>
      <c r="F38" s="13"/>
      <c r="G38" s="13"/>
      <c r="I38" s="10" t="s">
        <v>90</v>
      </c>
      <c r="J38" s="7" t="s">
        <v>110</v>
      </c>
      <c r="K38" s="13"/>
      <c r="L38" s="19">
        <v>1</v>
      </c>
      <c r="M38" s="13"/>
      <c r="N38" s="13"/>
      <c r="O38" s="13"/>
    </row>
    <row r="39" spans="1:15" ht="12.75" customHeight="1" x14ac:dyDescent="0.25">
      <c r="A39" s="10" t="s">
        <v>32</v>
      </c>
      <c r="B39" s="7" t="s">
        <v>112</v>
      </c>
      <c r="C39" s="13"/>
      <c r="D39" s="19">
        <v>4</v>
      </c>
      <c r="E39" s="13"/>
      <c r="F39" s="13"/>
      <c r="G39" s="13"/>
      <c r="I39" s="10" t="s">
        <v>91</v>
      </c>
      <c r="J39" s="7" t="s">
        <v>110</v>
      </c>
      <c r="K39" s="13"/>
      <c r="L39" s="19">
        <v>1</v>
      </c>
      <c r="M39" s="13"/>
      <c r="N39" s="13"/>
      <c r="O39" s="13"/>
    </row>
    <row r="40" spans="1:15" ht="12.75" customHeight="1" x14ac:dyDescent="0.25">
      <c r="A40" s="10" t="s">
        <v>33</v>
      </c>
      <c r="B40" s="7" t="s">
        <v>112</v>
      </c>
      <c r="C40" s="13"/>
      <c r="D40" s="19">
        <v>5</v>
      </c>
      <c r="E40" s="13"/>
      <c r="F40" s="13"/>
      <c r="G40" s="13"/>
      <c r="I40" s="10" t="s">
        <v>92</v>
      </c>
      <c r="J40" s="7" t="s">
        <v>110</v>
      </c>
      <c r="K40" s="13"/>
      <c r="L40" s="19">
        <v>1</v>
      </c>
      <c r="M40" s="13"/>
      <c r="N40" s="13"/>
      <c r="O40" s="13"/>
    </row>
    <row r="41" spans="1:15" ht="12.75" customHeight="1" x14ac:dyDescent="0.25">
      <c r="A41" s="10" t="s">
        <v>34</v>
      </c>
      <c r="B41" s="7" t="s">
        <v>112</v>
      </c>
      <c r="C41" s="13"/>
      <c r="D41" s="19">
        <v>4</v>
      </c>
      <c r="E41" s="13"/>
      <c r="F41" s="13"/>
      <c r="G41" s="13"/>
      <c r="I41" s="10" t="s">
        <v>93</v>
      </c>
      <c r="J41" s="7" t="s">
        <v>110</v>
      </c>
      <c r="K41" s="13"/>
      <c r="L41" s="19">
        <v>1</v>
      </c>
      <c r="M41" s="13"/>
      <c r="N41" s="13"/>
      <c r="O41" s="13"/>
    </row>
    <row r="42" spans="1:15" ht="12.75" customHeight="1" x14ac:dyDescent="0.25">
      <c r="A42" s="10" t="s">
        <v>35</v>
      </c>
      <c r="B42" s="7" t="s">
        <v>112</v>
      </c>
      <c r="C42" s="13"/>
      <c r="D42" s="19">
        <v>3</v>
      </c>
      <c r="E42" s="13"/>
      <c r="F42" s="13"/>
      <c r="G42" s="13"/>
      <c r="I42" s="10" t="s">
        <v>94</v>
      </c>
      <c r="J42" s="7" t="s">
        <v>110</v>
      </c>
      <c r="K42" s="13"/>
      <c r="L42" s="19">
        <v>2</v>
      </c>
      <c r="M42" s="13"/>
      <c r="N42" s="13"/>
      <c r="O42" s="13"/>
    </row>
    <row r="43" spans="1:15" ht="12.75" customHeight="1" x14ac:dyDescent="0.25">
      <c r="A43" s="10" t="s">
        <v>36</v>
      </c>
      <c r="B43" s="7" t="s">
        <v>112</v>
      </c>
      <c r="C43" s="13"/>
      <c r="D43" s="19">
        <v>1</v>
      </c>
      <c r="E43" s="13"/>
      <c r="F43" s="13"/>
      <c r="G43" s="13"/>
      <c r="I43" s="10" t="s">
        <v>95</v>
      </c>
      <c r="J43" s="7" t="s">
        <v>110</v>
      </c>
      <c r="K43" s="13"/>
      <c r="L43" s="19">
        <v>1</v>
      </c>
      <c r="M43" s="13"/>
      <c r="N43" s="13"/>
      <c r="O43" s="13"/>
    </row>
    <row r="44" spans="1:15" ht="12.75" customHeight="1" x14ac:dyDescent="0.25">
      <c r="A44" s="10" t="s">
        <v>37</v>
      </c>
      <c r="B44" s="7" t="s">
        <v>112</v>
      </c>
      <c r="C44" s="13"/>
      <c r="D44" s="19">
        <v>2</v>
      </c>
      <c r="E44" s="13"/>
      <c r="F44" s="13"/>
      <c r="G44" s="13"/>
      <c r="I44" s="10" t="s">
        <v>96</v>
      </c>
      <c r="J44" s="7" t="s">
        <v>110</v>
      </c>
      <c r="K44" s="13"/>
      <c r="L44" s="19">
        <v>3</v>
      </c>
      <c r="M44" s="13"/>
      <c r="N44" s="13"/>
      <c r="O44" s="13"/>
    </row>
    <row r="45" spans="1:15" ht="12.75" customHeight="1" x14ac:dyDescent="0.25">
      <c r="A45" s="10" t="s">
        <v>38</v>
      </c>
      <c r="B45" s="7" t="s">
        <v>112</v>
      </c>
      <c r="C45" s="13"/>
      <c r="D45" s="19">
        <v>2</v>
      </c>
      <c r="E45" s="13"/>
      <c r="F45" s="13"/>
      <c r="G45" s="13"/>
      <c r="I45" s="10" t="s">
        <v>97</v>
      </c>
      <c r="J45" s="7" t="s">
        <v>110</v>
      </c>
      <c r="K45" s="13"/>
      <c r="L45" s="19">
        <v>30</v>
      </c>
      <c r="M45" s="13"/>
      <c r="N45" s="13"/>
      <c r="O45" s="13"/>
    </row>
    <row r="46" spans="1:15" ht="12.75" customHeight="1" x14ac:dyDescent="0.25">
      <c r="A46" s="10" t="s">
        <v>39</v>
      </c>
      <c r="B46" s="7" t="s">
        <v>112</v>
      </c>
      <c r="C46" s="13"/>
      <c r="D46" s="19">
        <v>1</v>
      </c>
      <c r="E46" s="13"/>
      <c r="F46" s="13"/>
      <c r="G46" s="13"/>
      <c r="I46" s="10" t="s">
        <v>100</v>
      </c>
      <c r="J46" s="7" t="s">
        <v>112</v>
      </c>
      <c r="K46" s="13"/>
      <c r="L46" s="19">
        <v>1</v>
      </c>
      <c r="M46" s="13"/>
      <c r="N46" s="13"/>
      <c r="O46" s="13"/>
    </row>
    <row r="47" spans="1:15" ht="12.75" customHeight="1" x14ac:dyDescent="0.25">
      <c r="A47" s="10" t="s">
        <v>40</v>
      </c>
      <c r="B47" s="7" t="s">
        <v>112</v>
      </c>
      <c r="C47" s="13"/>
      <c r="D47" s="19">
        <v>1</v>
      </c>
      <c r="E47" s="13"/>
      <c r="F47" s="13"/>
      <c r="G47" s="13"/>
      <c r="I47" s="10" t="s">
        <v>101</v>
      </c>
      <c r="J47" s="7" t="s">
        <v>113</v>
      </c>
      <c r="K47" s="13"/>
      <c r="L47" s="19">
        <v>2</v>
      </c>
      <c r="M47" s="13"/>
      <c r="N47" s="13"/>
      <c r="O47" s="13"/>
    </row>
    <row r="48" spans="1:15" ht="12.75" customHeight="1" x14ac:dyDescent="0.25">
      <c r="A48" s="10" t="s">
        <v>41</v>
      </c>
      <c r="B48" s="7" t="s">
        <v>112</v>
      </c>
      <c r="C48" s="13"/>
      <c r="D48" s="19">
        <v>2</v>
      </c>
      <c r="E48" s="13"/>
      <c r="F48" s="13"/>
      <c r="G48" s="13"/>
      <c r="I48" s="10" t="s">
        <v>102</v>
      </c>
      <c r="J48" s="7" t="s">
        <v>112</v>
      </c>
      <c r="K48" s="13"/>
      <c r="L48" s="19">
        <v>1</v>
      </c>
      <c r="M48" s="13"/>
      <c r="N48" s="13"/>
      <c r="O48" s="13"/>
    </row>
    <row r="49" spans="1:15" ht="12.75" customHeight="1" x14ac:dyDescent="0.25">
      <c r="A49" s="10" t="s">
        <v>42</v>
      </c>
      <c r="B49" s="7" t="s">
        <v>112</v>
      </c>
      <c r="C49" s="13"/>
      <c r="D49" s="19">
        <v>2</v>
      </c>
      <c r="E49" s="13"/>
      <c r="F49" s="13"/>
      <c r="G49" s="13"/>
      <c r="I49" s="10" t="s">
        <v>99</v>
      </c>
      <c r="J49" s="7" t="s">
        <v>112</v>
      </c>
      <c r="K49" s="13"/>
      <c r="L49" s="19">
        <v>4</v>
      </c>
      <c r="M49" s="13"/>
      <c r="N49" s="13"/>
      <c r="O49" s="13"/>
    </row>
    <row r="50" spans="1:15" ht="12.75" customHeight="1" x14ac:dyDescent="0.25">
      <c r="A50" s="10" t="s">
        <v>44</v>
      </c>
      <c r="B50" s="7" t="s">
        <v>113</v>
      </c>
      <c r="C50" s="13"/>
      <c r="D50" s="19">
        <v>1</v>
      </c>
      <c r="E50" s="13"/>
      <c r="F50" s="13"/>
      <c r="G50" s="13"/>
      <c r="I50" s="10" t="s">
        <v>103</v>
      </c>
      <c r="J50" s="7" t="s">
        <v>112</v>
      </c>
      <c r="K50" s="13"/>
      <c r="L50" s="19">
        <v>1</v>
      </c>
      <c r="M50" s="13"/>
      <c r="N50" s="13"/>
      <c r="O50" s="13"/>
    </row>
    <row r="51" spans="1:15" ht="12.75" customHeight="1" x14ac:dyDescent="0.25">
      <c r="A51" s="10" t="s">
        <v>43</v>
      </c>
      <c r="B51" s="7" t="s">
        <v>113</v>
      </c>
      <c r="C51" s="13"/>
      <c r="D51" s="19">
        <v>2</v>
      </c>
      <c r="E51" s="13"/>
      <c r="F51" s="13"/>
      <c r="G51" s="13"/>
      <c r="I51" s="10" t="s">
        <v>105</v>
      </c>
      <c r="J51" s="7" t="s">
        <v>110</v>
      </c>
      <c r="K51" s="13"/>
      <c r="L51" s="19">
        <v>10</v>
      </c>
      <c r="M51" s="13"/>
      <c r="N51" s="13"/>
      <c r="O51" s="13"/>
    </row>
    <row r="52" spans="1:15" ht="12.75" customHeight="1" x14ac:dyDescent="0.25">
      <c r="A52" s="10" t="s">
        <v>45</v>
      </c>
      <c r="B52" s="7" t="s">
        <v>130</v>
      </c>
      <c r="C52" s="13"/>
      <c r="D52" s="19">
        <v>8</v>
      </c>
      <c r="E52" s="13"/>
      <c r="F52" s="13"/>
      <c r="G52" s="13"/>
      <c r="I52" s="10" t="s">
        <v>104</v>
      </c>
      <c r="J52" s="7" t="s">
        <v>113</v>
      </c>
      <c r="K52" s="13"/>
      <c r="L52" s="19">
        <v>1</v>
      </c>
      <c r="M52" s="13"/>
      <c r="N52" s="13"/>
      <c r="O52" s="13"/>
    </row>
    <row r="53" spans="1:15" ht="12.75" customHeight="1" x14ac:dyDescent="0.25">
      <c r="A53" s="10" t="s">
        <v>50</v>
      </c>
      <c r="B53" s="7" t="s">
        <v>130</v>
      </c>
      <c r="C53" s="13"/>
      <c r="D53" s="19">
        <v>3</v>
      </c>
      <c r="E53" s="13"/>
      <c r="F53" s="13"/>
      <c r="G53" s="13"/>
      <c r="I53" s="10" t="s">
        <v>79</v>
      </c>
      <c r="J53" s="7" t="s">
        <v>110</v>
      </c>
      <c r="K53" s="13"/>
      <c r="L53" s="19">
        <v>2</v>
      </c>
      <c r="M53" s="13"/>
      <c r="N53" s="13"/>
      <c r="O53" s="13"/>
    </row>
    <row r="54" spans="1:15" ht="12.75" customHeight="1" x14ac:dyDescent="0.25">
      <c r="A54" s="10" t="s">
        <v>51</v>
      </c>
      <c r="B54" s="7" t="s">
        <v>130</v>
      </c>
      <c r="C54" s="13"/>
      <c r="D54" s="19">
        <v>7</v>
      </c>
      <c r="E54" s="13"/>
      <c r="F54" s="13"/>
      <c r="G54" s="13"/>
      <c r="I54" s="10" t="s">
        <v>80</v>
      </c>
      <c r="J54" s="7" t="s">
        <v>110</v>
      </c>
      <c r="K54" s="13"/>
      <c r="L54" s="19">
        <v>2</v>
      </c>
      <c r="M54" s="13"/>
      <c r="N54" s="13"/>
      <c r="O54" s="13"/>
    </row>
    <row r="55" spans="1:15" ht="12.75" customHeight="1" x14ac:dyDescent="0.25">
      <c r="A55" s="10" t="s">
        <v>46</v>
      </c>
      <c r="B55" s="7" t="s">
        <v>110</v>
      </c>
      <c r="C55" s="13"/>
      <c r="D55" s="19">
        <v>1</v>
      </c>
      <c r="E55" s="13"/>
      <c r="F55" s="13"/>
      <c r="G55" s="13"/>
      <c r="I55" s="10" t="s">
        <v>106</v>
      </c>
      <c r="J55" s="7" t="s">
        <v>110</v>
      </c>
      <c r="K55" s="13"/>
      <c r="L55" s="19">
        <v>1</v>
      </c>
      <c r="M55" s="13"/>
      <c r="N55" s="13"/>
      <c r="O55" s="13"/>
    </row>
    <row r="56" spans="1:15" ht="12.75" customHeight="1" x14ac:dyDescent="0.25">
      <c r="A56" s="10" t="s">
        <v>47</v>
      </c>
      <c r="B56" s="7" t="s">
        <v>110</v>
      </c>
      <c r="C56" s="13"/>
      <c r="D56" s="19">
        <v>1</v>
      </c>
      <c r="E56" s="13"/>
      <c r="F56" s="13"/>
      <c r="G56" s="13"/>
      <c r="I56" s="10" t="s">
        <v>107</v>
      </c>
      <c r="J56" s="7" t="s">
        <v>110</v>
      </c>
      <c r="K56" s="13"/>
      <c r="L56" s="19">
        <v>2</v>
      </c>
      <c r="M56" s="13"/>
      <c r="N56" s="13"/>
      <c r="O56" s="13"/>
    </row>
    <row r="57" spans="1:15" ht="12.75" customHeight="1" x14ac:dyDescent="0.25">
      <c r="A57" s="10" t="s">
        <v>48</v>
      </c>
      <c r="B57" s="7" t="s">
        <v>110</v>
      </c>
      <c r="C57" s="13"/>
      <c r="D57" s="19">
        <v>2</v>
      </c>
      <c r="E57" s="13"/>
      <c r="F57" s="13"/>
      <c r="G57" s="13"/>
      <c r="I57" s="10" t="s">
        <v>108</v>
      </c>
      <c r="J57" s="7" t="s">
        <v>110</v>
      </c>
      <c r="K57" s="13"/>
      <c r="L57" s="19">
        <v>2</v>
      </c>
      <c r="M57" s="13"/>
      <c r="N57" s="13"/>
      <c r="O57" s="13"/>
    </row>
    <row r="58" spans="1:15" ht="12.75" customHeight="1" x14ac:dyDescent="0.25">
      <c r="A58" s="10" t="s">
        <v>49</v>
      </c>
      <c r="B58" s="7" t="s">
        <v>124</v>
      </c>
      <c r="C58" s="13"/>
      <c r="D58" s="19">
        <v>2</v>
      </c>
      <c r="E58" s="13"/>
      <c r="F58" s="13"/>
      <c r="G58" s="13"/>
      <c r="I58" s="10" t="s">
        <v>109</v>
      </c>
      <c r="J58" s="7" t="s">
        <v>110</v>
      </c>
      <c r="K58" s="13"/>
      <c r="L58" s="19">
        <v>1</v>
      </c>
      <c r="M58" s="13"/>
      <c r="N58" s="13"/>
      <c r="O58" s="13"/>
    </row>
    <row r="59" spans="1:15" ht="12.75" customHeight="1" x14ac:dyDescent="0.25">
      <c r="A59" s="10" t="s">
        <v>52</v>
      </c>
      <c r="B59" s="7" t="s">
        <v>110</v>
      </c>
      <c r="C59" s="13"/>
      <c r="D59" s="19">
        <v>4</v>
      </c>
      <c r="E59" s="13"/>
      <c r="F59" s="13"/>
      <c r="G59" s="13"/>
      <c r="I59" s="10" t="s">
        <v>135</v>
      </c>
      <c r="J59" s="7" t="s">
        <v>110</v>
      </c>
      <c r="K59" s="13"/>
      <c r="L59" s="19">
        <v>1</v>
      </c>
      <c r="M59" s="13"/>
      <c r="N59" s="13"/>
      <c r="O59" s="13"/>
    </row>
    <row r="60" spans="1:15" ht="12.75" customHeight="1" x14ac:dyDescent="0.25">
      <c r="A60" s="10" t="s">
        <v>53</v>
      </c>
      <c r="B60" s="7" t="s">
        <v>110</v>
      </c>
      <c r="C60" s="13"/>
      <c r="D60" s="19">
        <v>4</v>
      </c>
      <c r="E60" s="13"/>
      <c r="F60" s="13"/>
      <c r="G60" s="13"/>
    </row>
  </sheetData>
  <sheetProtection algorithmName="SHA-512" hashValue="SYKu6xv/Z0L+65UlHYVTGJOlG7nVpnxHcQZf5xVjr/7qentAc95GutgSesUVY/7+w3ZbqUqCRauKTVfM+ZXQeQ==" saltValue="Fwj2AvPdSsYw2+0nWXSHnA==" spinCount="100000" sheet="1" objects="1" scenarios="1" selectLockedCells="1"/>
  <mergeCells count="6">
    <mergeCell ref="B1:D1"/>
    <mergeCell ref="F1:H1"/>
    <mergeCell ref="J1:L1"/>
    <mergeCell ref="N1:O1"/>
    <mergeCell ref="B2:G2"/>
    <mergeCell ref="J2:O2"/>
  </mergeCells>
  <conditionalFormatting sqref="B2">
    <cfRule type="containsText" dxfId="1" priority="2" operator="containsText" text="DUE TODAY">
      <formula>NOT(ISERROR(SEARCH("DUE TODAY",B2)))</formula>
    </cfRule>
  </conditionalFormatting>
  <conditionalFormatting sqref="J2">
    <cfRule type="containsText" dxfId="0" priority="1" operator="containsText" text="DUE TODAY">
      <formula>NOT(ISERROR(SEARCH("DUE TODAY",J2)))</formula>
    </cfRule>
  </conditionalFormatting>
  <pageMargins left="0.25" right="0.25" top="0.65373563218390807" bottom="0.5" header="0.25862068965517243" footer="0.3"/>
  <pageSetup orientation="portrait" r:id="rId1"/>
  <headerFooter>
    <oddHeader>&amp;L&amp;"-,Bold"&amp;14NORTH&amp;C&amp;"Times New Roman,Bold"&amp;14DG&amp;&amp;PP&amp;R&amp;"-,Bold"&amp;14SUN for MON - HN&amp;"-,Regular"&amp;8
Printed &amp;D &amp;T</oddHeader>
    <oddFooter>&amp;C&amp;"-,Regular"&amp;8&amp;Z&amp;F (GV 9/24/26)&amp;R&amp;"-,Regular"&amp;8&amp;P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87C9FD-BD18-40F9-8D27-CE2C30075F4A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2.xml><?xml version="1.0" encoding="utf-8"?>
<ds:datastoreItem xmlns:ds="http://schemas.openxmlformats.org/officeDocument/2006/customXml" ds:itemID="{66103366-5237-4C9F-B48C-03F8095862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7B3097-4493-4F4A-BA24-B518F01F3C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2026-08-14T17:23:48Z</cp:lastPrinted>
  <dcterms:created xsi:type="dcterms:W3CDTF">2026-08-12T10:53:04Z</dcterms:created>
  <dcterms:modified xsi:type="dcterms:W3CDTF">2026-09-23T14:35:08Z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0x010100F26ADCF1672B6F4CAF0BF2427E99A4E6</vt:lpwstr>
  </property>
</Properties>
</file>