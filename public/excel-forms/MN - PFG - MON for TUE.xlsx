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294" documentId="13_ncr:1_{3695A80C-55D5-4EEA-8D9A-C20CC5E73BA8}" xr6:coauthVersionLast="47" xr6:coauthVersionMax="47" xr10:uidLastSave="{A478FAB8-06FF-450E-ABFA-BE282828D586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4" l="1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<sst xmlns="http://schemas.openxmlformats.org/spreadsheetml/2006/main" count="268" uniqueCount="122">
  <si>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</si>
  <si>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</si>
  <si>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</si>
  <si>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</si>
  <si>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</si>
  <si>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</si>
  <si>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</si>
  <si>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</si>
  <si>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</si>
  <si>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</si>
  <si>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</si>
  <si>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</si>
  <si>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</si>
  <si>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</si>
  <si>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</si>
  <si>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</si>
  <si>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</si>
  <si>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</si>
  <si>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</si>
  <si>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</si>
  <si>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</si>
  <si>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</si>
  <si>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</si>
  <si>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</si>
  <si>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</si>
  <si>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</si>
  <si>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</si>
  <si>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</si>
  <si>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</si>
  <si>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</si>
  <si>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</si>
  <si>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</si>
  <si>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</si>
  <si>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</si>
  <si>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</si>
  <si>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</si>
  <si>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</si>
  <si>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</si>
  <si>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</si>
  <si>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</si>
  <si>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</si>
  <si>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</si>
  <si>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</si>
  <si>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</si>
  <si>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</si>
  <si>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</si>
  <si>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</si>
  <si>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</si>
  <si>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</si>
  <si>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</si>
  <si>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</si>
  <si>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</si>
  <si>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</si>
  <si>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</si>
  <si>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</si>
  <si>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</si>
  <si>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</si>
  <si>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</si>
  <si>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</si>
  <si>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</si>
  <si>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</si>
  <si>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</si>
  <si>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</si>
  <si>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GL</t>
  </si>
  <si>
    <t>JUL</t>
  </si>
  <si>
    <t>AUG</t>
  </si>
  <si>
    <t>SEPT</t>
  </si>
  <si>
    <t>OCT</t>
  </si>
  <si>
    <t>TORTILLA FLOUR PRESSED 10"</t>
  </si>
  <si>
    <t>EGG WHL LQD W/CITRIC BNB</t>
  </si>
  <si>
    <t>POTATO DICED 5/8" RTC TFF</t>
  </si>
  <si>
    <t>OIL SOY CLR FRY TFF</t>
  </si>
  <si>
    <t>CHIP TORTILLA CORN YLW 4 CUT</t>
  </si>
  <si>
    <t>TORTILLA FLOUR PRESSED 6 IN</t>
  </si>
  <si>
    <t>BACON TOPPING 3/8" DICED FC</t>
  </si>
  <si>
    <t>PORK TOPPING CRUMBLE ITAL FC FZ</t>
  </si>
  <si>
    <t>JUICE ORANGE MANGO 100%</t>
  </si>
  <si>
    <t>TOMATO 6X6</t>
  </si>
  <si>
    <t>EGG WHI LG AA LOOSE</t>
  </si>
  <si>
    <t>COFFEE 100% COLOMBIAN PREM FRAC</t>
  </si>
  <si>
    <t>CREAMER HALF &amp; HALF SHELF STBL</t>
  </si>
  <si>
    <t>JUICE ORANGE GRMT PSTRZD</t>
  </si>
  <si>
    <t>CREAMER FRNCH VANILLA LQD CUP</t>
  </si>
  <si>
    <t>AVOCADO CHNKY HAND SCOOPED</t>
  </si>
  <si>
    <t>JUICE LEMONADE STRWBRY 22%</t>
  </si>
  <si>
    <t>BACON 14-17 L/O APPLEWOOD DBL</t>
  </si>
  <si>
    <t>TORTILLA CORN YLW RND 6 IN</t>
  </si>
  <si>
    <t>SODA SYRUP COKE CLSC BNB TFF</t>
  </si>
  <si>
    <t>FRIES 3/8 REG CUT CLR COAT TFF</t>
  </si>
  <si>
    <t>HASHBROWN SHRED PREM RUSSET</t>
  </si>
  <si>
    <t>CREAMER HAZELNUT LQD CUP TFF</t>
  </si>
  <si>
    <t>SODA SYRUP ORANGE BNB TFF</t>
  </si>
  <si>
    <t>SODA SYRUP LEMONADE BNB TFF</t>
  </si>
  <si>
    <t>SODA SYRUP FRUIT FLVRD 5.5+1</t>
  </si>
  <si>
    <t>SODA SYRUP LEMON LIME BNB</t>
  </si>
  <si>
    <t>TORTILLA CORN YLW 6"</t>
  </si>
  <si>
    <t>SODA SYRUP COLA ZERO SUGAR BNB</t>
  </si>
  <si>
    <t>SODA SYRUP COLA DIET BNB TFF</t>
  </si>
  <si>
    <t>SOUR CREAM ALL NAT STICK PACK</t>
  </si>
  <si>
    <t>ICE CREAM VANILLA BEAN</t>
  </si>
  <si>
    <t>SODA MANDARIN GLASS</t>
  </si>
  <si>
    <t>JUICE LEMON PACKET</t>
  </si>
  <si>
    <t>SODA TAMARIND GLASS</t>
  </si>
  <si>
    <t>SODA SYRUP FRUIT PUNCH BNB</t>
  </si>
  <si>
    <t>SUGAR PACKET PC</t>
  </si>
  <si>
    <t>PEPPERS JALAPENO NACHO SLCD</t>
  </si>
  <si>
    <t>JUICE ORANGE W/PULP</t>
  </si>
  <si>
    <t>KETCHUP FCY PACKET FOIL</t>
  </si>
  <si>
    <t>TORTILLA FLOUR 12 IN PRESSED</t>
  </si>
  <si>
    <t>BEV MIX MARGARITA GF FZ</t>
  </si>
  <si>
    <t>PANCAKE MIX BUTTERMILK CMPLT</t>
  </si>
  <si>
    <t>MILK 1% LF</t>
  </si>
  <si>
    <t>MILK CHOC 1% LF BOTTLE</t>
  </si>
  <si>
    <t>JUICE LEMON</t>
  </si>
  <si>
    <t>SODA LIME GLASS</t>
  </si>
  <si>
    <t>SAUCE TOMATO FCY</t>
  </si>
  <si>
    <t>Grand Total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</si>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</sst>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K42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42578125" style="30" customWidth="1"/>
    <col min="2" max="2" width="1.7109375" style="11" bestFit="1" customWidth="1"/>
    <col min="3" max="3" width="4.85546875" style="12" customWidth="1"/>
    <col min="4" max="4" width="3.140625" style="12" bestFit="1" customWidth="1"/>
    <col min="5" max="5" width="17.85546875" style="5" customWidth="1"/>
    <col min="6" max="6" width="4.85546875" style="5" customWidth="1"/>
    <col min="7" max="7" width="4.28515625" style="5" bestFit="1" customWidth="1"/>
    <col min="8" max="9" width="3.7109375" style="5" customWidth="1"/>
    <col min="10" max="10" width="4.85546875" style="5" customWidth="1"/>
    <col min="11" max="11" width="8" style="5" bestFit="1" customWidth="1"/>
    <col min="12" max="12" width="1.42578125" style="5" customWidth="1"/>
    <col min="13" max="16384" width="9.140625" style="5"/>
  </cols>
  <sheetData>
    <row r="1" spans="1:11" ht="14.25" customHeight="1" x14ac:dyDescent="0.25">
      <c r="A1" s="7" t="s">
        <v>46</v>
      </c>
      <c r="B1" s="6"/>
      <c r="C1" s="6"/>
      <c r="D1" s="6"/>
      <c r="E1" s="6"/>
      <c r="F1" s="30"/>
      <c r="G1" s="7" t="s">
        <v>47</v>
      </c>
      <c r="H1" s="6"/>
      <c r="I1" s="6"/>
      <c r="J1" s="6"/>
    </row>
    <row r="2" spans="1:11" ht="15" customHeight="1" x14ac:dyDescent="0.25">
      <c r="A2" s="7" t="s">
        <v>45</v>
      </c>
      <c r="B2" s="6"/>
      <c r="C2" s="6"/>
      <c r="D2" s="6"/>
      <c r="E2" s="6"/>
      <c r="F2" s="30"/>
      <c r="G2" s="7" t="s">
        <v>117</v>
      </c>
      <c r="H2" s="6"/>
      <c r="I2" s="6"/>
      <c r="J2" s="6"/>
    </row>
    <row r="3" spans="1:11" ht="5.25" customHeight="1" x14ac:dyDescent="0.25">
      <c r="A3" s="7"/>
      <c r="B3" s="8"/>
      <c r="C3" s="9"/>
      <c r="D3" s="9"/>
      <c r="E3" s="10"/>
      <c r="F3" s="10"/>
      <c r="G3" s="11"/>
      <c r="H3" s="11"/>
      <c r="I3" s="12"/>
      <c r="J3" s="12"/>
      <c r="K3" s="10"/>
    </row>
    <row r="4" spans="1:11" ht="14.25" customHeight="1" x14ac:dyDescent="0.25">
      <c r="A4" s="13" t="s">
        <v>44</v>
      </c>
      <c r="B4" s="14"/>
      <c r="C4" s="14"/>
      <c r="D4" s="14"/>
      <c r="E4" s="15" t="s">
        <v>0</v>
      </c>
      <c r="F4" s="13" t="s">
        <v>11</v>
      </c>
      <c r="G4" s="16"/>
      <c r="H4" s="17" t="s">
        <v>1</v>
      </c>
      <c r="I4" s="17"/>
      <c r="J4" s="18" t="s">
        <v>10</v>
      </c>
      <c r="K4" s="18" t="s">
        <v>2</v>
      </c>
    </row>
    <row r="5" spans="1:11" ht="14.25" customHeight="1" x14ac:dyDescent="0.25">
      <c r="A5" s="19">
        <v>2</v>
      </c>
      <c r="B5" s="20" t="s">
        <v>42</v>
      </c>
      <c r="C5" s="21">
        <v>20</v>
      </c>
      <c r="D5" s="22" t="s">
        <v>41</v>
      </c>
      <c r="E5" s="23" t="s">
        <v>9</v>
      </c>
      <c r="F5" s="24"/>
      <c r="G5" s="18" t="s">
        <v>3</v>
      </c>
      <c r="H5" s="19">
        <v>30</v>
      </c>
      <c r="I5" s="25" t="s">
        <v>3</v>
      </c>
      <c r="J5" s="24"/>
      <c r="K5" s="26">
        <v>439684</v>
      </c>
    </row>
    <row r="6" spans="1:11" ht="14.25" customHeight="1" x14ac:dyDescent="0.25">
      <c r="A6" s="19">
        <v>2</v>
      </c>
      <c r="B6" s="20" t="s">
        <v>42</v>
      </c>
      <c r="C6" s="21">
        <v>10</v>
      </c>
      <c r="D6" s="22" t="s">
        <v>41</v>
      </c>
      <c r="E6" s="23" t="s">
        <v>16</v>
      </c>
      <c r="F6" s="24"/>
      <c r="G6" s="18" t="s">
        <v>3</v>
      </c>
      <c r="H6" s="19">
        <v>22</v>
      </c>
      <c r="I6" s="25" t="s">
        <v>3</v>
      </c>
      <c r="J6" s="24"/>
      <c r="K6" s="26">
        <v>480521</v>
      </c>
    </row>
    <row r="7" spans="1:11" ht="14.25" customHeight="1" x14ac:dyDescent="0.25">
      <c r="A7" s="19">
        <v>2</v>
      </c>
      <c r="B7" s="20" t="s">
        <v>42</v>
      </c>
      <c r="C7" s="21">
        <v>5</v>
      </c>
      <c r="D7" s="22" t="s">
        <v>41</v>
      </c>
      <c r="E7" s="23" t="s">
        <v>4</v>
      </c>
      <c r="F7" s="24"/>
      <c r="G7" s="26" t="s">
        <v>40</v>
      </c>
      <c r="H7" s="19">
        <v>7</v>
      </c>
      <c r="I7" s="22" t="s">
        <v>40</v>
      </c>
      <c r="J7" s="24"/>
      <c r="K7" s="26">
        <v>1007724</v>
      </c>
    </row>
    <row r="8" spans="1:11" ht="14.25" customHeight="1" x14ac:dyDescent="0.25">
      <c r="A8" s="19">
        <v>1</v>
      </c>
      <c r="B8" s="20" t="s">
        <v>42</v>
      </c>
      <c r="C8" s="21">
        <v>10</v>
      </c>
      <c r="D8" s="22" t="s">
        <v>41</v>
      </c>
      <c r="E8" s="23" t="s">
        <v>18</v>
      </c>
      <c r="F8" s="24"/>
      <c r="G8" s="18" t="s">
        <v>3</v>
      </c>
      <c r="H8" s="19">
        <v>2</v>
      </c>
      <c r="I8" s="25" t="s">
        <v>3</v>
      </c>
      <c r="J8" s="24"/>
      <c r="K8" s="26">
        <v>941760</v>
      </c>
    </row>
    <row r="9" spans="1:11" ht="14.25" customHeight="1" x14ac:dyDescent="0.25">
      <c r="A9" s="19">
        <v>2</v>
      </c>
      <c r="B9" s="20" t="s">
        <v>42</v>
      </c>
      <c r="C9" s="21">
        <v>5</v>
      </c>
      <c r="D9" s="22" t="s">
        <v>41</v>
      </c>
      <c r="E9" s="23" t="s">
        <v>5</v>
      </c>
      <c r="F9" s="24"/>
      <c r="G9" s="26" t="s">
        <v>40</v>
      </c>
      <c r="H9" s="19">
        <v>6</v>
      </c>
      <c r="I9" s="22" t="s">
        <v>40</v>
      </c>
      <c r="J9" s="24"/>
      <c r="K9" s="26">
        <v>78591</v>
      </c>
    </row>
    <row r="10" spans="1:11" ht="14.25" customHeight="1" x14ac:dyDescent="0.25">
      <c r="A10" s="19">
        <v>8</v>
      </c>
      <c r="B10" s="20" t="s">
        <v>42</v>
      </c>
      <c r="C10" s="21">
        <v>2</v>
      </c>
      <c r="D10" s="22" t="s">
        <v>41</v>
      </c>
      <c r="E10" s="23" t="s">
        <v>39</v>
      </c>
      <c r="F10" s="24"/>
      <c r="G10" s="26" t="s">
        <v>40</v>
      </c>
      <c r="H10" s="19">
        <v>14</v>
      </c>
      <c r="I10" s="22" t="s">
        <v>40</v>
      </c>
      <c r="J10" s="24"/>
      <c r="K10" s="26">
        <v>194261</v>
      </c>
    </row>
    <row r="11" spans="1:11" ht="14.25" customHeight="1" x14ac:dyDescent="0.25">
      <c r="A11" s="19">
        <v>1</v>
      </c>
      <c r="B11" s="20" t="s">
        <v>42</v>
      </c>
      <c r="C11" s="21">
        <v>25</v>
      </c>
      <c r="D11" s="22" t="s">
        <v>41</v>
      </c>
      <c r="E11" s="23" t="s">
        <v>22</v>
      </c>
      <c r="F11" s="24"/>
      <c r="G11" s="18" t="s">
        <v>3</v>
      </c>
      <c r="H11" s="19">
        <v>3</v>
      </c>
      <c r="I11" s="25" t="s">
        <v>3</v>
      </c>
      <c r="J11" s="24"/>
      <c r="K11" s="26">
        <v>878064</v>
      </c>
    </row>
    <row r="12" spans="1:11" ht="14.25" customHeight="1" x14ac:dyDescent="0.25">
      <c r="A12" s="19">
        <v>1</v>
      </c>
      <c r="B12" s="20" t="s">
        <v>42</v>
      </c>
      <c r="C12" s="21">
        <v>3</v>
      </c>
      <c r="D12" s="22" t="s">
        <v>63</v>
      </c>
      <c r="E12" s="23" t="s">
        <v>19</v>
      </c>
      <c r="F12" s="24"/>
      <c r="G12" s="26" t="s">
        <v>40</v>
      </c>
      <c r="H12" s="19">
        <v>0.3</v>
      </c>
      <c r="I12" s="22" t="s">
        <v>40</v>
      </c>
      <c r="J12" s="24"/>
      <c r="K12" s="26">
        <v>39137</v>
      </c>
    </row>
    <row r="13" spans="1:11" ht="14.25" customHeight="1" x14ac:dyDescent="0.25">
      <c r="A13" s="19">
        <v>1</v>
      </c>
      <c r="B13" s="20" t="s">
        <v>42</v>
      </c>
      <c r="C13" s="21">
        <v>35</v>
      </c>
      <c r="D13" s="22" t="s">
        <v>41</v>
      </c>
      <c r="E13" s="23" t="s">
        <v>6</v>
      </c>
      <c r="F13" s="24"/>
      <c r="G13" s="18" t="s">
        <v>7</v>
      </c>
      <c r="H13" s="19">
        <v>8</v>
      </c>
      <c r="I13" s="25" t="s">
        <v>7</v>
      </c>
      <c r="J13" s="24"/>
      <c r="K13" s="26">
        <v>124329</v>
      </c>
    </row>
    <row r="14" spans="1:11" ht="14.25" customHeight="1" x14ac:dyDescent="0.25">
      <c r="A14" s="19">
        <v>6</v>
      </c>
      <c r="B14" s="20" t="s">
        <v>42</v>
      </c>
      <c r="C14" s="21">
        <v>90</v>
      </c>
      <c r="D14" s="22" t="s">
        <v>40</v>
      </c>
      <c r="E14" s="23" t="s">
        <v>15</v>
      </c>
      <c r="F14" s="24"/>
      <c r="G14" s="26" t="s">
        <v>12</v>
      </c>
      <c r="H14" s="19">
        <v>7</v>
      </c>
      <c r="I14" s="22" t="s">
        <v>12</v>
      </c>
      <c r="J14" s="24"/>
      <c r="K14" s="26">
        <v>349975</v>
      </c>
    </row>
    <row r="15" spans="1:11" ht="14.25" customHeight="1" x14ac:dyDescent="0.25">
      <c r="A15" s="19">
        <v>6</v>
      </c>
      <c r="B15" s="20" t="s">
        <v>42</v>
      </c>
      <c r="C15" s="21">
        <v>160</v>
      </c>
      <c r="D15" s="22" t="s">
        <v>40</v>
      </c>
      <c r="E15" s="23" t="s">
        <v>8</v>
      </c>
      <c r="F15" s="24"/>
      <c r="G15" s="26" t="s">
        <v>12</v>
      </c>
      <c r="H15" s="19">
        <v>4</v>
      </c>
      <c r="I15" s="22" t="s">
        <v>12</v>
      </c>
      <c r="J15" s="24"/>
      <c r="K15" s="26">
        <v>5163</v>
      </c>
    </row>
    <row r="16" spans="1:11" ht="14.25" customHeight="1" x14ac:dyDescent="0.25">
      <c r="A16" s="19">
        <v>6</v>
      </c>
      <c r="B16" s="20" t="s">
        <v>42</v>
      </c>
      <c r="C16" s="27">
        <v>40.5</v>
      </c>
      <c r="D16" s="22" t="s">
        <v>43</v>
      </c>
      <c r="E16" s="23" t="s">
        <v>17</v>
      </c>
      <c r="F16" s="24"/>
      <c r="G16" s="26" t="s">
        <v>40</v>
      </c>
      <c r="H16" s="19">
        <v>7</v>
      </c>
      <c r="I16" s="22" t="s">
        <v>40</v>
      </c>
      <c r="J16" s="24"/>
      <c r="K16" s="26">
        <v>154944</v>
      </c>
    </row>
    <row r="17" spans="1:11" ht="14.25" customHeight="1" x14ac:dyDescent="0.25">
      <c r="A17" s="19">
        <v>8</v>
      </c>
      <c r="B17" s="20" t="s">
        <v>42</v>
      </c>
      <c r="C17" s="21">
        <v>52</v>
      </c>
      <c r="D17" s="22" t="s">
        <v>43</v>
      </c>
      <c r="E17" s="23" t="s">
        <v>23</v>
      </c>
      <c r="F17" s="24"/>
      <c r="G17" s="26" t="s">
        <v>40</v>
      </c>
      <c r="H17" s="19">
        <v>5</v>
      </c>
      <c r="I17" s="22" t="s">
        <v>40</v>
      </c>
      <c r="J17" s="24"/>
      <c r="K17" s="26">
        <v>346122</v>
      </c>
    </row>
    <row r="18" spans="1:11" ht="14.25" customHeight="1" x14ac:dyDescent="0.25">
      <c r="A18" s="19">
        <v>1</v>
      </c>
      <c r="B18" s="20" t="s">
        <v>42</v>
      </c>
      <c r="C18" s="21">
        <v>180</v>
      </c>
      <c r="D18" s="22" t="s">
        <v>40</v>
      </c>
      <c r="E18" s="23" t="s">
        <v>34</v>
      </c>
      <c r="F18" s="24"/>
      <c r="G18" s="18" t="s">
        <v>3</v>
      </c>
      <c r="H18" s="19">
        <v>1.5</v>
      </c>
      <c r="I18" s="25" t="s">
        <v>3</v>
      </c>
      <c r="J18" s="24"/>
      <c r="K18" s="26">
        <v>58974</v>
      </c>
    </row>
    <row r="19" spans="1:11" ht="14.25" customHeight="1" x14ac:dyDescent="0.25">
      <c r="A19" s="19">
        <v>1</v>
      </c>
      <c r="B19" s="20" t="s">
        <v>42</v>
      </c>
      <c r="C19" s="21">
        <v>180</v>
      </c>
      <c r="D19" s="22" t="s">
        <v>40</v>
      </c>
      <c r="E19" s="23" t="s">
        <v>35</v>
      </c>
      <c r="F19" s="24"/>
      <c r="G19" s="18" t="s">
        <v>3</v>
      </c>
      <c r="H19" s="19">
        <v>0.5</v>
      </c>
      <c r="I19" s="25" t="s">
        <v>3</v>
      </c>
      <c r="J19" s="24"/>
      <c r="K19" s="26">
        <v>58973</v>
      </c>
    </row>
    <row r="20" spans="1:11" ht="14.25" customHeight="1" x14ac:dyDescent="0.25">
      <c r="A20" s="19">
        <v>1</v>
      </c>
      <c r="B20" s="20" t="s">
        <v>42</v>
      </c>
      <c r="C20" s="21">
        <v>360</v>
      </c>
      <c r="D20" s="22" t="s">
        <v>40</v>
      </c>
      <c r="E20" s="23" t="s">
        <v>20</v>
      </c>
      <c r="F20" s="24"/>
      <c r="G20" s="18" t="s">
        <v>3</v>
      </c>
      <c r="H20" s="19">
        <v>2</v>
      </c>
      <c r="I20" s="25" t="s">
        <v>3</v>
      </c>
      <c r="J20" s="24"/>
      <c r="K20" s="26">
        <v>981694</v>
      </c>
    </row>
    <row r="21" spans="1:11" ht="14.25" customHeight="1" x14ac:dyDescent="0.25">
      <c r="A21" s="19">
        <v>6</v>
      </c>
      <c r="B21" s="20" t="s">
        <v>42</v>
      </c>
      <c r="C21" s="21">
        <v>30</v>
      </c>
      <c r="D21" s="22" t="s">
        <v>40</v>
      </c>
      <c r="E21" s="23" t="s">
        <v>118</v>
      </c>
      <c r="F21" s="24"/>
      <c r="G21" s="18" t="s">
        <v>3</v>
      </c>
      <c r="H21" s="28">
        <v>2</v>
      </c>
      <c r="I21" s="25" t="s">
        <v>3</v>
      </c>
      <c r="J21" s="24"/>
      <c r="K21" s="26">
        <v>517889</v>
      </c>
    </row>
    <row r="22" spans="1:11" ht="14.25" customHeight="1" x14ac:dyDescent="0.25">
      <c r="A22" s="19">
        <v>8</v>
      </c>
      <c r="B22" s="20" t="s">
        <v>42</v>
      </c>
      <c r="C22" s="21">
        <v>12</v>
      </c>
      <c r="D22" s="22" t="s">
        <v>40</v>
      </c>
      <c r="E22" s="23" t="s">
        <v>13</v>
      </c>
      <c r="F22" s="24"/>
      <c r="G22" s="26" t="s">
        <v>12</v>
      </c>
      <c r="H22" s="19">
        <v>3</v>
      </c>
      <c r="I22" s="22" t="s">
        <v>12</v>
      </c>
      <c r="J22" s="24"/>
      <c r="K22" s="26">
        <v>485251</v>
      </c>
    </row>
    <row r="23" spans="1:11" ht="14.25" customHeight="1" x14ac:dyDescent="0.25">
      <c r="A23" s="19">
        <v>16</v>
      </c>
      <c r="B23" s="20" t="s">
        <v>42</v>
      </c>
      <c r="C23" s="21">
        <v>12</v>
      </c>
      <c r="D23" s="22" t="s">
        <v>40</v>
      </c>
      <c r="E23" s="23" t="s">
        <v>49</v>
      </c>
      <c r="F23" s="24"/>
      <c r="G23" s="18" t="s">
        <v>3</v>
      </c>
      <c r="H23" s="19">
        <v>36</v>
      </c>
      <c r="I23" s="25" t="s">
        <v>3</v>
      </c>
      <c r="J23" s="24"/>
      <c r="K23" s="26">
        <v>641889</v>
      </c>
    </row>
    <row r="24" spans="1:11" ht="14.25" customHeight="1" x14ac:dyDescent="0.25">
      <c r="A24" s="19">
        <v>12</v>
      </c>
      <c r="B24" s="20" t="s">
        <v>42</v>
      </c>
      <c r="C24" s="21">
        <v>24</v>
      </c>
      <c r="D24" s="22" t="s">
        <v>40</v>
      </c>
      <c r="E24" s="23" t="s">
        <v>14</v>
      </c>
      <c r="F24" s="24"/>
      <c r="G24" s="18" t="s">
        <v>3</v>
      </c>
      <c r="H24" s="19">
        <v>3</v>
      </c>
      <c r="I24" s="25" t="s">
        <v>3</v>
      </c>
      <c r="J24" s="24"/>
      <c r="K24" s="26">
        <v>41167</v>
      </c>
    </row>
    <row r="25" spans="1:11" ht="14.25" customHeight="1" x14ac:dyDescent="0.25">
      <c r="A25" s="19">
        <v>1</v>
      </c>
      <c r="B25" s="20" t="s">
        <v>42</v>
      </c>
      <c r="C25" s="21">
        <v>32</v>
      </c>
      <c r="D25" s="22" t="s">
        <v>41</v>
      </c>
      <c r="E25" s="23" t="s">
        <v>48</v>
      </c>
      <c r="F25" s="24"/>
      <c r="G25" s="18" t="s">
        <v>3</v>
      </c>
      <c r="H25" s="19">
        <v>7</v>
      </c>
      <c r="I25" s="25" t="s">
        <v>3</v>
      </c>
      <c r="J25" s="24"/>
      <c r="K25" s="26">
        <v>41164</v>
      </c>
    </row>
    <row r="26" spans="1:11" ht="14.25" customHeight="1" x14ac:dyDescent="0.25">
      <c r="A26" s="19">
        <v>6</v>
      </c>
      <c r="B26" s="20" t="s">
        <v>42</v>
      </c>
      <c r="C26" s="21">
        <v>5</v>
      </c>
      <c r="D26" s="22" t="s">
        <v>41</v>
      </c>
      <c r="E26" s="23" t="s">
        <v>21</v>
      </c>
      <c r="F26" s="24"/>
      <c r="G26" s="26" t="s">
        <v>40</v>
      </c>
      <c r="H26" s="19">
        <v>6</v>
      </c>
      <c r="I26" s="22" t="s">
        <v>40</v>
      </c>
      <c r="J26" s="24"/>
      <c r="K26" s="26">
        <v>197434</v>
      </c>
    </row>
    <row r="27" spans="1:11" ht="14.25" customHeight="1" x14ac:dyDescent="0.25">
      <c r="A27" s="19">
        <v>48</v>
      </c>
      <c r="B27" s="20" t="s">
        <v>42</v>
      </c>
      <c r="C27" s="21">
        <v>2</v>
      </c>
      <c r="D27" s="22" t="s">
        <v>43</v>
      </c>
      <c r="E27" s="23" t="s">
        <v>38</v>
      </c>
      <c r="F27" s="24"/>
      <c r="G27" s="18" t="s">
        <v>3</v>
      </c>
      <c r="H27" s="19">
        <v>2</v>
      </c>
      <c r="I27" s="25" t="s">
        <v>3</v>
      </c>
      <c r="J27" s="24"/>
      <c r="K27" s="26">
        <v>520556</v>
      </c>
    </row>
    <row r="28" spans="1:11" ht="14.25" customHeight="1" x14ac:dyDescent="0.25">
      <c r="A28" s="19">
        <v>1</v>
      </c>
      <c r="B28" s="20" t="s">
        <v>120</v>
      </c>
      <c r="C28" s="21">
        <v>2000</v>
      </c>
      <c r="D28" s="22" t="s">
        <v>40</v>
      </c>
      <c r="E28" s="23" t="s">
        <v>121</v>
      </c>
      <c r="F28" s="24"/>
      <c r="G28" s="18" t="s">
        <v>3</v>
      </c>
      <c r="H28" s="19">
        <v>1</v>
      </c>
      <c r="I28" s="25" t="s">
        <v>3</v>
      </c>
      <c r="J28" s="24"/>
      <c r="K28" s="26">
        <v>31718</v>
      </c>
    </row>
    <row r="29" spans="1:11" ht="14.25" customHeight="1" x14ac:dyDescent="0.25">
      <c r="A29" s="19">
        <v>24</v>
      </c>
      <c r="B29" s="20" t="s">
        <v>42</v>
      </c>
      <c r="C29" s="21">
        <v>8.4</v>
      </c>
      <c r="D29" s="22" t="s">
        <v>43</v>
      </c>
      <c r="E29" s="23" t="s">
        <v>119</v>
      </c>
      <c r="F29" s="29"/>
      <c r="G29" s="26" t="s">
        <v>40</v>
      </c>
      <c r="H29" s="19">
        <v>18</v>
      </c>
      <c r="I29" s="22" t="s">
        <v>40</v>
      </c>
      <c r="J29" s="24"/>
      <c r="K29" s="26">
        <v>355368</v>
      </c>
    </row>
    <row r="30" spans="1:11" ht="14.25" customHeight="1" x14ac:dyDescent="0.25">
      <c r="A30" s="19">
        <v>12</v>
      </c>
      <c r="B30" s="20" t="s">
        <v>42</v>
      </c>
      <c r="C30" s="21">
        <v>12</v>
      </c>
      <c r="D30" s="22" t="s">
        <v>43</v>
      </c>
      <c r="E30" s="23" t="s">
        <v>50</v>
      </c>
      <c r="F30" s="29"/>
      <c r="G30" s="26" t="s">
        <v>40</v>
      </c>
      <c r="H30" s="19">
        <v>30</v>
      </c>
      <c r="I30" s="22" t="s">
        <v>40</v>
      </c>
      <c r="J30" s="24"/>
      <c r="K30" s="26">
        <v>419871</v>
      </c>
    </row>
    <row r="31" spans="1:11" ht="14.25" customHeight="1" x14ac:dyDescent="0.25">
      <c r="A31" s="19">
        <v>6</v>
      </c>
      <c r="B31" s="20" t="s">
        <v>42</v>
      </c>
      <c r="C31" s="21">
        <v>12</v>
      </c>
      <c r="D31" s="22" t="s">
        <v>43</v>
      </c>
      <c r="E31" s="23" t="s">
        <v>51</v>
      </c>
      <c r="F31" s="29"/>
      <c r="G31" s="26" t="s">
        <v>40</v>
      </c>
      <c r="H31" s="19">
        <v>15</v>
      </c>
      <c r="I31" s="22" t="s">
        <v>40</v>
      </c>
      <c r="J31" s="24"/>
      <c r="K31" s="26">
        <v>1020838</v>
      </c>
    </row>
    <row r="32" spans="1:11" ht="14.25" customHeight="1" x14ac:dyDescent="0.25">
      <c r="A32" s="19">
        <v>6</v>
      </c>
      <c r="B32" s="20" t="s">
        <v>42</v>
      </c>
      <c r="C32" s="21">
        <v>12</v>
      </c>
      <c r="D32" s="22" t="s">
        <v>43</v>
      </c>
      <c r="E32" s="23" t="s">
        <v>52</v>
      </c>
      <c r="F32" s="29"/>
      <c r="G32" s="26" t="s">
        <v>40</v>
      </c>
      <c r="H32" s="19">
        <v>18</v>
      </c>
      <c r="I32" s="22" t="s">
        <v>40</v>
      </c>
      <c r="J32" s="24"/>
      <c r="K32" s="26">
        <v>1020549</v>
      </c>
    </row>
    <row r="33" spans="1:11" ht="14.25" customHeight="1" x14ac:dyDescent="0.25">
      <c r="A33" s="19">
        <v>6</v>
      </c>
      <c r="B33" s="20" t="s">
        <v>42</v>
      </c>
      <c r="C33" s="21">
        <v>12</v>
      </c>
      <c r="D33" s="22" t="s">
        <v>43</v>
      </c>
      <c r="E33" s="23" t="s">
        <v>53</v>
      </c>
      <c r="F33" s="29"/>
      <c r="G33" s="26" t="s">
        <v>40</v>
      </c>
      <c r="H33" s="19">
        <v>15</v>
      </c>
      <c r="I33" s="22" t="s">
        <v>40</v>
      </c>
      <c r="J33" s="24"/>
      <c r="K33" s="26">
        <v>1020535</v>
      </c>
    </row>
    <row r="34" spans="1:11" ht="14.25" customHeight="1" x14ac:dyDescent="0.25">
      <c r="A34" s="19">
        <v>6</v>
      </c>
      <c r="B34" s="20" t="s">
        <v>42</v>
      </c>
      <c r="C34" s="21">
        <v>12</v>
      </c>
      <c r="D34" s="22" t="s">
        <v>43</v>
      </c>
      <c r="E34" s="23" t="s">
        <v>54</v>
      </c>
      <c r="F34" s="29"/>
      <c r="G34" s="26" t="s">
        <v>40</v>
      </c>
      <c r="H34" s="19">
        <v>18</v>
      </c>
      <c r="I34" s="22" t="s">
        <v>40</v>
      </c>
      <c r="J34" s="24"/>
      <c r="K34" s="26">
        <v>1020522</v>
      </c>
    </row>
    <row r="35" spans="1:11" ht="14.25" customHeight="1" x14ac:dyDescent="0.25">
      <c r="A35" s="19">
        <v>1</v>
      </c>
      <c r="B35" s="20" t="s">
        <v>42</v>
      </c>
      <c r="C35" s="21">
        <v>5</v>
      </c>
      <c r="D35" s="22" t="s">
        <v>63</v>
      </c>
      <c r="E35" s="23" t="s">
        <v>55</v>
      </c>
      <c r="F35" s="29"/>
      <c r="G35" s="18" t="s">
        <v>3</v>
      </c>
      <c r="H35" s="19">
        <v>2</v>
      </c>
      <c r="I35" s="25" t="s">
        <v>3</v>
      </c>
      <c r="J35" s="24"/>
      <c r="K35" s="26">
        <v>26383</v>
      </c>
    </row>
    <row r="36" spans="1:11" ht="14.25" customHeight="1" x14ac:dyDescent="0.25">
      <c r="A36" s="19">
        <v>1</v>
      </c>
      <c r="B36" s="20" t="s">
        <v>42</v>
      </c>
      <c r="C36" s="21">
        <v>5</v>
      </c>
      <c r="D36" s="22" t="s">
        <v>63</v>
      </c>
      <c r="E36" s="23" t="s">
        <v>56</v>
      </c>
      <c r="F36" s="29"/>
      <c r="G36" s="18" t="s">
        <v>3</v>
      </c>
      <c r="H36" s="19">
        <v>2</v>
      </c>
      <c r="I36" s="25" t="s">
        <v>3</v>
      </c>
      <c r="J36" s="24"/>
      <c r="K36" s="26">
        <v>28969</v>
      </c>
    </row>
    <row r="37" spans="1:11" ht="14.25" customHeight="1" x14ac:dyDescent="0.25">
      <c r="A37" s="19">
        <v>1</v>
      </c>
      <c r="B37" s="20" t="s">
        <v>42</v>
      </c>
      <c r="C37" s="21">
        <v>5</v>
      </c>
      <c r="D37" s="22" t="s">
        <v>63</v>
      </c>
      <c r="E37" s="23" t="s">
        <v>57</v>
      </c>
      <c r="F37" s="29"/>
      <c r="G37" s="18" t="s">
        <v>3</v>
      </c>
      <c r="H37" s="19">
        <v>1</v>
      </c>
      <c r="I37" s="25" t="s">
        <v>3</v>
      </c>
      <c r="J37" s="24"/>
      <c r="K37" s="26">
        <v>883022</v>
      </c>
    </row>
    <row r="38" spans="1:11" ht="14.25" customHeight="1" x14ac:dyDescent="0.25">
      <c r="A38" s="19">
        <v>1</v>
      </c>
      <c r="B38" s="20" t="s">
        <v>42</v>
      </c>
      <c r="C38" s="21">
        <v>5</v>
      </c>
      <c r="D38" s="22" t="s">
        <v>63</v>
      </c>
      <c r="E38" s="23" t="s">
        <v>58</v>
      </c>
      <c r="F38" s="29"/>
      <c r="G38" s="18" t="s">
        <v>3</v>
      </c>
      <c r="H38" s="19">
        <v>1</v>
      </c>
      <c r="I38" s="25" t="s">
        <v>3</v>
      </c>
      <c r="J38" s="24"/>
      <c r="K38" s="26">
        <v>2204</v>
      </c>
    </row>
    <row r="39" spans="1:11" ht="14.25" customHeight="1" x14ac:dyDescent="0.25">
      <c r="A39" s="19">
        <v>1</v>
      </c>
      <c r="B39" s="20" t="s">
        <v>42</v>
      </c>
      <c r="C39" s="21">
        <v>5</v>
      </c>
      <c r="D39" s="22" t="s">
        <v>63</v>
      </c>
      <c r="E39" s="23" t="s">
        <v>59</v>
      </c>
      <c r="F39" s="29"/>
      <c r="G39" s="18" t="s">
        <v>3</v>
      </c>
      <c r="H39" s="19">
        <v>1</v>
      </c>
      <c r="I39" s="25" t="s">
        <v>3</v>
      </c>
      <c r="J39" s="24"/>
      <c r="K39" s="26">
        <v>42157</v>
      </c>
    </row>
    <row r="40" spans="1:11" ht="14.25" customHeight="1" x14ac:dyDescent="0.25">
      <c r="A40" s="19">
        <v>1</v>
      </c>
      <c r="B40" s="20" t="s">
        <v>42</v>
      </c>
      <c r="C40" s="21">
        <v>5</v>
      </c>
      <c r="D40" s="22" t="s">
        <v>63</v>
      </c>
      <c r="E40" s="23" t="s">
        <v>60</v>
      </c>
      <c r="F40" s="29"/>
      <c r="G40" s="18" t="s">
        <v>3</v>
      </c>
      <c r="H40" s="19">
        <v>1</v>
      </c>
      <c r="I40" s="25" t="s">
        <v>3</v>
      </c>
      <c r="J40" s="24"/>
      <c r="K40" s="26">
        <v>1069439</v>
      </c>
    </row>
    <row r="41" spans="1:11" ht="14.25" customHeight="1" x14ac:dyDescent="0.25">
      <c r="A41" s="19">
        <v>1</v>
      </c>
      <c r="B41" s="20" t="s">
        <v>42</v>
      </c>
      <c r="C41" s="21">
        <v>5</v>
      </c>
      <c r="D41" s="22" t="s">
        <v>63</v>
      </c>
      <c r="E41" s="23" t="s">
        <v>61</v>
      </c>
      <c r="F41" s="29"/>
      <c r="G41" s="18" t="s">
        <v>3</v>
      </c>
      <c r="H41" s="19">
        <v>1</v>
      </c>
      <c r="I41" s="25" t="s">
        <v>3</v>
      </c>
      <c r="J41" s="24"/>
      <c r="K41" s="26">
        <v>964693</v>
      </c>
    </row>
    <row r="42" spans="1:11" ht="14.25" customHeight="1" x14ac:dyDescent="0.25">
      <c r="A42" s="19">
        <v>1</v>
      </c>
      <c r="B42" s="20" t="s">
        <v>42</v>
      </c>
      <c r="C42" s="21">
        <v>5</v>
      </c>
      <c r="D42" s="22" t="s">
        <v>63</v>
      </c>
      <c r="E42" s="23" t="s">
        <v>62</v>
      </c>
      <c r="F42" s="29"/>
      <c r="G42" s="18" t="s">
        <v>3</v>
      </c>
      <c r="H42" s="19">
        <v>1</v>
      </c>
      <c r="I42" s="25" t="s">
        <v>3</v>
      </c>
      <c r="J42" s="24"/>
      <c r="K42" s="26">
        <v>424775</v>
      </c>
    </row>
  </sheetData>
  <sheetProtection algorithmName="SHA-512" hashValue="zhvTqg84ysY9WNamgDGfGNOn3BQiGE1wVWsX20CwLIKQfWQ7AqbyrQ1pnMPJKtT+983RBYmeLunvxWYmU1ilMg==" saltValue="F6Tk7U7Ro0+RnEzb+V8MAQ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2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Narrow,Bold"&amp;14WEEKLY PFG ORDER&amp;11
&amp;9Inventory - Mon, 11AM&amp;R&amp;"Aptos Narrow,Bold"&amp;14MON for TUE - &amp;UMN&amp;"Aptos Narrow,Regular"&amp;11&amp;U
&amp;8 Printed &amp;D &amp;T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883D-CC36-47AD-8782-CD858AD83B61}">
  <dimension ref="A1:G55"/>
  <sheetViews>
    <sheetView view="pageLayout" workbookViewId="0">
      <selection activeCell="B34" sqref="B34"/>
    </sheetView>
  </sheetViews>
  <sheetFormatPr defaultRowHeight="12" x14ac:dyDescent="0.2"/>
  <cols>
    <col min="1" max="1" width="9.140625" style="4"/>
    <col min="2" max="2" width="29" style="4" bestFit="1" customWidth="1"/>
    <col min="3" max="6" width="0" style="4" hidden="1" customWidth="1"/>
    <col min="7" max="7" width="4" style="3" bestFit="1" customWidth="1"/>
    <col min="8" max="16384" width="9.140625" style="4"/>
  </cols>
  <sheetData>
    <row r="1" spans="1:7" x14ac:dyDescent="0.2">
      <c r="C1" s="4" t="s">
        <v>64</v>
      </c>
      <c r="D1" s="4" t="s">
        <v>65</v>
      </c>
      <c r="E1" s="4" t="s">
        <v>66</v>
      </c>
      <c r="F1" s="4" t="s">
        <v>67</v>
      </c>
      <c r="G1" s="1" t="s">
        <v>1</v>
      </c>
    </row>
    <row r="2" spans="1:7" x14ac:dyDescent="0.2">
      <c r="A2" s="4">
        <v>641889</v>
      </c>
      <c r="B2" s="4" t="s">
        <v>68</v>
      </c>
      <c r="C2" s="4">
        <v>26.5</v>
      </c>
      <c r="D2" s="4">
        <v>30.5</v>
      </c>
      <c r="E2" s="4">
        <v>26.25</v>
      </c>
      <c r="F2" s="4">
        <v>26</v>
      </c>
      <c r="G2" s="2">
        <f t="shared" ref="G2:G51" si="0">AVERAGE(C2:F2)*1.1</f>
        <v>30.043750000000003</v>
      </c>
    </row>
    <row r="3" spans="1:7" x14ac:dyDescent="0.2">
      <c r="A3" s="4">
        <v>439684</v>
      </c>
      <c r="B3" s="4" t="s">
        <v>69</v>
      </c>
      <c r="C3" s="4">
        <v>22.25</v>
      </c>
      <c r="D3" s="4">
        <v>25.75</v>
      </c>
      <c r="E3" s="4">
        <v>25</v>
      </c>
      <c r="F3" s="4">
        <v>24.75</v>
      </c>
      <c r="G3" s="2">
        <f t="shared" si="0"/>
        <v>26.881250000000001</v>
      </c>
    </row>
    <row r="4" spans="1:7" x14ac:dyDescent="0.2">
      <c r="A4" s="4">
        <v>480521</v>
      </c>
      <c r="B4" s="4" t="s">
        <v>70</v>
      </c>
      <c r="C4" s="4">
        <v>12</v>
      </c>
      <c r="D4" s="4">
        <v>12.75</v>
      </c>
      <c r="E4" s="4">
        <v>8</v>
      </c>
      <c r="F4" s="4">
        <v>14.25</v>
      </c>
      <c r="G4" s="2">
        <f t="shared" si="0"/>
        <v>12.925000000000001</v>
      </c>
    </row>
    <row r="5" spans="1:7" x14ac:dyDescent="0.2">
      <c r="A5" s="4">
        <v>124329</v>
      </c>
      <c r="B5" s="4" t="s">
        <v>71</v>
      </c>
      <c r="C5" s="4">
        <v>6.5</v>
      </c>
      <c r="D5" s="4">
        <v>6.75</v>
      </c>
      <c r="E5" s="4">
        <v>7</v>
      </c>
      <c r="F5" s="4">
        <v>6.75</v>
      </c>
      <c r="G5" s="2">
        <f t="shared" si="0"/>
        <v>7.4250000000000007</v>
      </c>
    </row>
    <row r="6" spans="1:7" x14ac:dyDescent="0.2">
      <c r="A6" s="4">
        <v>41164</v>
      </c>
      <c r="B6" s="4" t="s">
        <v>72</v>
      </c>
      <c r="C6" s="4">
        <v>6.5</v>
      </c>
      <c r="D6" s="4">
        <v>6.5</v>
      </c>
      <c r="E6" s="4">
        <v>6</v>
      </c>
      <c r="F6" s="4">
        <v>5.5</v>
      </c>
      <c r="G6" s="2">
        <f t="shared" si="0"/>
        <v>6.7375000000000007</v>
      </c>
    </row>
    <row r="7" spans="1:7" x14ac:dyDescent="0.2">
      <c r="A7" s="4">
        <v>41167</v>
      </c>
      <c r="B7" s="4" t="s">
        <v>73</v>
      </c>
      <c r="C7" s="4">
        <v>2.25</v>
      </c>
      <c r="D7" s="4">
        <v>2.25</v>
      </c>
      <c r="E7" s="4">
        <v>2.75</v>
      </c>
      <c r="F7" s="4">
        <v>3</v>
      </c>
      <c r="G7" s="2">
        <f t="shared" si="0"/>
        <v>2.8187500000000001</v>
      </c>
    </row>
    <row r="8" spans="1:7" x14ac:dyDescent="0.2">
      <c r="A8" s="4">
        <v>1007724</v>
      </c>
      <c r="B8" s="4" t="s">
        <v>74</v>
      </c>
      <c r="C8" s="4">
        <v>2.25</v>
      </c>
      <c r="D8" s="4">
        <v>2.5</v>
      </c>
      <c r="E8" s="4">
        <v>2.75</v>
      </c>
      <c r="F8" s="4">
        <v>2.5</v>
      </c>
      <c r="G8" s="2">
        <f t="shared" si="0"/>
        <v>2.75</v>
      </c>
    </row>
    <row r="9" spans="1:7" x14ac:dyDescent="0.2">
      <c r="A9" s="4">
        <v>78591</v>
      </c>
      <c r="B9" s="4" t="s">
        <v>75</v>
      </c>
      <c r="C9" s="4">
        <v>2</v>
      </c>
      <c r="D9" s="4">
        <v>2.5</v>
      </c>
      <c r="E9" s="4">
        <v>2.25</v>
      </c>
      <c r="F9" s="4">
        <v>2.25</v>
      </c>
      <c r="G9" s="2">
        <f t="shared" si="0"/>
        <v>2.4750000000000001</v>
      </c>
    </row>
    <row r="10" spans="1:7" x14ac:dyDescent="0.2">
      <c r="A10" s="4">
        <v>1020838</v>
      </c>
      <c r="B10" s="4" t="s">
        <v>76</v>
      </c>
      <c r="C10" s="4">
        <v>1.5</v>
      </c>
      <c r="D10" s="4">
        <v>1.75</v>
      </c>
      <c r="E10" s="4">
        <v>2.25</v>
      </c>
      <c r="F10" s="4">
        <v>2</v>
      </c>
      <c r="G10" s="2">
        <f t="shared" si="0"/>
        <v>2.0625</v>
      </c>
    </row>
    <row r="11" spans="1:7" x14ac:dyDescent="0.2">
      <c r="A11" s="4">
        <v>878064</v>
      </c>
      <c r="B11" s="4" t="s">
        <v>77</v>
      </c>
      <c r="C11" s="4">
        <v>2</v>
      </c>
      <c r="D11" s="4">
        <v>2.25</v>
      </c>
      <c r="E11" s="4">
        <v>2</v>
      </c>
      <c r="F11" s="4">
        <v>2</v>
      </c>
      <c r="G11" s="2">
        <f t="shared" si="0"/>
        <v>2.2687500000000003</v>
      </c>
    </row>
    <row r="12" spans="1:7" x14ac:dyDescent="0.2">
      <c r="A12" s="4">
        <v>517889</v>
      </c>
      <c r="B12" s="4" t="s">
        <v>78</v>
      </c>
      <c r="C12" s="4">
        <v>1.5</v>
      </c>
      <c r="D12" s="4">
        <v>1.5</v>
      </c>
      <c r="E12" s="4">
        <v>1.5</v>
      </c>
      <c r="F12" s="4">
        <v>1.75</v>
      </c>
      <c r="G12" s="2">
        <f t="shared" si="0"/>
        <v>1.7187500000000002</v>
      </c>
    </row>
    <row r="13" spans="1:7" x14ac:dyDescent="0.2">
      <c r="A13" s="4">
        <v>520556</v>
      </c>
      <c r="B13" s="4" t="s">
        <v>79</v>
      </c>
      <c r="C13" s="4">
        <v>1</v>
      </c>
      <c r="D13" s="4">
        <v>1.25</v>
      </c>
      <c r="E13" s="4">
        <v>1.5</v>
      </c>
      <c r="F13" s="4">
        <v>1.5</v>
      </c>
      <c r="G13" s="2">
        <f t="shared" si="0"/>
        <v>1.4437500000000001</v>
      </c>
    </row>
    <row r="14" spans="1:7" x14ac:dyDescent="0.2">
      <c r="A14" s="4">
        <v>981694</v>
      </c>
      <c r="B14" s="4" t="s">
        <v>80</v>
      </c>
      <c r="C14" s="4">
        <v>1</v>
      </c>
      <c r="D14" s="4">
        <v>1.75</v>
      </c>
      <c r="E14" s="4">
        <v>1.75</v>
      </c>
      <c r="F14" s="4">
        <v>1.5</v>
      </c>
      <c r="G14" s="2">
        <f t="shared" si="0"/>
        <v>1.6500000000000001</v>
      </c>
    </row>
    <row r="15" spans="1:7" x14ac:dyDescent="0.2">
      <c r="A15" s="4">
        <v>419871</v>
      </c>
      <c r="B15" s="4" t="s">
        <v>81</v>
      </c>
      <c r="C15" s="4">
        <v>1.25</v>
      </c>
      <c r="D15" s="4">
        <v>1.5</v>
      </c>
      <c r="E15" s="4">
        <v>1.5</v>
      </c>
      <c r="F15" s="4">
        <v>1.5</v>
      </c>
      <c r="G15" s="2">
        <f t="shared" si="0"/>
        <v>1.58125</v>
      </c>
    </row>
    <row r="16" spans="1:7" x14ac:dyDescent="0.2">
      <c r="A16" s="4">
        <v>1020522</v>
      </c>
      <c r="B16" s="4" t="s">
        <v>54</v>
      </c>
      <c r="C16" s="4">
        <v>0.75</v>
      </c>
      <c r="D16" s="4">
        <v>2</v>
      </c>
      <c r="E16" s="4">
        <v>2</v>
      </c>
      <c r="F16" s="4">
        <v>1.5</v>
      </c>
      <c r="G16" s="2">
        <f t="shared" si="0"/>
        <v>1.7187500000000002</v>
      </c>
    </row>
    <row r="17" spans="1:7" x14ac:dyDescent="0.2">
      <c r="A17" s="4">
        <v>58974</v>
      </c>
      <c r="B17" s="4" t="s">
        <v>82</v>
      </c>
      <c r="C17" s="4">
        <v>1</v>
      </c>
      <c r="D17" s="4">
        <v>1.25</v>
      </c>
      <c r="E17" s="4">
        <v>1.25</v>
      </c>
      <c r="F17" s="4">
        <v>1.25</v>
      </c>
      <c r="G17" s="2">
        <f t="shared" si="0"/>
        <v>1.3062500000000001</v>
      </c>
    </row>
    <row r="18" spans="1:7" x14ac:dyDescent="0.2">
      <c r="A18" s="4">
        <v>194261</v>
      </c>
      <c r="B18" s="4" t="s">
        <v>83</v>
      </c>
      <c r="C18" s="4">
        <v>1.25</v>
      </c>
      <c r="D18" s="4">
        <v>1.5</v>
      </c>
      <c r="E18" s="4">
        <v>1</v>
      </c>
      <c r="F18" s="4">
        <v>1.25</v>
      </c>
      <c r="G18" s="2">
        <f t="shared" si="0"/>
        <v>1.375</v>
      </c>
    </row>
    <row r="19" spans="1:7" x14ac:dyDescent="0.2">
      <c r="A19" s="4">
        <v>1020549</v>
      </c>
      <c r="B19" s="4" t="s">
        <v>84</v>
      </c>
      <c r="C19" s="4">
        <v>1.25</v>
      </c>
      <c r="D19" s="4">
        <v>1.75</v>
      </c>
      <c r="E19" s="4">
        <v>2</v>
      </c>
      <c r="F19" s="4">
        <v>1.25</v>
      </c>
      <c r="G19" s="2">
        <f t="shared" si="0"/>
        <v>1.7187500000000002</v>
      </c>
    </row>
    <row r="20" spans="1:7" x14ac:dyDescent="0.2">
      <c r="A20" s="4">
        <v>941760</v>
      </c>
      <c r="B20" s="4" t="s">
        <v>85</v>
      </c>
      <c r="C20" s="4">
        <v>1.5</v>
      </c>
      <c r="D20" s="4">
        <v>1.25</v>
      </c>
      <c r="E20" s="4">
        <v>1.25</v>
      </c>
      <c r="F20" s="4">
        <v>1.25</v>
      </c>
      <c r="G20" s="2">
        <f t="shared" si="0"/>
        <v>1.4437500000000001</v>
      </c>
    </row>
    <row r="21" spans="1:7" x14ac:dyDescent="0.2">
      <c r="A21" s="4">
        <v>349975</v>
      </c>
      <c r="B21" s="4" t="s">
        <v>86</v>
      </c>
      <c r="C21" s="4">
        <v>1</v>
      </c>
      <c r="D21" s="4">
        <v>0.75</v>
      </c>
      <c r="E21" s="4">
        <v>0.75</v>
      </c>
      <c r="F21" s="4">
        <v>1</v>
      </c>
      <c r="G21" s="2">
        <f t="shared" si="0"/>
        <v>0.96250000000000013</v>
      </c>
    </row>
    <row r="22" spans="1:7" x14ac:dyDescent="0.2">
      <c r="A22" s="4">
        <v>26383</v>
      </c>
      <c r="B22" s="4" t="s">
        <v>87</v>
      </c>
      <c r="C22" s="4">
        <v>0</v>
      </c>
      <c r="D22" s="4">
        <v>0</v>
      </c>
      <c r="E22" s="4">
        <v>0</v>
      </c>
      <c r="F22" s="4">
        <v>0.75</v>
      </c>
      <c r="G22" s="2">
        <f t="shared" si="0"/>
        <v>0.20625000000000002</v>
      </c>
    </row>
    <row r="23" spans="1:7" x14ac:dyDescent="0.2">
      <c r="A23" s="4">
        <v>197434</v>
      </c>
      <c r="B23" s="4" t="s">
        <v>88</v>
      </c>
      <c r="C23" s="4">
        <v>0.75</v>
      </c>
      <c r="D23" s="4">
        <v>0.5</v>
      </c>
      <c r="E23" s="4">
        <v>0.75</v>
      </c>
      <c r="F23" s="4">
        <v>0.75</v>
      </c>
      <c r="G23" s="2">
        <f t="shared" si="0"/>
        <v>0.75625000000000009</v>
      </c>
    </row>
    <row r="24" spans="1:7" x14ac:dyDescent="0.2">
      <c r="A24" s="4">
        <v>154944</v>
      </c>
      <c r="B24" s="4" t="s">
        <v>89</v>
      </c>
      <c r="C24" s="4">
        <v>0.75</v>
      </c>
      <c r="D24" s="4">
        <v>0.75</v>
      </c>
      <c r="E24" s="4">
        <v>1.25</v>
      </c>
      <c r="F24" s="4">
        <v>0.75</v>
      </c>
      <c r="G24" s="2">
        <f t="shared" si="0"/>
        <v>0.96250000000000013</v>
      </c>
    </row>
    <row r="25" spans="1:7" x14ac:dyDescent="0.2">
      <c r="A25" s="4">
        <v>58973</v>
      </c>
      <c r="B25" s="4" t="s">
        <v>90</v>
      </c>
      <c r="C25" s="4">
        <v>0.5</v>
      </c>
      <c r="D25" s="4">
        <v>0.75</v>
      </c>
      <c r="E25" s="4">
        <v>0.5</v>
      </c>
      <c r="F25" s="4">
        <v>0.75</v>
      </c>
      <c r="G25" s="2">
        <f t="shared" si="0"/>
        <v>0.6875</v>
      </c>
    </row>
    <row r="26" spans="1:7" x14ac:dyDescent="0.2">
      <c r="A26" s="4">
        <v>1020535</v>
      </c>
      <c r="B26" s="4" t="s">
        <v>53</v>
      </c>
      <c r="C26" s="4">
        <v>1</v>
      </c>
      <c r="D26" s="4">
        <v>1.5</v>
      </c>
      <c r="E26" s="4">
        <v>2</v>
      </c>
      <c r="F26" s="4">
        <v>0.75</v>
      </c>
      <c r="G26" s="2">
        <f t="shared" si="0"/>
        <v>1.4437500000000001</v>
      </c>
    </row>
    <row r="27" spans="1:7" x14ac:dyDescent="0.2">
      <c r="A27" s="4">
        <v>964693</v>
      </c>
      <c r="B27" s="4" t="s">
        <v>91</v>
      </c>
      <c r="C27" s="4">
        <v>0</v>
      </c>
      <c r="D27" s="4">
        <v>0</v>
      </c>
      <c r="E27" s="4">
        <v>0</v>
      </c>
      <c r="F27" s="4">
        <v>0.5</v>
      </c>
      <c r="G27" s="2">
        <f t="shared" si="0"/>
        <v>0.13750000000000001</v>
      </c>
    </row>
    <row r="28" spans="1:7" x14ac:dyDescent="0.2">
      <c r="A28" s="4">
        <v>42157</v>
      </c>
      <c r="B28" s="4" t="s">
        <v>92</v>
      </c>
      <c r="C28" s="4">
        <v>0</v>
      </c>
      <c r="D28" s="4">
        <v>0</v>
      </c>
      <c r="E28" s="4">
        <v>0</v>
      </c>
      <c r="F28" s="4">
        <v>0.5</v>
      </c>
      <c r="G28" s="2">
        <f t="shared" si="0"/>
        <v>0.13750000000000001</v>
      </c>
    </row>
    <row r="29" spans="1:7" x14ac:dyDescent="0.2">
      <c r="A29" s="4">
        <v>75146</v>
      </c>
      <c r="B29" s="4" t="s">
        <v>93</v>
      </c>
      <c r="C29" s="4">
        <v>0</v>
      </c>
      <c r="D29" s="4">
        <v>0</v>
      </c>
      <c r="E29" s="4">
        <v>0</v>
      </c>
      <c r="F29" s="4">
        <v>0.5</v>
      </c>
      <c r="G29" s="2">
        <f t="shared" si="0"/>
        <v>0.13750000000000001</v>
      </c>
    </row>
    <row r="30" spans="1:7" x14ac:dyDescent="0.2">
      <c r="A30" s="4">
        <v>2204</v>
      </c>
      <c r="B30" s="4" t="s">
        <v>94</v>
      </c>
      <c r="C30" s="4">
        <v>0</v>
      </c>
      <c r="D30" s="4">
        <v>0</v>
      </c>
      <c r="E30" s="4">
        <v>0</v>
      </c>
      <c r="F30" s="4">
        <v>0.5</v>
      </c>
      <c r="G30" s="2">
        <f t="shared" si="0"/>
        <v>0.13750000000000001</v>
      </c>
    </row>
    <row r="31" spans="1:7" x14ac:dyDescent="0.2">
      <c r="A31" s="4">
        <v>5163</v>
      </c>
      <c r="B31" s="4" t="s">
        <v>95</v>
      </c>
      <c r="C31" s="4">
        <v>0.5</v>
      </c>
      <c r="D31" s="4">
        <v>0.5</v>
      </c>
      <c r="E31" s="4">
        <v>0.5</v>
      </c>
      <c r="F31" s="4">
        <v>0.5</v>
      </c>
      <c r="G31" s="2">
        <f t="shared" si="0"/>
        <v>0.55000000000000004</v>
      </c>
    </row>
    <row r="32" spans="1:7" x14ac:dyDescent="0.2">
      <c r="A32" s="4">
        <v>883022</v>
      </c>
      <c r="B32" s="4" t="s">
        <v>96</v>
      </c>
      <c r="C32" s="4">
        <v>0</v>
      </c>
      <c r="D32" s="4">
        <v>0</v>
      </c>
      <c r="E32" s="4">
        <v>0</v>
      </c>
      <c r="F32" s="4">
        <v>0.5</v>
      </c>
      <c r="G32" s="2">
        <f t="shared" si="0"/>
        <v>0.13750000000000001</v>
      </c>
    </row>
    <row r="33" spans="1:7" x14ac:dyDescent="0.2">
      <c r="A33" s="4">
        <v>28969</v>
      </c>
      <c r="B33" s="4" t="s">
        <v>97</v>
      </c>
      <c r="C33" s="4">
        <v>0</v>
      </c>
      <c r="D33" s="4">
        <v>0</v>
      </c>
      <c r="E33" s="4">
        <v>0</v>
      </c>
      <c r="F33" s="4">
        <v>0.5</v>
      </c>
      <c r="G33" s="2">
        <f t="shared" si="0"/>
        <v>0.13750000000000001</v>
      </c>
    </row>
    <row r="34" spans="1:7" x14ac:dyDescent="0.2">
      <c r="A34" s="4">
        <v>591696</v>
      </c>
      <c r="B34" s="4" t="s">
        <v>98</v>
      </c>
      <c r="C34" s="4">
        <v>0</v>
      </c>
      <c r="D34" s="4">
        <v>0</v>
      </c>
      <c r="E34" s="4">
        <v>0</v>
      </c>
      <c r="F34" s="4">
        <v>0.25</v>
      </c>
      <c r="G34" s="2">
        <f t="shared" si="0"/>
        <v>6.8750000000000006E-2</v>
      </c>
    </row>
    <row r="35" spans="1:7" x14ac:dyDescent="0.2">
      <c r="A35" s="4">
        <v>493862</v>
      </c>
      <c r="B35" s="4" t="s">
        <v>99</v>
      </c>
      <c r="C35" s="4">
        <v>0.5</v>
      </c>
      <c r="D35" s="4">
        <v>0.25</v>
      </c>
      <c r="E35" s="4">
        <v>0.25</v>
      </c>
      <c r="F35" s="4">
        <v>0.25</v>
      </c>
      <c r="G35" s="2">
        <f t="shared" si="0"/>
        <v>0.34375</v>
      </c>
    </row>
    <row r="36" spans="1:7" x14ac:dyDescent="0.2">
      <c r="A36" s="4">
        <v>269872</v>
      </c>
      <c r="B36" s="4" t="s">
        <v>100</v>
      </c>
      <c r="C36" s="4">
        <v>0.5</v>
      </c>
      <c r="D36" s="4">
        <v>0.5</v>
      </c>
      <c r="E36" s="4">
        <v>0.5</v>
      </c>
      <c r="F36" s="4">
        <v>0.25</v>
      </c>
      <c r="G36" s="2">
        <f t="shared" si="0"/>
        <v>0.48125000000000007</v>
      </c>
    </row>
    <row r="37" spans="1:7" x14ac:dyDescent="0.2">
      <c r="A37" s="4">
        <v>26460</v>
      </c>
      <c r="B37" s="4" t="s">
        <v>101</v>
      </c>
      <c r="C37" s="4">
        <v>0.25</v>
      </c>
      <c r="D37" s="4">
        <v>0</v>
      </c>
      <c r="E37" s="4">
        <v>0.25</v>
      </c>
      <c r="F37" s="4">
        <v>0.25</v>
      </c>
      <c r="G37" s="2">
        <f t="shared" si="0"/>
        <v>0.20625000000000002</v>
      </c>
    </row>
    <row r="38" spans="1:7" x14ac:dyDescent="0.2">
      <c r="A38" s="4">
        <v>269873</v>
      </c>
      <c r="B38" s="4" t="s">
        <v>102</v>
      </c>
      <c r="C38" s="4">
        <v>0.25</v>
      </c>
      <c r="D38" s="4">
        <v>0.5</v>
      </c>
      <c r="E38" s="4">
        <v>0.25</v>
      </c>
      <c r="F38" s="4">
        <v>0.25</v>
      </c>
      <c r="G38" s="2">
        <f t="shared" si="0"/>
        <v>0.34375</v>
      </c>
    </row>
    <row r="39" spans="1:7" x14ac:dyDescent="0.2">
      <c r="A39" s="4">
        <v>424775</v>
      </c>
      <c r="B39" s="4" t="s">
        <v>103</v>
      </c>
      <c r="C39" s="4">
        <v>0</v>
      </c>
      <c r="D39" s="4">
        <v>0</v>
      </c>
      <c r="E39" s="4">
        <v>0</v>
      </c>
      <c r="F39" s="4">
        <v>0.25</v>
      </c>
      <c r="G39" s="2">
        <f t="shared" si="0"/>
        <v>6.8750000000000006E-2</v>
      </c>
    </row>
    <row r="40" spans="1:7" x14ac:dyDescent="0.2">
      <c r="A40" s="4">
        <v>413360</v>
      </c>
      <c r="B40" s="4" t="s">
        <v>104</v>
      </c>
      <c r="C40" s="4">
        <v>0.25</v>
      </c>
      <c r="D40" s="4">
        <v>0.25</v>
      </c>
      <c r="E40" s="4">
        <v>0</v>
      </c>
      <c r="F40" s="4">
        <v>0.25</v>
      </c>
      <c r="G40" s="2">
        <f t="shared" si="0"/>
        <v>0.20625000000000002</v>
      </c>
    </row>
    <row r="41" spans="1:7" x14ac:dyDescent="0.2">
      <c r="A41" s="4">
        <v>128341</v>
      </c>
      <c r="B41" s="4" t="s">
        <v>105</v>
      </c>
      <c r="C41" s="4">
        <v>0.5</v>
      </c>
      <c r="D41" s="4">
        <v>0.25</v>
      </c>
      <c r="E41" s="4">
        <v>0</v>
      </c>
      <c r="F41" s="4">
        <v>0.25</v>
      </c>
      <c r="G41" s="2">
        <f t="shared" si="0"/>
        <v>0.27500000000000002</v>
      </c>
    </row>
    <row r="42" spans="1:7" x14ac:dyDescent="0.2">
      <c r="A42" s="4">
        <v>346122</v>
      </c>
      <c r="B42" s="4" t="s">
        <v>106</v>
      </c>
      <c r="C42" s="4">
        <v>0.5</v>
      </c>
      <c r="D42" s="4">
        <v>0.5</v>
      </c>
      <c r="E42" s="4">
        <v>0.5</v>
      </c>
      <c r="F42" s="4">
        <v>0.25</v>
      </c>
      <c r="G42" s="2">
        <f t="shared" si="0"/>
        <v>0.48125000000000007</v>
      </c>
    </row>
    <row r="43" spans="1:7" x14ac:dyDescent="0.2">
      <c r="A43" s="4">
        <v>194578</v>
      </c>
      <c r="B43" s="4" t="s">
        <v>107</v>
      </c>
      <c r="C43" s="4">
        <v>0.25</v>
      </c>
      <c r="D43" s="4">
        <v>0</v>
      </c>
      <c r="E43" s="4">
        <v>0.25</v>
      </c>
      <c r="F43" s="4">
        <v>0.25</v>
      </c>
      <c r="G43" s="2">
        <f t="shared" si="0"/>
        <v>0.20625000000000002</v>
      </c>
    </row>
    <row r="44" spans="1:7" x14ac:dyDescent="0.2">
      <c r="A44" s="4">
        <v>485251</v>
      </c>
      <c r="B44" s="4" t="s">
        <v>108</v>
      </c>
      <c r="C44" s="4">
        <v>0.25</v>
      </c>
      <c r="D44" s="4">
        <v>0.25</v>
      </c>
      <c r="E44" s="4">
        <v>0</v>
      </c>
      <c r="F44" s="4">
        <v>0.25</v>
      </c>
      <c r="G44" s="2">
        <f t="shared" si="0"/>
        <v>0.20625000000000002</v>
      </c>
    </row>
    <row r="45" spans="1:7" x14ac:dyDescent="0.2">
      <c r="A45" s="4">
        <v>944432</v>
      </c>
      <c r="B45" s="4" t="s">
        <v>109</v>
      </c>
      <c r="C45" s="4">
        <v>0.25</v>
      </c>
      <c r="D45" s="4">
        <v>0.25</v>
      </c>
      <c r="E45" s="4">
        <v>0</v>
      </c>
      <c r="F45" s="4">
        <v>0.25</v>
      </c>
      <c r="G45" s="2">
        <f t="shared" si="0"/>
        <v>0.20625000000000002</v>
      </c>
    </row>
    <row r="46" spans="1:7" x14ac:dyDescent="0.2">
      <c r="A46" s="4">
        <v>52374</v>
      </c>
      <c r="B46" s="4" t="s">
        <v>110</v>
      </c>
      <c r="C46" s="4">
        <v>0.25</v>
      </c>
      <c r="D46" s="4">
        <v>0.5</v>
      </c>
      <c r="E46" s="4">
        <v>0.25</v>
      </c>
      <c r="F46" s="4">
        <v>0.25</v>
      </c>
      <c r="G46" s="2">
        <f t="shared" si="0"/>
        <v>0.34375</v>
      </c>
    </row>
    <row r="47" spans="1:7" x14ac:dyDescent="0.2">
      <c r="A47" s="4">
        <v>393776</v>
      </c>
      <c r="B47" s="4" t="s">
        <v>111</v>
      </c>
      <c r="C47" s="4">
        <v>0.25</v>
      </c>
      <c r="D47" s="4">
        <v>0</v>
      </c>
      <c r="E47" s="4">
        <v>0</v>
      </c>
      <c r="F47" s="4">
        <v>0.25</v>
      </c>
      <c r="G47" s="2">
        <f t="shared" si="0"/>
        <v>0.13750000000000001</v>
      </c>
    </row>
    <row r="48" spans="1:7" x14ac:dyDescent="0.2">
      <c r="A48" s="4">
        <v>393766</v>
      </c>
      <c r="B48" s="4" t="s">
        <v>112</v>
      </c>
      <c r="C48" s="4">
        <v>0.25</v>
      </c>
      <c r="D48" s="4">
        <v>0</v>
      </c>
      <c r="E48" s="4">
        <v>0.5</v>
      </c>
      <c r="F48" s="4">
        <v>0.25</v>
      </c>
      <c r="G48" s="2">
        <f t="shared" si="0"/>
        <v>0.27500000000000002</v>
      </c>
    </row>
    <row r="49" spans="1:7" x14ac:dyDescent="0.2">
      <c r="A49" s="4">
        <v>314029</v>
      </c>
      <c r="B49" s="4" t="s">
        <v>113</v>
      </c>
      <c r="C49" s="4">
        <v>0.25</v>
      </c>
      <c r="D49" s="4">
        <v>0</v>
      </c>
      <c r="E49" s="4">
        <v>0</v>
      </c>
      <c r="F49" s="4">
        <v>0</v>
      </c>
      <c r="G49" s="2">
        <f t="shared" si="0"/>
        <v>6.8750000000000006E-2</v>
      </c>
    </row>
    <row r="50" spans="1:7" x14ac:dyDescent="0.2">
      <c r="A50" s="4">
        <v>269885</v>
      </c>
      <c r="B50" s="4" t="s">
        <v>114</v>
      </c>
      <c r="C50" s="4">
        <v>0</v>
      </c>
      <c r="D50" s="4">
        <v>0.25</v>
      </c>
      <c r="E50" s="4">
        <v>0.5</v>
      </c>
      <c r="F50" s="4">
        <v>0</v>
      </c>
      <c r="G50" s="2">
        <f t="shared" si="0"/>
        <v>0.20625000000000002</v>
      </c>
    </row>
    <row r="51" spans="1:7" x14ac:dyDescent="0.2">
      <c r="A51" s="4">
        <v>878209</v>
      </c>
      <c r="B51" s="4" t="s">
        <v>115</v>
      </c>
      <c r="C51" s="4">
        <v>1.5</v>
      </c>
      <c r="D51" s="4">
        <v>0</v>
      </c>
      <c r="E51" s="4">
        <v>0</v>
      </c>
      <c r="F51" s="4">
        <v>0</v>
      </c>
      <c r="G51" s="2">
        <f t="shared" si="0"/>
        <v>0.41250000000000003</v>
      </c>
    </row>
    <row r="52" spans="1:7" x14ac:dyDescent="0.2">
      <c r="A52" s="4" t="e">
        <v>#N/A</v>
      </c>
      <c r="B52" s="4" t="s">
        <v>116</v>
      </c>
      <c r="C52" s="4">
        <v>104.75</v>
      </c>
      <c r="D52" s="4">
        <v>115.5</v>
      </c>
      <c r="E52" s="4">
        <v>107</v>
      </c>
      <c r="F52" s="4">
        <v>113.75</v>
      </c>
      <c r="G52" s="2"/>
    </row>
    <row r="53" spans="1:7" x14ac:dyDescent="0.2">
      <c r="G53" s="2"/>
    </row>
    <row r="54" spans="1:7" x14ac:dyDescent="0.2">
      <c r="G54" s="2"/>
    </row>
    <row r="55" spans="1:7" x14ac:dyDescent="0.2">
      <c r="G5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C9D0CED7-E864-4389-B041-6AA7AAAE5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2024-09-19T14:52:56Z</cp:lastPrinted>
  <dcterms:created xsi:type="dcterms:W3CDTF">2020-04-21T17:05:46Z</dcterms:created>
  <dcterms:modified xsi:type="dcterms:W3CDTF">2026-09-21T13:12:28Z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