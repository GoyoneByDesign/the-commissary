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824" documentId="8_{C19A90ED-0EAE-42D2-89FA-F9F49A3DCA16}" xr6:coauthVersionLast="47" xr6:coauthVersionMax="47" xr10:uidLastSave="{5F8500AA-EEBA-480E-95AC-75E86BF66F8E}"/>
  <bookViews>
    <workbookView xWindow="-105" yWindow="0" windowWidth="14610" windowHeight="15585" xr2:uid="{E07C68A1-99F8-4C21-B665-3569F21B8DE2}"/>
  </bookViews>
  <sheets>
    <sheet name="M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1" l="1"/>
  <c r="B2" i="11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<sst xmlns="http://schemas.openxmlformats.org/spreadsheetml/2006/main" count="246" uniqueCount="136">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</sst>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06EA-A72D-48DE-9AC7-2BD2E6340695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3"/>
      <c r="C1" s="23"/>
      <c r="D1" s="23"/>
      <c r="E1" s="3" t="s">
        <v>116</v>
      </c>
      <c r="F1" s="23"/>
      <c r="G1" s="23"/>
      <c r="H1" s="23"/>
      <c r="I1" s="4" t="s">
        <v>118</v>
      </c>
      <c r="J1" s="23"/>
      <c r="K1" s="23"/>
      <c r="L1" s="23"/>
      <c r="M1" s="3" t="s">
        <v>117</v>
      </c>
      <c r="N1" s="23"/>
      <c r="O1" s="23"/>
    </row>
    <row r="2" spans="1:15" ht="12.75" customHeight="1" x14ac:dyDescent="0.25">
      <c r="A2" s="5" t="s">
        <v>120</v>
      </c>
      <c r="B2" s="24">
        <f ca="1">_xlfn.LET(_xlpm.anchor,DATE(2026,8,2),_xlpm.cycle,14,_xlpm.next,_xlpm.anchor+_xlfn.CEILING.MATH(MAX(0,TODAY()-_xlpm.anchor),_xlpm.cycle),IF(_xlpm.next=TODAY(),"DUE TODAY",_xlpm.next))</f>
        <v>46292</v>
      </c>
      <c r="C2" s="24"/>
      <c r="D2" s="24"/>
      <c r="E2" s="25"/>
      <c r="F2" s="24"/>
      <c r="G2" s="24"/>
      <c r="I2" s="5" t="s">
        <v>132</v>
      </c>
      <c r="J2" s="24">
        <f ca="1">_xlfn.LET(_xlpm.anchor,DATE(2026,7,26),_xlpm.cycle,28,_xlpm.next,_xlpm.anchor+_xlfn.CEILING.MATH(MAX(0,TODAY()-_xlpm.anchor),_xlpm.cycle),IF(_xlpm.next=TODAY(),"DUE TODAY",_xlpm.next))</f>
        <v>46313</v>
      </c>
      <c r="K2" s="24"/>
      <c r="L2" s="24"/>
      <c r="M2" s="25"/>
      <c r="N2" s="24"/>
      <c r="O2" s="24"/>
    </row>
    <row r="3" spans="1:15" ht="12.75" customHeight="1" x14ac:dyDescent="0.25">
      <c r="A3" s="18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8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9">
        <v>2</v>
      </c>
      <c r="E4" s="13"/>
      <c r="F4" s="13"/>
      <c r="G4" s="13"/>
      <c r="I4" s="10" t="s">
        <v>54</v>
      </c>
      <c r="J4" s="7" t="s">
        <v>110</v>
      </c>
      <c r="K4" s="17"/>
      <c r="L4" s="22"/>
      <c r="M4" s="17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9">
        <v>2</v>
      </c>
      <c r="E5" s="13"/>
      <c r="F5" s="13"/>
      <c r="G5" s="13"/>
      <c r="I5" s="10" t="s">
        <v>55</v>
      </c>
      <c r="J5" s="7" t="s">
        <v>110</v>
      </c>
      <c r="K5" s="17"/>
      <c r="L5" s="22"/>
      <c r="M5" s="17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9">
        <v>2</v>
      </c>
      <c r="E6" s="13"/>
      <c r="F6" s="13"/>
      <c r="G6" s="13"/>
      <c r="I6" s="10" t="s">
        <v>56</v>
      </c>
      <c r="J6" s="7" t="s">
        <v>110</v>
      </c>
      <c r="K6" s="13"/>
      <c r="L6" s="19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9">
        <v>1</v>
      </c>
      <c r="E7" s="13"/>
      <c r="F7" s="13"/>
      <c r="G7" s="13"/>
      <c r="I7" s="10" t="s">
        <v>57</v>
      </c>
      <c r="J7" s="7" t="s">
        <v>110</v>
      </c>
      <c r="K7" s="13"/>
      <c r="L7" s="19">
        <v>1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9">
        <v>1</v>
      </c>
      <c r="E8" s="13"/>
      <c r="F8" s="13"/>
      <c r="G8" s="13"/>
      <c r="I8" s="10" t="s">
        <v>58</v>
      </c>
      <c r="J8" s="7" t="s">
        <v>110</v>
      </c>
      <c r="K8" s="17"/>
      <c r="L8" s="22"/>
      <c r="M8" s="17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9">
        <v>4</v>
      </c>
      <c r="E9" s="13"/>
      <c r="F9" s="13"/>
      <c r="G9" s="13"/>
      <c r="I9" s="10" t="s">
        <v>59</v>
      </c>
      <c r="J9" s="7" t="s">
        <v>110</v>
      </c>
      <c r="K9" s="13"/>
      <c r="L9" s="19">
        <v>1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9">
        <v>1</v>
      </c>
      <c r="E10" s="13"/>
      <c r="F10" s="13"/>
      <c r="G10" s="13"/>
      <c r="I10" s="10" t="s">
        <v>62</v>
      </c>
      <c r="J10" s="7" t="s">
        <v>110</v>
      </c>
      <c r="K10" s="13"/>
      <c r="L10" s="19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9">
        <v>8</v>
      </c>
      <c r="E11" s="13"/>
      <c r="F11" s="13"/>
      <c r="G11" s="13"/>
      <c r="I11" s="10" t="s">
        <v>63</v>
      </c>
      <c r="J11" s="7" t="s">
        <v>110</v>
      </c>
      <c r="K11" s="13"/>
      <c r="L11" s="19">
        <v>1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9">
        <v>1</v>
      </c>
      <c r="E12" s="13"/>
      <c r="F12" s="13"/>
      <c r="G12" s="13"/>
      <c r="I12" s="10" t="s">
        <v>65</v>
      </c>
      <c r="J12" s="7" t="s">
        <v>110</v>
      </c>
      <c r="K12" s="13"/>
      <c r="L12" s="19">
        <v>1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9">
        <v>2</v>
      </c>
      <c r="E13" s="13"/>
      <c r="F13" s="13"/>
      <c r="G13" s="13"/>
      <c r="I13" s="10" t="s">
        <v>70</v>
      </c>
      <c r="J13" s="7" t="s">
        <v>110</v>
      </c>
      <c r="K13" s="13"/>
      <c r="L13" s="19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9">
        <v>3</v>
      </c>
      <c r="E14" s="13"/>
      <c r="F14" s="13"/>
      <c r="G14" s="13"/>
      <c r="I14" s="10" t="s">
        <v>66</v>
      </c>
      <c r="J14" s="7" t="s">
        <v>126</v>
      </c>
      <c r="K14" s="13"/>
      <c r="L14" s="19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9">
        <v>1</v>
      </c>
      <c r="E15" s="13"/>
      <c r="F15" s="13"/>
      <c r="G15" s="13"/>
      <c r="I15" s="10" t="s">
        <v>60</v>
      </c>
      <c r="J15" s="7" t="s">
        <v>124</v>
      </c>
      <c r="K15" s="13"/>
      <c r="L15" s="19">
        <v>2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9">
        <v>1</v>
      </c>
      <c r="E16" s="13"/>
      <c r="F16" s="13"/>
      <c r="G16" s="13"/>
      <c r="I16" s="10" t="s">
        <v>61</v>
      </c>
      <c r="J16" s="7" t="s">
        <v>125</v>
      </c>
      <c r="K16" s="13"/>
      <c r="L16" s="19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9">
        <v>1</v>
      </c>
      <c r="E17" s="13"/>
      <c r="F17" s="13"/>
      <c r="G17" s="13"/>
      <c r="I17" s="10" t="s">
        <v>67</v>
      </c>
      <c r="J17" s="7" t="s">
        <v>125</v>
      </c>
      <c r="K17" s="13"/>
      <c r="L17" s="19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9">
        <v>1</v>
      </c>
      <c r="E18" s="13"/>
      <c r="F18" s="13"/>
      <c r="G18" s="13"/>
      <c r="I18" s="10" t="s">
        <v>68</v>
      </c>
      <c r="J18" s="7" t="s">
        <v>125</v>
      </c>
      <c r="K18" s="13"/>
      <c r="L18" s="19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9">
        <v>2</v>
      </c>
      <c r="E19" s="13"/>
      <c r="F19" s="13"/>
      <c r="G19" s="13"/>
      <c r="I19" s="10" t="s">
        <v>69</v>
      </c>
      <c r="J19" s="7" t="s">
        <v>125</v>
      </c>
      <c r="K19" s="13"/>
      <c r="L19" s="19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9">
        <v>1</v>
      </c>
      <c r="E20" s="13"/>
      <c r="F20" s="13"/>
      <c r="G20" s="13"/>
      <c r="I20" s="10" t="s">
        <v>71</v>
      </c>
      <c r="J20" s="7" t="s">
        <v>111</v>
      </c>
      <c r="K20" s="13"/>
      <c r="L20" s="19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9">
        <v>2</v>
      </c>
      <c r="E21" s="13"/>
      <c r="F21" s="13"/>
      <c r="G21" s="13"/>
      <c r="I21" s="10" t="s">
        <v>72</v>
      </c>
      <c r="J21" s="7" t="s">
        <v>110</v>
      </c>
      <c r="K21" s="13"/>
      <c r="L21" s="19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9">
        <v>3</v>
      </c>
      <c r="E22" s="13"/>
      <c r="F22" s="13"/>
      <c r="G22" s="13"/>
      <c r="I22" s="10" t="s">
        <v>73</v>
      </c>
      <c r="J22" s="7" t="s">
        <v>110</v>
      </c>
      <c r="K22" s="13"/>
      <c r="L22" s="19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9">
        <v>1</v>
      </c>
      <c r="E23" s="13"/>
      <c r="F23" s="13"/>
      <c r="G23" s="13"/>
      <c r="I23" s="10" t="s">
        <v>74</v>
      </c>
      <c r="J23" s="7" t="s">
        <v>110</v>
      </c>
      <c r="K23" s="13"/>
      <c r="L23" s="19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9">
        <v>2</v>
      </c>
      <c r="E24" s="13"/>
      <c r="F24" s="13"/>
      <c r="G24" s="13"/>
      <c r="I24" s="10" t="s">
        <v>75</v>
      </c>
      <c r="J24" s="7" t="s">
        <v>111</v>
      </c>
      <c r="K24" s="13"/>
      <c r="L24" s="19">
        <v>2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9">
        <v>14</v>
      </c>
      <c r="E25" s="14"/>
      <c r="F25" s="14"/>
      <c r="G25" s="14"/>
      <c r="I25" s="11" t="s">
        <v>76</v>
      </c>
      <c r="J25" s="9" t="s">
        <v>110</v>
      </c>
      <c r="K25" s="15"/>
      <c r="L25" s="20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5"/>
      <c r="D26" s="20">
        <v>4</v>
      </c>
      <c r="E26" s="15"/>
      <c r="F26" s="15"/>
      <c r="G26" s="15"/>
      <c r="I26" s="12" t="s">
        <v>77</v>
      </c>
      <c r="J26" s="8" t="s">
        <v>112</v>
      </c>
      <c r="K26" s="14"/>
      <c r="L26" s="21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1">
        <v>1</v>
      </c>
      <c r="E27" s="14"/>
      <c r="F27" s="14"/>
      <c r="G27" s="14"/>
      <c r="I27" s="10" t="s">
        <v>78</v>
      </c>
      <c r="J27" s="7" t="s">
        <v>125</v>
      </c>
      <c r="K27" s="13"/>
      <c r="L27" s="19">
        <v>3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9">
        <v>1</v>
      </c>
      <c r="E28" s="13"/>
      <c r="F28" s="13"/>
      <c r="G28" s="13"/>
      <c r="I28" s="10" t="s">
        <v>81</v>
      </c>
      <c r="J28" s="7" t="s">
        <v>110</v>
      </c>
      <c r="K28" s="13"/>
      <c r="L28" s="19">
        <v>4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9">
        <v>8</v>
      </c>
      <c r="E29" s="13"/>
      <c r="F29" s="13"/>
      <c r="G29" s="13"/>
      <c r="I29" s="10" t="s">
        <v>82</v>
      </c>
      <c r="J29" s="7" t="s">
        <v>110</v>
      </c>
      <c r="K29" s="13"/>
      <c r="L29" s="19">
        <v>12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9">
        <v>6</v>
      </c>
      <c r="E30" s="13"/>
      <c r="F30" s="13"/>
      <c r="G30" s="13"/>
      <c r="I30" s="10" t="s">
        <v>98</v>
      </c>
      <c r="J30" s="7" t="s">
        <v>110</v>
      </c>
      <c r="K30" s="13"/>
      <c r="L30" s="19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9">
        <v>5</v>
      </c>
      <c r="E31" s="13"/>
      <c r="F31" s="13"/>
      <c r="G31" s="13"/>
      <c r="I31" s="10" t="s">
        <v>83</v>
      </c>
      <c r="J31" s="7" t="s">
        <v>110</v>
      </c>
      <c r="K31" s="13"/>
      <c r="L31" s="19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9">
        <v>5</v>
      </c>
      <c r="E32" s="13"/>
      <c r="F32" s="13"/>
      <c r="G32" s="13"/>
      <c r="I32" s="10" t="s">
        <v>84</v>
      </c>
      <c r="J32" s="7" t="s">
        <v>110</v>
      </c>
      <c r="K32" s="13"/>
      <c r="L32" s="19">
        <v>2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9">
        <v>3</v>
      </c>
      <c r="E33" s="13"/>
      <c r="F33" s="13"/>
      <c r="G33" s="13"/>
      <c r="I33" s="10" t="s">
        <v>85</v>
      </c>
      <c r="J33" s="7" t="s">
        <v>110</v>
      </c>
      <c r="K33" s="13"/>
      <c r="L33" s="19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9">
        <v>2</v>
      </c>
      <c r="E34" s="13"/>
      <c r="F34" s="13"/>
      <c r="G34" s="13"/>
      <c r="I34" s="10" t="s">
        <v>86</v>
      </c>
      <c r="J34" s="7" t="s">
        <v>110</v>
      </c>
      <c r="K34" s="13"/>
      <c r="L34" s="19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9">
        <v>12</v>
      </c>
      <c r="E35" s="13"/>
      <c r="F35" s="13"/>
      <c r="G35" s="13"/>
      <c r="I35" s="10" t="s">
        <v>87</v>
      </c>
      <c r="J35" s="7" t="s">
        <v>110</v>
      </c>
      <c r="K35" s="13"/>
      <c r="L35" s="19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9">
        <v>24</v>
      </c>
      <c r="E36" s="13"/>
      <c r="F36" s="13"/>
      <c r="G36" s="13"/>
      <c r="I36" s="10" t="s">
        <v>88</v>
      </c>
      <c r="J36" s="7" t="s">
        <v>110</v>
      </c>
      <c r="K36" s="13"/>
      <c r="L36" s="19">
        <v>2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9">
        <v>4</v>
      </c>
      <c r="E37" s="13"/>
      <c r="F37" s="13"/>
      <c r="G37" s="13"/>
      <c r="I37" s="10" t="s">
        <v>89</v>
      </c>
      <c r="J37" s="7" t="s">
        <v>110</v>
      </c>
      <c r="K37" s="13"/>
      <c r="L37" s="19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9">
        <v>7</v>
      </c>
      <c r="E38" s="13"/>
      <c r="F38" s="13"/>
      <c r="G38" s="13"/>
      <c r="I38" s="10" t="s">
        <v>90</v>
      </c>
      <c r="J38" s="7" t="s">
        <v>110</v>
      </c>
      <c r="K38" s="13"/>
      <c r="L38" s="19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9">
        <v>5</v>
      </c>
      <c r="E39" s="13"/>
      <c r="F39" s="13"/>
      <c r="G39" s="13"/>
      <c r="I39" s="10" t="s">
        <v>91</v>
      </c>
      <c r="J39" s="7" t="s">
        <v>110</v>
      </c>
      <c r="K39" s="13"/>
      <c r="L39" s="19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9">
        <v>5</v>
      </c>
      <c r="E40" s="13"/>
      <c r="F40" s="13"/>
      <c r="G40" s="13"/>
      <c r="I40" s="10" t="s">
        <v>92</v>
      </c>
      <c r="J40" s="7" t="s">
        <v>110</v>
      </c>
      <c r="K40" s="13"/>
      <c r="L40" s="19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9">
        <v>2</v>
      </c>
      <c r="E41" s="13"/>
      <c r="F41" s="13"/>
      <c r="G41" s="13"/>
      <c r="I41" s="10" t="s">
        <v>93</v>
      </c>
      <c r="J41" s="7" t="s">
        <v>110</v>
      </c>
      <c r="K41" s="13"/>
      <c r="L41" s="19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9">
        <v>2</v>
      </c>
      <c r="E42" s="13"/>
      <c r="F42" s="13"/>
      <c r="G42" s="13"/>
      <c r="I42" s="10" t="s">
        <v>94</v>
      </c>
      <c r="J42" s="7" t="s">
        <v>110</v>
      </c>
      <c r="K42" s="13"/>
      <c r="L42" s="19">
        <v>3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9">
        <v>1</v>
      </c>
      <c r="E43" s="13"/>
      <c r="F43" s="13"/>
      <c r="G43" s="13"/>
      <c r="I43" s="10" t="s">
        <v>95</v>
      </c>
      <c r="J43" s="7" t="s">
        <v>110</v>
      </c>
      <c r="K43" s="13"/>
      <c r="L43" s="19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9">
        <v>2</v>
      </c>
      <c r="E44" s="13"/>
      <c r="F44" s="13"/>
      <c r="G44" s="13"/>
      <c r="I44" s="10" t="s">
        <v>96</v>
      </c>
      <c r="J44" s="7" t="s">
        <v>110</v>
      </c>
      <c r="K44" s="13"/>
      <c r="L44" s="19">
        <v>2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9">
        <v>2</v>
      </c>
      <c r="E45" s="13"/>
      <c r="F45" s="13"/>
      <c r="G45" s="13"/>
      <c r="I45" s="10" t="s">
        <v>97</v>
      </c>
      <c r="J45" s="7" t="s">
        <v>110</v>
      </c>
      <c r="K45" s="13"/>
      <c r="L45" s="19">
        <v>14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9">
        <v>2</v>
      </c>
      <c r="E46" s="13"/>
      <c r="F46" s="13"/>
      <c r="G46" s="13"/>
      <c r="I46" s="10" t="s">
        <v>100</v>
      </c>
      <c r="J46" s="7" t="s">
        <v>112</v>
      </c>
      <c r="K46" s="13"/>
      <c r="L46" s="19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9">
        <v>1</v>
      </c>
      <c r="E47" s="13"/>
      <c r="F47" s="13"/>
      <c r="G47" s="13"/>
      <c r="I47" s="10" t="s">
        <v>101</v>
      </c>
      <c r="J47" s="7" t="s">
        <v>113</v>
      </c>
      <c r="K47" s="13"/>
      <c r="L47" s="19">
        <v>2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9">
        <v>2</v>
      </c>
      <c r="E48" s="13"/>
      <c r="F48" s="13"/>
      <c r="G48" s="13"/>
      <c r="I48" s="10" t="s">
        <v>102</v>
      </c>
      <c r="J48" s="7" t="s">
        <v>112</v>
      </c>
      <c r="K48" s="13"/>
      <c r="L48" s="19">
        <v>2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9">
        <v>2</v>
      </c>
      <c r="E49" s="13"/>
      <c r="F49" s="13"/>
      <c r="G49" s="13"/>
      <c r="I49" s="10" t="s">
        <v>99</v>
      </c>
      <c r="J49" s="7" t="s">
        <v>112</v>
      </c>
      <c r="K49" s="13"/>
      <c r="L49" s="19">
        <v>2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9">
        <v>1</v>
      </c>
      <c r="E50" s="13"/>
      <c r="F50" s="13"/>
      <c r="G50" s="13"/>
      <c r="I50" s="10" t="s">
        <v>103</v>
      </c>
      <c r="J50" s="7" t="s">
        <v>112</v>
      </c>
      <c r="K50" s="13"/>
      <c r="L50" s="19">
        <v>1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9">
        <v>3</v>
      </c>
      <c r="E51" s="13"/>
      <c r="F51" s="13"/>
      <c r="G51" s="13"/>
      <c r="I51" s="10" t="s">
        <v>105</v>
      </c>
      <c r="J51" s="7" t="s">
        <v>110</v>
      </c>
      <c r="K51" s="13"/>
      <c r="L51" s="19">
        <v>10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9">
        <v>12</v>
      </c>
      <c r="E52" s="13"/>
      <c r="F52" s="13"/>
      <c r="G52" s="13"/>
      <c r="I52" s="10" t="s">
        <v>104</v>
      </c>
      <c r="J52" s="7" t="s">
        <v>113</v>
      </c>
      <c r="K52" s="13"/>
      <c r="L52" s="19">
        <v>2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9">
        <v>3</v>
      </c>
      <c r="E53" s="13"/>
      <c r="F53" s="13"/>
      <c r="G53" s="13"/>
      <c r="I53" s="10" t="s">
        <v>79</v>
      </c>
      <c r="J53" s="7" t="s">
        <v>110</v>
      </c>
      <c r="K53" s="13"/>
      <c r="L53" s="19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9">
        <v>15</v>
      </c>
      <c r="E54" s="13"/>
      <c r="F54" s="13"/>
      <c r="G54" s="13"/>
      <c r="I54" s="10" t="s">
        <v>80</v>
      </c>
      <c r="J54" s="7" t="s">
        <v>110</v>
      </c>
      <c r="K54" s="13"/>
      <c r="L54" s="19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9">
        <v>2</v>
      </c>
      <c r="E55" s="13"/>
      <c r="F55" s="13"/>
      <c r="G55" s="13"/>
      <c r="I55" s="10" t="s">
        <v>106</v>
      </c>
      <c r="J55" s="7" t="s">
        <v>110</v>
      </c>
      <c r="K55" s="13"/>
      <c r="L55" s="19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9">
        <v>2</v>
      </c>
      <c r="E56" s="13"/>
      <c r="F56" s="13"/>
      <c r="G56" s="13"/>
      <c r="I56" s="10" t="s">
        <v>107</v>
      </c>
      <c r="J56" s="7" t="s">
        <v>110</v>
      </c>
      <c r="K56" s="13"/>
      <c r="L56" s="19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9">
        <v>5</v>
      </c>
      <c r="E57" s="13"/>
      <c r="F57" s="13"/>
      <c r="G57" s="13"/>
      <c r="I57" s="10" t="s">
        <v>108</v>
      </c>
      <c r="J57" s="7" t="s">
        <v>110</v>
      </c>
      <c r="K57" s="13"/>
      <c r="L57" s="19">
        <v>2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9">
        <v>2</v>
      </c>
      <c r="E58" s="13"/>
      <c r="F58" s="13"/>
      <c r="G58" s="13"/>
      <c r="I58" s="10" t="s">
        <v>109</v>
      </c>
      <c r="J58" s="7" t="s">
        <v>110</v>
      </c>
      <c r="K58" s="13"/>
      <c r="L58" s="19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9">
        <v>4</v>
      </c>
      <c r="E59" s="13"/>
      <c r="F59" s="13"/>
      <c r="G59" s="13"/>
      <c r="I59" s="10" t="s">
        <v>135</v>
      </c>
      <c r="J59" s="7" t="s">
        <v>110</v>
      </c>
      <c r="K59" s="13"/>
      <c r="L59" s="19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9">
        <v>4</v>
      </c>
      <c r="E60" s="13"/>
      <c r="F60" s="13"/>
      <c r="G60" s="13"/>
    </row>
  </sheetData>
  <sheetProtection algorithmName="SHA-512" hashValue="MOJNAY9VJKbRoLERRhISbNC3XFEuzc7ERwMW7S4IEy+BllpYg2hejgP76C4jDbEW8GGRDUJf+E0CvERR7mhFHA==" saltValue="GYedrZPewlyVQdBr+See7A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&amp;L&amp;"-,Bold"&amp;14NORTH&amp;C&amp;"Times New Roman,Bold"&amp;14DG&amp;&amp;PP&amp;R&amp;"-,Bold"&amp;14SUN for MON - MN&amp;"-,Regular"&amp;8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C0751-0B65-4CB2-AC4B-EC0845106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