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/>
  <xr:revisionPtr revIDLastSave="5244" documentId="13_ncr:1_{48F77BF6-5304-4D60-A20B-E64238DCC37F}" xr6:coauthVersionLast="47" xr6:coauthVersionMax="47" xr10:uidLastSave="{C96831F6-E5B3-4A18-B88D-44645851EA75}"/>
  <bookViews>
    <workbookView xWindow="-120" yWindow="-120" windowWidth="29040" windowHeight="15720" firstSheet="2" activeTab="2" xr2:uid="{00000000-000D-0000-FFFF-FFFF00000000}"/>
  </bookViews>
  <sheets>
    <sheet name="AS PEPSI NEW" sheetId="6" state="hidden" r:id="rId1"/>
    <sheet name="AS BEER 2023" sheetId="9" state="hidden" r:id="rId2"/>
    <sheet name="LIQUOR" sheetId="4" r:id="rId3"/>
    <sheet name="PURCHASING ONLY TAB" sheetId="10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B28" i="4" l="1"/>
  <c r="QB27" i="4"/>
  <c r="QB26" i="4"/>
  <c r="QB25" i="4"/>
  <c r="QB24" i="4"/>
  <c r="QB23" i="4"/>
  <c r="QB22" i="4"/>
  <c r="QB21" i="4"/>
  <c r="QB20" i="4"/>
  <c r="QB19" i="4"/>
  <c r="QB18" i="4"/>
  <c r="QB15" i="4"/>
  <c r="QB14" i="4"/>
  <c r="QB13" i="4"/>
  <c r="QB12" i="4"/>
  <c r="QB11" i="4"/>
  <c r="QB10" i="4"/>
  <c r="QB9" i="4"/>
  <c r="QB8" i="4"/>
  <c r="PX28" i="4" l="1"/>
  <c r="PX27" i="4"/>
  <c r="PX26" i="4"/>
  <c r="PX25" i="4"/>
  <c r="PX24" i="4"/>
  <c r="PX23" i="4"/>
  <c r="PX22" i="4"/>
  <c r="PX21" i="4"/>
  <c r="PX20" i="4"/>
  <c r="PX19" i="4"/>
  <c r="PX18" i="4"/>
  <c r="PX15" i="4"/>
  <c r="PX14" i="4"/>
  <c r="PX13" i="4"/>
  <c r="PX12" i="4"/>
  <c r="PX11" i="4"/>
  <c r="PX10" i="4"/>
  <c r="PX9" i="4"/>
  <c r="PX8" i="4"/>
  <c r="PP21" i="4" l="1"/>
  <c r="PP12" i="4"/>
  <c r="PT28" i="4"/>
  <c r="PT27" i="4"/>
  <c r="PT26" i="4"/>
  <c r="PT25" i="4"/>
  <c r="PT24" i="4"/>
  <c r="PT23" i="4"/>
  <c r="PT22" i="4"/>
  <c r="PT21" i="4"/>
  <c r="PT20" i="4"/>
  <c r="PT19" i="4"/>
  <c r="PT18" i="4"/>
  <c r="PT15" i="4"/>
  <c r="PT14" i="4"/>
  <c r="PT13" i="4"/>
  <c r="PT12" i="4"/>
  <c r="PT11" i="4"/>
  <c r="PT10" i="4"/>
  <c r="PT9" i="4"/>
  <c r="PT8" i="4"/>
  <c r="PP28" i="4" l="1"/>
  <c r="PP27" i="4"/>
  <c r="PP26" i="4"/>
  <c r="PP25" i="4"/>
  <c r="PP24" i="4"/>
  <c r="PP23" i="4"/>
  <c r="PP22" i="4"/>
  <c r="PP20" i="4"/>
  <c r="PP19" i="4"/>
  <c r="PP18" i="4"/>
  <c r="PP15" i="4"/>
  <c r="PP14" i="4"/>
  <c r="PP13" i="4"/>
  <c r="PP11" i="4"/>
  <c r="PP10" i="4"/>
  <c r="PP9" i="4"/>
  <c r="PP8" i="4"/>
  <c r="PL28" i="4" l="1"/>
  <c r="PL27" i="4"/>
  <c r="PL26" i="4"/>
  <c r="PL25" i="4"/>
  <c r="PL24" i="4"/>
  <c r="PL23" i="4"/>
  <c r="PL22" i="4"/>
  <c r="PL21" i="4"/>
  <c r="PL20" i="4"/>
  <c r="PL19" i="4"/>
  <c r="PL18" i="4"/>
  <c r="PL15" i="4"/>
  <c r="PL14" i="4"/>
  <c r="PL13" i="4"/>
  <c r="PL12" i="4"/>
  <c r="PL11" i="4"/>
  <c r="PL10" i="4"/>
  <c r="PL9" i="4"/>
  <c r="PL8" i="4"/>
  <c r="PH28" i="4" l="1"/>
  <c r="PH27" i="4"/>
  <c r="PH26" i="4"/>
  <c r="PH25" i="4"/>
  <c r="PH24" i="4"/>
  <c r="PH23" i="4"/>
  <c r="PH22" i="4"/>
  <c r="PH21" i="4"/>
  <c r="PH20" i="4"/>
  <c r="PH19" i="4"/>
  <c r="PH18" i="4"/>
  <c r="PH15" i="4"/>
  <c r="PH14" i="4"/>
  <c r="PH13" i="4"/>
  <c r="PH12" i="4"/>
  <c r="PH11" i="4"/>
  <c r="PH10" i="4"/>
  <c r="PH9" i="4"/>
  <c r="PH8" i="4"/>
  <c r="PD28" i="4" l="1"/>
  <c r="PD27" i="4"/>
  <c r="PD26" i="4"/>
  <c r="PD25" i="4"/>
  <c r="PD24" i="4"/>
  <c r="PD23" i="4"/>
  <c r="PD22" i="4"/>
  <c r="PD21" i="4"/>
  <c r="PD20" i="4"/>
  <c r="PD19" i="4"/>
  <c r="PD18" i="4"/>
  <c r="PD15" i="4"/>
  <c r="PD14" i="4"/>
  <c r="PD13" i="4"/>
  <c r="PD12" i="4"/>
  <c r="PD11" i="4"/>
  <c r="PD10" i="4"/>
  <c r="PD9" i="4"/>
  <c r="PD8" i="4"/>
  <c r="OZ28" i="4" l="1"/>
  <c r="OZ27" i="4"/>
  <c r="OZ26" i="4"/>
  <c r="OZ25" i="4"/>
  <c r="OZ24" i="4"/>
  <c r="OZ23" i="4"/>
  <c r="OZ22" i="4"/>
  <c r="OZ21" i="4"/>
  <c r="OZ20" i="4"/>
  <c r="OZ19" i="4"/>
  <c r="OZ18" i="4"/>
  <c r="OZ15" i="4"/>
  <c r="OZ14" i="4"/>
  <c r="OZ13" i="4"/>
  <c r="OZ12" i="4"/>
  <c r="OZ11" i="4"/>
  <c r="OZ10" i="4"/>
  <c r="OZ9" i="4"/>
  <c r="OZ8" i="4"/>
  <c r="OV28" i="4" l="1"/>
  <c r="OV27" i="4"/>
  <c r="OV26" i="4"/>
  <c r="OV25" i="4"/>
  <c r="OV24" i="4"/>
  <c r="OV23" i="4"/>
  <c r="OV22" i="4"/>
  <c r="OV21" i="4"/>
  <c r="OV20" i="4"/>
  <c r="OV19" i="4"/>
  <c r="OV18" i="4"/>
  <c r="OV15" i="4"/>
  <c r="OV14" i="4"/>
  <c r="OV13" i="4"/>
  <c r="OV12" i="4"/>
  <c r="OV11" i="4"/>
  <c r="OV10" i="4"/>
  <c r="OV9" i="4"/>
  <c r="OV8" i="4"/>
  <c r="OR28" i="4"/>
  <c r="OR27" i="4"/>
  <c r="OR26" i="4"/>
  <c r="OR25" i="4"/>
  <c r="OR24" i="4"/>
  <c r="OR23" i="4"/>
  <c r="OR22" i="4"/>
  <c r="OR21" i="4"/>
  <c r="OR20" i="4"/>
  <c r="OR19" i="4"/>
  <c r="OR18" i="4"/>
  <c r="OR15" i="4"/>
  <c r="OR14" i="4"/>
  <c r="OR13" i="4"/>
  <c r="OR12" i="4"/>
  <c r="OR11" i="4"/>
  <c r="OR10" i="4"/>
  <c r="OR9" i="4"/>
  <c r="OR8" i="4"/>
  <c r="ON28" i="4" l="1"/>
  <c r="ON27" i="4"/>
  <c r="ON26" i="4"/>
  <c r="ON25" i="4"/>
  <c r="ON24" i="4"/>
  <c r="ON23" i="4"/>
  <c r="ON22" i="4"/>
  <c r="ON21" i="4"/>
  <c r="ON20" i="4"/>
  <c r="ON19" i="4"/>
  <c r="ON18" i="4"/>
  <c r="ON15" i="4"/>
  <c r="ON14" i="4"/>
  <c r="ON13" i="4"/>
  <c r="ON12" i="4"/>
  <c r="ON11" i="4"/>
  <c r="ON10" i="4"/>
  <c r="ON9" i="4"/>
  <c r="ON8" i="4"/>
  <c r="OJ28" i="4" l="1"/>
  <c r="OJ27" i="4"/>
  <c r="OJ26" i="4"/>
  <c r="OJ25" i="4"/>
  <c r="OJ24" i="4"/>
  <c r="OJ23" i="4"/>
  <c r="OJ22" i="4"/>
  <c r="OJ21" i="4"/>
  <c r="OJ20" i="4"/>
  <c r="OJ19" i="4"/>
  <c r="OJ18" i="4"/>
  <c r="OJ15" i="4"/>
  <c r="OJ14" i="4"/>
  <c r="OJ13" i="4"/>
  <c r="OJ12" i="4"/>
  <c r="OJ11" i="4"/>
  <c r="OJ10" i="4"/>
  <c r="OJ9" i="4"/>
  <c r="OJ8" i="4"/>
  <c r="OF28" i="4" l="1"/>
  <c r="OF27" i="4"/>
  <c r="OF26" i="4"/>
  <c r="OF25" i="4"/>
  <c r="OF24" i="4"/>
  <c r="OF23" i="4"/>
  <c r="OF22" i="4"/>
  <c r="OF21" i="4"/>
  <c r="OF20" i="4"/>
  <c r="OF19" i="4"/>
  <c r="OF18" i="4"/>
  <c r="OF15" i="4"/>
  <c r="OF14" i="4"/>
  <c r="OF13" i="4"/>
  <c r="OF12" i="4"/>
  <c r="OF11" i="4"/>
  <c r="OF10" i="4"/>
  <c r="OF9" i="4"/>
  <c r="OF8" i="4"/>
  <c r="OB28" i="4" l="1"/>
  <c r="OB27" i="4"/>
  <c r="OB26" i="4"/>
  <c r="OB25" i="4"/>
  <c r="OB24" i="4"/>
  <c r="OB23" i="4"/>
  <c r="OB22" i="4"/>
  <c r="OB21" i="4"/>
  <c r="OB20" i="4"/>
  <c r="OB19" i="4"/>
  <c r="OB18" i="4"/>
  <c r="OB15" i="4"/>
  <c r="OB14" i="4"/>
  <c r="OB13" i="4"/>
  <c r="OB12" i="4"/>
  <c r="OB11" i="4"/>
  <c r="OB10" i="4"/>
  <c r="OB9" i="4"/>
  <c r="OB8" i="4"/>
  <c r="NX28" i="4" l="1"/>
  <c r="NX27" i="4"/>
  <c r="NX26" i="4"/>
  <c r="NX25" i="4"/>
  <c r="NX24" i="4"/>
  <c r="NX23" i="4"/>
  <c r="NX22" i="4"/>
  <c r="NX21" i="4"/>
  <c r="NX20" i="4"/>
  <c r="NX19" i="4"/>
  <c r="NX18" i="4"/>
  <c r="NX15" i="4"/>
  <c r="NX14" i="4"/>
  <c r="NX13" i="4"/>
  <c r="NX12" i="4"/>
  <c r="NX11" i="4"/>
  <c r="NX10" i="4"/>
  <c r="NX9" i="4"/>
  <c r="NX8" i="4"/>
  <c r="NT28" i="4" l="1"/>
  <c r="NT27" i="4"/>
  <c r="NT26" i="4"/>
  <c r="NT25" i="4"/>
  <c r="NT24" i="4"/>
  <c r="NT23" i="4"/>
  <c r="NT22" i="4"/>
  <c r="NT21" i="4"/>
  <c r="NT20" i="4"/>
  <c r="NT19" i="4"/>
  <c r="NT18" i="4"/>
  <c r="NT15" i="4"/>
  <c r="NT14" i="4"/>
  <c r="NT13" i="4"/>
  <c r="NT12" i="4"/>
  <c r="NT11" i="4"/>
  <c r="NT10" i="4"/>
  <c r="NT9" i="4"/>
  <c r="NT8" i="4"/>
  <c r="NP28" i="4" l="1"/>
  <c r="NP27" i="4"/>
  <c r="NP26" i="4"/>
  <c r="NP25" i="4"/>
  <c r="NP24" i="4"/>
  <c r="NP23" i="4"/>
  <c r="NP22" i="4"/>
  <c r="NP21" i="4"/>
  <c r="NP20" i="4"/>
  <c r="NP19" i="4"/>
  <c r="NP18" i="4"/>
  <c r="NP15" i="4"/>
  <c r="NP14" i="4"/>
  <c r="NP13" i="4"/>
  <c r="NP12" i="4"/>
  <c r="NP11" i="4"/>
  <c r="NP10" i="4"/>
  <c r="NP9" i="4"/>
  <c r="NP8" i="4"/>
  <c r="NL28" i="4" l="1"/>
  <c r="NL27" i="4"/>
  <c r="NL26" i="4"/>
  <c r="NL25" i="4"/>
  <c r="NL24" i="4"/>
  <c r="NL23" i="4"/>
  <c r="NL22" i="4"/>
  <c r="NL21" i="4"/>
  <c r="NL20" i="4"/>
  <c r="NL19" i="4"/>
  <c r="NL18" i="4"/>
  <c r="NL15" i="4"/>
  <c r="NL14" i="4"/>
  <c r="NL13" i="4"/>
  <c r="NL12" i="4"/>
  <c r="NL11" i="4"/>
  <c r="NL10" i="4"/>
  <c r="NL9" i="4"/>
  <c r="NL8" i="4"/>
  <c r="NH28" i="4" l="1"/>
  <c r="NH27" i="4"/>
  <c r="NH26" i="4"/>
  <c r="NH25" i="4"/>
  <c r="NH24" i="4"/>
  <c r="NH23" i="4"/>
  <c r="NH22" i="4"/>
  <c r="NH21" i="4"/>
  <c r="NH20" i="4"/>
  <c r="NH19" i="4"/>
  <c r="NH18" i="4"/>
  <c r="NH15" i="4"/>
  <c r="NH14" i="4"/>
  <c r="NH13" i="4"/>
  <c r="NH12" i="4"/>
  <c r="NH11" i="4"/>
  <c r="NH10" i="4"/>
  <c r="NH9" i="4"/>
  <c r="NH8" i="4"/>
  <c r="ND28" i="4" l="1"/>
  <c r="ND27" i="4"/>
  <c r="ND26" i="4"/>
  <c r="ND25" i="4"/>
  <c r="ND24" i="4"/>
  <c r="ND23" i="4"/>
  <c r="ND22" i="4"/>
  <c r="ND21" i="4"/>
  <c r="ND20" i="4"/>
  <c r="ND19" i="4"/>
  <c r="ND18" i="4"/>
  <c r="ND15" i="4"/>
  <c r="ND14" i="4"/>
  <c r="ND13" i="4"/>
  <c r="ND12" i="4"/>
  <c r="ND11" i="4"/>
  <c r="ND10" i="4"/>
  <c r="ND9" i="4"/>
  <c r="ND8" i="4"/>
  <c r="MZ28" i="4" l="1"/>
  <c r="MZ27" i="4"/>
  <c r="MZ26" i="4"/>
  <c r="MZ25" i="4"/>
  <c r="MZ24" i="4"/>
  <c r="MZ23" i="4"/>
  <c r="MZ22" i="4"/>
  <c r="MZ21" i="4"/>
  <c r="MZ20" i="4"/>
  <c r="MZ19" i="4"/>
  <c r="MZ18" i="4"/>
  <c r="MZ15" i="4"/>
  <c r="MZ14" i="4"/>
  <c r="MZ13" i="4"/>
  <c r="MZ12" i="4"/>
  <c r="MZ11" i="4"/>
  <c r="MZ10" i="4"/>
  <c r="MZ9" i="4"/>
  <c r="MZ8" i="4"/>
  <c r="H19" i="10"/>
  <c r="H20" i="10"/>
  <c r="H21" i="10"/>
  <c r="H22" i="10"/>
  <c r="H23" i="10"/>
  <c r="H24" i="10"/>
  <c r="H25" i="10"/>
  <c r="H26" i="10"/>
  <c r="H27" i="10"/>
  <c r="H28" i="10"/>
  <c r="MV18" i="4" l="1"/>
  <c r="MV19" i="4"/>
  <c r="MV28" i="4" l="1"/>
  <c r="MV27" i="4"/>
  <c r="MV26" i="4"/>
  <c r="MV25" i="4"/>
  <c r="MV24" i="4"/>
  <c r="MV23" i="4"/>
  <c r="MV22" i="4"/>
  <c r="MV21" i="4"/>
  <c r="MV20" i="4"/>
  <c r="MV15" i="4"/>
  <c r="MV14" i="4"/>
  <c r="MV13" i="4"/>
  <c r="MV12" i="4"/>
  <c r="MV11" i="4"/>
  <c r="MV10" i="4"/>
  <c r="MV9" i="4"/>
  <c r="MV8" i="4"/>
  <c r="MR28" i="4" l="1"/>
  <c r="MR27" i="4"/>
  <c r="MR26" i="4"/>
  <c r="MR25" i="4"/>
  <c r="MR24" i="4"/>
  <c r="MR23" i="4"/>
  <c r="MR22" i="4"/>
  <c r="MR21" i="4"/>
  <c r="MR20" i="4"/>
  <c r="MR15" i="4"/>
  <c r="MR14" i="4"/>
  <c r="MR13" i="4"/>
  <c r="MR12" i="4"/>
  <c r="MR11" i="4"/>
  <c r="MR10" i="4"/>
  <c r="MR9" i="4"/>
  <c r="MR8" i="4"/>
  <c r="MN28" i="4" l="1"/>
  <c r="MN27" i="4"/>
  <c r="MN26" i="4"/>
  <c r="MN25" i="4"/>
  <c r="MN24" i="4"/>
  <c r="MN23" i="4"/>
  <c r="MN22" i="4"/>
  <c r="MN21" i="4"/>
  <c r="MN20" i="4"/>
  <c r="MN15" i="4"/>
  <c r="MN14" i="4"/>
  <c r="MN13" i="4"/>
  <c r="MN12" i="4"/>
  <c r="MN11" i="4"/>
  <c r="MN10" i="4"/>
  <c r="MN9" i="4"/>
  <c r="MN8" i="4"/>
  <c r="MJ28" i="4" l="1"/>
  <c r="MJ27" i="4"/>
  <c r="MJ26" i="4"/>
  <c r="MJ25" i="4"/>
  <c r="MJ24" i="4"/>
  <c r="MJ23" i="4"/>
  <c r="MJ22" i="4"/>
  <c r="MJ21" i="4"/>
  <c r="MJ20" i="4"/>
  <c r="MJ15" i="4"/>
  <c r="MJ14" i="4"/>
  <c r="MJ13" i="4"/>
  <c r="MJ12" i="4"/>
  <c r="MJ11" i="4"/>
  <c r="MJ10" i="4"/>
  <c r="MJ9" i="4"/>
  <c r="MJ8" i="4"/>
  <c r="MF28" i="4"/>
  <c r="MF27" i="4"/>
  <c r="MF26" i="4"/>
  <c r="MF25" i="4"/>
  <c r="MF24" i="4"/>
  <c r="MF23" i="4"/>
  <c r="MF22" i="4"/>
  <c r="MF21" i="4"/>
  <c r="MF20" i="4"/>
  <c r="MF15" i="4"/>
  <c r="MF14" i="4"/>
  <c r="MF13" i="4"/>
  <c r="MF12" i="4"/>
  <c r="MF11" i="4"/>
  <c r="MF10" i="4"/>
  <c r="MF9" i="4"/>
  <c r="MF8" i="4"/>
  <c r="MB28" i="4" l="1"/>
  <c r="MB27" i="4"/>
  <c r="MB26" i="4"/>
  <c r="MB25" i="4"/>
  <c r="MB24" i="4"/>
  <c r="MB23" i="4"/>
  <c r="MB22" i="4"/>
  <c r="MB21" i="4"/>
  <c r="MB20" i="4"/>
  <c r="MB15" i="4"/>
  <c r="MB14" i="4"/>
  <c r="MB13" i="4"/>
  <c r="MB12" i="4"/>
  <c r="MB11" i="4"/>
  <c r="MB10" i="4"/>
  <c r="MB9" i="4"/>
  <c r="MB8" i="4"/>
  <c r="LX28" i="4" l="1"/>
  <c r="LX27" i="4"/>
  <c r="LX26" i="4"/>
  <c r="LX25" i="4"/>
  <c r="LX24" i="4"/>
  <c r="LX23" i="4"/>
  <c r="LX22" i="4"/>
  <c r="LX21" i="4"/>
  <c r="LX20" i="4"/>
  <c r="LX15" i="4"/>
  <c r="LX14" i="4"/>
  <c r="LX13" i="4"/>
  <c r="LX12" i="4"/>
  <c r="LX11" i="4"/>
  <c r="LX10" i="4"/>
  <c r="LX9" i="4"/>
  <c r="LX8" i="4"/>
  <c r="LT28" i="4" l="1"/>
  <c r="LT27" i="4"/>
  <c r="LT26" i="4"/>
  <c r="LT25" i="4"/>
  <c r="LT24" i="4"/>
  <c r="LT23" i="4"/>
  <c r="LT22" i="4"/>
  <c r="LT21" i="4"/>
  <c r="LT20" i="4"/>
  <c r="LT15" i="4"/>
  <c r="LT14" i="4"/>
  <c r="LT13" i="4"/>
  <c r="LT12" i="4"/>
  <c r="LT11" i="4"/>
  <c r="LT10" i="4"/>
  <c r="LT9" i="4"/>
  <c r="LT8" i="4"/>
  <c r="LP28" i="4" l="1"/>
  <c r="LP27" i="4"/>
  <c r="LP26" i="4"/>
  <c r="LP25" i="4"/>
  <c r="LP24" i="4"/>
  <c r="LP23" i="4"/>
  <c r="LP22" i="4"/>
  <c r="LP21" i="4"/>
  <c r="LP20" i="4"/>
  <c r="LP15" i="4"/>
  <c r="LP14" i="4"/>
  <c r="LP13" i="4"/>
  <c r="LP12" i="4"/>
  <c r="LP11" i="4"/>
  <c r="LP10" i="4"/>
  <c r="LP9" i="4"/>
  <c r="LP8" i="4"/>
  <c r="LL28" i="4" l="1"/>
  <c r="LL27" i="4"/>
  <c r="LL26" i="4"/>
  <c r="LL25" i="4"/>
  <c r="LL24" i="4"/>
  <c r="LL23" i="4"/>
  <c r="LL22" i="4"/>
  <c r="LL21" i="4"/>
  <c r="LL20" i="4"/>
  <c r="LL15" i="4"/>
  <c r="LL14" i="4"/>
  <c r="LL13" i="4"/>
  <c r="LL12" i="4"/>
  <c r="LL11" i="4"/>
  <c r="LL10" i="4"/>
  <c r="LL9" i="4"/>
  <c r="LL8" i="4"/>
  <c r="LH28" i="4" l="1"/>
  <c r="LH27" i="4"/>
  <c r="LH26" i="4"/>
  <c r="LH25" i="4"/>
  <c r="LH24" i="4"/>
  <c r="LH23" i="4"/>
  <c r="LH22" i="4"/>
  <c r="LH21" i="4"/>
  <c r="LH20" i="4"/>
  <c r="LH15" i="4"/>
  <c r="LH14" i="4"/>
  <c r="LH13" i="4"/>
  <c r="LH12" i="4"/>
  <c r="LH11" i="4"/>
  <c r="LH10" i="4"/>
  <c r="LH9" i="4"/>
  <c r="LH8" i="4"/>
  <c r="LD28" i="4" l="1"/>
  <c r="LD27" i="4"/>
  <c r="LD26" i="4"/>
  <c r="LD25" i="4"/>
  <c r="LD24" i="4"/>
  <c r="LD23" i="4"/>
  <c r="LD22" i="4"/>
  <c r="LD21" i="4"/>
  <c r="LD20" i="4"/>
  <c r="LD15" i="4"/>
  <c r="LD14" i="4"/>
  <c r="LD13" i="4"/>
  <c r="LD12" i="4"/>
  <c r="LD11" i="4"/>
  <c r="LD10" i="4"/>
  <c r="LD9" i="4"/>
  <c r="LD8" i="4"/>
  <c r="KZ28" i="4"/>
  <c r="KZ27" i="4"/>
  <c r="KZ26" i="4"/>
  <c r="KZ25" i="4"/>
  <c r="KZ24" i="4"/>
  <c r="KZ23" i="4"/>
  <c r="KZ22" i="4"/>
  <c r="KZ21" i="4"/>
  <c r="KZ20" i="4"/>
  <c r="KZ15" i="4"/>
  <c r="KZ14" i="4"/>
  <c r="KZ13" i="4"/>
  <c r="KZ12" i="4"/>
  <c r="KZ11" i="4"/>
  <c r="KZ10" i="4"/>
  <c r="KZ9" i="4"/>
  <c r="KZ8" i="4"/>
  <c r="KV28" i="4" l="1"/>
  <c r="KV27" i="4"/>
  <c r="KV26" i="4"/>
  <c r="KV25" i="4"/>
  <c r="KV24" i="4"/>
  <c r="KV23" i="4"/>
  <c r="KV22" i="4"/>
  <c r="KV21" i="4"/>
  <c r="KV20" i="4"/>
  <c r="KV15" i="4"/>
  <c r="KV14" i="4"/>
  <c r="KV13" i="4"/>
  <c r="KV12" i="4"/>
  <c r="KV11" i="4"/>
  <c r="KV10" i="4"/>
  <c r="KV9" i="4"/>
  <c r="KV8" i="4"/>
  <c r="KR28" i="4" l="1"/>
  <c r="KR27" i="4"/>
  <c r="KR26" i="4"/>
  <c r="KR25" i="4"/>
  <c r="KR24" i="4"/>
  <c r="KR23" i="4"/>
  <c r="KR22" i="4"/>
  <c r="KR21" i="4"/>
  <c r="KR20" i="4"/>
  <c r="KR15" i="4"/>
  <c r="KR14" i="4"/>
  <c r="KR13" i="4"/>
  <c r="KR12" i="4"/>
  <c r="KR11" i="4"/>
  <c r="KR10" i="4"/>
  <c r="KR9" i="4"/>
  <c r="KR8" i="4"/>
  <c r="KN28" i="4"/>
  <c r="KN27" i="4"/>
  <c r="KN26" i="4"/>
  <c r="KN25" i="4"/>
  <c r="KN24" i="4"/>
  <c r="KN23" i="4"/>
  <c r="KN22" i="4"/>
  <c r="KN21" i="4"/>
  <c r="KN20" i="4"/>
  <c r="KN15" i="4"/>
  <c r="KN14" i="4"/>
  <c r="KN13" i="4"/>
  <c r="KN12" i="4"/>
  <c r="KN11" i="4"/>
  <c r="KN10" i="4"/>
  <c r="KN9" i="4"/>
  <c r="KN8" i="4"/>
  <c r="KJ28" i="4" l="1"/>
  <c r="KJ27" i="4"/>
  <c r="KJ26" i="4"/>
  <c r="KJ25" i="4"/>
  <c r="KJ24" i="4"/>
  <c r="KJ23" i="4"/>
  <c r="KJ22" i="4"/>
  <c r="KJ21" i="4"/>
  <c r="KJ20" i="4"/>
  <c r="KJ15" i="4"/>
  <c r="KJ14" i="4"/>
  <c r="KJ13" i="4"/>
  <c r="KJ12" i="4"/>
  <c r="KJ11" i="4"/>
  <c r="KJ10" i="4"/>
  <c r="KJ9" i="4"/>
  <c r="KJ8" i="4"/>
  <c r="KF28" i="4" l="1"/>
  <c r="KF27" i="4"/>
  <c r="KF26" i="4"/>
  <c r="KF25" i="4"/>
  <c r="KF24" i="4"/>
  <c r="KF23" i="4"/>
  <c r="KF22" i="4"/>
  <c r="KF21" i="4"/>
  <c r="KF20" i="4"/>
  <c r="KF15" i="4"/>
  <c r="KF14" i="4"/>
  <c r="KF13" i="4"/>
  <c r="KF12" i="4"/>
  <c r="KF11" i="4"/>
  <c r="KF10" i="4"/>
  <c r="KF9" i="4"/>
  <c r="KF8" i="4"/>
  <c r="KB28" i="4" l="1"/>
  <c r="KB27" i="4"/>
  <c r="KB26" i="4"/>
  <c r="KB25" i="4"/>
  <c r="KB24" i="4"/>
  <c r="KB23" i="4"/>
  <c r="KB22" i="4"/>
  <c r="KB21" i="4"/>
  <c r="KB20" i="4"/>
  <c r="KB15" i="4"/>
  <c r="KB14" i="4"/>
  <c r="KB13" i="4"/>
  <c r="KB12" i="4"/>
  <c r="KB11" i="4"/>
  <c r="KB10" i="4"/>
  <c r="KB9" i="4"/>
  <c r="KB8" i="4"/>
  <c r="JX28" i="4" l="1"/>
  <c r="JX27" i="4"/>
  <c r="JX26" i="4"/>
  <c r="JX25" i="4"/>
  <c r="JX24" i="4"/>
  <c r="JX23" i="4"/>
  <c r="JX22" i="4"/>
  <c r="JX21" i="4"/>
  <c r="JX20" i="4"/>
  <c r="JX15" i="4"/>
  <c r="JX14" i="4"/>
  <c r="JX13" i="4"/>
  <c r="JX12" i="4"/>
  <c r="JX11" i="4"/>
  <c r="JX10" i="4"/>
  <c r="JX9" i="4"/>
  <c r="JX8" i="4"/>
  <c r="JT28" i="4" l="1"/>
  <c r="JT27" i="4"/>
  <c r="JT26" i="4"/>
  <c r="JT25" i="4"/>
  <c r="JT24" i="4"/>
  <c r="JT23" i="4"/>
  <c r="JT22" i="4"/>
  <c r="JT21" i="4"/>
  <c r="JT20" i="4"/>
  <c r="JT15" i="4"/>
  <c r="JT14" i="4"/>
  <c r="JT13" i="4"/>
  <c r="JT12" i="4"/>
  <c r="JT11" i="4"/>
  <c r="JT10" i="4"/>
  <c r="JT9" i="4"/>
  <c r="JT8" i="4"/>
  <c r="JP28" i="4" l="1"/>
  <c r="JP27" i="4"/>
  <c r="JP26" i="4"/>
  <c r="JP25" i="4"/>
  <c r="JP24" i="4"/>
  <c r="JP23" i="4"/>
  <c r="JP22" i="4"/>
  <c r="JP21" i="4"/>
  <c r="JP20" i="4"/>
  <c r="JP15" i="4"/>
  <c r="JP14" i="4"/>
  <c r="JP13" i="4"/>
  <c r="JP12" i="4"/>
  <c r="JP11" i="4"/>
  <c r="JP10" i="4"/>
  <c r="JP9" i="4"/>
  <c r="JP8" i="4"/>
  <c r="JL28" i="4" l="1"/>
  <c r="JL27" i="4"/>
  <c r="JL26" i="4"/>
  <c r="JL25" i="4"/>
  <c r="JL24" i="4"/>
  <c r="JL23" i="4"/>
  <c r="JL22" i="4"/>
  <c r="JL21" i="4"/>
  <c r="JL20" i="4"/>
  <c r="JL15" i="4"/>
  <c r="JL14" i="4"/>
  <c r="JL13" i="4"/>
  <c r="JL12" i="4"/>
  <c r="JL11" i="4"/>
  <c r="JL10" i="4"/>
  <c r="JL9" i="4"/>
  <c r="JL8" i="4"/>
  <c r="JH28" i="4" l="1"/>
  <c r="JH27" i="4"/>
  <c r="JH26" i="4"/>
  <c r="JH25" i="4"/>
  <c r="JH24" i="4"/>
  <c r="JH23" i="4"/>
  <c r="JH22" i="4"/>
  <c r="JH21" i="4"/>
  <c r="JH20" i="4"/>
  <c r="JH15" i="4"/>
  <c r="JH14" i="4"/>
  <c r="JH13" i="4"/>
  <c r="JH12" i="4"/>
  <c r="JH11" i="4"/>
  <c r="JH10" i="4"/>
  <c r="JH9" i="4"/>
  <c r="JH8" i="4"/>
  <c r="JD28" i="4" l="1"/>
  <c r="JD27" i="4"/>
  <c r="JD26" i="4"/>
  <c r="JD25" i="4"/>
  <c r="JD24" i="4"/>
  <c r="JD23" i="4"/>
  <c r="JD22" i="4"/>
  <c r="JD21" i="4"/>
  <c r="JD20" i="4"/>
  <c r="JD15" i="4"/>
  <c r="JD14" i="4"/>
  <c r="JD13" i="4"/>
  <c r="JD12" i="4"/>
  <c r="JD11" i="4"/>
  <c r="JD10" i="4"/>
  <c r="JD9" i="4"/>
  <c r="JD8" i="4"/>
  <c r="IZ28" i="4" l="1"/>
  <c r="IZ27" i="4"/>
  <c r="IZ26" i="4"/>
  <c r="IZ25" i="4"/>
  <c r="IZ24" i="4"/>
  <c r="IZ23" i="4"/>
  <c r="IZ22" i="4"/>
  <c r="IZ21" i="4"/>
  <c r="IZ20" i="4"/>
  <c r="IZ15" i="4"/>
  <c r="IZ14" i="4"/>
  <c r="IZ13" i="4"/>
  <c r="IZ12" i="4"/>
  <c r="IZ11" i="4"/>
  <c r="IZ10" i="4"/>
  <c r="IZ9" i="4"/>
  <c r="IZ8" i="4"/>
  <c r="IV28" i="4" l="1"/>
  <c r="IV27" i="4"/>
  <c r="IV26" i="4"/>
  <c r="IV25" i="4"/>
  <c r="IV24" i="4"/>
  <c r="IV23" i="4"/>
  <c r="IV22" i="4"/>
  <c r="IV21" i="4"/>
  <c r="IV20" i="4"/>
  <c r="IV15" i="4"/>
  <c r="IV14" i="4"/>
  <c r="IV13" i="4"/>
  <c r="IV12" i="4"/>
  <c r="IV11" i="4"/>
  <c r="IV10" i="4"/>
  <c r="IV9" i="4"/>
  <c r="IV8" i="4"/>
  <c r="IR28" i="4" l="1"/>
  <c r="IR27" i="4"/>
  <c r="IR26" i="4"/>
  <c r="IR25" i="4"/>
  <c r="IR24" i="4"/>
  <c r="IR23" i="4"/>
  <c r="IR22" i="4"/>
  <c r="IR21" i="4"/>
  <c r="IR20" i="4"/>
  <c r="IR15" i="4"/>
  <c r="IR14" i="4"/>
  <c r="IR13" i="4"/>
  <c r="IR12" i="4"/>
  <c r="IR11" i="4"/>
  <c r="IR10" i="4"/>
  <c r="IR9" i="4"/>
  <c r="IR8" i="4"/>
  <c r="IN28" i="4" l="1"/>
  <c r="IN27" i="4"/>
  <c r="IN26" i="4"/>
  <c r="IN25" i="4"/>
  <c r="IN24" i="4"/>
  <c r="IN23" i="4"/>
  <c r="IN22" i="4"/>
  <c r="IN21" i="4"/>
  <c r="IN20" i="4"/>
  <c r="IN15" i="4"/>
  <c r="IN14" i="4"/>
  <c r="IN13" i="4"/>
  <c r="IN12" i="4"/>
  <c r="IN11" i="4"/>
  <c r="IN10" i="4"/>
  <c r="IN9" i="4"/>
  <c r="IN8" i="4"/>
  <c r="H18" i="10" l="1"/>
  <c r="H15" i="10"/>
  <c r="H14" i="10"/>
  <c r="H13" i="10"/>
  <c r="H12" i="10"/>
  <c r="H11" i="10"/>
  <c r="H10" i="10"/>
  <c r="H9" i="10"/>
  <c r="H8" i="10"/>
  <c r="IJ28" i="4" l="1"/>
  <c r="IJ27" i="4"/>
  <c r="IJ26" i="4"/>
  <c r="IJ25" i="4"/>
  <c r="IJ24" i="4"/>
  <c r="IJ23" i="4"/>
  <c r="IJ22" i="4"/>
  <c r="IJ21" i="4"/>
  <c r="IJ20" i="4"/>
  <c r="IJ15" i="4"/>
  <c r="IJ14" i="4"/>
  <c r="IJ13" i="4"/>
  <c r="IJ12" i="4"/>
  <c r="IJ11" i="4"/>
  <c r="IJ10" i="4"/>
  <c r="IJ9" i="4"/>
  <c r="IJ8" i="4"/>
  <c r="IF21" i="4" l="1"/>
  <c r="IF22" i="4"/>
  <c r="IF23" i="4"/>
  <c r="IF24" i="4"/>
  <c r="IF25" i="4"/>
  <c r="IF26" i="4"/>
  <c r="IF27" i="4"/>
  <c r="IF28" i="4"/>
  <c r="IB21" i="4"/>
  <c r="IB22" i="4"/>
  <c r="IB23" i="4"/>
  <c r="IB24" i="4"/>
  <c r="IB25" i="4"/>
  <c r="IB26" i="4"/>
  <c r="IB27" i="4"/>
  <c r="IB28" i="4"/>
  <c r="IF20" i="4"/>
  <c r="IB20" i="4"/>
  <c r="IF9" i="4"/>
  <c r="IF10" i="4"/>
  <c r="IF11" i="4"/>
  <c r="IF12" i="4"/>
  <c r="IF13" i="4"/>
  <c r="IF14" i="4"/>
  <c r="IF15" i="4"/>
  <c r="IF8" i="4"/>
  <c r="IB9" i="4"/>
  <c r="IB10" i="4"/>
  <c r="IB11" i="4"/>
  <c r="IB12" i="4"/>
  <c r="IB13" i="4"/>
  <c r="IB14" i="4"/>
  <c r="IB15" i="4"/>
  <c r="IB8" i="4"/>
  <c r="HX28" i="4" l="1"/>
  <c r="HX27" i="4"/>
  <c r="HX26" i="4"/>
  <c r="HX25" i="4"/>
  <c r="HX24" i="4"/>
  <c r="HX23" i="4"/>
  <c r="HX22" i="4"/>
  <c r="HX21" i="4"/>
  <c r="HX20" i="4"/>
  <c r="HX15" i="4"/>
  <c r="HX14" i="4"/>
  <c r="HX13" i="4"/>
  <c r="HX12" i="4"/>
  <c r="HX11" i="4"/>
  <c r="HX10" i="4"/>
  <c r="HX9" i="4"/>
  <c r="HX8" i="4"/>
  <c r="HT28" i="4" l="1"/>
  <c r="HT27" i="4"/>
  <c r="HT26" i="4"/>
  <c r="HT25" i="4"/>
  <c r="HT24" i="4"/>
  <c r="HT23" i="4"/>
  <c r="HT22" i="4"/>
  <c r="HT21" i="4"/>
  <c r="HT20" i="4"/>
  <c r="HT15" i="4"/>
  <c r="HT14" i="4"/>
  <c r="HT13" i="4"/>
  <c r="HT12" i="4"/>
  <c r="HT11" i="4"/>
  <c r="HT10" i="4"/>
  <c r="HT9" i="4"/>
  <c r="HT8" i="4"/>
  <c r="HP28" i="4" l="1"/>
  <c r="HP27" i="4"/>
  <c r="HP26" i="4"/>
  <c r="HP25" i="4"/>
  <c r="HP24" i="4"/>
  <c r="HP23" i="4"/>
  <c r="HP22" i="4"/>
  <c r="HP21" i="4"/>
  <c r="HP20" i="4"/>
  <c r="HP15" i="4"/>
  <c r="HP14" i="4"/>
  <c r="HP13" i="4"/>
  <c r="HP12" i="4"/>
  <c r="HP11" i="4"/>
  <c r="HP10" i="4"/>
  <c r="HP9" i="4"/>
  <c r="HP8" i="4"/>
  <c r="HL28" i="4" l="1"/>
  <c r="HL27" i="4"/>
  <c r="HL26" i="4"/>
  <c r="HL25" i="4"/>
  <c r="HL24" i="4"/>
  <c r="HL23" i="4"/>
  <c r="HL22" i="4"/>
  <c r="HL21" i="4"/>
  <c r="HL20" i="4"/>
  <c r="HL15" i="4"/>
  <c r="HL14" i="4"/>
  <c r="HL13" i="4"/>
  <c r="HL12" i="4"/>
  <c r="HL11" i="4"/>
  <c r="HL10" i="4"/>
  <c r="HL9" i="4"/>
  <c r="HL8" i="4"/>
  <c r="HH28" i="4" l="1"/>
  <c r="HH27" i="4"/>
  <c r="HH26" i="4"/>
  <c r="HH25" i="4"/>
  <c r="HH24" i="4"/>
  <c r="HH23" i="4"/>
  <c r="HH22" i="4"/>
  <c r="HH21" i="4"/>
  <c r="HH20" i="4"/>
  <c r="HH15" i="4"/>
  <c r="HH14" i="4"/>
  <c r="HH13" i="4"/>
  <c r="HH12" i="4"/>
  <c r="HH11" i="4"/>
  <c r="HH10" i="4"/>
  <c r="HH9" i="4"/>
  <c r="HH8" i="4"/>
  <c r="HD28" i="4" l="1"/>
  <c r="HD27" i="4"/>
  <c r="HD26" i="4"/>
  <c r="HD25" i="4"/>
  <c r="HD24" i="4"/>
  <c r="HD23" i="4"/>
  <c r="HD22" i="4"/>
  <c r="HD21" i="4"/>
  <c r="HD20" i="4"/>
  <c r="HD15" i="4"/>
  <c r="HD14" i="4"/>
  <c r="HD13" i="4"/>
  <c r="HD12" i="4"/>
  <c r="HD11" i="4"/>
  <c r="HD10" i="4"/>
  <c r="HD9" i="4"/>
  <c r="HD8" i="4"/>
  <c r="GZ28" i="4" l="1"/>
  <c r="GZ27" i="4"/>
  <c r="GZ26" i="4"/>
  <c r="GZ25" i="4"/>
  <c r="GZ24" i="4"/>
  <c r="GZ23" i="4"/>
  <c r="GZ22" i="4"/>
  <c r="GZ21" i="4"/>
  <c r="GZ20" i="4"/>
  <c r="GZ15" i="4"/>
  <c r="GZ14" i="4"/>
  <c r="GZ13" i="4"/>
  <c r="GZ12" i="4"/>
  <c r="GZ11" i="4"/>
  <c r="GZ10" i="4"/>
  <c r="GZ9" i="4"/>
  <c r="GZ8" i="4"/>
  <c r="GV28" i="4" l="1"/>
  <c r="GV27" i="4"/>
  <c r="GV26" i="4"/>
  <c r="GV25" i="4"/>
  <c r="GV24" i="4"/>
  <c r="GV23" i="4"/>
  <c r="GV22" i="4"/>
  <c r="GV21" i="4"/>
  <c r="GV20" i="4"/>
  <c r="GV15" i="4"/>
  <c r="GV14" i="4"/>
  <c r="GV13" i="4"/>
  <c r="GV12" i="4"/>
  <c r="GV11" i="4"/>
  <c r="GV10" i="4"/>
  <c r="GV9" i="4"/>
  <c r="GV8" i="4"/>
  <c r="GR21" i="4"/>
  <c r="GR22" i="4"/>
  <c r="GR23" i="4"/>
  <c r="GR24" i="4"/>
  <c r="GR25" i="4"/>
  <c r="GR26" i="4"/>
  <c r="GR27" i="4"/>
  <c r="GR28" i="4"/>
  <c r="GR20" i="4"/>
  <c r="GR9" i="4"/>
  <c r="GR10" i="4"/>
  <c r="GR11" i="4"/>
  <c r="GR12" i="4"/>
  <c r="GR13" i="4"/>
  <c r="GR14" i="4"/>
  <c r="GR15" i="4"/>
  <c r="GR8" i="4"/>
  <c r="GN9" i="4" l="1"/>
  <c r="GN10" i="4"/>
  <c r="GN11" i="4"/>
  <c r="GN12" i="4"/>
  <c r="GN13" i="4"/>
  <c r="GN14" i="4"/>
  <c r="GN15" i="4"/>
  <c r="GN20" i="4"/>
  <c r="GN21" i="4"/>
  <c r="GN22" i="4"/>
  <c r="GN23" i="4"/>
  <c r="GN24" i="4"/>
  <c r="GN25" i="4"/>
  <c r="GN26" i="4"/>
  <c r="GN27" i="4"/>
  <c r="GN28" i="4"/>
  <c r="GN29" i="4"/>
  <c r="GN8" i="4"/>
  <c r="GJ25" i="4" l="1"/>
  <c r="GJ28" i="4" l="1"/>
  <c r="GJ27" i="4"/>
  <c r="GJ26" i="4"/>
  <c r="GJ24" i="4"/>
  <c r="GJ23" i="4"/>
  <c r="GJ22" i="4"/>
  <c r="GJ21" i="4"/>
  <c r="GJ20" i="4"/>
  <c r="GJ15" i="4"/>
  <c r="GJ14" i="4"/>
  <c r="GJ13" i="4"/>
  <c r="GJ12" i="4"/>
  <c r="GJ11" i="4"/>
  <c r="GJ10" i="4"/>
  <c r="GJ9" i="4"/>
  <c r="GJ8" i="4"/>
  <c r="GF28" i="4" l="1"/>
  <c r="GF27" i="4"/>
  <c r="GF26" i="4"/>
  <c r="GF25" i="4"/>
  <c r="GF24" i="4"/>
  <c r="GF23" i="4"/>
  <c r="GF22" i="4"/>
  <c r="GF21" i="4"/>
  <c r="GF20" i="4"/>
  <c r="GF15" i="4"/>
  <c r="GF14" i="4"/>
  <c r="GF13" i="4"/>
  <c r="GF12" i="4"/>
  <c r="GF11" i="4"/>
  <c r="GF10" i="4"/>
  <c r="GF9" i="4"/>
  <c r="GF8" i="4"/>
  <c r="GB28" i="4" l="1"/>
  <c r="GB27" i="4"/>
  <c r="GB26" i="4"/>
  <c r="GB25" i="4"/>
  <c r="GB24" i="4"/>
  <c r="GB23" i="4"/>
  <c r="GB22" i="4"/>
  <c r="GB21" i="4"/>
  <c r="GB20" i="4"/>
  <c r="GB15" i="4"/>
  <c r="GB14" i="4"/>
  <c r="GB13" i="4"/>
  <c r="GB12" i="4"/>
  <c r="GB11" i="4"/>
  <c r="GB10" i="4"/>
  <c r="GB9" i="4"/>
  <c r="GB8" i="4"/>
  <c r="FX28" i="4" l="1"/>
  <c r="FX27" i="4"/>
  <c r="FX26" i="4"/>
  <c r="FX25" i="4"/>
  <c r="FX24" i="4"/>
  <c r="FX23" i="4"/>
  <c r="FX22" i="4"/>
  <c r="FX21" i="4"/>
  <c r="FX20" i="4"/>
  <c r="FX15" i="4"/>
  <c r="FX14" i="4"/>
  <c r="FX13" i="4"/>
  <c r="FX12" i="4"/>
  <c r="FX11" i="4"/>
  <c r="FX10" i="4"/>
  <c r="FX9" i="4"/>
  <c r="FX8" i="4"/>
  <c r="FT28" i="4" l="1"/>
  <c r="FT27" i="4"/>
  <c r="FT26" i="4"/>
  <c r="FT25" i="4"/>
  <c r="FT24" i="4"/>
  <c r="FT23" i="4"/>
  <c r="FT22" i="4"/>
  <c r="FT21" i="4"/>
  <c r="FT20" i="4"/>
  <c r="FT15" i="4"/>
  <c r="FT14" i="4"/>
  <c r="FT13" i="4"/>
  <c r="FT12" i="4"/>
  <c r="FT11" i="4"/>
  <c r="FT10" i="4"/>
  <c r="FT9" i="4"/>
  <c r="FT8" i="4"/>
  <c r="FP28" i="4" l="1"/>
  <c r="FP26" i="4"/>
  <c r="FP25" i="4"/>
  <c r="FP15" i="4"/>
  <c r="FP24" i="4"/>
  <c r="FP23" i="4"/>
  <c r="FP22" i="4"/>
  <c r="FP21" i="4"/>
  <c r="FP20" i="4"/>
  <c r="FP11" i="4"/>
  <c r="FP12" i="4"/>
  <c r="FP27" i="4"/>
  <c r="FP14" i="4"/>
  <c r="FP13" i="4"/>
  <c r="FP10" i="4"/>
  <c r="FP9" i="4"/>
  <c r="FP8" i="4"/>
  <c r="FL28" i="4" l="1"/>
  <c r="FL26" i="4"/>
  <c r="FL25" i="4"/>
  <c r="FL15" i="4"/>
  <c r="FL24" i="4"/>
  <c r="FL23" i="4"/>
  <c r="FL22" i="4"/>
  <c r="FL21" i="4"/>
  <c r="FL20" i="4"/>
  <c r="FL11" i="4"/>
  <c r="FL12" i="4"/>
  <c r="FL27" i="4"/>
  <c r="FL14" i="4"/>
  <c r="FL13" i="4"/>
  <c r="FL10" i="4"/>
  <c r="FL9" i="4"/>
  <c r="FL8" i="4"/>
  <c r="FH28" i="4" l="1"/>
  <c r="FH26" i="4"/>
  <c r="FH25" i="4"/>
  <c r="FH15" i="4"/>
  <c r="FH24" i="4"/>
  <c r="FH23" i="4"/>
  <c r="FH22" i="4"/>
  <c r="FH21" i="4"/>
  <c r="FH20" i="4"/>
  <c r="FH11" i="4"/>
  <c r="FH12" i="4"/>
  <c r="FH27" i="4"/>
  <c r="FH14" i="4"/>
  <c r="FH13" i="4"/>
  <c r="FH10" i="4"/>
  <c r="FH9" i="4"/>
  <c r="FH8" i="4"/>
  <c r="FD28" i="4" l="1"/>
  <c r="FD26" i="4"/>
  <c r="FD25" i="4"/>
  <c r="FD15" i="4"/>
  <c r="FD24" i="4"/>
  <c r="FD23" i="4"/>
  <c r="FD22" i="4"/>
  <c r="FD21" i="4"/>
  <c r="FD20" i="4"/>
  <c r="FD11" i="4"/>
  <c r="FD12" i="4"/>
  <c r="FD27" i="4"/>
  <c r="FD14" i="4"/>
  <c r="FD13" i="4"/>
  <c r="FD10" i="4"/>
  <c r="FD9" i="4"/>
  <c r="FD8" i="4"/>
  <c r="EZ12" i="4" l="1"/>
  <c r="EV12" i="4"/>
  <c r="ER12" i="4"/>
  <c r="EN12" i="4"/>
  <c r="EZ8" i="4"/>
  <c r="EV8" i="4"/>
  <c r="ER8" i="4"/>
  <c r="EN8" i="4"/>
  <c r="EZ28" i="4" l="1"/>
  <c r="EZ26" i="4"/>
  <c r="EZ25" i="4"/>
  <c r="EZ15" i="4"/>
  <c r="EZ24" i="4"/>
  <c r="EZ23" i="4"/>
  <c r="EZ22" i="4"/>
  <c r="EZ21" i="4"/>
  <c r="EZ20" i="4"/>
  <c r="EZ11" i="4"/>
  <c r="EZ27" i="4"/>
  <c r="EZ14" i="4"/>
  <c r="EZ13" i="4"/>
  <c r="EZ10" i="4"/>
  <c r="EZ9" i="4"/>
  <c r="EV28" i="4" l="1"/>
  <c r="EV26" i="4"/>
  <c r="EV25" i="4"/>
  <c r="EV15" i="4"/>
  <c r="EV24" i="4"/>
  <c r="EV23" i="4"/>
  <c r="EV22" i="4"/>
  <c r="EV13" i="4"/>
  <c r="EV21" i="4"/>
  <c r="EV20" i="4"/>
  <c r="EV11" i="4"/>
  <c r="EV27" i="4"/>
  <c r="EV14" i="4"/>
  <c r="EV10" i="4"/>
  <c r="EV9" i="4"/>
  <c r="ER28" i="4" l="1"/>
  <c r="ER26" i="4"/>
  <c r="ER25" i="4"/>
  <c r="ER15" i="4"/>
  <c r="ER24" i="4"/>
  <c r="ER23" i="4"/>
  <c r="ER22" i="4"/>
  <c r="ER13" i="4"/>
  <c r="ER21" i="4"/>
  <c r="ER20" i="4"/>
  <c r="ER11" i="4"/>
  <c r="ER27" i="4"/>
  <c r="ER14" i="4"/>
  <c r="ER10" i="4"/>
  <c r="ER9" i="4"/>
  <c r="EN28" i="4" l="1"/>
  <c r="EN26" i="4"/>
  <c r="EN25" i="4"/>
  <c r="EN15" i="4"/>
  <c r="EN24" i="4"/>
  <c r="EN23" i="4"/>
  <c r="EN22" i="4"/>
  <c r="EN13" i="4"/>
  <c r="EN21" i="4"/>
  <c r="EN20" i="4"/>
  <c r="EN11" i="4"/>
  <c r="EN27" i="4"/>
  <c r="EN14" i="4"/>
  <c r="EN10" i="4"/>
  <c r="EN9" i="4"/>
  <c r="EJ28" i="4" l="1"/>
  <c r="EJ26" i="4"/>
  <c r="EJ25" i="4"/>
  <c r="EJ15" i="4"/>
  <c r="EJ24" i="4"/>
  <c r="EJ23" i="4"/>
  <c r="EJ22" i="4"/>
  <c r="EJ13" i="4"/>
  <c r="EJ21" i="4"/>
  <c r="EJ20" i="4"/>
  <c r="EJ11" i="4"/>
  <c r="EJ27" i="4"/>
  <c r="EJ14" i="4"/>
  <c r="EJ10" i="4"/>
  <c r="EJ9" i="4"/>
  <c r="EF28" i="4" l="1"/>
  <c r="EF26" i="4"/>
  <c r="EF25" i="4"/>
  <c r="EF15" i="4"/>
  <c r="EF24" i="4"/>
  <c r="EF23" i="4"/>
  <c r="EF22" i="4"/>
  <c r="EF13" i="4"/>
  <c r="EF21" i="4"/>
  <c r="EF20" i="4"/>
  <c r="EF11" i="4"/>
  <c r="EF27" i="4"/>
  <c r="EF14" i="4"/>
  <c r="EF10" i="4"/>
  <c r="EF9" i="4"/>
  <c r="EB28" i="4" l="1"/>
  <c r="EB26" i="4"/>
  <c r="EB25" i="4"/>
  <c r="EB15" i="4"/>
  <c r="EB24" i="4"/>
  <c r="EB23" i="4"/>
  <c r="EB22" i="4"/>
  <c r="EB13" i="4"/>
  <c r="EB21" i="4"/>
  <c r="EB20" i="4"/>
  <c r="EB11" i="4"/>
  <c r="EB27" i="4"/>
  <c r="EB14" i="4"/>
  <c r="EB10" i="4"/>
  <c r="EB9" i="4"/>
  <c r="DX28" i="4" l="1"/>
  <c r="DX26" i="4"/>
  <c r="DX25" i="4"/>
  <c r="DX15" i="4"/>
  <c r="DX24" i="4"/>
  <c r="DX23" i="4"/>
  <c r="DX22" i="4"/>
  <c r="DX13" i="4"/>
  <c r="DX21" i="4"/>
  <c r="DX20" i="4"/>
  <c r="DX11" i="4"/>
  <c r="DX27" i="4"/>
  <c r="DX14" i="4"/>
  <c r="DX10" i="4"/>
  <c r="DX9" i="4"/>
  <c r="DT28" i="4" l="1"/>
  <c r="DT26" i="4"/>
  <c r="DT25" i="4"/>
  <c r="DT15" i="4"/>
  <c r="DT24" i="4"/>
  <c r="DT23" i="4"/>
  <c r="DT22" i="4"/>
  <c r="DT13" i="4"/>
  <c r="DT21" i="4"/>
  <c r="DT20" i="4"/>
  <c r="DT11" i="4"/>
  <c r="DT27" i="4"/>
  <c r="DT14" i="4"/>
  <c r="DT10" i="4"/>
  <c r="DT9" i="4"/>
  <c r="DP28" i="4" l="1"/>
  <c r="DP26" i="4"/>
  <c r="DP25" i="4"/>
  <c r="DP15" i="4"/>
  <c r="DP24" i="4"/>
  <c r="DP23" i="4"/>
  <c r="DP22" i="4"/>
  <c r="DP13" i="4"/>
  <c r="DP21" i="4"/>
  <c r="DP20" i="4"/>
  <c r="DP11" i="4"/>
  <c r="DP27" i="4"/>
  <c r="DP14" i="4"/>
  <c r="DP10" i="4"/>
  <c r="DP9" i="4"/>
  <c r="DL28" i="4"/>
  <c r="DL26" i="4"/>
  <c r="DL25" i="4"/>
  <c r="DL15" i="4"/>
  <c r="DL24" i="4"/>
  <c r="DL23" i="4"/>
  <c r="DL22" i="4"/>
  <c r="DL13" i="4"/>
  <c r="DL21" i="4"/>
  <c r="DL20" i="4"/>
  <c r="DL11" i="4"/>
  <c r="DL27" i="4"/>
  <c r="DL14" i="4"/>
  <c r="DL10" i="4"/>
  <c r="DL9" i="4"/>
  <c r="DH28" i="4"/>
  <c r="DH26" i="4"/>
  <c r="DH25" i="4"/>
  <c r="DH15" i="4"/>
  <c r="DH24" i="4"/>
  <c r="DH23" i="4"/>
  <c r="DH22" i="4"/>
  <c r="DH13" i="4"/>
  <c r="DH21" i="4"/>
  <c r="DH20" i="4"/>
  <c r="DH11" i="4"/>
  <c r="DH27" i="4"/>
  <c r="DH14" i="4"/>
  <c r="DH10" i="4"/>
  <c r="DH9" i="4"/>
  <c r="DD28" i="4" l="1"/>
  <c r="DD26" i="4"/>
  <c r="DD25" i="4"/>
  <c r="DD15" i="4"/>
  <c r="DD24" i="4"/>
  <c r="DD23" i="4"/>
  <c r="DD22" i="4"/>
  <c r="DD13" i="4"/>
  <c r="DD21" i="4"/>
  <c r="DD20" i="4"/>
  <c r="DD11" i="4"/>
  <c r="DD27" i="4"/>
  <c r="DD14" i="4"/>
  <c r="DD10" i="4"/>
  <c r="DD9" i="4"/>
  <c r="CZ28" i="4"/>
  <c r="CZ26" i="4"/>
  <c r="CZ25" i="4"/>
  <c r="CZ15" i="4"/>
  <c r="CZ24" i="4"/>
  <c r="CZ23" i="4"/>
  <c r="CZ22" i="4"/>
  <c r="CZ13" i="4"/>
  <c r="CZ21" i="4"/>
  <c r="CZ20" i="4"/>
  <c r="CZ11" i="4"/>
  <c r="CZ27" i="4"/>
  <c r="CZ14" i="4"/>
  <c r="CZ10" i="4"/>
  <c r="CZ9" i="4"/>
  <c r="CV28" i="4" l="1"/>
  <c r="CV26" i="4"/>
  <c r="CV25" i="4"/>
  <c r="CV15" i="4"/>
  <c r="CV24" i="4"/>
  <c r="CV23" i="4"/>
  <c r="CV22" i="4"/>
  <c r="CV13" i="4"/>
  <c r="CV21" i="4"/>
  <c r="CV20" i="4"/>
  <c r="CV11" i="4"/>
  <c r="CV27" i="4"/>
  <c r="CV14" i="4"/>
  <c r="CV10" i="4"/>
  <c r="CV9" i="4"/>
  <c r="CR28" i="4"/>
  <c r="CR26" i="4"/>
  <c r="CR25" i="4"/>
  <c r="CR15" i="4"/>
  <c r="CR24" i="4"/>
  <c r="CR23" i="4"/>
  <c r="CR22" i="4"/>
  <c r="CR13" i="4"/>
  <c r="CR21" i="4"/>
  <c r="CR20" i="4"/>
  <c r="CR11" i="4"/>
  <c r="CR27" i="4"/>
  <c r="CR14" i="4"/>
  <c r="CR10" i="4"/>
  <c r="CR9" i="4"/>
  <c r="CN28" i="4" l="1"/>
  <c r="CN26" i="4"/>
  <c r="CN25" i="4"/>
  <c r="CN15" i="4"/>
  <c r="CN24" i="4"/>
  <c r="CN23" i="4"/>
  <c r="CN22" i="4"/>
  <c r="CN13" i="4"/>
  <c r="CN21" i="4"/>
  <c r="CN20" i="4"/>
  <c r="CN11" i="4"/>
  <c r="CN27" i="4"/>
  <c r="CN14" i="4"/>
  <c r="CN10" i="4"/>
  <c r="CN9" i="4"/>
  <c r="CJ28" i="4" l="1"/>
  <c r="CJ26" i="4"/>
  <c r="CJ25" i="4"/>
  <c r="CJ15" i="4"/>
  <c r="CJ24" i="4"/>
  <c r="CJ23" i="4"/>
  <c r="CJ22" i="4"/>
  <c r="CJ13" i="4"/>
  <c r="CJ21" i="4"/>
  <c r="CJ20" i="4"/>
  <c r="CJ11" i="4"/>
  <c r="CJ27" i="4"/>
  <c r="CJ14" i="4"/>
  <c r="CJ10" i="4"/>
  <c r="CJ9" i="4"/>
  <c r="CF28" i="4"/>
  <c r="CF26" i="4"/>
  <c r="CF25" i="4"/>
  <c r="CF15" i="4"/>
  <c r="CF24" i="4"/>
  <c r="CF23" i="4"/>
  <c r="CF22" i="4"/>
  <c r="CF13" i="4"/>
  <c r="CF21" i="4"/>
  <c r="CF20" i="4"/>
  <c r="CF11" i="4"/>
  <c r="CF27" i="4"/>
  <c r="CF14" i="4"/>
  <c r="CF10" i="4"/>
  <c r="CF9" i="4"/>
  <c r="CB28" i="4"/>
  <c r="CB26" i="4"/>
  <c r="CB25" i="4"/>
  <c r="CB15" i="4"/>
  <c r="CB24" i="4"/>
  <c r="CB23" i="4"/>
  <c r="CB22" i="4"/>
  <c r="CB13" i="4"/>
  <c r="CB21" i="4"/>
  <c r="CB20" i="4"/>
  <c r="CB11" i="4"/>
  <c r="CB27" i="4"/>
  <c r="CB14" i="4"/>
  <c r="CB10" i="4"/>
  <c r="CB9" i="4"/>
  <c r="BX28" i="4"/>
  <c r="BX26" i="4"/>
  <c r="BX25" i="4"/>
  <c r="BX15" i="4"/>
  <c r="BX24" i="4"/>
  <c r="BX23" i="4"/>
  <c r="BX22" i="4"/>
  <c r="BX13" i="4"/>
  <c r="BX21" i="4"/>
  <c r="BX20" i="4"/>
  <c r="BX11" i="4"/>
  <c r="BX27" i="4"/>
  <c r="BX14" i="4"/>
  <c r="BX10" i="4"/>
  <c r="BX9" i="4"/>
  <c r="BT9" i="4"/>
  <c r="BT10" i="4"/>
  <c r="BT14" i="4"/>
  <c r="BT27" i="4"/>
  <c r="BT11" i="4"/>
  <c r="BT20" i="4"/>
  <c r="BT21" i="4"/>
  <c r="BT13" i="4"/>
  <c r="BT22" i="4"/>
  <c r="BT23" i="4"/>
  <c r="BT24" i="4"/>
  <c r="BT15" i="4"/>
  <c r="BT25" i="4"/>
  <c r="BT26" i="4"/>
  <c r="BT28" i="4"/>
  <c r="BP28" i="4"/>
  <c r="BP26" i="4"/>
  <c r="BP25" i="4"/>
  <c r="BP15" i="4"/>
  <c r="BP24" i="4"/>
  <c r="BP23" i="4"/>
  <c r="BP22" i="4"/>
  <c r="BP13" i="4"/>
  <c r="BP21" i="4"/>
  <c r="BP20" i="4"/>
  <c r="BP11" i="4"/>
  <c r="BP27" i="4"/>
  <c r="BP14" i="4"/>
  <c r="BP10" i="4"/>
  <c r="BP9" i="4"/>
  <c r="BL28" i="4"/>
  <c r="BL26" i="4"/>
  <c r="BL25" i="4"/>
  <c r="BL15" i="4"/>
  <c r="BL24" i="4"/>
  <c r="BL23" i="4"/>
  <c r="BL22" i="4"/>
  <c r="BL13" i="4"/>
  <c r="BL21" i="4"/>
  <c r="BL20" i="4"/>
  <c r="BL11" i="4"/>
  <c r="BL27" i="4"/>
  <c r="BL14" i="4"/>
  <c r="BL10" i="4"/>
  <c r="BL9" i="4"/>
  <c r="BH28" i="4"/>
  <c r="BH26" i="4"/>
  <c r="BH25" i="4"/>
  <c r="BH15" i="4"/>
  <c r="BH24" i="4"/>
  <c r="BH23" i="4"/>
  <c r="BH22" i="4"/>
  <c r="BH13" i="4"/>
  <c r="BH21" i="4"/>
  <c r="BH20" i="4"/>
  <c r="BH11" i="4"/>
  <c r="BH27" i="4"/>
  <c r="BH14" i="4"/>
  <c r="BH10" i="4"/>
  <c r="BH9" i="4"/>
  <c r="BD28" i="4"/>
  <c r="BD26" i="4"/>
  <c r="BD25" i="4"/>
  <c r="BD15" i="4"/>
  <c r="BD24" i="4"/>
  <c r="BD23" i="4"/>
  <c r="BD22" i="4"/>
  <c r="BD13" i="4"/>
  <c r="BD21" i="4"/>
  <c r="BD20" i="4"/>
  <c r="BD11" i="4"/>
  <c r="BD27" i="4"/>
  <c r="BD14" i="4"/>
  <c r="BD10" i="4"/>
  <c r="BD9" i="4"/>
  <c r="AZ28" i="4"/>
  <c r="AZ26" i="4"/>
  <c r="AZ25" i="4"/>
  <c r="AZ15" i="4"/>
  <c r="AZ24" i="4"/>
  <c r="AZ23" i="4"/>
  <c r="AZ22" i="4"/>
  <c r="AZ13" i="4"/>
  <c r="AZ21" i="4"/>
  <c r="AZ20" i="4"/>
  <c r="AZ11" i="4"/>
  <c r="AZ27" i="4"/>
  <c r="AZ14" i="4"/>
  <c r="AZ10" i="4"/>
  <c r="AZ9" i="4"/>
  <c r="AV28" i="4"/>
  <c r="AV26" i="4"/>
  <c r="AV25" i="4"/>
  <c r="AV15" i="4"/>
  <c r="AV24" i="4"/>
  <c r="AV23" i="4"/>
  <c r="AV22" i="4"/>
  <c r="AV13" i="4"/>
  <c r="AV21" i="4"/>
  <c r="AV20" i="4"/>
  <c r="AV11" i="4"/>
  <c r="AV27" i="4"/>
  <c r="AV14" i="4"/>
  <c r="AV10" i="4"/>
  <c r="AV9" i="4"/>
  <c r="AR28" i="4"/>
  <c r="AR26" i="4"/>
  <c r="AR25" i="4"/>
  <c r="AR15" i="4"/>
  <c r="AR24" i="4"/>
  <c r="AR23" i="4"/>
  <c r="AR22" i="4"/>
  <c r="AR13" i="4"/>
  <c r="AR21" i="4"/>
  <c r="AR20" i="4"/>
  <c r="AR11" i="4"/>
  <c r="AR27" i="4"/>
  <c r="AR14" i="4"/>
  <c r="AR10" i="4"/>
  <c r="AR9" i="4"/>
  <c r="AN28" i="4"/>
  <c r="AN26" i="4"/>
  <c r="AN25" i="4"/>
  <c r="AN15" i="4"/>
  <c r="AN24" i="4"/>
  <c r="AN23" i="4"/>
  <c r="AN22" i="4"/>
  <c r="AN13" i="4"/>
  <c r="AN21" i="4"/>
  <c r="AN20" i="4"/>
  <c r="AN11" i="4"/>
  <c r="AN27" i="4"/>
  <c r="AN14" i="4"/>
  <c r="AN10" i="4"/>
  <c r="AN9" i="4"/>
  <c r="AJ28" i="4"/>
  <c r="AJ26" i="4"/>
  <c r="AJ25" i="4"/>
  <c r="AJ15" i="4"/>
  <c r="AJ24" i="4"/>
  <c r="AJ23" i="4"/>
  <c r="AJ22" i="4"/>
  <c r="AJ13" i="4"/>
  <c r="AJ21" i="4"/>
  <c r="AJ20" i="4"/>
  <c r="AJ11" i="4"/>
  <c r="AJ27" i="4"/>
  <c r="AJ14" i="4"/>
  <c r="AJ10" i="4"/>
  <c r="AJ9" i="4"/>
  <c r="AF28" i="4" l="1"/>
  <c r="AF26" i="4"/>
  <c r="AF25" i="4"/>
  <c r="AF15" i="4"/>
  <c r="AF24" i="4"/>
  <c r="AF23" i="4"/>
  <c r="AF22" i="4"/>
  <c r="AF13" i="4"/>
  <c r="AF21" i="4"/>
  <c r="AF20" i="4"/>
  <c r="AF11" i="4"/>
  <c r="AF27" i="4"/>
  <c r="AF14" i="4"/>
  <c r="AF10" i="4"/>
  <c r="AF9" i="4"/>
  <c r="AB28" i="4"/>
  <c r="AB26" i="4"/>
  <c r="AB25" i="4"/>
  <c r="AB15" i="4"/>
  <c r="AB24" i="4"/>
  <c r="AB23" i="4"/>
  <c r="AB22" i="4"/>
  <c r="AB13" i="4"/>
  <c r="AB21" i="4"/>
  <c r="AB20" i="4"/>
  <c r="AB11" i="4"/>
  <c r="AB27" i="4"/>
  <c r="AB14" i="4"/>
  <c r="AB10" i="4"/>
  <c r="AB9" i="4"/>
  <c r="X28" i="4"/>
  <c r="X26" i="4"/>
  <c r="X25" i="4"/>
  <c r="X15" i="4"/>
  <c r="X24" i="4"/>
  <c r="X23" i="4"/>
  <c r="X22" i="4"/>
  <c r="X13" i="4"/>
  <c r="X21" i="4"/>
  <c r="X20" i="4"/>
  <c r="X11" i="4"/>
  <c r="X27" i="4"/>
  <c r="X14" i="4"/>
  <c r="X10" i="4"/>
  <c r="X9" i="4"/>
  <c r="D46" i="10"/>
  <c r="D45" i="10"/>
  <c r="D44" i="10"/>
  <c r="D43" i="10"/>
  <c r="D41" i="10"/>
  <c r="D40" i="10"/>
  <c r="D38" i="10"/>
  <c r="D36" i="10"/>
  <c r="D35" i="10"/>
  <c r="D33" i="10"/>
  <c r="D32" i="10"/>
  <c r="D30" i="10"/>
  <c r="D29" i="10"/>
  <c r="D28" i="10"/>
  <c r="D27" i="10"/>
  <c r="D25" i="10"/>
  <c r="D23" i="10"/>
  <c r="D22" i="10"/>
  <c r="D21" i="10"/>
  <c r="D18" i="10"/>
  <c r="D17" i="10"/>
  <c r="D15" i="10"/>
  <c r="D14" i="10"/>
  <c r="D13" i="10"/>
  <c r="D12" i="10"/>
  <c r="D10" i="10"/>
  <c r="D9" i="10"/>
  <c r="D8" i="10"/>
  <c r="D7" i="10"/>
  <c r="D6" i="10"/>
  <c r="D5" i="10"/>
  <c r="D4" i="10"/>
  <c r="T28" i="4"/>
  <c r="T26" i="4"/>
  <c r="T25" i="4"/>
  <c r="T15" i="4"/>
  <c r="T24" i="4"/>
  <c r="T23" i="4"/>
  <c r="T22" i="4"/>
  <c r="T13" i="4"/>
  <c r="T21" i="4"/>
  <c r="T20" i="4"/>
  <c r="T11" i="4"/>
  <c r="T27" i="4"/>
  <c r="T14" i="4"/>
  <c r="T10" i="4"/>
  <c r="T9" i="4"/>
  <c r="L25" i="4"/>
  <c r="P25" i="4"/>
  <c r="P28" i="4" l="1"/>
  <c r="P27" i="4"/>
  <c r="P26" i="4"/>
  <c r="P15" i="4"/>
  <c r="P24" i="4"/>
  <c r="P23" i="4"/>
  <c r="P22" i="4"/>
  <c r="P13" i="4"/>
  <c r="P21" i="4"/>
  <c r="P20" i="4"/>
  <c r="P11" i="4"/>
  <c r="P14" i="4"/>
  <c r="P10" i="4"/>
  <c r="P9" i="4"/>
  <c r="L28" i="4"/>
  <c r="L27" i="4"/>
  <c r="L26" i="4"/>
  <c r="L15" i="4"/>
  <c r="L24" i="4"/>
  <c r="L23" i="4"/>
  <c r="L22" i="4"/>
  <c r="L13" i="4"/>
  <c r="L21" i="4"/>
  <c r="L20" i="4"/>
  <c r="L11" i="4"/>
  <c r="L14" i="4"/>
  <c r="L10" i="4"/>
  <c r="L9" i="4"/>
  <c r="AOZ19" i="9" l="1"/>
  <c r="AOX19" i="9"/>
  <c r="AOT19" i="9"/>
  <c r="AOR19" i="9"/>
  <c r="AON19" i="9"/>
  <c r="AOL19" i="9"/>
  <c r="AOH19" i="9"/>
  <c r="AOF19" i="9"/>
  <c r="AOB19" i="9"/>
  <c r="ANZ19" i="9"/>
  <c r="ANV19" i="9"/>
  <c r="ANT19" i="9"/>
  <c r="ANP19" i="9"/>
  <c r="ANN19" i="9"/>
  <c r="ANJ19" i="9"/>
  <c r="ANH19" i="9"/>
  <c r="AND19" i="9"/>
  <c r="ANB19" i="9"/>
  <c r="AMX19" i="9"/>
  <c r="AMV19" i="9"/>
  <c r="AMR19" i="9"/>
  <c r="AMP19" i="9"/>
  <c r="AML19" i="9"/>
  <c r="AMJ19" i="9"/>
  <c r="AMF19" i="9"/>
  <c r="AMD19" i="9"/>
  <c r="ALZ19" i="9"/>
  <c r="ALX19" i="9"/>
  <c r="ALT19" i="9"/>
  <c r="ALR19" i="9"/>
  <c r="ALN19" i="9"/>
  <c r="ALL19" i="9"/>
  <c r="ALH19" i="9"/>
  <c r="ALF19" i="9"/>
  <c r="ALB19" i="9"/>
  <c r="AKZ19" i="9"/>
  <c r="AKV19" i="9"/>
  <c r="AKT19" i="9"/>
  <c r="AKP19" i="9"/>
  <c r="AKN19" i="9"/>
  <c r="AKJ19" i="9"/>
  <c r="AKH19" i="9"/>
  <c r="AKD19" i="9"/>
  <c r="AKB19" i="9"/>
  <c r="AJX19" i="9"/>
  <c r="AJV19" i="9"/>
  <c r="AJR19" i="9"/>
  <c r="AJP19" i="9"/>
  <c r="AJL19" i="9"/>
  <c r="AJJ19" i="9"/>
  <c r="AJF19" i="9"/>
  <c r="AJD19" i="9"/>
  <c r="AIZ19" i="9"/>
  <c r="AIX19" i="9"/>
  <c r="AIT19" i="9"/>
  <c r="AIR19" i="9"/>
  <c r="AIN19" i="9"/>
  <c r="AIL19" i="9"/>
  <c r="AIH19" i="9"/>
  <c r="AIF19" i="9"/>
  <c r="AIB19" i="9"/>
  <c r="AHZ19" i="9"/>
  <c r="AHV19" i="9"/>
  <c r="AHT19" i="9"/>
  <c r="AHP19" i="9"/>
  <c r="AHN19" i="9"/>
  <c r="AHJ19" i="9"/>
  <c r="AHH19" i="9"/>
  <c r="AHD19" i="9"/>
  <c r="AHB19" i="9"/>
  <c r="AGX19" i="9"/>
  <c r="AGV19" i="9"/>
  <c r="AGR19" i="9"/>
  <c r="AGP19" i="9"/>
  <c r="AGL19" i="9"/>
  <c r="AGJ19" i="9"/>
  <c r="AGF19" i="9"/>
  <c r="AGD19" i="9"/>
  <c r="AFZ19" i="9"/>
  <c r="AFX19" i="9"/>
  <c r="AFT19" i="9"/>
  <c r="AFR19" i="9"/>
  <c r="AFN19" i="9"/>
  <c r="AFL19" i="9"/>
  <c r="AFH19" i="9"/>
  <c r="AFF19" i="9"/>
  <c r="AFB19" i="9"/>
  <c r="AEZ19" i="9"/>
  <c r="AEV19" i="9"/>
  <c r="AET19" i="9"/>
  <c r="AEP19" i="9"/>
  <c r="AEN19" i="9"/>
  <c r="AEJ19" i="9"/>
  <c r="AEH19" i="9"/>
  <c r="AED19" i="9"/>
  <c r="AEB19" i="9"/>
  <c r="ADX19" i="9"/>
  <c r="ADV19" i="9"/>
  <c r="ADR19" i="9"/>
  <c r="ADP19" i="9"/>
  <c r="ADL19" i="9"/>
  <c r="ADJ19" i="9"/>
  <c r="ADF19" i="9"/>
  <c r="ADD19" i="9"/>
  <c r="ACZ19" i="9"/>
  <c r="ACX19" i="9"/>
  <c r="ACT19" i="9"/>
  <c r="ACR19" i="9"/>
  <c r="ACN19" i="9"/>
  <c r="ACL19" i="9"/>
  <c r="ACH19" i="9"/>
  <c r="ACF19" i="9"/>
  <c r="ACB19" i="9"/>
  <c r="ABZ19" i="9"/>
  <c r="ABV19" i="9"/>
  <c r="ABT19" i="9"/>
  <c r="ABP19" i="9"/>
  <c r="ABN19" i="9"/>
  <c r="ABJ19" i="9"/>
  <c r="ABH19" i="9"/>
  <c r="ABD19" i="9"/>
  <c r="ABB19" i="9"/>
  <c r="AAX19" i="9"/>
  <c r="AAV19" i="9"/>
  <c r="AAR19" i="9"/>
  <c r="AAP19" i="9"/>
  <c r="AAL19" i="9"/>
  <c r="AAJ19" i="9"/>
  <c r="AAF19" i="9"/>
  <c r="AAD19" i="9"/>
  <c r="ZZ19" i="9"/>
  <c r="ZX19" i="9"/>
  <c r="ZT19" i="9"/>
  <c r="ZR19" i="9"/>
  <c r="ZN19" i="9"/>
  <c r="ZL19" i="9"/>
  <c r="ZH19" i="9"/>
  <c r="ZF19" i="9"/>
  <c r="ZB19" i="9"/>
  <c r="YZ19" i="9"/>
  <c r="YV19" i="9"/>
  <c r="YT19" i="9"/>
  <c r="YP19" i="9"/>
  <c r="YN19" i="9"/>
  <c r="YJ19" i="9"/>
  <c r="YH19" i="9"/>
  <c r="YD19" i="9"/>
  <c r="YB19" i="9"/>
  <c r="XX19" i="9"/>
  <c r="XV19" i="9"/>
  <c r="XR19" i="9"/>
  <c r="XP19" i="9"/>
  <c r="XL19" i="9"/>
  <c r="XJ19" i="9"/>
  <c r="XF19" i="9"/>
  <c r="XD19" i="9"/>
  <c r="WZ19" i="9"/>
  <c r="WX19" i="9"/>
  <c r="WT19" i="9"/>
  <c r="WR19" i="9"/>
  <c r="WN19" i="9"/>
  <c r="WL19" i="9"/>
  <c r="WH19" i="9"/>
  <c r="WF19" i="9"/>
  <c r="WB19" i="9"/>
  <c r="VZ19" i="9"/>
  <c r="VV19" i="9"/>
  <c r="VT19" i="9"/>
  <c r="VP19" i="9"/>
  <c r="VN19" i="9"/>
  <c r="VJ19" i="9"/>
  <c r="VH19" i="9"/>
  <c r="VD19" i="9"/>
  <c r="VB19" i="9"/>
  <c r="UX19" i="9"/>
  <c r="UV19" i="9"/>
  <c r="UR19" i="9"/>
  <c r="UP19" i="9"/>
  <c r="UL19" i="9"/>
  <c r="UJ19" i="9"/>
  <c r="UF19" i="9"/>
  <c r="UD19" i="9"/>
  <c r="TZ19" i="9"/>
  <c r="TX19" i="9"/>
  <c r="TT19" i="9"/>
  <c r="TR19" i="9"/>
  <c r="TN19" i="9"/>
  <c r="TL19" i="9"/>
  <c r="TH19" i="9"/>
  <c r="TF19" i="9"/>
  <c r="TB19" i="9"/>
  <c r="SZ19" i="9"/>
  <c r="SV19" i="9"/>
  <c r="ST19" i="9"/>
  <c r="SP19" i="9"/>
  <c r="SN19" i="9"/>
  <c r="SJ19" i="9"/>
  <c r="SH19" i="9"/>
  <c r="SD19" i="9"/>
  <c r="SB19" i="9"/>
  <c r="RX19" i="9"/>
  <c r="RV19" i="9"/>
  <c r="RR19" i="9"/>
  <c r="RP19" i="9"/>
  <c r="RL19" i="9"/>
  <c r="RJ19" i="9"/>
  <c r="RF19" i="9"/>
  <c r="RD19" i="9"/>
  <c r="QZ19" i="9"/>
  <c r="QX19" i="9"/>
  <c r="QT19" i="9"/>
  <c r="QR19" i="9"/>
  <c r="QN19" i="9"/>
  <c r="QL19" i="9"/>
  <c r="QH19" i="9"/>
  <c r="QF19" i="9"/>
  <c r="QB19" i="9"/>
  <c r="PZ19" i="9"/>
  <c r="PV19" i="9"/>
  <c r="PT19" i="9"/>
  <c r="PP19" i="9"/>
  <c r="PN19" i="9"/>
  <c r="PJ19" i="9"/>
  <c r="PH19" i="9"/>
  <c r="PD19" i="9"/>
  <c r="PB19" i="9"/>
  <c r="OX19" i="9"/>
  <c r="OV19" i="9"/>
  <c r="OR19" i="9"/>
  <c r="OP19" i="9"/>
  <c r="OL19" i="9"/>
  <c r="OJ19" i="9"/>
  <c r="OF19" i="9"/>
  <c r="OD19" i="9"/>
  <c r="NZ19" i="9"/>
  <c r="NX19" i="9"/>
  <c r="NT19" i="9"/>
  <c r="NR19" i="9"/>
  <c r="NN19" i="9"/>
  <c r="NL19" i="9"/>
  <c r="NH19" i="9"/>
  <c r="NF19" i="9"/>
  <c r="NB19" i="9"/>
  <c r="MZ19" i="9"/>
  <c r="MV19" i="9"/>
  <c r="MT19" i="9"/>
  <c r="MP19" i="9"/>
  <c r="MN19" i="9"/>
  <c r="MJ19" i="9"/>
  <c r="MH19" i="9"/>
  <c r="MD19" i="9"/>
  <c r="MB19" i="9"/>
  <c r="LX19" i="9"/>
  <c r="LV19" i="9"/>
  <c r="LR19" i="9"/>
  <c r="LP19" i="9"/>
  <c r="LL19" i="9"/>
  <c r="LJ19" i="9"/>
  <c r="LF19" i="9"/>
  <c r="LD19" i="9"/>
  <c r="KZ19" i="9"/>
  <c r="KX19" i="9"/>
  <c r="KT19" i="9"/>
  <c r="KR19" i="9"/>
  <c r="KN19" i="9"/>
  <c r="KL19" i="9"/>
  <c r="KH19" i="9"/>
  <c r="KF19" i="9"/>
  <c r="KB19" i="9"/>
  <c r="JZ19" i="9"/>
  <c r="JV19" i="9"/>
  <c r="JT19" i="9"/>
  <c r="JP19" i="9"/>
  <c r="JN19" i="9"/>
  <c r="JJ19" i="9"/>
  <c r="JH19" i="9"/>
  <c r="JD19" i="9"/>
  <c r="JB19" i="9"/>
  <c r="IX19" i="9"/>
  <c r="IV19" i="9"/>
  <c r="IR19" i="9"/>
  <c r="IP19" i="9"/>
  <c r="IL19" i="9"/>
  <c r="IJ19" i="9"/>
  <c r="IF19" i="9"/>
  <c r="ID19" i="9"/>
  <c r="HZ19" i="9"/>
  <c r="HX19" i="9"/>
  <c r="HT19" i="9"/>
  <c r="HR19" i="9"/>
  <c r="HN19" i="9"/>
  <c r="HL19" i="9"/>
  <c r="HH19" i="9"/>
  <c r="HF19" i="9"/>
  <c r="HB19" i="9"/>
  <c r="GZ19" i="9"/>
  <c r="GV19" i="9"/>
  <c r="GT19" i="9"/>
  <c r="GP19" i="9"/>
  <c r="GN19" i="9"/>
  <c r="GJ19" i="9"/>
  <c r="GH19" i="9"/>
  <c r="GD19" i="9"/>
  <c r="GB19" i="9"/>
  <c r="FX19" i="9"/>
  <c r="FV19" i="9"/>
  <c r="FR19" i="9"/>
  <c r="FP19" i="9"/>
  <c r="FL19" i="9"/>
  <c r="FJ19" i="9"/>
  <c r="FF19" i="9"/>
  <c r="FD19" i="9"/>
  <c r="EZ19" i="9"/>
  <c r="EX19" i="9"/>
  <c r="ET19" i="9"/>
  <c r="ER19" i="9"/>
  <c r="EN19" i="9"/>
  <c r="EL19" i="9"/>
  <c r="EH19" i="9"/>
  <c r="EF19" i="9"/>
  <c r="EB19" i="9"/>
  <c r="DZ19" i="9"/>
  <c r="DV19" i="9"/>
  <c r="DT19" i="9"/>
  <c r="DP19" i="9"/>
  <c r="DN19" i="9"/>
  <c r="DJ19" i="9"/>
  <c r="DH19" i="9"/>
  <c r="DD19" i="9"/>
  <c r="DB19" i="9"/>
  <c r="CX19" i="9"/>
  <c r="CV19" i="9"/>
  <c r="CR19" i="9"/>
  <c r="CP19" i="9"/>
  <c r="CL19" i="9"/>
  <c r="CJ19" i="9"/>
  <c r="CF19" i="9"/>
  <c r="CD19" i="9"/>
  <c r="BZ19" i="9"/>
  <c r="BX19" i="9"/>
  <c r="BT19" i="9"/>
  <c r="BR19" i="9"/>
  <c r="BN19" i="9"/>
  <c r="BL19" i="9"/>
  <c r="BH19" i="9"/>
  <c r="BF19" i="9"/>
  <c r="BB19" i="9"/>
  <c r="AZ19" i="9"/>
  <c r="AV19" i="9"/>
  <c r="AT19" i="9"/>
  <c r="AP19" i="9"/>
  <c r="AN19" i="9"/>
  <c r="AJ19" i="9"/>
  <c r="AH19" i="9"/>
  <c r="AD19" i="9"/>
  <c r="AB19" i="9"/>
  <c r="V19" i="9"/>
  <c r="P19" i="9"/>
  <c r="J19" i="9"/>
  <c r="B19" i="9"/>
  <c r="AOZ18" i="9"/>
  <c r="AOX18" i="9"/>
  <c r="AOT18" i="9"/>
  <c r="AOR18" i="9"/>
  <c r="AON18" i="9"/>
  <c r="AOL18" i="9"/>
  <c r="AOH18" i="9"/>
  <c r="AOF18" i="9"/>
  <c r="AOB18" i="9"/>
  <c r="ANZ18" i="9"/>
  <c r="ANV18" i="9"/>
  <c r="ANT18" i="9"/>
  <c r="ANP18" i="9"/>
  <c r="ANN18" i="9"/>
  <c r="ANJ18" i="9"/>
  <c r="ANH18" i="9"/>
  <c r="AND18" i="9"/>
  <c r="ANB18" i="9"/>
  <c r="AMX18" i="9"/>
  <c r="AMV18" i="9"/>
  <c r="AMR18" i="9"/>
  <c r="AMP18" i="9"/>
  <c r="AML18" i="9"/>
  <c r="AMJ18" i="9"/>
  <c r="AMF18" i="9"/>
  <c r="AMD18" i="9"/>
  <c r="ALZ18" i="9"/>
  <c r="ALX18" i="9"/>
  <c r="ALT18" i="9"/>
  <c r="ALR18" i="9"/>
  <c r="ALN18" i="9"/>
  <c r="ALL18" i="9"/>
  <c r="ALH18" i="9"/>
  <c r="ALF18" i="9"/>
  <c r="ALB18" i="9"/>
  <c r="AKZ18" i="9"/>
  <c r="AKV18" i="9"/>
  <c r="AKT18" i="9"/>
  <c r="AKP18" i="9"/>
  <c r="AKN18" i="9"/>
  <c r="AKJ18" i="9"/>
  <c r="AKH18" i="9"/>
  <c r="AKD18" i="9"/>
  <c r="AKB18" i="9"/>
  <c r="AJX18" i="9"/>
  <c r="AJV18" i="9"/>
  <c r="AJR18" i="9"/>
  <c r="AJP18" i="9"/>
  <c r="AJL18" i="9"/>
  <c r="AJJ18" i="9"/>
  <c r="AJF18" i="9"/>
  <c r="AJD18" i="9"/>
  <c r="AIZ18" i="9"/>
  <c r="AIX18" i="9"/>
  <c r="AIT18" i="9"/>
  <c r="AIR18" i="9"/>
  <c r="AIN18" i="9"/>
  <c r="AIL18" i="9"/>
  <c r="AIH18" i="9"/>
  <c r="AIF18" i="9"/>
  <c r="AIB18" i="9"/>
  <c r="AHZ18" i="9"/>
  <c r="AHV18" i="9"/>
  <c r="AHT18" i="9"/>
  <c r="AHP18" i="9"/>
  <c r="AHN18" i="9"/>
  <c r="AHJ18" i="9"/>
  <c r="AHH18" i="9"/>
  <c r="AHD18" i="9"/>
  <c r="AHB18" i="9"/>
  <c r="AGX18" i="9"/>
  <c r="AGV18" i="9"/>
  <c r="AGR18" i="9"/>
  <c r="AGP18" i="9"/>
  <c r="AGL18" i="9"/>
  <c r="AGJ18" i="9"/>
  <c r="AGF18" i="9"/>
  <c r="AGD18" i="9"/>
  <c r="AFZ18" i="9"/>
  <c r="AFX18" i="9"/>
  <c r="AFT18" i="9"/>
  <c r="AFR18" i="9"/>
  <c r="AFN18" i="9"/>
  <c r="AFL18" i="9"/>
  <c r="AFH18" i="9"/>
  <c r="AFF18" i="9"/>
  <c r="AFB18" i="9"/>
  <c r="AEZ18" i="9"/>
  <c r="AEV18" i="9"/>
  <c r="AET18" i="9"/>
  <c r="AEP18" i="9"/>
  <c r="AEN18" i="9"/>
  <c r="AEJ18" i="9"/>
  <c r="AEH18" i="9"/>
  <c r="AED18" i="9"/>
  <c r="AEB18" i="9"/>
  <c r="ADX18" i="9"/>
  <c r="ADV18" i="9"/>
  <c r="ADR18" i="9"/>
  <c r="ADP18" i="9"/>
  <c r="ADL18" i="9"/>
  <c r="ADJ18" i="9"/>
  <c r="ADF18" i="9"/>
  <c r="ADD18" i="9"/>
  <c r="ACZ18" i="9"/>
  <c r="ACX18" i="9"/>
  <c r="ACT18" i="9"/>
  <c r="ACR18" i="9"/>
  <c r="ACN18" i="9"/>
  <c r="ACL18" i="9"/>
  <c r="ACH18" i="9"/>
  <c r="ACF18" i="9"/>
  <c r="ACB18" i="9"/>
  <c r="ABZ18" i="9"/>
  <c r="ABV18" i="9"/>
  <c r="ABT18" i="9"/>
  <c r="ABP18" i="9"/>
  <c r="ABN18" i="9"/>
  <c r="ABJ18" i="9"/>
  <c r="ABH18" i="9"/>
  <c r="ABD18" i="9"/>
  <c r="ABB18" i="9"/>
  <c r="AAX18" i="9"/>
  <c r="AAV18" i="9"/>
  <c r="AAR18" i="9"/>
  <c r="AAP18" i="9"/>
  <c r="AAL18" i="9"/>
  <c r="AAJ18" i="9"/>
  <c r="AAF18" i="9"/>
  <c r="AAD18" i="9"/>
  <c r="ZZ18" i="9"/>
  <c r="ZX18" i="9"/>
  <c r="ZT18" i="9"/>
  <c r="ZR18" i="9"/>
  <c r="ZN18" i="9"/>
  <c r="ZL18" i="9"/>
  <c r="ZH18" i="9"/>
  <c r="ZF18" i="9"/>
  <c r="ZB18" i="9"/>
  <c r="YZ18" i="9"/>
  <c r="YV18" i="9"/>
  <c r="YT18" i="9"/>
  <c r="YP18" i="9"/>
  <c r="YN18" i="9"/>
  <c r="YJ18" i="9"/>
  <c r="YH18" i="9"/>
  <c r="YD18" i="9"/>
  <c r="YB18" i="9"/>
  <c r="XX18" i="9"/>
  <c r="XV18" i="9"/>
  <c r="XR18" i="9"/>
  <c r="XP18" i="9"/>
  <c r="XL18" i="9"/>
  <c r="XJ18" i="9"/>
  <c r="XF18" i="9"/>
  <c r="XD18" i="9"/>
  <c r="WZ18" i="9"/>
  <c r="WX18" i="9"/>
  <c r="WT18" i="9"/>
  <c r="WR18" i="9"/>
  <c r="WN18" i="9"/>
  <c r="WL18" i="9"/>
  <c r="WH18" i="9"/>
  <c r="WF18" i="9"/>
  <c r="WB18" i="9"/>
  <c r="VZ18" i="9"/>
  <c r="VV18" i="9"/>
  <c r="VT18" i="9"/>
  <c r="VP18" i="9"/>
  <c r="VN18" i="9"/>
  <c r="VJ18" i="9"/>
  <c r="VH18" i="9"/>
  <c r="VD18" i="9"/>
  <c r="VB18" i="9"/>
  <c r="UX18" i="9"/>
  <c r="UV18" i="9"/>
  <c r="UR18" i="9"/>
  <c r="UP18" i="9"/>
  <c r="UL18" i="9"/>
  <c r="UJ18" i="9"/>
  <c r="UF18" i="9"/>
  <c r="UD18" i="9"/>
  <c r="TZ18" i="9"/>
  <c r="TX18" i="9"/>
  <c r="TT18" i="9"/>
  <c r="TR18" i="9"/>
  <c r="TN18" i="9"/>
  <c r="TL18" i="9"/>
  <c r="TH18" i="9"/>
  <c r="TF18" i="9"/>
  <c r="TB18" i="9"/>
  <c r="SZ18" i="9"/>
  <c r="SV18" i="9"/>
  <c r="ST18" i="9"/>
  <c r="SP18" i="9"/>
  <c r="SN18" i="9"/>
  <c r="SJ18" i="9"/>
  <c r="SH18" i="9"/>
  <c r="SD18" i="9"/>
  <c r="SB18" i="9"/>
  <c r="RX18" i="9"/>
  <c r="RV18" i="9"/>
  <c r="RR18" i="9"/>
  <c r="RP18" i="9"/>
  <c r="RL18" i="9"/>
  <c r="RJ18" i="9"/>
  <c r="RF18" i="9"/>
  <c r="RD18" i="9"/>
  <c r="QZ18" i="9"/>
  <c r="QX18" i="9"/>
  <c r="QT18" i="9"/>
  <c r="QR18" i="9"/>
  <c r="QN18" i="9"/>
  <c r="QL18" i="9"/>
  <c r="QH18" i="9"/>
  <c r="QF18" i="9"/>
  <c r="QB18" i="9"/>
  <c r="PZ18" i="9"/>
  <c r="PV18" i="9"/>
  <c r="PT18" i="9"/>
  <c r="PP18" i="9"/>
  <c r="PN18" i="9"/>
  <c r="PJ18" i="9"/>
  <c r="PH18" i="9"/>
  <c r="PD18" i="9"/>
  <c r="PB18" i="9"/>
  <c r="OX18" i="9"/>
  <c r="OV18" i="9"/>
  <c r="OR18" i="9"/>
  <c r="OP18" i="9"/>
  <c r="OL18" i="9"/>
  <c r="OJ18" i="9"/>
  <c r="OF18" i="9"/>
  <c r="OD18" i="9"/>
  <c r="NZ18" i="9"/>
  <c r="NX18" i="9"/>
  <c r="NT18" i="9"/>
  <c r="NR18" i="9"/>
  <c r="NN18" i="9"/>
  <c r="NL18" i="9"/>
  <c r="NH18" i="9"/>
  <c r="NF18" i="9"/>
  <c r="NB18" i="9"/>
  <c r="MZ18" i="9"/>
  <c r="MV18" i="9"/>
  <c r="MT18" i="9"/>
  <c r="MP18" i="9"/>
  <c r="MN18" i="9"/>
  <c r="MJ18" i="9"/>
  <c r="MH18" i="9"/>
  <c r="MD18" i="9"/>
  <c r="MB18" i="9"/>
  <c r="LX18" i="9"/>
  <c r="LV18" i="9"/>
  <c r="LR18" i="9"/>
  <c r="LP18" i="9"/>
  <c r="LL18" i="9"/>
  <c r="LJ18" i="9"/>
  <c r="LF18" i="9"/>
  <c r="LD18" i="9"/>
  <c r="KZ18" i="9"/>
  <c r="KX18" i="9"/>
  <c r="KT18" i="9"/>
  <c r="KR18" i="9"/>
  <c r="KN18" i="9"/>
  <c r="KL18" i="9"/>
  <c r="KH18" i="9"/>
  <c r="KF18" i="9"/>
  <c r="KB18" i="9"/>
  <c r="JZ18" i="9"/>
  <c r="JV18" i="9"/>
  <c r="JT18" i="9"/>
  <c r="JP18" i="9"/>
  <c r="JN18" i="9"/>
  <c r="JJ18" i="9"/>
  <c r="JH18" i="9"/>
  <c r="JD18" i="9"/>
  <c r="JB18" i="9"/>
  <c r="IX18" i="9"/>
  <c r="IV18" i="9"/>
  <c r="IR18" i="9"/>
  <c r="IP18" i="9"/>
  <c r="IL18" i="9"/>
  <c r="IJ18" i="9"/>
  <c r="IF18" i="9"/>
  <c r="ID18" i="9"/>
  <c r="HZ18" i="9"/>
  <c r="HX18" i="9"/>
  <c r="HT18" i="9"/>
  <c r="HR18" i="9"/>
  <c r="HN18" i="9"/>
  <c r="HL18" i="9"/>
  <c r="HH18" i="9"/>
  <c r="HF18" i="9"/>
  <c r="HB18" i="9"/>
  <c r="GZ18" i="9"/>
  <c r="GV18" i="9"/>
  <c r="GT18" i="9"/>
  <c r="GP18" i="9"/>
  <c r="GN18" i="9"/>
  <c r="GJ18" i="9"/>
  <c r="GH18" i="9"/>
  <c r="GD18" i="9"/>
  <c r="GB18" i="9"/>
  <c r="FX18" i="9"/>
  <c r="FV18" i="9"/>
  <c r="FR18" i="9"/>
  <c r="FP18" i="9"/>
  <c r="FL18" i="9"/>
  <c r="FJ18" i="9"/>
  <c r="FF18" i="9"/>
  <c r="FD18" i="9"/>
  <c r="EZ18" i="9"/>
  <c r="EX18" i="9"/>
  <c r="ET18" i="9"/>
  <c r="ER18" i="9"/>
  <c r="EN18" i="9"/>
  <c r="EL18" i="9"/>
  <c r="EH18" i="9"/>
  <c r="EF18" i="9"/>
  <c r="EB18" i="9"/>
  <c r="DZ18" i="9"/>
  <c r="DV18" i="9"/>
  <c r="DT18" i="9"/>
  <c r="DP18" i="9"/>
  <c r="DN18" i="9"/>
  <c r="DJ18" i="9"/>
  <c r="DH18" i="9"/>
  <c r="DD18" i="9"/>
  <c r="DB18" i="9"/>
  <c r="CX18" i="9"/>
  <c r="CV18" i="9"/>
  <c r="CR18" i="9"/>
  <c r="CP18" i="9"/>
  <c r="CL18" i="9"/>
  <c r="CJ18" i="9"/>
  <c r="CF18" i="9"/>
  <c r="CD18" i="9"/>
  <c r="BZ18" i="9"/>
  <c r="BX18" i="9"/>
  <c r="BT18" i="9"/>
  <c r="BR18" i="9"/>
  <c r="BN18" i="9"/>
  <c r="BL18" i="9"/>
  <c r="BH18" i="9"/>
  <c r="BF18" i="9"/>
  <c r="BB18" i="9"/>
  <c r="AZ18" i="9"/>
  <c r="AV18" i="9"/>
  <c r="AT18" i="9"/>
  <c r="AP18" i="9"/>
  <c r="AN18" i="9"/>
  <c r="AJ18" i="9"/>
  <c r="AH18" i="9"/>
  <c r="AB18" i="9"/>
  <c r="V18" i="9"/>
  <c r="P18" i="9"/>
  <c r="J18" i="9"/>
  <c r="B18" i="9"/>
  <c r="AOZ17" i="9"/>
  <c r="AOX17" i="9"/>
  <c r="AOT17" i="9"/>
  <c r="AOR17" i="9"/>
  <c r="AON17" i="9"/>
  <c r="AOL17" i="9"/>
  <c r="AOH17" i="9"/>
  <c r="AOF17" i="9"/>
  <c r="AOB17" i="9"/>
  <c r="ANZ17" i="9"/>
  <c r="ANV17" i="9"/>
  <c r="ANT17" i="9"/>
  <c r="ANP17" i="9"/>
  <c r="ANN17" i="9"/>
  <c r="ANJ17" i="9"/>
  <c r="ANH17" i="9"/>
  <c r="AND17" i="9"/>
  <c r="ANB17" i="9"/>
  <c r="AMX17" i="9"/>
  <c r="AMV17" i="9"/>
  <c r="AMR17" i="9"/>
  <c r="AMP17" i="9"/>
  <c r="AML17" i="9"/>
  <c r="AMJ17" i="9"/>
  <c r="AMF17" i="9"/>
  <c r="AMD17" i="9"/>
  <c r="ALZ17" i="9"/>
  <c r="ALX17" i="9"/>
  <c r="ALT17" i="9"/>
  <c r="ALR17" i="9"/>
  <c r="ALN17" i="9"/>
  <c r="ALL17" i="9"/>
  <c r="ALH17" i="9"/>
  <c r="ALF17" i="9"/>
  <c r="ALB17" i="9"/>
  <c r="AKZ17" i="9"/>
  <c r="AKV17" i="9"/>
  <c r="AKT17" i="9"/>
  <c r="AKP17" i="9"/>
  <c r="AKN17" i="9"/>
  <c r="AKJ17" i="9"/>
  <c r="AKH17" i="9"/>
  <c r="AKD17" i="9"/>
  <c r="AKB17" i="9"/>
  <c r="AJX17" i="9"/>
  <c r="AJV17" i="9"/>
  <c r="AJR17" i="9"/>
  <c r="AJP17" i="9"/>
  <c r="AJL17" i="9"/>
  <c r="AJJ17" i="9"/>
  <c r="AJF17" i="9"/>
  <c r="AJD17" i="9"/>
  <c r="AIZ17" i="9"/>
  <c r="AIX17" i="9"/>
  <c r="AIT17" i="9"/>
  <c r="AIR17" i="9"/>
  <c r="AIN17" i="9"/>
  <c r="AIL17" i="9"/>
  <c r="AIH17" i="9"/>
  <c r="AIF17" i="9"/>
  <c r="AIB17" i="9"/>
  <c r="AHZ17" i="9"/>
  <c r="AHV17" i="9"/>
  <c r="AHT17" i="9"/>
  <c r="AHP17" i="9"/>
  <c r="AHN17" i="9"/>
  <c r="AHJ17" i="9"/>
  <c r="AHH17" i="9"/>
  <c r="AHD17" i="9"/>
  <c r="AHB17" i="9"/>
  <c r="AGX17" i="9"/>
  <c r="AGV17" i="9"/>
  <c r="AGR17" i="9"/>
  <c r="AGP17" i="9"/>
  <c r="AGL17" i="9"/>
  <c r="AGJ17" i="9"/>
  <c r="AGF17" i="9"/>
  <c r="AGD17" i="9"/>
  <c r="AFZ17" i="9"/>
  <c r="AFX17" i="9"/>
  <c r="AFT17" i="9"/>
  <c r="AFR17" i="9"/>
  <c r="AFN17" i="9"/>
  <c r="AFL17" i="9"/>
  <c r="AFH17" i="9"/>
  <c r="AFF17" i="9"/>
  <c r="AFB17" i="9"/>
  <c r="AEZ17" i="9"/>
  <c r="AEV17" i="9"/>
  <c r="AET17" i="9"/>
  <c r="AEP17" i="9"/>
  <c r="AEN17" i="9"/>
  <c r="AEJ17" i="9"/>
  <c r="AEH17" i="9"/>
  <c r="AED17" i="9"/>
  <c r="AEB17" i="9"/>
  <c r="ADX17" i="9"/>
  <c r="ADV17" i="9"/>
  <c r="ADR17" i="9"/>
  <c r="ADP17" i="9"/>
  <c r="ADL17" i="9"/>
  <c r="ADJ17" i="9"/>
  <c r="ADF17" i="9"/>
  <c r="ADD17" i="9"/>
  <c r="ACZ17" i="9"/>
  <c r="ACX17" i="9"/>
  <c r="ACT17" i="9"/>
  <c r="ACR17" i="9"/>
  <c r="ACN17" i="9"/>
  <c r="ACL17" i="9"/>
  <c r="ACH17" i="9"/>
  <c r="ACF17" i="9"/>
  <c r="ACB17" i="9"/>
  <c r="ABZ17" i="9"/>
  <c r="ABV17" i="9"/>
  <c r="ABT17" i="9"/>
  <c r="ABP17" i="9"/>
  <c r="ABN17" i="9"/>
  <c r="ABJ17" i="9"/>
  <c r="ABH17" i="9"/>
  <c r="ABD17" i="9"/>
  <c r="ABB17" i="9"/>
  <c r="AAX17" i="9"/>
  <c r="AAV17" i="9"/>
  <c r="AAR17" i="9"/>
  <c r="AAP17" i="9"/>
  <c r="AAL17" i="9"/>
  <c r="AAJ17" i="9"/>
  <c r="AAF17" i="9"/>
  <c r="AAD17" i="9"/>
  <c r="ZZ17" i="9"/>
  <c r="ZX17" i="9"/>
  <c r="ZT17" i="9"/>
  <c r="ZR17" i="9"/>
  <c r="ZN17" i="9"/>
  <c r="ZL17" i="9"/>
  <c r="ZH17" i="9"/>
  <c r="ZF17" i="9"/>
  <c r="ZB17" i="9"/>
  <c r="YZ17" i="9"/>
  <c r="YV17" i="9"/>
  <c r="YT17" i="9"/>
  <c r="YP17" i="9"/>
  <c r="YN17" i="9"/>
  <c r="YJ17" i="9"/>
  <c r="YH17" i="9"/>
  <c r="YD17" i="9"/>
  <c r="YB17" i="9"/>
  <c r="XX17" i="9"/>
  <c r="XV17" i="9"/>
  <c r="XR17" i="9"/>
  <c r="XP17" i="9"/>
  <c r="XL17" i="9"/>
  <c r="XJ17" i="9"/>
  <c r="XF17" i="9"/>
  <c r="XD17" i="9"/>
  <c r="WZ17" i="9"/>
  <c r="WX17" i="9"/>
  <c r="WT17" i="9"/>
  <c r="WR17" i="9"/>
  <c r="WN17" i="9"/>
  <c r="WL17" i="9"/>
  <c r="WH17" i="9"/>
  <c r="WF17" i="9"/>
  <c r="WB17" i="9"/>
  <c r="VZ17" i="9"/>
  <c r="VV17" i="9"/>
  <c r="VT17" i="9"/>
  <c r="VP17" i="9"/>
  <c r="VN17" i="9"/>
  <c r="VJ17" i="9"/>
  <c r="VH17" i="9"/>
  <c r="VD17" i="9"/>
  <c r="VB17" i="9"/>
  <c r="UX17" i="9"/>
  <c r="UV17" i="9"/>
  <c r="UR17" i="9"/>
  <c r="UP17" i="9"/>
  <c r="UL17" i="9"/>
  <c r="UJ17" i="9"/>
  <c r="UF17" i="9"/>
  <c r="UD17" i="9"/>
  <c r="TZ17" i="9"/>
  <c r="TX17" i="9"/>
  <c r="TT17" i="9"/>
  <c r="TR17" i="9"/>
  <c r="TN17" i="9"/>
  <c r="TL17" i="9"/>
  <c r="TH17" i="9"/>
  <c r="TF17" i="9"/>
  <c r="TB17" i="9"/>
  <c r="SZ17" i="9"/>
  <c r="SV17" i="9"/>
  <c r="ST17" i="9"/>
  <c r="SP17" i="9"/>
  <c r="SN17" i="9"/>
  <c r="SJ17" i="9"/>
  <c r="SH17" i="9"/>
  <c r="SD17" i="9"/>
  <c r="SB17" i="9"/>
  <c r="RX17" i="9"/>
  <c r="RV17" i="9"/>
  <c r="RR17" i="9"/>
  <c r="RP17" i="9"/>
  <c r="RL17" i="9"/>
  <c r="RJ17" i="9"/>
  <c r="RF17" i="9"/>
  <c r="RD17" i="9"/>
  <c r="QZ17" i="9"/>
  <c r="QX17" i="9"/>
  <c r="QT17" i="9"/>
  <c r="QR17" i="9"/>
  <c r="QN17" i="9"/>
  <c r="QL17" i="9"/>
  <c r="QH17" i="9"/>
  <c r="QF17" i="9"/>
  <c r="QB17" i="9"/>
  <c r="PZ17" i="9"/>
  <c r="PV17" i="9"/>
  <c r="PT17" i="9"/>
  <c r="PP17" i="9"/>
  <c r="PN17" i="9"/>
  <c r="PJ17" i="9"/>
  <c r="PH17" i="9"/>
  <c r="PD17" i="9"/>
  <c r="PB17" i="9"/>
  <c r="OX17" i="9"/>
  <c r="OV17" i="9"/>
  <c r="OR17" i="9"/>
  <c r="OP17" i="9"/>
  <c r="OL17" i="9"/>
  <c r="OJ17" i="9"/>
  <c r="OF17" i="9"/>
  <c r="OD17" i="9"/>
  <c r="NZ17" i="9"/>
  <c r="NX17" i="9"/>
  <c r="NT17" i="9"/>
  <c r="NR17" i="9"/>
  <c r="NN17" i="9"/>
  <c r="NL17" i="9"/>
  <c r="NH17" i="9"/>
  <c r="NF17" i="9"/>
  <c r="NB17" i="9"/>
  <c r="MZ17" i="9"/>
  <c r="MV17" i="9"/>
  <c r="MT17" i="9"/>
  <c r="MP17" i="9"/>
  <c r="MN17" i="9"/>
  <c r="MJ17" i="9"/>
  <c r="MH17" i="9"/>
  <c r="MD17" i="9"/>
  <c r="MB17" i="9"/>
  <c r="LX17" i="9"/>
  <c r="LV17" i="9"/>
  <c r="LR17" i="9"/>
  <c r="LP17" i="9"/>
  <c r="LL17" i="9"/>
  <c r="LJ17" i="9"/>
  <c r="LF17" i="9"/>
  <c r="LD17" i="9"/>
  <c r="KZ17" i="9"/>
  <c r="KX17" i="9"/>
  <c r="KT17" i="9"/>
  <c r="KR17" i="9"/>
  <c r="KN17" i="9"/>
  <c r="KL17" i="9"/>
  <c r="KH17" i="9"/>
  <c r="KF17" i="9"/>
  <c r="KB17" i="9"/>
  <c r="JZ17" i="9"/>
  <c r="JV17" i="9"/>
  <c r="JT17" i="9"/>
  <c r="JP17" i="9"/>
  <c r="JN17" i="9"/>
  <c r="JJ17" i="9"/>
  <c r="JH17" i="9"/>
  <c r="JD17" i="9"/>
  <c r="JB17" i="9"/>
  <c r="IX17" i="9"/>
  <c r="IV17" i="9"/>
  <c r="IR17" i="9"/>
  <c r="IP17" i="9"/>
  <c r="IL17" i="9"/>
  <c r="IJ17" i="9"/>
  <c r="IF17" i="9"/>
  <c r="ID17" i="9"/>
  <c r="HZ17" i="9"/>
  <c r="HX17" i="9"/>
  <c r="HT17" i="9"/>
  <c r="HR17" i="9"/>
  <c r="HN17" i="9"/>
  <c r="HL17" i="9"/>
  <c r="HH17" i="9"/>
  <c r="HF17" i="9"/>
  <c r="HB17" i="9"/>
  <c r="GZ17" i="9"/>
  <c r="GV17" i="9"/>
  <c r="GT17" i="9"/>
  <c r="GP17" i="9"/>
  <c r="GN17" i="9"/>
  <c r="GJ17" i="9"/>
  <c r="GH17" i="9"/>
  <c r="GD17" i="9"/>
  <c r="GB17" i="9"/>
  <c r="FX17" i="9"/>
  <c r="FV17" i="9"/>
  <c r="FR17" i="9"/>
  <c r="FP17" i="9"/>
  <c r="FL17" i="9"/>
  <c r="FJ17" i="9"/>
  <c r="FF17" i="9"/>
  <c r="FD17" i="9"/>
  <c r="EZ17" i="9"/>
  <c r="EX17" i="9"/>
  <c r="ET17" i="9"/>
  <c r="ER17" i="9"/>
  <c r="EN17" i="9"/>
  <c r="EL17" i="9"/>
  <c r="EH17" i="9"/>
  <c r="EF17" i="9"/>
  <c r="EB17" i="9"/>
  <c r="DZ17" i="9"/>
  <c r="DV17" i="9"/>
  <c r="DT17" i="9"/>
  <c r="DP17" i="9"/>
  <c r="DN17" i="9"/>
  <c r="DJ17" i="9"/>
  <c r="DH17" i="9"/>
  <c r="DD17" i="9"/>
  <c r="DB17" i="9"/>
  <c r="CX17" i="9"/>
  <c r="CV17" i="9"/>
  <c r="CR17" i="9"/>
  <c r="CP17" i="9"/>
  <c r="CL17" i="9"/>
  <c r="CJ17" i="9"/>
  <c r="CF17" i="9"/>
  <c r="CD17" i="9"/>
  <c r="BZ17" i="9"/>
  <c r="BX17" i="9"/>
  <c r="BT17" i="9"/>
  <c r="BR17" i="9"/>
  <c r="BN17" i="9"/>
  <c r="BL17" i="9"/>
  <c r="BH17" i="9"/>
  <c r="BF17" i="9"/>
  <c r="BB17" i="9"/>
  <c r="AZ17" i="9"/>
  <c r="AV17" i="9"/>
  <c r="AT17" i="9"/>
  <c r="AP17" i="9"/>
  <c r="AN17" i="9"/>
  <c r="AJ17" i="9"/>
  <c r="AH17" i="9"/>
  <c r="AD17" i="9"/>
  <c r="B17" i="9" s="1"/>
  <c r="AB17" i="9"/>
  <c r="V17" i="9"/>
  <c r="P17" i="9"/>
  <c r="J17" i="9"/>
  <c r="AOZ16" i="9"/>
  <c r="AOX16" i="9"/>
  <c r="AOT16" i="9"/>
  <c r="AOR16" i="9"/>
  <c r="AON16" i="9"/>
  <c r="AOL16" i="9"/>
  <c r="AOH16" i="9"/>
  <c r="AOF16" i="9"/>
  <c r="AOB16" i="9"/>
  <c r="ANZ16" i="9"/>
  <c r="ANV16" i="9"/>
  <c r="ANT16" i="9"/>
  <c r="ANP16" i="9"/>
  <c r="ANN16" i="9"/>
  <c r="ANJ16" i="9"/>
  <c r="ANH16" i="9"/>
  <c r="AND16" i="9"/>
  <c r="ANB16" i="9"/>
  <c r="AMX16" i="9"/>
  <c r="AMV16" i="9"/>
  <c r="AMR16" i="9"/>
  <c r="AMP16" i="9"/>
  <c r="AML16" i="9"/>
  <c r="AMJ16" i="9"/>
  <c r="AMF16" i="9"/>
  <c r="AMD16" i="9"/>
  <c r="ALZ16" i="9"/>
  <c r="ALX16" i="9"/>
  <c r="ALT16" i="9"/>
  <c r="ALR16" i="9"/>
  <c r="ALN16" i="9"/>
  <c r="ALL16" i="9"/>
  <c r="ALH16" i="9"/>
  <c r="ALF16" i="9"/>
  <c r="ALB16" i="9"/>
  <c r="AKZ16" i="9"/>
  <c r="AKV16" i="9"/>
  <c r="AKT16" i="9"/>
  <c r="AKP16" i="9"/>
  <c r="AKN16" i="9"/>
  <c r="AKJ16" i="9"/>
  <c r="AKH16" i="9"/>
  <c r="AKD16" i="9"/>
  <c r="AKB16" i="9"/>
  <c r="AJX16" i="9"/>
  <c r="AJV16" i="9"/>
  <c r="AJR16" i="9"/>
  <c r="AJP16" i="9"/>
  <c r="AJL16" i="9"/>
  <c r="AJJ16" i="9"/>
  <c r="AJF16" i="9"/>
  <c r="AJD16" i="9"/>
  <c r="AIZ16" i="9"/>
  <c r="AIX16" i="9"/>
  <c r="AIT16" i="9"/>
  <c r="AIR16" i="9"/>
  <c r="AIN16" i="9"/>
  <c r="AIL16" i="9"/>
  <c r="AIH16" i="9"/>
  <c r="AIF16" i="9"/>
  <c r="AIB16" i="9"/>
  <c r="AHZ16" i="9"/>
  <c r="AHV16" i="9"/>
  <c r="AHT16" i="9"/>
  <c r="AHP16" i="9"/>
  <c r="AHN16" i="9"/>
  <c r="AHJ16" i="9"/>
  <c r="AHH16" i="9"/>
  <c r="AHD16" i="9"/>
  <c r="AHB16" i="9"/>
  <c r="AGX16" i="9"/>
  <c r="AGV16" i="9"/>
  <c r="AGR16" i="9"/>
  <c r="AGP16" i="9"/>
  <c r="AGL16" i="9"/>
  <c r="AGJ16" i="9"/>
  <c r="AGF16" i="9"/>
  <c r="AGD16" i="9"/>
  <c r="AFZ16" i="9"/>
  <c r="AFX16" i="9"/>
  <c r="AFT16" i="9"/>
  <c r="AFR16" i="9"/>
  <c r="AFN16" i="9"/>
  <c r="AFL16" i="9"/>
  <c r="AFH16" i="9"/>
  <c r="AFF16" i="9"/>
  <c r="AFB16" i="9"/>
  <c r="AEZ16" i="9"/>
  <c r="AEV16" i="9"/>
  <c r="AET16" i="9"/>
  <c r="AEP16" i="9"/>
  <c r="AEN16" i="9"/>
  <c r="AEJ16" i="9"/>
  <c r="AEH16" i="9"/>
  <c r="AED16" i="9"/>
  <c r="AEB16" i="9"/>
  <c r="ADX16" i="9"/>
  <c r="ADV16" i="9"/>
  <c r="ADR16" i="9"/>
  <c r="ADP16" i="9"/>
  <c r="ADL16" i="9"/>
  <c r="ADJ16" i="9"/>
  <c r="ADF16" i="9"/>
  <c r="ADD16" i="9"/>
  <c r="ACZ16" i="9"/>
  <c r="ACX16" i="9"/>
  <c r="ACT16" i="9"/>
  <c r="ACR16" i="9"/>
  <c r="ACN16" i="9"/>
  <c r="ACL16" i="9"/>
  <c r="ACH16" i="9"/>
  <c r="ACF16" i="9"/>
  <c r="ACB16" i="9"/>
  <c r="ABZ16" i="9"/>
  <c r="ABV16" i="9"/>
  <c r="ABT16" i="9"/>
  <c r="ABP16" i="9"/>
  <c r="ABN16" i="9"/>
  <c r="ABJ16" i="9"/>
  <c r="ABH16" i="9"/>
  <c r="ABD16" i="9"/>
  <c r="ABB16" i="9"/>
  <c r="AAX16" i="9"/>
  <c r="AAV16" i="9"/>
  <c r="AAR16" i="9"/>
  <c r="AAP16" i="9"/>
  <c r="AAL16" i="9"/>
  <c r="AAJ16" i="9"/>
  <c r="AAF16" i="9"/>
  <c r="AAD16" i="9"/>
  <c r="ZZ16" i="9"/>
  <c r="ZX16" i="9"/>
  <c r="ZT16" i="9"/>
  <c r="ZR16" i="9"/>
  <c r="ZN16" i="9"/>
  <c r="ZL16" i="9"/>
  <c r="ZH16" i="9"/>
  <c r="ZF16" i="9"/>
  <c r="ZB16" i="9"/>
  <c r="YZ16" i="9"/>
  <c r="YV16" i="9"/>
  <c r="YT16" i="9"/>
  <c r="YP16" i="9"/>
  <c r="YN16" i="9"/>
  <c r="YJ16" i="9"/>
  <c r="YH16" i="9"/>
  <c r="YD16" i="9"/>
  <c r="YB16" i="9"/>
  <c r="XX16" i="9"/>
  <c r="XV16" i="9"/>
  <c r="XR16" i="9"/>
  <c r="XP16" i="9"/>
  <c r="XL16" i="9"/>
  <c r="XJ16" i="9"/>
  <c r="XF16" i="9"/>
  <c r="XD16" i="9"/>
  <c r="WZ16" i="9"/>
  <c r="WX16" i="9"/>
  <c r="WT16" i="9"/>
  <c r="WR16" i="9"/>
  <c r="WN16" i="9"/>
  <c r="WL16" i="9"/>
  <c r="WH16" i="9"/>
  <c r="WF16" i="9"/>
  <c r="WB16" i="9"/>
  <c r="VZ16" i="9"/>
  <c r="VV16" i="9"/>
  <c r="VT16" i="9"/>
  <c r="VP16" i="9"/>
  <c r="VN16" i="9"/>
  <c r="VJ16" i="9"/>
  <c r="VH16" i="9"/>
  <c r="VD16" i="9"/>
  <c r="VB16" i="9"/>
  <c r="UX16" i="9"/>
  <c r="UV16" i="9"/>
  <c r="UR16" i="9"/>
  <c r="UP16" i="9"/>
  <c r="UL16" i="9"/>
  <c r="UJ16" i="9"/>
  <c r="UF16" i="9"/>
  <c r="UD16" i="9"/>
  <c r="TZ16" i="9"/>
  <c r="TX16" i="9"/>
  <c r="TT16" i="9"/>
  <c r="TR16" i="9"/>
  <c r="TN16" i="9"/>
  <c r="TL16" i="9"/>
  <c r="TH16" i="9"/>
  <c r="TF16" i="9"/>
  <c r="TB16" i="9"/>
  <c r="SZ16" i="9"/>
  <c r="SV16" i="9"/>
  <c r="ST16" i="9"/>
  <c r="SP16" i="9"/>
  <c r="SN16" i="9"/>
  <c r="SJ16" i="9"/>
  <c r="SH16" i="9"/>
  <c r="SD16" i="9"/>
  <c r="SB16" i="9"/>
  <c r="RX16" i="9"/>
  <c r="RV16" i="9"/>
  <c r="RR16" i="9"/>
  <c r="RP16" i="9"/>
  <c r="RL16" i="9"/>
  <c r="RJ16" i="9"/>
  <c r="RF16" i="9"/>
  <c r="RD16" i="9"/>
  <c r="QZ16" i="9"/>
  <c r="QX16" i="9"/>
  <c r="QT16" i="9"/>
  <c r="QR16" i="9"/>
  <c r="QN16" i="9"/>
  <c r="QL16" i="9"/>
  <c r="QH16" i="9"/>
  <c r="QF16" i="9"/>
  <c r="QB16" i="9"/>
  <c r="PZ16" i="9"/>
  <c r="PV16" i="9"/>
  <c r="PT16" i="9"/>
  <c r="PP16" i="9"/>
  <c r="PN16" i="9"/>
  <c r="PJ16" i="9"/>
  <c r="PH16" i="9"/>
  <c r="PD16" i="9"/>
  <c r="PB16" i="9"/>
  <c r="OX16" i="9"/>
  <c r="OV16" i="9"/>
  <c r="OR16" i="9"/>
  <c r="OP16" i="9"/>
  <c r="OL16" i="9"/>
  <c r="OJ16" i="9"/>
  <c r="OF16" i="9"/>
  <c r="OD16" i="9"/>
  <c r="NZ16" i="9"/>
  <c r="NX16" i="9"/>
  <c r="NT16" i="9"/>
  <c r="NR16" i="9"/>
  <c r="NN16" i="9"/>
  <c r="NL16" i="9"/>
  <c r="NH16" i="9"/>
  <c r="NF16" i="9"/>
  <c r="NB16" i="9"/>
  <c r="MZ16" i="9"/>
  <c r="MV16" i="9"/>
  <c r="MT16" i="9"/>
  <c r="MP16" i="9"/>
  <c r="MN16" i="9"/>
  <c r="MJ16" i="9"/>
  <c r="MH16" i="9"/>
  <c r="MD16" i="9"/>
  <c r="MB16" i="9"/>
  <c r="LX16" i="9"/>
  <c r="LV16" i="9"/>
  <c r="LR16" i="9"/>
  <c r="LP16" i="9"/>
  <c r="LL16" i="9"/>
  <c r="LJ16" i="9"/>
  <c r="LF16" i="9"/>
  <c r="LD16" i="9"/>
  <c r="KZ16" i="9"/>
  <c r="KX16" i="9"/>
  <c r="KT16" i="9"/>
  <c r="KR16" i="9"/>
  <c r="KN16" i="9"/>
  <c r="KL16" i="9"/>
  <c r="KH16" i="9"/>
  <c r="KF16" i="9"/>
  <c r="KB16" i="9"/>
  <c r="JZ16" i="9"/>
  <c r="JV16" i="9"/>
  <c r="JT16" i="9"/>
  <c r="JP16" i="9"/>
  <c r="JN16" i="9"/>
  <c r="JJ16" i="9"/>
  <c r="JH16" i="9"/>
  <c r="JD16" i="9"/>
  <c r="JB16" i="9"/>
  <c r="IX16" i="9"/>
  <c r="IV16" i="9"/>
  <c r="IR16" i="9"/>
  <c r="IP16" i="9"/>
  <c r="IL16" i="9"/>
  <c r="IJ16" i="9"/>
  <c r="IF16" i="9"/>
  <c r="ID16" i="9"/>
  <c r="HZ16" i="9"/>
  <c r="HX16" i="9"/>
  <c r="HT16" i="9"/>
  <c r="HR16" i="9"/>
  <c r="HN16" i="9"/>
  <c r="HL16" i="9"/>
  <c r="HH16" i="9"/>
  <c r="HF16" i="9"/>
  <c r="HB16" i="9"/>
  <c r="GZ16" i="9"/>
  <c r="GV16" i="9"/>
  <c r="GT16" i="9"/>
  <c r="GP16" i="9"/>
  <c r="GN16" i="9"/>
  <c r="GJ16" i="9"/>
  <c r="GH16" i="9"/>
  <c r="GD16" i="9"/>
  <c r="GB16" i="9"/>
  <c r="FX16" i="9"/>
  <c r="FV16" i="9"/>
  <c r="FR16" i="9"/>
  <c r="FP16" i="9"/>
  <c r="FL16" i="9"/>
  <c r="FJ16" i="9"/>
  <c r="FF16" i="9"/>
  <c r="FD16" i="9"/>
  <c r="EZ16" i="9"/>
  <c r="EX16" i="9"/>
  <c r="ET16" i="9"/>
  <c r="ER16" i="9"/>
  <c r="EN16" i="9"/>
  <c r="EL16" i="9"/>
  <c r="EH16" i="9"/>
  <c r="EF16" i="9"/>
  <c r="EB16" i="9"/>
  <c r="DZ16" i="9"/>
  <c r="DV16" i="9"/>
  <c r="DT16" i="9"/>
  <c r="DP16" i="9"/>
  <c r="DN16" i="9"/>
  <c r="DJ16" i="9"/>
  <c r="DH16" i="9"/>
  <c r="DD16" i="9"/>
  <c r="DB16" i="9"/>
  <c r="CX16" i="9"/>
  <c r="CV16" i="9"/>
  <c r="CR16" i="9"/>
  <c r="CP16" i="9"/>
  <c r="CL16" i="9"/>
  <c r="CJ16" i="9"/>
  <c r="CF16" i="9"/>
  <c r="CD16" i="9"/>
  <c r="BZ16" i="9"/>
  <c r="BX16" i="9"/>
  <c r="BT16" i="9"/>
  <c r="BR16" i="9"/>
  <c r="BN16" i="9"/>
  <c r="BL16" i="9"/>
  <c r="BH16" i="9"/>
  <c r="BF16" i="9"/>
  <c r="BB16" i="9"/>
  <c r="AZ16" i="9"/>
  <c r="AV16" i="9"/>
  <c r="AT16" i="9"/>
  <c r="AP16" i="9"/>
  <c r="AN16" i="9"/>
  <c r="AJ16" i="9"/>
  <c r="AH16" i="9"/>
  <c r="AD16" i="9"/>
  <c r="AB16" i="9"/>
  <c r="W16" i="9"/>
  <c r="X16" i="9" s="1"/>
  <c r="V16" i="9"/>
  <c r="P16" i="9"/>
  <c r="J16" i="9"/>
  <c r="ANN13" i="9"/>
  <c r="ANH13" i="9"/>
  <c r="ANB13" i="9"/>
  <c r="AMV13" i="9"/>
  <c r="AMP13" i="9"/>
  <c r="AMJ13" i="9"/>
  <c r="AMD13" i="9"/>
  <c r="ALX13" i="9"/>
  <c r="ALR13" i="9"/>
  <c r="ALL13" i="9"/>
  <c r="ALF13" i="9"/>
  <c r="AKZ13" i="9"/>
  <c r="AKT13" i="9"/>
  <c r="AKN13" i="9"/>
  <c r="BR12" i="9"/>
  <c r="BL12" i="9"/>
  <c r="BF12" i="9"/>
  <c r="AZ12" i="9"/>
  <c r="AT12" i="9"/>
  <c r="P12" i="9"/>
  <c r="R12" i="9" s="1"/>
  <c r="J12" i="9"/>
  <c r="L12" i="9" s="1"/>
  <c r="AOZ11" i="9"/>
  <c r="AOX11" i="9"/>
  <c r="AOL11" i="9"/>
  <c r="AON11" i="9" s="1"/>
  <c r="AOF11" i="9"/>
  <c r="AOH11" i="9" s="1"/>
  <c r="ANZ11" i="9"/>
  <c r="AOB11" i="9" s="1"/>
  <c r="ANT11" i="9"/>
  <c r="ANV11" i="9" s="1"/>
  <c r="ANN11" i="9"/>
  <c r="ANP11" i="9" s="1"/>
  <c r="ANH11" i="9"/>
  <c r="ANJ11" i="9" s="1"/>
  <c r="ANB11" i="9"/>
  <c r="AND11" i="9" s="1"/>
  <c r="AMV11" i="9"/>
  <c r="AMX11" i="9" s="1"/>
  <c r="AMP11" i="9"/>
  <c r="AMR11" i="9" s="1"/>
  <c r="AMJ11" i="9"/>
  <c r="AML11" i="9" s="1"/>
  <c r="AMD11" i="9"/>
  <c r="AMF11" i="9" s="1"/>
  <c r="ALX11" i="9"/>
  <c r="ALZ11" i="9" s="1"/>
  <c r="ALR11" i="9"/>
  <c r="ALT11" i="9" s="1"/>
  <c r="ALL11" i="9"/>
  <c r="ALN11" i="9" s="1"/>
  <c r="ALF11" i="9"/>
  <c r="ALH11" i="9" s="1"/>
  <c r="AKZ11" i="9"/>
  <c r="ALB11" i="9" s="1"/>
  <c r="AKT11" i="9"/>
  <c r="AKV11" i="9" s="1"/>
  <c r="AKN11" i="9"/>
  <c r="AKP11" i="9" s="1"/>
  <c r="AKH11" i="9"/>
  <c r="AKJ11" i="9" s="1"/>
  <c r="AKB11" i="9"/>
  <c r="AKD11" i="9" s="1"/>
  <c r="AJV11" i="9"/>
  <c r="AJX11" i="9" s="1"/>
  <c r="AJP11" i="9"/>
  <c r="AJR11" i="9" s="1"/>
  <c r="AJJ11" i="9"/>
  <c r="AJL11" i="9" s="1"/>
  <c r="AJD11" i="9"/>
  <c r="AJF11" i="9" s="1"/>
  <c r="AIX11" i="9"/>
  <c r="AIZ11" i="9" s="1"/>
  <c r="AIR11" i="9"/>
  <c r="AIT11" i="9" s="1"/>
  <c r="AIL11" i="9"/>
  <c r="AIN11" i="9" s="1"/>
  <c r="AIF11" i="9"/>
  <c r="AIH11" i="9" s="1"/>
  <c r="AHZ11" i="9"/>
  <c r="AIB11" i="9" s="1"/>
  <c r="AHT11" i="9"/>
  <c r="AHV11" i="9" s="1"/>
  <c r="AHN11" i="9"/>
  <c r="AHP11" i="9" s="1"/>
  <c r="AHH11" i="9"/>
  <c r="AHJ11" i="9" s="1"/>
  <c r="AHB11" i="9"/>
  <c r="AHD11" i="9" s="1"/>
  <c r="AGV11" i="9"/>
  <c r="AGX11" i="9" s="1"/>
  <c r="AGP11" i="9"/>
  <c r="AGR11" i="9" s="1"/>
  <c r="AGJ11" i="9"/>
  <c r="AGL11" i="9" s="1"/>
  <c r="AGD11" i="9"/>
  <c r="AGF11" i="9" s="1"/>
  <c r="AFX11" i="9"/>
  <c r="AFZ11" i="9" s="1"/>
  <c r="AFR11" i="9"/>
  <c r="AFT11" i="9" s="1"/>
  <c r="AFL11" i="9"/>
  <c r="AFN11" i="9" s="1"/>
  <c r="AFF11" i="9"/>
  <c r="AFH11" i="9" s="1"/>
  <c r="AEZ11" i="9"/>
  <c r="AFB11" i="9" s="1"/>
  <c r="AET11" i="9"/>
  <c r="AEV11" i="9" s="1"/>
  <c r="AEN11" i="9"/>
  <c r="AEP11" i="9" s="1"/>
  <c r="AEH11" i="9"/>
  <c r="AEJ11" i="9" s="1"/>
  <c r="AEB11" i="9"/>
  <c r="AED11" i="9" s="1"/>
  <c r="ADV11" i="9"/>
  <c r="ADX11" i="9" s="1"/>
  <c r="ADP11" i="9"/>
  <c r="ADR11" i="9" s="1"/>
  <c r="ADJ11" i="9"/>
  <c r="ADL11" i="9" s="1"/>
  <c r="ADD11" i="9"/>
  <c r="ADF11" i="9" s="1"/>
  <c r="ACX11" i="9"/>
  <c r="ACZ11" i="9" s="1"/>
  <c r="ACR11" i="9"/>
  <c r="ACT11" i="9" s="1"/>
  <c r="ACL11" i="9"/>
  <c r="ACN11" i="9" s="1"/>
  <c r="ACF11" i="9"/>
  <c r="ACH11" i="9" s="1"/>
  <c r="ABZ11" i="9"/>
  <c r="ACB11" i="9" s="1"/>
  <c r="ABT11" i="9"/>
  <c r="ABV11" i="9" s="1"/>
  <c r="ABN11" i="9"/>
  <c r="ABP11" i="9" s="1"/>
  <c r="ABH11" i="9"/>
  <c r="ABJ11" i="9" s="1"/>
  <c r="ABB11" i="9"/>
  <c r="ABD11" i="9" s="1"/>
  <c r="AAV11" i="9"/>
  <c r="AAX11" i="9" s="1"/>
  <c r="AAP11" i="9"/>
  <c r="AAR11" i="9" s="1"/>
  <c r="AAJ11" i="9"/>
  <c r="AAL11" i="9" s="1"/>
  <c r="AAD11" i="9"/>
  <c r="AAF11" i="9" s="1"/>
  <c r="ZX11" i="9"/>
  <c r="ZZ11" i="9" s="1"/>
  <c r="ZR11" i="9"/>
  <c r="ZT11" i="9" s="1"/>
  <c r="ZL11" i="9"/>
  <c r="ZN11" i="9" s="1"/>
  <c r="ZF11" i="9"/>
  <c r="ZH11" i="9" s="1"/>
  <c r="YZ11" i="9"/>
  <c r="ZB11" i="9" s="1"/>
  <c r="YT11" i="9"/>
  <c r="YV11" i="9" s="1"/>
  <c r="YN11" i="9"/>
  <c r="YP11" i="9" s="1"/>
  <c r="YH11" i="9"/>
  <c r="YJ11" i="9" s="1"/>
  <c r="YB11" i="9"/>
  <c r="YD11" i="9" s="1"/>
  <c r="XV11" i="9"/>
  <c r="XX11" i="9" s="1"/>
  <c r="XP11" i="9"/>
  <c r="XR11" i="9" s="1"/>
  <c r="XJ11" i="9"/>
  <c r="XL11" i="9" s="1"/>
  <c r="XD11" i="9"/>
  <c r="XF11" i="9" s="1"/>
  <c r="WX11" i="9"/>
  <c r="WZ11" i="9" s="1"/>
  <c r="WR11" i="9"/>
  <c r="WT11" i="9" s="1"/>
  <c r="WL11" i="9"/>
  <c r="WN11" i="9" s="1"/>
  <c r="WF11" i="9"/>
  <c r="WH11" i="9" s="1"/>
  <c r="VZ11" i="9"/>
  <c r="WB11" i="9" s="1"/>
  <c r="VT11" i="9"/>
  <c r="VV11" i="9" s="1"/>
  <c r="VN11" i="9"/>
  <c r="VP11" i="9" s="1"/>
  <c r="VH11" i="9"/>
  <c r="VJ11" i="9" s="1"/>
  <c r="VB11" i="9"/>
  <c r="VD11" i="9" s="1"/>
  <c r="UV11" i="9"/>
  <c r="UX11" i="9" s="1"/>
  <c r="UP11" i="9"/>
  <c r="UR11" i="9" s="1"/>
  <c r="UJ11" i="9"/>
  <c r="UL11" i="9" s="1"/>
  <c r="UF11" i="9"/>
  <c r="UD11" i="9"/>
  <c r="TX11" i="9"/>
  <c r="TZ11" i="9" s="1"/>
  <c r="TR11" i="9"/>
  <c r="TT11" i="9" s="1"/>
  <c r="TL11" i="9"/>
  <c r="TN11" i="9" s="1"/>
  <c r="TF11" i="9"/>
  <c r="TH11" i="9" s="1"/>
  <c r="SZ11" i="9"/>
  <c r="TB11" i="9" s="1"/>
  <c r="ST11" i="9"/>
  <c r="SV11" i="9" s="1"/>
  <c r="SN11" i="9"/>
  <c r="SP11" i="9" s="1"/>
  <c r="SH11" i="9"/>
  <c r="SJ11" i="9" s="1"/>
  <c r="SD11" i="9"/>
  <c r="SB11" i="9"/>
  <c r="RV11" i="9"/>
  <c r="RX11" i="9" s="1"/>
  <c r="RP11" i="9"/>
  <c r="RR11" i="9" s="1"/>
  <c r="RJ11" i="9"/>
  <c r="RL11" i="9" s="1"/>
  <c r="RD11" i="9"/>
  <c r="RF11" i="9" s="1"/>
  <c r="QX11" i="9"/>
  <c r="QZ11" i="9" s="1"/>
  <c r="QR11" i="9"/>
  <c r="QT11" i="9" s="1"/>
  <c r="QL11" i="9"/>
  <c r="QN11" i="9" s="1"/>
  <c r="QF11" i="9"/>
  <c r="QH11" i="9" s="1"/>
  <c r="QB11" i="9"/>
  <c r="PZ11" i="9"/>
  <c r="PT11" i="9"/>
  <c r="PV11" i="9" s="1"/>
  <c r="PN11" i="9"/>
  <c r="PP11" i="9" s="1"/>
  <c r="PH11" i="9"/>
  <c r="PJ11" i="9" s="1"/>
  <c r="PB11" i="9"/>
  <c r="PD11" i="9" s="1"/>
  <c r="OV11" i="9"/>
  <c r="OX11" i="9" s="1"/>
  <c r="OP11" i="9"/>
  <c r="OR11" i="9" s="1"/>
  <c r="OJ11" i="9"/>
  <c r="OL11" i="9" s="1"/>
  <c r="OD11" i="9"/>
  <c r="OF11" i="9" s="1"/>
  <c r="NZ11" i="9"/>
  <c r="NX11" i="9"/>
  <c r="NR11" i="9"/>
  <c r="NT11" i="9" s="1"/>
  <c r="NL11" i="9"/>
  <c r="NN11" i="9" s="1"/>
  <c r="NF11" i="9"/>
  <c r="NH11" i="9" s="1"/>
  <c r="MZ11" i="9"/>
  <c r="NB11" i="9" s="1"/>
  <c r="MT11" i="9"/>
  <c r="MV11" i="9" s="1"/>
  <c r="MN11" i="9"/>
  <c r="MP11" i="9" s="1"/>
  <c r="MH11" i="9"/>
  <c r="MJ11" i="9" s="1"/>
  <c r="MB11" i="9"/>
  <c r="MD11" i="9" s="1"/>
  <c r="LX11" i="9"/>
  <c r="LV11" i="9"/>
  <c r="LP11" i="9"/>
  <c r="LR11" i="9" s="1"/>
  <c r="LJ11" i="9"/>
  <c r="LL11" i="9" s="1"/>
  <c r="LD11" i="9"/>
  <c r="LF11" i="9" s="1"/>
  <c r="KX11" i="9"/>
  <c r="KZ11" i="9" s="1"/>
  <c r="KR11" i="9"/>
  <c r="KT11" i="9" s="1"/>
  <c r="KL11" i="9"/>
  <c r="KN11" i="9" s="1"/>
  <c r="KF11" i="9"/>
  <c r="KH11" i="9" s="1"/>
  <c r="JZ11" i="9"/>
  <c r="KB11" i="9" s="1"/>
  <c r="JV11" i="9"/>
  <c r="JT11" i="9"/>
  <c r="JN11" i="9"/>
  <c r="JP11" i="9" s="1"/>
  <c r="JH11" i="9"/>
  <c r="JJ11" i="9" s="1"/>
  <c r="JB11" i="9"/>
  <c r="JD11" i="9" s="1"/>
  <c r="IV11" i="9"/>
  <c r="IX11" i="9" s="1"/>
  <c r="IP11" i="9"/>
  <c r="IR11" i="9" s="1"/>
  <c r="IJ11" i="9"/>
  <c r="IL11" i="9" s="1"/>
  <c r="ID11" i="9"/>
  <c r="IF11" i="9" s="1"/>
  <c r="HX11" i="9"/>
  <c r="HZ11" i="9" s="1"/>
  <c r="HT11" i="9"/>
  <c r="HR11" i="9"/>
  <c r="HL11" i="9"/>
  <c r="HN11" i="9" s="1"/>
  <c r="HF11" i="9"/>
  <c r="HH11" i="9" s="1"/>
  <c r="GZ11" i="9"/>
  <c r="HB11" i="9" s="1"/>
  <c r="GT11" i="9"/>
  <c r="GV11" i="9" s="1"/>
  <c r="GN11" i="9"/>
  <c r="GP11" i="9" s="1"/>
  <c r="GH11" i="9"/>
  <c r="GJ11" i="9" s="1"/>
  <c r="GB11" i="9"/>
  <c r="GD11" i="9" s="1"/>
  <c r="FV11" i="9"/>
  <c r="FX11" i="9" s="1"/>
  <c r="FR11" i="9"/>
  <c r="FP11" i="9"/>
  <c r="FJ11" i="9"/>
  <c r="FL11" i="9" s="1"/>
  <c r="FD11" i="9"/>
  <c r="FF11" i="9" s="1"/>
  <c r="EX11" i="9"/>
  <c r="EZ11" i="9" s="1"/>
  <c r="ER11" i="9"/>
  <c r="ET11" i="9" s="1"/>
  <c r="EL11" i="9"/>
  <c r="EN11" i="9" s="1"/>
  <c r="EF11" i="9"/>
  <c r="EH11" i="9" s="1"/>
  <c r="DZ11" i="9"/>
  <c r="EB11" i="9" s="1"/>
  <c r="DT11" i="9"/>
  <c r="DV11" i="9" s="1"/>
  <c r="DP11" i="9"/>
  <c r="DN11" i="9"/>
  <c r="DH11" i="9"/>
  <c r="DJ11" i="9" s="1"/>
  <c r="DB11" i="9"/>
  <c r="DD11" i="9" s="1"/>
  <c r="CV11" i="9"/>
  <c r="CX11" i="9" s="1"/>
  <c r="CP11" i="9"/>
  <c r="CR11" i="9" s="1"/>
  <c r="CJ11" i="9"/>
  <c r="CL11" i="9" s="1"/>
  <c r="CD11" i="9"/>
  <c r="CF11" i="9" s="1"/>
  <c r="BX11" i="9"/>
  <c r="BZ11" i="9" s="1"/>
  <c r="BR11" i="9"/>
  <c r="BT11" i="9" s="1"/>
  <c r="BN11" i="9"/>
  <c r="BL11" i="9"/>
  <c r="BF11" i="9"/>
  <c r="BH11" i="9" s="1"/>
  <c r="AZ11" i="9"/>
  <c r="BB11" i="9" s="1"/>
  <c r="AT11" i="9"/>
  <c r="AV11" i="9" s="1"/>
  <c r="AN11" i="9"/>
  <c r="AP11" i="9" s="1"/>
  <c r="AH11" i="9"/>
  <c r="AJ11" i="9" s="1"/>
  <c r="AB11" i="9"/>
  <c r="AD11" i="9" s="1"/>
  <c r="V11" i="9"/>
  <c r="X11" i="9" s="1"/>
  <c r="P11" i="9"/>
  <c r="R11" i="9" s="1"/>
  <c r="L11" i="9"/>
  <c r="J11" i="9"/>
  <c r="B11" i="9"/>
  <c r="AOZ10" i="9"/>
  <c r="AOX10" i="9"/>
  <c r="AOL10" i="9"/>
  <c r="AON10" i="9" s="1"/>
  <c r="AOF10" i="9"/>
  <c r="AOH10" i="9" s="1"/>
  <c r="AOB10" i="9"/>
  <c r="ANZ10" i="9"/>
  <c r="ANT10" i="9"/>
  <c r="ANV10" i="9" s="1"/>
  <c r="ANP10" i="9"/>
  <c r="ANN10" i="9"/>
  <c r="ANJ10" i="9"/>
  <c r="ANH10" i="9"/>
  <c r="ANB10" i="9"/>
  <c r="AND10" i="9" s="1"/>
  <c r="AMX10" i="9"/>
  <c r="AMV10" i="9"/>
  <c r="AMP10" i="9"/>
  <c r="AMR10" i="9" s="1"/>
  <c r="AMJ10" i="9"/>
  <c r="AML10" i="9" s="1"/>
  <c r="AMD10" i="9"/>
  <c r="AMF10" i="9" s="1"/>
  <c r="ALZ10" i="9"/>
  <c r="ALX10" i="9"/>
  <c r="ALR10" i="9"/>
  <c r="ALT10" i="9" s="1"/>
  <c r="ALL10" i="9"/>
  <c r="ALN10" i="9" s="1"/>
  <c r="ALH10" i="9"/>
  <c r="ALF10" i="9"/>
  <c r="AKZ10" i="9"/>
  <c r="ALB10" i="9" s="1"/>
  <c r="AKV10" i="9"/>
  <c r="AKT10" i="9"/>
  <c r="AKP10" i="9"/>
  <c r="AKN10" i="9"/>
  <c r="AKH10" i="9"/>
  <c r="AKJ10" i="9" s="1"/>
  <c r="AKB10" i="9"/>
  <c r="AKD10" i="9" s="1"/>
  <c r="AJX10" i="9"/>
  <c r="AJV10" i="9"/>
  <c r="AJP10" i="9"/>
  <c r="AJR10" i="9" s="1"/>
  <c r="AJL10" i="9"/>
  <c r="AJJ10" i="9"/>
  <c r="AJF10" i="9"/>
  <c r="AJD10" i="9"/>
  <c r="AIX10" i="9"/>
  <c r="AIZ10" i="9" s="1"/>
  <c r="AIT10" i="9"/>
  <c r="AIR10" i="9"/>
  <c r="AIN10" i="9"/>
  <c r="AIL10" i="9"/>
  <c r="AIF10" i="9"/>
  <c r="AIH10" i="9" s="1"/>
  <c r="AHZ10" i="9"/>
  <c r="AIB10" i="9" s="1"/>
  <c r="AHV10" i="9"/>
  <c r="AHT10" i="9"/>
  <c r="AHN10" i="9"/>
  <c r="AHP10" i="9" s="1"/>
  <c r="AHH10" i="9"/>
  <c r="AHJ10" i="9" s="1"/>
  <c r="AHD10" i="9"/>
  <c r="AHB10" i="9"/>
  <c r="AGV10" i="9"/>
  <c r="AGX10" i="9" s="1"/>
  <c r="AGR10" i="9"/>
  <c r="AGP10" i="9"/>
  <c r="AGL10" i="9"/>
  <c r="AGJ10" i="9"/>
  <c r="AGD10" i="9"/>
  <c r="AGF10" i="9" s="1"/>
  <c r="AFX10" i="9"/>
  <c r="AFZ10" i="9" s="1"/>
  <c r="AFT10" i="9"/>
  <c r="AFR10" i="9"/>
  <c r="AFL10" i="9"/>
  <c r="AFN10" i="9" s="1"/>
  <c r="AFH10" i="9"/>
  <c r="AFF10" i="9"/>
  <c r="AFB10" i="9"/>
  <c r="AEZ10" i="9"/>
  <c r="AET10" i="9"/>
  <c r="AEV10" i="9" s="1"/>
  <c r="AEP10" i="9"/>
  <c r="AEN10" i="9"/>
  <c r="AEH10" i="9"/>
  <c r="AEJ10" i="9" s="1"/>
  <c r="AEB10" i="9"/>
  <c r="AED10" i="9" s="1"/>
  <c r="ADX10" i="9"/>
  <c r="ADV10" i="9"/>
  <c r="ADR10" i="9"/>
  <c r="ADP10" i="9"/>
  <c r="ADJ10" i="9"/>
  <c r="ADL10" i="9" s="1"/>
  <c r="ADD10" i="9"/>
  <c r="ADF10" i="9" s="1"/>
  <c r="ACZ10" i="9"/>
  <c r="ACX10" i="9"/>
  <c r="ACR10" i="9"/>
  <c r="ACT10" i="9" s="1"/>
  <c r="ACL10" i="9"/>
  <c r="ACN10" i="9" s="1"/>
  <c r="ACH10" i="9"/>
  <c r="ACF10" i="9"/>
  <c r="ABZ10" i="9"/>
  <c r="ACB10" i="9" s="1"/>
  <c r="ABT10" i="9"/>
  <c r="ABV10" i="9" s="1"/>
  <c r="ABN10" i="9"/>
  <c r="ABP10" i="9" s="1"/>
  <c r="ABH10" i="9"/>
  <c r="ABJ10" i="9" s="1"/>
  <c r="ABD10" i="9"/>
  <c r="ABB10" i="9"/>
  <c r="AAX10" i="9"/>
  <c r="AAV10" i="9"/>
  <c r="AAP10" i="9"/>
  <c r="AAR10" i="9" s="1"/>
  <c r="AAL10" i="9"/>
  <c r="AAJ10" i="9"/>
  <c r="AAF10" i="9"/>
  <c r="AAD10" i="9"/>
  <c r="ZX10" i="9"/>
  <c r="ZZ10" i="9" s="1"/>
  <c r="ZR10" i="9"/>
  <c r="ZT10" i="9" s="1"/>
  <c r="ZN10" i="9"/>
  <c r="ZL10" i="9"/>
  <c r="ZF10" i="9"/>
  <c r="ZH10" i="9" s="1"/>
  <c r="YZ10" i="9"/>
  <c r="ZB10" i="9" s="1"/>
  <c r="YT10" i="9"/>
  <c r="YV10" i="9" s="1"/>
  <c r="YN10" i="9"/>
  <c r="YP10" i="9" s="1"/>
  <c r="YJ10" i="9"/>
  <c r="YH10" i="9"/>
  <c r="YD10" i="9"/>
  <c r="YB10" i="9"/>
  <c r="XV10" i="9"/>
  <c r="XX10" i="9" s="1"/>
  <c r="XP10" i="9"/>
  <c r="XR10" i="9" s="1"/>
  <c r="XL10" i="9"/>
  <c r="XJ10" i="9"/>
  <c r="XD10" i="9"/>
  <c r="XF10" i="9" s="1"/>
  <c r="WX10" i="9"/>
  <c r="WZ10" i="9" s="1"/>
  <c r="WT10" i="9"/>
  <c r="WR10" i="9"/>
  <c r="WL10" i="9"/>
  <c r="WN10" i="9" s="1"/>
  <c r="WH10" i="9"/>
  <c r="WF10" i="9"/>
  <c r="WB10" i="9"/>
  <c r="VZ10" i="9"/>
  <c r="VT10" i="9"/>
  <c r="VV10" i="9" s="1"/>
  <c r="VN10" i="9"/>
  <c r="VP10" i="9" s="1"/>
  <c r="VJ10" i="9"/>
  <c r="VH10" i="9"/>
  <c r="VB10" i="9"/>
  <c r="VD10" i="9" s="1"/>
  <c r="UV10" i="9"/>
  <c r="UX10" i="9" s="1"/>
  <c r="UR10" i="9"/>
  <c r="UP10" i="9"/>
  <c r="UJ10" i="9"/>
  <c r="UL10" i="9" s="1"/>
  <c r="UD10" i="9"/>
  <c r="UF10" i="9" s="1"/>
  <c r="TZ10" i="9"/>
  <c r="TX10" i="9"/>
  <c r="TR10" i="9"/>
  <c r="TT10" i="9" s="1"/>
  <c r="TL10" i="9"/>
  <c r="TN10" i="9" s="1"/>
  <c r="TF10" i="9"/>
  <c r="TH10" i="9" s="1"/>
  <c r="SZ10" i="9"/>
  <c r="TB10" i="9" s="1"/>
  <c r="SV10" i="9"/>
  <c r="ST10" i="9"/>
  <c r="SP10" i="9"/>
  <c r="SN10" i="9"/>
  <c r="SH10" i="9"/>
  <c r="SJ10" i="9" s="1"/>
  <c r="SD10" i="9"/>
  <c r="SB10" i="9"/>
  <c r="RX10" i="9"/>
  <c r="RV10" i="9"/>
  <c r="RP10" i="9"/>
  <c r="RR10" i="9" s="1"/>
  <c r="RL10" i="9"/>
  <c r="RJ10" i="9"/>
  <c r="RF10" i="9"/>
  <c r="RD10" i="9"/>
  <c r="QX10" i="9"/>
  <c r="QZ10" i="9" s="1"/>
  <c r="QR10" i="9"/>
  <c r="QT10" i="9" s="1"/>
  <c r="QN10" i="9"/>
  <c r="QL10" i="9"/>
  <c r="QF10" i="9"/>
  <c r="QH10" i="9" s="1"/>
  <c r="QB10" i="9"/>
  <c r="PZ10" i="9"/>
  <c r="PT10" i="9"/>
  <c r="PV10" i="9" s="1"/>
  <c r="PN10" i="9"/>
  <c r="PP10" i="9" s="1"/>
  <c r="PH10" i="9"/>
  <c r="PJ10" i="9" s="1"/>
  <c r="PD10" i="9"/>
  <c r="PB10" i="9"/>
  <c r="OV10" i="9"/>
  <c r="OX10" i="9" s="1"/>
  <c r="OR10" i="9"/>
  <c r="OP10" i="9"/>
  <c r="OL10" i="9"/>
  <c r="OJ10" i="9"/>
  <c r="OD10" i="9"/>
  <c r="OF10" i="9" s="1"/>
  <c r="NX10" i="9"/>
  <c r="NZ10" i="9" s="1"/>
  <c r="NT10" i="9"/>
  <c r="NR10" i="9"/>
  <c r="NL10" i="9"/>
  <c r="NN10" i="9" s="1"/>
  <c r="NF10" i="9"/>
  <c r="NH10" i="9" s="1"/>
  <c r="MZ10" i="9"/>
  <c r="NB10" i="9" s="1"/>
  <c r="MT10" i="9"/>
  <c r="MV10" i="9" s="1"/>
  <c r="MN10" i="9"/>
  <c r="MP10" i="9" s="1"/>
  <c r="MJ10" i="9"/>
  <c r="MH10" i="9"/>
  <c r="MB10" i="9"/>
  <c r="MD10" i="9" s="1"/>
  <c r="LX10" i="9"/>
  <c r="LV10" i="9"/>
  <c r="LR10" i="9"/>
  <c r="LP10" i="9"/>
  <c r="LJ10" i="9"/>
  <c r="LL10" i="9" s="1"/>
  <c r="LD10" i="9"/>
  <c r="LF10" i="9" s="1"/>
  <c r="KZ10" i="9"/>
  <c r="KX10" i="9"/>
  <c r="KR10" i="9"/>
  <c r="KT10" i="9" s="1"/>
  <c r="KN10" i="9"/>
  <c r="KL10" i="9"/>
  <c r="KF10" i="9"/>
  <c r="KH10" i="9" s="1"/>
  <c r="JZ10" i="9"/>
  <c r="KB10" i="9" s="1"/>
  <c r="JV10" i="9"/>
  <c r="JT10" i="9"/>
  <c r="JP10" i="9"/>
  <c r="JN10" i="9"/>
  <c r="JH10" i="9"/>
  <c r="JJ10" i="9" s="1"/>
  <c r="JB10" i="9"/>
  <c r="JD10" i="9" s="1"/>
  <c r="IX10" i="9"/>
  <c r="IV10" i="9"/>
  <c r="IP10" i="9"/>
  <c r="IR10" i="9" s="1"/>
  <c r="IJ10" i="9"/>
  <c r="IL10" i="9" s="1"/>
  <c r="IF10" i="9"/>
  <c r="ID10" i="9"/>
  <c r="HX10" i="9"/>
  <c r="HZ10" i="9" s="1"/>
  <c r="HT10" i="9"/>
  <c r="HR10" i="9"/>
  <c r="HL10" i="9"/>
  <c r="HN10" i="9" s="1"/>
  <c r="HF10" i="9"/>
  <c r="HH10" i="9" s="1"/>
  <c r="GZ10" i="9"/>
  <c r="HB10" i="9" s="1"/>
  <c r="GV10" i="9"/>
  <c r="GT10" i="9"/>
  <c r="GN10" i="9"/>
  <c r="GP10" i="9" s="1"/>
  <c r="GJ10" i="9"/>
  <c r="GH10" i="9"/>
  <c r="GD10" i="9"/>
  <c r="GB10" i="9"/>
  <c r="FV10" i="9"/>
  <c r="FX10" i="9" s="1"/>
  <c r="FP10" i="9"/>
  <c r="FR10" i="9" s="1"/>
  <c r="FL10" i="9"/>
  <c r="FJ10" i="9"/>
  <c r="FD10" i="9"/>
  <c r="FF10" i="9" s="1"/>
  <c r="EZ10" i="9"/>
  <c r="EX10" i="9"/>
  <c r="ET10" i="9"/>
  <c r="ER10" i="9"/>
  <c r="EL10" i="9"/>
  <c r="EN10" i="9" s="1"/>
  <c r="EF10" i="9"/>
  <c r="EH10" i="9" s="1"/>
  <c r="EB10" i="9"/>
  <c r="DZ10" i="9"/>
  <c r="DT10" i="9"/>
  <c r="DV10" i="9" s="1"/>
  <c r="DP10" i="9"/>
  <c r="DN10" i="9"/>
  <c r="DJ10" i="9"/>
  <c r="DH10" i="9"/>
  <c r="DB10" i="9"/>
  <c r="DD10" i="9" s="1"/>
  <c r="CV10" i="9"/>
  <c r="CX10" i="9" s="1"/>
  <c r="CR10" i="9"/>
  <c r="CP10" i="9"/>
  <c r="CJ10" i="9"/>
  <c r="CL10" i="9" s="1"/>
  <c r="CF10" i="9"/>
  <c r="CD10" i="9"/>
  <c r="BZ10" i="9"/>
  <c r="BX10" i="9"/>
  <c r="BR10" i="9"/>
  <c r="BT10" i="9" s="1"/>
  <c r="BN10" i="9"/>
  <c r="BL10" i="9"/>
  <c r="BF10" i="9"/>
  <c r="BH10" i="9" s="1"/>
  <c r="AZ10" i="9"/>
  <c r="BB10" i="9" s="1"/>
  <c r="AT10" i="9"/>
  <c r="AV10" i="9" s="1"/>
  <c r="AP10" i="9"/>
  <c r="AN10" i="9"/>
  <c r="AH10" i="9"/>
  <c r="AJ10" i="9" s="1"/>
  <c r="AB10" i="9"/>
  <c r="AD10" i="9" s="1"/>
  <c r="X10" i="9"/>
  <c r="V10" i="9"/>
  <c r="P10" i="9"/>
  <c r="R10" i="9" s="1"/>
  <c r="L10" i="9"/>
  <c r="J10" i="9"/>
  <c r="B10" i="9"/>
  <c r="AOX9" i="9"/>
  <c r="AOZ9" i="9" s="1"/>
  <c r="AON9" i="9"/>
  <c r="AOL9" i="9"/>
  <c r="AOF9" i="9"/>
  <c r="AOH9" i="9" s="1"/>
  <c r="ANZ9" i="9"/>
  <c r="AOB9" i="9" s="1"/>
  <c r="ANT9" i="9"/>
  <c r="ANV9" i="9" s="1"/>
  <c r="ANN9" i="9"/>
  <c r="ANP9" i="9" s="1"/>
  <c r="ANH9" i="9"/>
  <c r="ANJ9" i="9" s="1"/>
  <c r="AND9" i="9"/>
  <c r="ANB9" i="9"/>
  <c r="AMV9" i="9"/>
  <c r="AMX9" i="9" s="1"/>
  <c r="AMP9" i="9"/>
  <c r="AMR9" i="9" s="1"/>
  <c r="AML9" i="9"/>
  <c r="AMJ9" i="9"/>
  <c r="AMD9" i="9"/>
  <c r="AMF9" i="9" s="1"/>
  <c r="ALX9" i="9"/>
  <c r="ALZ9" i="9" s="1"/>
  <c r="ALT9" i="9"/>
  <c r="ALR9" i="9"/>
  <c r="ALL9" i="9"/>
  <c r="ALN9" i="9" s="1"/>
  <c r="ALF9" i="9"/>
  <c r="ALH9" i="9" s="1"/>
  <c r="ALB9" i="9"/>
  <c r="AKZ9" i="9"/>
  <c r="AKT9" i="9"/>
  <c r="AKV9" i="9" s="1"/>
  <c r="AKN9" i="9"/>
  <c r="AKP9" i="9" s="1"/>
  <c r="AKJ9" i="9"/>
  <c r="AKH9" i="9"/>
  <c r="AKB9" i="9"/>
  <c r="AKD9" i="9" s="1"/>
  <c r="AJV9" i="9"/>
  <c r="AJX9" i="9" s="1"/>
  <c r="AJR9" i="9"/>
  <c r="AJP9" i="9"/>
  <c r="AJJ9" i="9"/>
  <c r="AJL9" i="9" s="1"/>
  <c r="AJD9" i="9"/>
  <c r="AJF9" i="9" s="1"/>
  <c r="AIZ9" i="9"/>
  <c r="AIX9" i="9"/>
  <c r="AIR9" i="9"/>
  <c r="AIT9" i="9" s="1"/>
  <c r="AIL9" i="9"/>
  <c r="AIN9" i="9" s="1"/>
  <c r="AIH9" i="9"/>
  <c r="AIF9" i="9"/>
  <c r="AHZ9" i="9"/>
  <c r="AIB9" i="9" s="1"/>
  <c r="AHT9" i="9"/>
  <c r="AHV9" i="9" s="1"/>
  <c r="AHP9" i="9"/>
  <c r="AHN9" i="9"/>
  <c r="AHH9" i="9"/>
  <c r="AHJ9" i="9" s="1"/>
  <c r="AHB9" i="9"/>
  <c r="AHD9" i="9" s="1"/>
  <c r="AGX9" i="9"/>
  <c r="AGV9" i="9"/>
  <c r="AGP9" i="9"/>
  <c r="AGR9" i="9" s="1"/>
  <c r="AGJ9" i="9"/>
  <c r="AGL9" i="9" s="1"/>
  <c r="AGF9" i="9"/>
  <c r="AGD9" i="9"/>
  <c r="AFX9" i="9"/>
  <c r="AFZ9" i="9" s="1"/>
  <c r="AFR9" i="9"/>
  <c r="AFT9" i="9" s="1"/>
  <c r="AFN9" i="9"/>
  <c r="AFL9" i="9"/>
  <c r="AFF9" i="9"/>
  <c r="AFH9" i="9" s="1"/>
  <c r="AEZ9" i="9"/>
  <c r="AFB9" i="9" s="1"/>
  <c r="AEV9" i="9"/>
  <c r="AET9" i="9"/>
  <c r="AEN9" i="9"/>
  <c r="AEP9" i="9" s="1"/>
  <c r="AEH9" i="9"/>
  <c r="AEJ9" i="9" s="1"/>
  <c r="AED9" i="9"/>
  <c r="AEB9" i="9"/>
  <c r="ADV9" i="9"/>
  <c r="ADX9" i="9" s="1"/>
  <c r="ADP9" i="9"/>
  <c r="ADR9" i="9" s="1"/>
  <c r="ADL9" i="9"/>
  <c r="ADJ9" i="9"/>
  <c r="ADD9" i="9"/>
  <c r="ADF9" i="9" s="1"/>
  <c r="ACX9" i="9"/>
  <c r="ACZ9" i="9" s="1"/>
  <c r="ACT9" i="9"/>
  <c r="ACR9" i="9"/>
  <c r="ACL9" i="9"/>
  <c r="ACN9" i="9" s="1"/>
  <c r="ACF9" i="9"/>
  <c r="ACH9" i="9" s="1"/>
  <c r="ACB9" i="9"/>
  <c r="ABZ9" i="9"/>
  <c r="ABT9" i="9"/>
  <c r="ABV9" i="9" s="1"/>
  <c r="ABN9" i="9"/>
  <c r="ABP9" i="9" s="1"/>
  <c r="ABJ9" i="9"/>
  <c r="ABH9" i="9"/>
  <c r="ABB9" i="9"/>
  <c r="ABD9" i="9" s="1"/>
  <c r="AAV9" i="9"/>
  <c r="AAX9" i="9" s="1"/>
  <c r="AAR9" i="9"/>
  <c r="AAP9" i="9"/>
  <c r="AAJ9" i="9"/>
  <c r="AAL9" i="9" s="1"/>
  <c r="AAD9" i="9"/>
  <c r="AAF9" i="9" s="1"/>
  <c r="ZZ9" i="9"/>
  <c r="ZX9" i="9"/>
  <c r="ZR9" i="9"/>
  <c r="ZT9" i="9" s="1"/>
  <c r="ZL9" i="9"/>
  <c r="ZN9" i="9" s="1"/>
  <c r="ZH9" i="9"/>
  <c r="ZF9" i="9"/>
  <c r="YZ9" i="9"/>
  <c r="ZB9" i="9" s="1"/>
  <c r="YT9" i="9"/>
  <c r="YV9" i="9" s="1"/>
  <c r="YP9" i="9"/>
  <c r="YN9" i="9"/>
  <c r="YH9" i="9"/>
  <c r="YJ9" i="9" s="1"/>
  <c r="YB9" i="9"/>
  <c r="YD9" i="9" s="1"/>
  <c r="XX9" i="9"/>
  <c r="XV9" i="9"/>
  <c r="XP9" i="9"/>
  <c r="XR9" i="9" s="1"/>
  <c r="XJ9" i="9"/>
  <c r="XL9" i="9" s="1"/>
  <c r="XF9" i="9"/>
  <c r="XD9" i="9"/>
  <c r="WX9" i="9"/>
  <c r="WZ9" i="9" s="1"/>
  <c r="WR9" i="9"/>
  <c r="WT9" i="9" s="1"/>
  <c r="WN9" i="9"/>
  <c r="WL9" i="9"/>
  <c r="WF9" i="9"/>
  <c r="WH9" i="9" s="1"/>
  <c r="VZ9" i="9"/>
  <c r="WB9" i="9" s="1"/>
  <c r="VV9" i="9"/>
  <c r="VT9" i="9"/>
  <c r="VN9" i="9"/>
  <c r="VP9" i="9" s="1"/>
  <c r="VH9" i="9"/>
  <c r="VJ9" i="9" s="1"/>
  <c r="VD9" i="9"/>
  <c r="VB9" i="9"/>
  <c r="UV9" i="9"/>
  <c r="UX9" i="9" s="1"/>
  <c r="UP9" i="9"/>
  <c r="UR9" i="9" s="1"/>
  <c r="UL9" i="9"/>
  <c r="UJ9" i="9"/>
  <c r="UD9" i="9"/>
  <c r="UF9" i="9" s="1"/>
  <c r="TX9" i="9"/>
  <c r="TZ9" i="9" s="1"/>
  <c r="TT9" i="9"/>
  <c r="TR9" i="9"/>
  <c r="TL9" i="9"/>
  <c r="TN9" i="9" s="1"/>
  <c r="TF9" i="9"/>
  <c r="TH9" i="9" s="1"/>
  <c r="TB9" i="9"/>
  <c r="SZ9" i="9"/>
  <c r="ST9" i="9"/>
  <c r="SV9" i="9" s="1"/>
  <c r="SN9" i="9"/>
  <c r="SP9" i="9" s="1"/>
  <c r="SJ9" i="9"/>
  <c r="SH9" i="9"/>
  <c r="SB9" i="9"/>
  <c r="SD9" i="9" s="1"/>
  <c r="RV9" i="9"/>
  <c r="RX9" i="9" s="1"/>
  <c r="RR9" i="9"/>
  <c r="RP9" i="9"/>
  <c r="RJ9" i="9"/>
  <c r="RL9" i="9" s="1"/>
  <c r="RD9" i="9"/>
  <c r="RF9" i="9" s="1"/>
  <c r="QZ9" i="9"/>
  <c r="QX9" i="9"/>
  <c r="QR9" i="9"/>
  <c r="QT9" i="9" s="1"/>
  <c r="QL9" i="9"/>
  <c r="QN9" i="9" s="1"/>
  <c r="QH9" i="9"/>
  <c r="QF9" i="9"/>
  <c r="PZ9" i="9"/>
  <c r="QB9" i="9" s="1"/>
  <c r="PT9" i="9"/>
  <c r="PV9" i="9" s="1"/>
  <c r="PP9" i="9"/>
  <c r="PN9" i="9"/>
  <c r="PH9" i="9"/>
  <c r="PJ9" i="9" s="1"/>
  <c r="PB9" i="9"/>
  <c r="PD9" i="9" s="1"/>
  <c r="OX9" i="9"/>
  <c r="OV9" i="9"/>
  <c r="OP9" i="9"/>
  <c r="OR9" i="9" s="1"/>
  <c r="OJ9" i="9"/>
  <c r="OL9" i="9" s="1"/>
  <c r="OF9" i="9"/>
  <c r="OD9" i="9"/>
  <c r="NX9" i="9"/>
  <c r="NZ9" i="9" s="1"/>
  <c r="NR9" i="9"/>
  <c r="NT9" i="9" s="1"/>
  <c r="NN9" i="9"/>
  <c r="NL9" i="9"/>
  <c r="NF9" i="9"/>
  <c r="NH9" i="9" s="1"/>
  <c r="MZ9" i="9"/>
  <c r="NB9" i="9" s="1"/>
  <c r="MV9" i="9"/>
  <c r="MT9" i="9"/>
  <c r="MN9" i="9"/>
  <c r="MP9" i="9" s="1"/>
  <c r="MH9" i="9"/>
  <c r="MJ9" i="9" s="1"/>
  <c r="MD9" i="9"/>
  <c r="MB9" i="9"/>
  <c r="LV9" i="9"/>
  <c r="LX9" i="9" s="1"/>
  <c r="LP9" i="9"/>
  <c r="LR9" i="9" s="1"/>
  <c r="LL9" i="9"/>
  <c r="LJ9" i="9"/>
  <c r="LD9" i="9"/>
  <c r="LF9" i="9" s="1"/>
  <c r="KX9" i="9"/>
  <c r="KZ9" i="9" s="1"/>
  <c r="KT9" i="9"/>
  <c r="KR9" i="9"/>
  <c r="KL9" i="9"/>
  <c r="KN9" i="9" s="1"/>
  <c r="KF9" i="9"/>
  <c r="KH9" i="9" s="1"/>
  <c r="KB9" i="9"/>
  <c r="JZ9" i="9"/>
  <c r="JT9" i="9"/>
  <c r="JV9" i="9" s="1"/>
  <c r="JN9" i="9"/>
  <c r="JP9" i="9" s="1"/>
  <c r="JJ9" i="9"/>
  <c r="JH9" i="9"/>
  <c r="JB9" i="9"/>
  <c r="JD9" i="9" s="1"/>
  <c r="IV9" i="9"/>
  <c r="IX9" i="9" s="1"/>
  <c r="IR9" i="9"/>
  <c r="IP9" i="9"/>
  <c r="IJ9" i="9"/>
  <c r="IL9" i="9" s="1"/>
  <c r="ID9" i="9"/>
  <c r="IF9" i="9" s="1"/>
  <c r="HZ9" i="9"/>
  <c r="HX9" i="9"/>
  <c r="HR9" i="9"/>
  <c r="HT9" i="9" s="1"/>
  <c r="HL9" i="9"/>
  <c r="HN9" i="9" s="1"/>
  <c r="HH9" i="9"/>
  <c r="HF9" i="9"/>
  <c r="GZ9" i="9"/>
  <c r="HB9" i="9" s="1"/>
  <c r="GT9" i="9"/>
  <c r="GV9" i="9" s="1"/>
  <c r="GP9" i="9"/>
  <c r="GN9" i="9"/>
  <c r="GH9" i="9"/>
  <c r="GJ9" i="9" s="1"/>
  <c r="GB9" i="9"/>
  <c r="GD9" i="9" s="1"/>
  <c r="FX9" i="9"/>
  <c r="FV9" i="9"/>
  <c r="FP9" i="9"/>
  <c r="FR9" i="9" s="1"/>
  <c r="FJ9" i="9"/>
  <c r="FL9" i="9" s="1"/>
  <c r="FF9" i="9"/>
  <c r="FD9" i="9"/>
  <c r="EX9" i="9"/>
  <c r="EZ9" i="9" s="1"/>
  <c r="ER9" i="9"/>
  <c r="ET9" i="9" s="1"/>
  <c r="EN9" i="9"/>
  <c r="EL9" i="9"/>
  <c r="EF9" i="9"/>
  <c r="EH9" i="9" s="1"/>
  <c r="DZ9" i="9"/>
  <c r="EB9" i="9" s="1"/>
  <c r="DV9" i="9"/>
  <c r="DT9" i="9"/>
  <c r="DN9" i="9"/>
  <c r="DP9" i="9" s="1"/>
  <c r="DH9" i="9"/>
  <c r="DJ9" i="9" s="1"/>
  <c r="DD9" i="9"/>
  <c r="DB9" i="9"/>
  <c r="CV9" i="9"/>
  <c r="CX9" i="9" s="1"/>
  <c r="CP9" i="9"/>
  <c r="CR9" i="9" s="1"/>
  <c r="CL9" i="9"/>
  <c r="CJ9" i="9"/>
  <c r="CD9" i="9"/>
  <c r="CF9" i="9" s="1"/>
  <c r="BX9" i="9"/>
  <c r="BZ9" i="9" s="1"/>
  <c r="BT9" i="9"/>
  <c r="BR9" i="9"/>
  <c r="BL9" i="9"/>
  <c r="BN9" i="9" s="1"/>
  <c r="BF9" i="9"/>
  <c r="BH9" i="9" s="1"/>
  <c r="BB9" i="9"/>
  <c r="AZ9" i="9"/>
  <c r="AT9" i="9"/>
  <c r="AV9" i="9" s="1"/>
  <c r="AN9" i="9"/>
  <c r="AP9" i="9" s="1"/>
  <c r="AJ9" i="9"/>
  <c r="AH9" i="9"/>
  <c r="AB9" i="9"/>
  <c r="AD9" i="9" s="1"/>
  <c r="V9" i="9"/>
  <c r="X9" i="9" s="1"/>
  <c r="R9" i="9"/>
  <c r="P9" i="9"/>
  <c r="J9" i="9"/>
  <c r="L9" i="9" s="1"/>
  <c r="B9" i="9"/>
  <c r="AOZ8" i="9"/>
  <c r="AOX8" i="9"/>
  <c r="AON8" i="9"/>
  <c r="AOL8" i="9"/>
  <c r="AOH8" i="9"/>
  <c r="AOF8" i="9"/>
  <c r="AOB8" i="9"/>
  <c r="ANZ8" i="9"/>
  <c r="ANV8" i="9"/>
  <c r="ANT8" i="9"/>
  <c r="ANP8" i="9"/>
  <c r="ANN8" i="9"/>
  <c r="ANJ8" i="9"/>
  <c r="ANH8" i="9"/>
  <c r="AND8" i="9"/>
  <c r="ANB8" i="9"/>
  <c r="AMX8" i="9"/>
  <c r="AMV8" i="9"/>
  <c r="AMR8" i="9"/>
  <c r="AMP8" i="9"/>
  <c r="AML8" i="9"/>
  <c r="AMJ8" i="9"/>
  <c r="AMF8" i="9"/>
  <c r="AMD8" i="9"/>
  <c r="ALZ8" i="9"/>
  <c r="ALX8" i="9"/>
  <c r="ALT8" i="9"/>
  <c r="ALR8" i="9"/>
  <c r="ALN8" i="9"/>
  <c r="ALL8" i="9"/>
  <c r="ALH8" i="9"/>
  <c r="ALF8" i="9"/>
  <c r="ALB8" i="9"/>
  <c r="AKZ8" i="9"/>
  <c r="AKV8" i="9"/>
  <c r="AKT8" i="9"/>
  <c r="AKP8" i="9"/>
  <c r="AKN8" i="9"/>
  <c r="AKJ8" i="9"/>
  <c r="AKH8" i="9"/>
  <c r="AKD8" i="9"/>
  <c r="AKB8" i="9"/>
  <c r="AJX8" i="9"/>
  <c r="AJV8" i="9"/>
  <c r="AJR8" i="9"/>
  <c r="AJP8" i="9"/>
  <c r="AJL8" i="9"/>
  <c r="AJJ8" i="9"/>
  <c r="AJF8" i="9"/>
  <c r="AJD8" i="9"/>
  <c r="AIZ8" i="9"/>
  <c r="AIX8" i="9"/>
  <c r="AIT8" i="9"/>
  <c r="AIR8" i="9"/>
  <c r="AIN8" i="9"/>
  <c r="AIL8" i="9"/>
  <c r="AIH8" i="9"/>
  <c r="AIF8" i="9"/>
  <c r="AIB8" i="9"/>
  <c r="AHZ8" i="9"/>
  <c r="AHV8" i="9"/>
  <c r="AHT8" i="9"/>
  <c r="AHP8" i="9"/>
  <c r="AHN8" i="9"/>
  <c r="AHJ8" i="9"/>
  <c r="AHH8" i="9"/>
  <c r="AHD8" i="9"/>
  <c r="AHB8" i="9"/>
  <c r="AGX8" i="9"/>
  <c r="AGV8" i="9"/>
  <c r="AGR8" i="9"/>
  <c r="AGP8" i="9"/>
  <c r="AGL8" i="9"/>
  <c r="AGJ8" i="9"/>
  <c r="AGF8" i="9"/>
  <c r="AGD8" i="9"/>
  <c r="AFZ8" i="9"/>
  <c r="AFX8" i="9"/>
  <c r="AFT8" i="9"/>
  <c r="AFR8" i="9"/>
  <c r="AFN8" i="9"/>
  <c r="AFL8" i="9"/>
  <c r="AFH8" i="9"/>
  <c r="AFF8" i="9"/>
  <c r="AFB8" i="9"/>
  <c r="AEZ8" i="9"/>
  <c r="AEV8" i="9"/>
  <c r="AET8" i="9"/>
  <c r="AEP8" i="9"/>
  <c r="AEN8" i="9"/>
  <c r="AEJ8" i="9"/>
  <c r="AEH8" i="9"/>
  <c r="AED8" i="9"/>
  <c r="AEB8" i="9"/>
  <c r="ADX8" i="9"/>
  <c r="ADV8" i="9"/>
  <c r="ADR8" i="9"/>
  <c r="ADP8" i="9"/>
  <c r="ADL8" i="9"/>
  <c r="ADJ8" i="9"/>
  <c r="ADF8" i="9"/>
  <c r="ADD8" i="9"/>
  <c r="ACZ8" i="9"/>
  <c r="ACX8" i="9"/>
  <c r="ACT8" i="9"/>
  <c r="ACR8" i="9"/>
  <c r="ACN8" i="9"/>
  <c r="ACL8" i="9"/>
  <c r="ACH8" i="9"/>
  <c r="ACF8" i="9"/>
  <c r="ACB8" i="9"/>
  <c r="ABZ8" i="9"/>
  <c r="ABV8" i="9"/>
  <c r="ABT8" i="9"/>
  <c r="ABP8" i="9"/>
  <c r="ABN8" i="9"/>
  <c r="ABJ8" i="9"/>
  <c r="ABH8" i="9"/>
  <c r="ABD8" i="9"/>
  <c r="ABB8" i="9"/>
  <c r="AAX8" i="9"/>
  <c r="AAV8" i="9"/>
  <c r="AAR8" i="9"/>
  <c r="AAP8" i="9"/>
  <c r="AAL8" i="9"/>
  <c r="AAJ8" i="9"/>
  <c r="AAF8" i="9"/>
  <c r="AAD8" i="9"/>
  <c r="ZZ8" i="9"/>
  <c r="ZX8" i="9"/>
  <c r="ZT8" i="9"/>
  <c r="ZR8" i="9"/>
  <c r="ZN8" i="9"/>
  <c r="ZL8" i="9"/>
  <c r="ZH8" i="9"/>
  <c r="ZF8" i="9"/>
  <c r="ZB8" i="9"/>
  <c r="YZ8" i="9"/>
  <c r="YV8" i="9"/>
  <c r="YT8" i="9"/>
  <c r="YP8" i="9"/>
  <c r="YN8" i="9"/>
  <c r="YJ8" i="9"/>
  <c r="YH8" i="9"/>
  <c r="YD8" i="9"/>
  <c r="YB8" i="9"/>
  <c r="XX8" i="9"/>
  <c r="XV8" i="9"/>
  <c r="XR8" i="9"/>
  <c r="XP8" i="9"/>
  <c r="XL8" i="9"/>
  <c r="XJ8" i="9"/>
  <c r="XF8" i="9"/>
  <c r="XD8" i="9"/>
  <c r="WZ8" i="9"/>
  <c r="WX8" i="9"/>
  <c r="WT8" i="9"/>
  <c r="WR8" i="9"/>
  <c r="WN8" i="9"/>
  <c r="WL8" i="9"/>
  <c r="WH8" i="9"/>
  <c r="WF8" i="9"/>
  <c r="WB8" i="9"/>
  <c r="VZ8" i="9"/>
  <c r="VV8" i="9"/>
  <c r="VT8" i="9"/>
  <c r="VP8" i="9"/>
  <c r="VN8" i="9"/>
  <c r="VJ8" i="9"/>
  <c r="VH8" i="9"/>
  <c r="VD8" i="9"/>
  <c r="VB8" i="9"/>
  <c r="UX8" i="9"/>
  <c r="UV8" i="9"/>
  <c r="UR8" i="9"/>
  <c r="UP8" i="9"/>
  <c r="UL8" i="9"/>
  <c r="UJ8" i="9"/>
  <c r="UF8" i="9"/>
  <c r="UD8" i="9"/>
  <c r="TZ8" i="9"/>
  <c r="TX8" i="9"/>
  <c r="TT8" i="9"/>
  <c r="TR8" i="9"/>
  <c r="TN8" i="9"/>
  <c r="TL8" i="9"/>
  <c r="TH8" i="9"/>
  <c r="TF8" i="9"/>
  <c r="TB8" i="9"/>
  <c r="SZ8" i="9"/>
  <c r="SV8" i="9"/>
  <c r="ST8" i="9"/>
  <c r="SP8" i="9"/>
  <c r="SN8" i="9"/>
  <c r="SJ8" i="9"/>
  <c r="SH8" i="9"/>
  <c r="SD8" i="9"/>
  <c r="SB8" i="9"/>
  <c r="RX8" i="9"/>
  <c r="RV8" i="9"/>
  <c r="RR8" i="9"/>
  <c r="RP8" i="9"/>
  <c r="RL8" i="9"/>
  <c r="RJ8" i="9"/>
  <c r="RF8" i="9"/>
  <c r="RD8" i="9"/>
  <c r="QZ8" i="9"/>
  <c r="QX8" i="9"/>
  <c r="QT8" i="9"/>
  <c r="QR8" i="9"/>
  <c r="QN8" i="9"/>
  <c r="QL8" i="9"/>
  <c r="QH8" i="9"/>
  <c r="QF8" i="9"/>
  <c r="QB8" i="9"/>
  <c r="PZ8" i="9"/>
  <c r="PV8" i="9"/>
  <c r="PT8" i="9"/>
  <c r="PP8" i="9"/>
  <c r="PN8" i="9"/>
  <c r="PJ8" i="9"/>
  <c r="PH8" i="9"/>
  <c r="PD8" i="9"/>
  <c r="PB8" i="9"/>
  <c r="OX8" i="9"/>
  <c r="OV8" i="9"/>
  <c r="OR8" i="9"/>
  <c r="OP8" i="9"/>
  <c r="OL8" i="9"/>
  <c r="OJ8" i="9"/>
  <c r="OF8" i="9"/>
  <c r="OD8" i="9"/>
  <c r="NZ8" i="9"/>
  <c r="NX8" i="9"/>
  <c r="NT8" i="9"/>
  <c r="NR8" i="9"/>
  <c r="NN8" i="9"/>
  <c r="NL8" i="9"/>
  <c r="NH8" i="9"/>
  <c r="NF8" i="9"/>
  <c r="NB8" i="9"/>
  <c r="MZ8" i="9"/>
  <c r="MV8" i="9"/>
  <c r="MT8" i="9"/>
  <c r="MP8" i="9"/>
  <c r="MN8" i="9"/>
  <c r="MJ8" i="9"/>
  <c r="MH8" i="9"/>
  <c r="MD8" i="9"/>
  <c r="MB8" i="9"/>
  <c r="LX8" i="9"/>
  <c r="LV8" i="9"/>
  <c r="LR8" i="9"/>
  <c r="LP8" i="9"/>
  <c r="LL8" i="9"/>
  <c r="LJ8" i="9"/>
  <c r="LF8" i="9"/>
  <c r="LD8" i="9"/>
  <c r="KZ8" i="9"/>
  <c r="KX8" i="9"/>
  <c r="KT8" i="9"/>
  <c r="KR8" i="9"/>
  <c r="KN8" i="9"/>
  <c r="KL8" i="9"/>
  <c r="KH8" i="9"/>
  <c r="KF8" i="9"/>
  <c r="KB8" i="9"/>
  <c r="JZ8" i="9"/>
  <c r="JV8" i="9"/>
  <c r="JT8" i="9"/>
  <c r="JP8" i="9"/>
  <c r="JN8" i="9"/>
  <c r="JJ8" i="9"/>
  <c r="JH8" i="9"/>
  <c r="JD8" i="9"/>
  <c r="JB8" i="9"/>
  <c r="IX8" i="9"/>
  <c r="IV8" i="9"/>
  <c r="IR8" i="9"/>
  <c r="IP8" i="9"/>
  <c r="IL8" i="9"/>
  <c r="IJ8" i="9"/>
  <c r="IF8" i="9"/>
  <c r="ID8" i="9"/>
  <c r="HZ8" i="9"/>
  <c r="HX8" i="9"/>
  <c r="HT8" i="9"/>
  <c r="HR8" i="9"/>
  <c r="HN8" i="9"/>
  <c r="HL8" i="9"/>
  <c r="HH8" i="9"/>
  <c r="HF8" i="9"/>
  <c r="HB8" i="9"/>
  <c r="GZ8" i="9"/>
  <c r="GV8" i="9"/>
  <c r="GT8" i="9"/>
  <c r="GP8" i="9"/>
  <c r="GN8" i="9"/>
  <c r="GJ8" i="9"/>
  <c r="GH8" i="9"/>
  <c r="GD8" i="9"/>
  <c r="GB8" i="9"/>
  <c r="FX8" i="9"/>
  <c r="FV8" i="9"/>
  <c r="FR8" i="9"/>
  <c r="FP8" i="9"/>
  <c r="FL8" i="9"/>
  <c r="FJ8" i="9"/>
  <c r="FF8" i="9"/>
  <c r="FD8" i="9"/>
  <c r="EZ8" i="9"/>
  <c r="EX8" i="9"/>
  <c r="ET8" i="9"/>
  <c r="ER8" i="9"/>
  <c r="EN8" i="9"/>
  <c r="EL8" i="9"/>
  <c r="EH8" i="9"/>
  <c r="EF8" i="9"/>
  <c r="EB8" i="9"/>
  <c r="DZ8" i="9"/>
  <c r="DV8" i="9"/>
  <c r="DT8" i="9"/>
  <c r="DP8" i="9"/>
  <c r="DN8" i="9"/>
  <c r="DJ8" i="9"/>
  <c r="DH8" i="9"/>
  <c r="DD8" i="9"/>
  <c r="DB8" i="9"/>
  <c r="CX8" i="9"/>
  <c r="CV8" i="9"/>
  <c r="CR8" i="9"/>
  <c r="CP8" i="9"/>
  <c r="CL8" i="9"/>
  <c r="CJ8" i="9"/>
  <c r="CF8" i="9"/>
  <c r="CD8" i="9"/>
  <c r="BZ8" i="9"/>
  <c r="BX8" i="9"/>
  <c r="BT8" i="9"/>
  <c r="BR8" i="9"/>
  <c r="BN8" i="9"/>
  <c r="BL8" i="9"/>
  <c r="BH8" i="9"/>
  <c r="BF8" i="9"/>
  <c r="BB8" i="9"/>
  <c r="AZ8" i="9"/>
  <c r="AV8" i="9"/>
  <c r="AT8" i="9"/>
  <c r="AP8" i="9"/>
  <c r="AN8" i="9"/>
  <c r="AJ8" i="9"/>
  <c r="AH8" i="9"/>
  <c r="AD8" i="9"/>
  <c r="AB8" i="9"/>
  <c r="X8" i="9"/>
  <c r="V8" i="9"/>
  <c r="R8" i="9"/>
  <c r="P8" i="9"/>
  <c r="L8" i="9"/>
  <c r="J8" i="9"/>
  <c r="B8" i="9"/>
  <c r="AOZ7" i="9"/>
  <c r="AOX7" i="9"/>
  <c r="AOL7" i="9"/>
  <c r="AON7" i="9" s="1"/>
  <c r="AOH7" i="9"/>
  <c r="AOF7" i="9"/>
  <c r="AOB7" i="9"/>
  <c r="ANZ7" i="9"/>
  <c r="ANT7" i="9"/>
  <c r="ANV7" i="9" s="1"/>
  <c r="ANP7" i="9"/>
  <c r="ANN7" i="9"/>
  <c r="ANJ7" i="9"/>
  <c r="ANH7" i="9"/>
  <c r="ANB7" i="9"/>
  <c r="AND7" i="9" s="1"/>
  <c r="AMX7" i="9"/>
  <c r="AMV7" i="9"/>
  <c r="AMR7" i="9"/>
  <c r="AMP7" i="9"/>
  <c r="AMJ7" i="9"/>
  <c r="AML7" i="9" s="1"/>
  <c r="AMF7" i="9"/>
  <c r="AMD7" i="9"/>
  <c r="ALZ7" i="9"/>
  <c r="ALX7" i="9"/>
  <c r="ALR7" i="9"/>
  <c r="ALT7" i="9" s="1"/>
  <c r="ALN7" i="9"/>
  <c r="ALL7" i="9"/>
  <c r="ALH7" i="9"/>
  <c r="ALF7" i="9"/>
  <c r="AKZ7" i="9"/>
  <c r="ALB7" i="9" s="1"/>
  <c r="AKV7" i="9"/>
  <c r="AKT7" i="9"/>
  <c r="AKP7" i="9"/>
  <c r="AKN7" i="9"/>
  <c r="AKH7" i="9"/>
  <c r="AKJ7" i="9" s="1"/>
  <c r="AKD7" i="9"/>
  <c r="AKB7" i="9"/>
  <c r="AJX7" i="9"/>
  <c r="AJV7" i="9"/>
  <c r="AJP7" i="9"/>
  <c r="AJR7" i="9" s="1"/>
  <c r="AJL7" i="9"/>
  <c r="AJJ7" i="9"/>
  <c r="AJF7" i="9"/>
  <c r="AJD7" i="9"/>
  <c r="AIX7" i="9"/>
  <c r="AIZ7" i="9" s="1"/>
  <c r="AIT7" i="9"/>
  <c r="AIR7" i="9"/>
  <c r="AIN7" i="9"/>
  <c r="AIL7" i="9"/>
  <c r="AIF7" i="9"/>
  <c r="AIH7" i="9" s="1"/>
  <c r="AIB7" i="9"/>
  <c r="AHZ7" i="9"/>
  <c r="AHV7" i="9"/>
  <c r="AHT7" i="9"/>
  <c r="AHN7" i="9"/>
  <c r="AHP7" i="9" s="1"/>
  <c r="AHJ7" i="9"/>
  <c r="AHH7" i="9"/>
  <c r="AHD7" i="9"/>
  <c r="AHB7" i="9"/>
  <c r="AGV7" i="9"/>
  <c r="AGX7" i="9" s="1"/>
  <c r="AGR7" i="9"/>
  <c r="AGP7" i="9"/>
  <c r="AGL7" i="9"/>
  <c r="AGJ7" i="9"/>
  <c r="AGD7" i="9"/>
  <c r="AGF7" i="9" s="1"/>
  <c r="AFZ7" i="9"/>
  <c r="AFX7" i="9"/>
  <c r="AFT7" i="9"/>
  <c r="AFR7" i="9"/>
  <c r="AFL7" i="9"/>
  <c r="AFN7" i="9" s="1"/>
  <c r="AFH7" i="9"/>
  <c r="AFF7" i="9"/>
  <c r="AFB7" i="9"/>
  <c r="AEZ7" i="9"/>
  <c r="AET7" i="9"/>
  <c r="AEV7" i="9" s="1"/>
  <c r="AEP7" i="9"/>
  <c r="AEN7" i="9"/>
  <c r="AEJ7" i="9"/>
  <c r="AEH7" i="9"/>
  <c r="AEB7" i="9"/>
  <c r="AED7" i="9" s="1"/>
  <c r="ADX7" i="9"/>
  <c r="ADV7" i="9"/>
  <c r="ADR7" i="9"/>
  <c r="ADP7" i="9"/>
  <c r="ADJ7" i="9"/>
  <c r="ADL7" i="9" s="1"/>
  <c r="ADF7" i="9"/>
  <c r="ADD7" i="9"/>
  <c r="ACZ7" i="9"/>
  <c r="ACX7" i="9"/>
  <c r="ACR7" i="9"/>
  <c r="ACT7" i="9" s="1"/>
  <c r="ACN7" i="9"/>
  <c r="ACL7" i="9"/>
  <c r="ACH7" i="9"/>
  <c r="ACF7" i="9"/>
  <c r="ABZ7" i="9"/>
  <c r="ACB7" i="9" s="1"/>
  <c r="ABV7" i="9"/>
  <c r="ABT7" i="9"/>
  <c r="ABP7" i="9"/>
  <c r="ABN7" i="9"/>
  <c r="ABH7" i="9"/>
  <c r="ABJ7" i="9" s="1"/>
  <c r="ABD7" i="9"/>
  <c r="ABB7" i="9"/>
  <c r="AAX7" i="9"/>
  <c r="AAV7" i="9"/>
  <c r="AAP7" i="9"/>
  <c r="AAR7" i="9" s="1"/>
  <c r="AAL7" i="9"/>
  <c r="AAJ7" i="9"/>
  <c r="AAF7" i="9"/>
  <c r="AAD7" i="9"/>
  <c r="ZX7" i="9"/>
  <c r="ZZ7" i="9" s="1"/>
  <c r="ZT7" i="9"/>
  <c r="ZR7" i="9"/>
  <c r="ZN7" i="9"/>
  <c r="ZL7" i="9"/>
  <c r="ZF7" i="9"/>
  <c r="ZH7" i="9" s="1"/>
  <c r="ZB7" i="9"/>
  <c r="YZ7" i="9"/>
  <c r="YV7" i="9"/>
  <c r="YT7" i="9"/>
  <c r="YN7" i="9"/>
  <c r="YP7" i="9" s="1"/>
  <c r="YJ7" i="9"/>
  <c r="YH7" i="9"/>
  <c r="YD7" i="9"/>
  <c r="YB7" i="9"/>
  <c r="XV7" i="9"/>
  <c r="XX7" i="9" s="1"/>
  <c r="XR7" i="9"/>
  <c r="XP7" i="9"/>
  <c r="XL7" i="9"/>
  <c r="XJ7" i="9"/>
  <c r="XD7" i="9"/>
  <c r="XF7" i="9" s="1"/>
  <c r="WZ7" i="9"/>
  <c r="WX7" i="9"/>
  <c r="WT7" i="9"/>
  <c r="WR7" i="9"/>
  <c r="WL7" i="9"/>
  <c r="WN7" i="9" s="1"/>
  <c r="WH7" i="9"/>
  <c r="WF7" i="9"/>
  <c r="WB7" i="9"/>
  <c r="VZ7" i="9"/>
  <c r="VT7" i="9"/>
  <c r="VV7" i="9" s="1"/>
  <c r="VP7" i="9"/>
  <c r="VN7" i="9"/>
  <c r="VJ7" i="9"/>
  <c r="VH7" i="9"/>
  <c r="VB7" i="9"/>
  <c r="VD7" i="9" s="1"/>
  <c r="UX7" i="9"/>
  <c r="UV7" i="9"/>
  <c r="UR7" i="9"/>
  <c r="UP7" i="9"/>
  <c r="UJ7" i="9"/>
  <c r="UL7" i="9" s="1"/>
  <c r="UF7" i="9"/>
  <c r="UD7" i="9"/>
  <c r="TZ7" i="9"/>
  <c r="TX7" i="9"/>
  <c r="TR7" i="9"/>
  <c r="TT7" i="9" s="1"/>
  <c r="TN7" i="9"/>
  <c r="TL7" i="9"/>
  <c r="TH7" i="9"/>
  <c r="TF7" i="9"/>
  <c r="SZ7" i="9"/>
  <c r="TB7" i="9" s="1"/>
  <c r="SV7" i="9"/>
  <c r="ST7" i="9"/>
  <c r="SP7" i="9"/>
  <c r="SN7" i="9"/>
  <c r="SH7" i="9"/>
  <c r="SJ7" i="9" s="1"/>
  <c r="SD7" i="9"/>
  <c r="SB7" i="9"/>
  <c r="RX7" i="9"/>
  <c r="RV7" i="9"/>
  <c r="RP7" i="9"/>
  <c r="RR7" i="9" s="1"/>
  <c r="RL7" i="9"/>
  <c r="RJ7" i="9"/>
  <c r="RF7" i="9"/>
  <c r="RD7" i="9"/>
  <c r="QX7" i="9"/>
  <c r="QZ7" i="9" s="1"/>
  <c r="QT7" i="9"/>
  <c r="QR7" i="9"/>
  <c r="QN7" i="9"/>
  <c r="QL7" i="9"/>
  <c r="QF7" i="9"/>
  <c r="QH7" i="9" s="1"/>
  <c r="QB7" i="9"/>
  <c r="PZ7" i="9"/>
  <c r="PV7" i="9"/>
  <c r="PT7" i="9"/>
  <c r="PN7" i="9"/>
  <c r="PP7" i="9" s="1"/>
  <c r="PJ7" i="9"/>
  <c r="PH7" i="9"/>
  <c r="PD7" i="9"/>
  <c r="PB7" i="9"/>
  <c r="OV7" i="9"/>
  <c r="OX7" i="9" s="1"/>
  <c r="OR7" i="9"/>
  <c r="OP7" i="9"/>
  <c r="OL7" i="9"/>
  <c r="OJ7" i="9"/>
  <c r="OD7" i="9"/>
  <c r="OF7" i="9" s="1"/>
  <c r="NZ7" i="9"/>
  <c r="NX7" i="9"/>
  <c r="NT7" i="9"/>
  <c r="NR7" i="9"/>
  <c r="NL7" i="9"/>
  <c r="NN7" i="9" s="1"/>
  <c r="NH7" i="9"/>
  <c r="NF7" i="9"/>
  <c r="NB7" i="9"/>
  <c r="MZ7" i="9"/>
  <c r="MT7" i="9"/>
  <c r="MV7" i="9" s="1"/>
  <c r="MP7" i="9"/>
  <c r="MN7" i="9"/>
  <c r="MJ7" i="9"/>
  <c r="MH7" i="9"/>
  <c r="MB7" i="9"/>
  <c r="MD7" i="9" s="1"/>
  <c r="LX7" i="9"/>
  <c r="LV7" i="9"/>
  <c r="LR7" i="9"/>
  <c r="LP7" i="9"/>
  <c r="LJ7" i="9"/>
  <c r="LL7" i="9" s="1"/>
  <c r="LF7" i="9"/>
  <c r="LD7" i="9"/>
  <c r="KZ7" i="9"/>
  <c r="KX7" i="9"/>
  <c r="KR7" i="9"/>
  <c r="KT7" i="9" s="1"/>
  <c r="KN7" i="9"/>
  <c r="KL7" i="9"/>
  <c r="KH7" i="9"/>
  <c r="KF7" i="9"/>
  <c r="JZ7" i="9"/>
  <c r="KB7" i="9" s="1"/>
  <c r="JV7" i="9"/>
  <c r="JT7" i="9"/>
  <c r="JP7" i="9"/>
  <c r="JN7" i="9"/>
  <c r="JH7" i="9"/>
  <c r="JJ7" i="9" s="1"/>
  <c r="JD7" i="9"/>
  <c r="JB7" i="9"/>
  <c r="IX7" i="9"/>
  <c r="IV7" i="9"/>
  <c r="IP7" i="9"/>
  <c r="IR7" i="9" s="1"/>
  <c r="IL7" i="9"/>
  <c r="IJ7" i="9"/>
  <c r="IF7" i="9"/>
  <c r="ID7" i="9"/>
  <c r="HX7" i="9"/>
  <c r="HZ7" i="9" s="1"/>
  <c r="HT7" i="9"/>
  <c r="HR7" i="9"/>
  <c r="HN7" i="9"/>
  <c r="HL7" i="9"/>
  <c r="HF7" i="9"/>
  <c r="HH7" i="9" s="1"/>
  <c r="HB7" i="9"/>
  <c r="GZ7" i="9"/>
  <c r="GV7" i="9"/>
  <c r="GT7" i="9"/>
  <c r="GN7" i="9"/>
  <c r="GP7" i="9" s="1"/>
  <c r="GJ7" i="9"/>
  <c r="GH7" i="9"/>
  <c r="GD7" i="9"/>
  <c r="GB7" i="9"/>
  <c r="FV7" i="9"/>
  <c r="FX7" i="9" s="1"/>
  <c r="FR7" i="9"/>
  <c r="FP7" i="9"/>
  <c r="FL7" i="9"/>
  <c r="FJ7" i="9"/>
  <c r="FD7" i="9"/>
  <c r="FF7" i="9" s="1"/>
  <c r="EZ7" i="9"/>
  <c r="EX7" i="9"/>
  <c r="ET7" i="9"/>
  <c r="ER7" i="9"/>
  <c r="EL7" i="9"/>
  <c r="EN7" i="9" s="1"/>
  <c r="EH7" i="9"/>
  <c r="EF7" i="9"/>
  <c r="EB7" i="9"/>
  <c r="DZ7" i="9"/>
  <c r="DT7" i="9"/>
  <c r="DV7" i="9" s="1"/>
  <c r="DP7" i="9"/>
  <c r="DN7" i="9"/>
  <c r="DJ7" i="9"/>
  <c r="DH7" i="9"/>
  <c r="DB7" i="9"/>
  <c r="DD7" i="9" s="1"/>
  <c r="CX7" i="9"/>
  <c r="CV7" i="9"/>
  <c r="CR7" i="9"/>
  <c r="CP7" i="9"/>
  <c r="CJ7" i="9"/>
  <c r="CL7" i="9" s="1"/>
  <c r="CF7" i="9"/>
  <c r="CD7" i="9"/>
  <c r="BZ7" i="9"/>
  <c r="BX7" i="9"/>
  <c r="BR7" i="9"/>
  <c r="BT7" i="9" s="1"/>
  <c r="BN7" i="9"/>
  <c r="BL7" i="9"/>
  <c r="BH7" i="9"/>
  <c r="BF7" i="9"/>
  <c r="AZ7" i="9"/>
  <c r="BB7" i="9" s="1"/>
  <c r="AV7" i="9"/>
  <c r="AT7" i="9"/>
  <c r="AP7" i="9"/>
  <c r="AN7" i="9"/>
  <c r="AH7" i="9"/>
  <c r="AJ7" i="9" s="1"/>
  <c r="AD7" i="9"/>
  <c r="AB7" i="9"/>
  <c r="X7" i="9"/>
  <c r="V7" i="9"/>
  <c r="P7" i="9"/>
  <c r="R7" i="9" s="1"/>
  <c r="L7" i="9"/>
  <c r="J7" i="9"/>
  <c r="B7" i="9"/>
  <c r="AOX6" i="9"/>
  <c r="AOZ6" i="9" s="1"/>
  <c r="AOL6" i="9"/>
  <c r="AON6" i="9" s="1"/>
  <c r="AOF6" i="9"/>
  <c r="AOH6" i="9" s="1"/>
  <c r="ANZ6" i="9"/>
  <c r="AOB6" i="9" s="1"/>
  <c r="ANT6" i="9"/>
  <c r="ANV6" i="9" s="1"/>
  <c r="ANN6" i="9"/>
  <c r="ANP6" i="9" s="1"/>
  <c r="ANH6" i="9"/>
  <c r="ANJ6" i="9" s="1"/>
  <c r="ANB6" i="9"/>
  <c r="AND6" i="9" s="1"/>
  <c r="AMV6" i="9"/>
  <c r="AMX6" i="9" s="1"/>
  <c r="AMP6" i="9"/>
  <c r="AMR6" i="9" s="1"/>
  <c r="AMJ6" i="9"/>
  <c r="AML6" i="9" s="1"/>
  <c r="AMD6" i="9"/>
  <c r="AMF6" i="9" s="1"/>
  <c r="ALX6" i="9"/>
  <c r="ALZ6" i="9" s="1"/>
  <c r="ALR6" i="9"/>
  <c r="ALT6" i="9" s="1"/>
  <c r="ALL6" i="9"/>
  <c r="ALN6" i="9" s="1"/>
  <c r="ALF6" i="9"/>
  <c r="ALH6" i="9" s="1"/>
  <c r="AKZ6" i="9"/>
  <c r="ALB6" i="9" s="1"/>
  <c r="AKT6" i="9"/>
  <c r="AKV6" i="9" s="1"/>
  <c r="AKN6" i="9"/>
  <c r="AKP6" i="9" s="1"/>
  <c r="AKH6" i="9"/>
  <c r="AKJ6" i="9" s="1"/>
  <c r="AKB6" i="9"/>
  <c r="AKD6" i="9" s="1"/>
  <c r="AJV6" i="9"/>
  <c r="AJX6" i="9" s="1"/>
  <c r="AJP6" i="9"/>
  <c r="AJR6" i="9" s="1"/>
  <c r="AJJ6" i="9"/>
  <c r="AJL6" i="9" s="1"/>
  <c r="AJD6" i="9"/>
  <c r="AJF6" i="9" s="1"/>
  <c r="AIX6" i="9"/>
  <c r="AIZ6" i="9" s="1"/>
  <c r="AIR6" i="9"/>
  <c r="AIT6" i="9" s="1"/>
  <c r="AIL6" i="9"/>
  <c r="AIN6" i="9" s="1"/>
  <c r="AIF6" i="9"/>
  <c r="AIH6" i="9" s="1"/>
  <c r="AHZ6" i="9"/>
  <c r="AIB6" i="9" s="1"/>
  <c r="AHT6" i="9"/>
  <c r="AHV6" i="9" s="1"/>
  <c r="AHN6" i="9"/>
  <c r="AHP6" i="9" s="1"/>
  <c r="AHH6" i="9"/>
  <c r="AHJ6" i="9" s="1"/>
  <c r="AHB6" i="9"/>
  <c r="AHD6" i="9" s="1"/>
  <c r="AGV6" i="9"/>
  <c r="AGX6" i="9" s="1"/>
  <c r="AGP6" i="9"/>
  <c r="AGR6" i="9" s="1"/>
  <c r="AGJ6" i="9"/>
  <c r="AGL6" i="9" s="1"/>
  <c r="AGD6" i="9"/>
  <c r="AGF6" i="9" s="1"/>
  <c r="AFX6" i="9"/>
  <c r="AFZ6" i="9" s="1"/>
  <c r="AFR6" i="9"/>
  <c r="AFT6" i="9" s="1"/>
  <c r="AFL6" i="9"/>
  <c r="AFN6" i="9" s="1"/>
  <c r="AFF6" i="9"/>
  <c r="AFH6" i="9" s="1"/>
  <c r="AEZ6" i="9"/>
  <c r="AFB6" i="9" s="1"/>
  <c r="AET6" i="9"/>
  <c r="AEV6" i="9" s="1"/>
  <c r="AEN6" i="9"/>
  <c r="AEP6" i="9" s="1"/>
  <c r="AEH6" i="9"/>
  <c r="AEJ6" i="9" s="1"/>
  <c r="AEB6" i="9"/>
  <c r="AED6" i="9" s="1"/>
  <c r="ADV6" i="9"/>
  <c r="ADX6" i="9" s="1"/>
  <c r="ADP6" i="9"/>
  <c r="ADR6" i="9" s="1"/>
  <c r="ADJ6" i="9"/>
  <c r="ADL6" i="9" s="1"/>
  <c r="ADD6" i="9"/>
  <c r="ADF6" i="9" s="1"/>
  <c r="ACX6" i="9"/>
  <c r="ACZ6" i="9" s="1"/>
  <c r="ACR6" i="9"/>
  <c r="ACT6" i="9" s="1"/>
  <c r="ACL6" i="9"/>
  <c r="ACN6" i="9" s="1"/>
  <c r="ACF6" i="9"/>
  <c r="ACH6" i="9" s="1"/>
  <c r="ABZ6" i="9"/>
  <c r="ACB6" i="9" s="1"/>
  <c r="ABT6" i="9"/>
  <c r="ABV6" i="9" s="1"/>
  <c r="ABN6" i="9"/>
  <c r="ABP6" i="9" s="1"/>
  <c r="ABH6" i="9"/>
  <c r="ABJ6" i="9" s="1"/>
  <c r="ABB6" i="9"/>
  <c r="ABD6" i="9" s="1"/>
  <c r="AAV6" i="9"/>
  <c r="AAX6" i="9" s="1"/>
  <c r="AAP6" i="9"/>
  <c r="AAR6" i="9" s="1"/>
  <c r="AAJ6" i="9"/>
  <c r="AAL6" i="9" s="1"/>
  <c r="AAD6" i="9"/>
  <c r="AAF6" i="9" s="1"/>
  <c r="ZX6" i="9"/>
  <c r="ZZ6" i="9" s="1"/>
  <c r="ZR6" i="9"/>
  <c r="ZT6" i="9" s="1"/>
  <c r="ZL6" i="9"/>
  <c r="ZN6" i="9" s="1"/>
  <c r="ZF6" i="9"/>
  <c r="ZH6" i="9" s="1"/>
  <c r="YZ6" i="9"/>
  <c r="ZB6" i="9" s="1"/>
  <c r="YT6" i="9"/>
  <c r="YV6" i="9" s="1"/>
  <c r="YN6" i="9"/>
  <c r="YP6" i="9" s="1"/>
  <c r="YH6" i="9"/>
  <c r="YJ6" i="9" s="1"/>
  <c r="YB6" i="9"/>
  <c r="YD6" i="9" s="1"/>
  <c r="XV6" i="9"/>
  <c r="XX6" i="9" s="1"/>
  <c r="XP6" i="9"/>
  <c r="XR6" i="9" s="1"/>
  <c r="XJ6" i="9"/>
  <c r="XL6" i="9" s="1"/>
  <c r="XD6" i="9"/>
  <c r="XF6" i="9" s="1"/>
  <c r="WX6" i="9"/>
  <c r="WZ6" i="9" s="1"/>
  <c r="WR6" i="9"/>
  <c r="WT6" i="9" s="1"/>
  <c r="WL6" i="9"/>
  <c r="WN6" i="9" s="1"/>
  <c r="WF6" i="9"/>
  <c r="WH6" i="9" s="1"/>
  <c r="VZ6" i="9"/>
  <c r="WB6" i="9" s="1"/>
  <c r="VT6" i="9"/>
  <c r="VV6" i="9" s="1"/>
  <c r="VN6" i="9"/>
  <c r="VP6" i="9" s="1"/>
  <c r="VH6" i="9"/>
  <c r="VJ6" i="9" s="1"/>
  <c r="VB6" i="9"/>
  <c r="VD6" i="9" s="1"/>
  <c r="UV6" i="9"/>
  <c r="UX6" i="9" s="1"/>
  <c r="UP6" i="9"/>
  <c r="UR6" i="9" s="1"/>
  <c r="UJ6" i="9"/>
  <c r="UL6" i="9" s="1"/>
  <c r="UD6" i="9"/>
  <c r="UF6" i="9" s="1"/>
  <c r="TX6" i="9"/>
  <c r="TZ6" i="9" s="1"/>
  <c r="TR6" i="9"/>
  <c r="TT6" i="9" s="1"/>
  <c r="TL6" i="9"/>
  <c r="TN6" i="9" s="1"/>
  <c r="TF6" i="9"/>
  <c r="TH6" i="9" s="1"/>
  <c r="SZ6" i="9"/>
  <c r="TB6" i="9" s="1"/>
  <c r="ST6" i="9"/>
  <c r="SV6" i="9" s="1"/>
  <c r="SN6" i="9"/>
  <c r="SP6" i="9" s="1"/>
  <c r="SH6" i="9"/>
  <c r="SJ6" i="9" s="1"/>
  <c r="SB6" i="9"/>
  <c r="SD6" i="9" s="1"/>
  <c r="RV6" i="9"/>
  <c r="RX6" i="9" s="1"/>
  <c r="RP6" i="9"/>
  <c r="RR6" i="9" s="1"/>
  <c r="RJ6" i="9"/>
  <c r="RL6" i="9" s="1"/>
  <c r="RD6" i="9"/>
  <c r="RF6" i="9" s="1"/>
  <c r="QX6" i="9"/>
  <c r="QZ6" i="9" s="1"/>
  <c r="QR6" i="9"/>
  <c r="QT6" i="9" s="1"/>
  <c r="QL6" i="9"/>
  <c r="QN6" i="9" s="1"/>
  <c r="QF6" i="9"/>
  <c r="QH6" i="9" s="1"/>
  <c r="PZ6" i="9"/>
  <c r="QB6" i="9" s="1"/>
  <c r="PT6" i="9"/>
  <c r="PV6" i="9" s="1"/>
  <c r="PN6" i="9"/>
  <c r="PP6" i="9" s="1"/>
  <c r="PH6" i="9"/>
  <c r="PJ6" i="9" s="1"/>
  <c r="PB6" i="9"/>
  <c r="PD6" i="9" s="1"/>
  <c r="OV6" i="9"/>
  <c r="OX6" i="9" s="1"/>
  <c r="OP6" i="9"/>
  <c r="OR6" i="9" s="1"/>
  <c r="OJ6" i="9"/>
  <c r="OL6" i="9" s="1"/>
  <c r="OD6" i="9"/>
  <c r="OF6" i="9" s="1"/>
  <c r="NX6" i="9"/>
  <c r="NZ6" i="9" s="1"/>
  <c r="NR6" i="9"/>
  <c r="NT6" i="9" s="1"/>
  <c r="NL6" i="9"/>
  <c r="NN6" i="9" s="1"/>
  <c r="NF6" i="9"/>
  <c r="NH6" i="9" s="1"/>
  <c r="MZ6" i="9"/>
  <c r="NB6" i="9" s="1"/>
  <c r="MT6" i="9"/>
  <c r="MV6" i="9" s="1"/>
  <c r="MN6" i="9"/>
  <c r="MP6" i="9" s="1"/>
  <c r="MH6" i="9"/>
  <c r="MJ6" i="9" s="1"/>
  <c r="MB6" i="9"/>
  <c r="MD6" i="9" s="1"/>
  <c r="LV6" i="9"/>
  <c r="LX6" i="9" s="1"/>
  <c r="LP6" i="9"/>
  <c r="LR6" i="9" s="1"/>
  <c r="LJ6" i="9"/>
  <c r="LL6" i="9" s="1"/>
  <c r="LD6" i="9"/>
  <c r="LF6" i="9" s="1"/>
  <c r="KX6" i="9"/>
  <c r="KZ6" i="9" s="1"/>
  <c r="KR6" i="9"/>
  <c r="KT6" i="9" s="1"/>
  <c r="KL6" i="9"/>
  <c r="KN6" i="9" s="1"/>
  <c r="KF6" i="9"/>
  <c r="KH6" i="9" s="1"/>
  <c r="JZ6" i="9"/>
  <c r="KB6" i="9" s="1"/>
  <c r="JT6" i="9"/>
  <c r="JV6" i="9" s="1"/>
  <c r="JN6" i="9"/>
  <c r="JP6" i="9" s="1"/>
  <c r="JH6" i="9"/>
  <c r="JJ6" i="9" s="1"/>
  <c r="JB6" i="9"/>
  <c r="JD6" i="9" s="1"/>
  <c r="IV6" i="9"/>
  <c r="IX6" i="9" s="1"/>
  <c r="IP6" i="9"/>
  <c r="IR6" i="9" s="1"/>
  <c r="IJ6" i="9"/>
  <c r="IL6" i="9" s="1"/>
  <c r="ID6" i="9"/>
  <c r="IF6" i="9" s="1"/>
  <c r="HX6" i="9"/>
  <c r="HZ6" i="9" s="1"/>
  <c r="HR6" i="9"/>
  <c r="HT6" i="9" s="1"/>
  <c r="HL6" i="9"/>
  <c r="HN6" i="9" s="1"/>
  <c r="HF6" i="9"/>
  <c r="HH6" i="9" s="1"/>
  <c r="GZ6" i="9"/>
  <c r="HB6" i="9" s="1"/>
  <c r="GT6" i="9"/>
  <c r="GV6" i="9" s="1"/>
  <c r="GN6" i="9"/>
  <c r="GP6" i="9" s="1"/>
  <c r="GH6" i="9"/>
  <c r="GJ6" i="9" s="1"/>
  <c r="GB6" i="9"/>
  <c r="GD6" i="9" s="1"/>
  <c r="FV6" i="9"/>
  <c r="FX6" i="9" s="1"/>
  <c r="FP6" i="9"/>
  <c r="FR6" i="9" s="1"/>
  <c r="FJ6" i="9"/>
  <c r="FL6" i="9" s="1"/>
  <c r="FD6" i="9"/>
  <c r="FF6" i="9" s="1"/>
  <c r="EX6" i="9"/>
  <c r="EZ6" i="9" s="1"/>
  <c r="ER6" i="9"/>
  <c r="ET6" i="9" s="1"/>
  <c r="EL6" i="9"/>
  <c r="EN6" i="9" s="1"/>
  <c r="EF6" i="9"/>
  <c r="EH6" i="9" s="1"/>
  <c r="DZ6" i="9"/>
  <c r="EB6" i="9" s="1"/>
  <c r="DT6" i="9"/>
  <c r="DV6" i="9" s="1"/>
  <c r="DN6" i="9"/>
  <c r="DP6" i="9" s="1"/>
  <c r="DH6" i="9"/>
  <c r="DJ6" i="9" s="1"/>
  <c r="DB6" i="9"/>
  <c r="DD6" i="9" s="1"/>
  <c r="CV6" i="9"/>
  <c r="CX6" i="9" s="1"/>
  <c r="CP6" i="9"/>
  <c r="CR6" i="9" s="1"/>
  <c r="CJ6" i="9"/>
  <c r="CL6" i="9" s="1"/>
  <c r="CD6" i="9"/>
  <c r="CF6" i="9" s="1"/>
  <c r="BX6" i="9"/>
  <c r="BZ6" i="9" s="1"/>
  <c r="BR6" i="9"/>
  <c r="BT6" i="9" s="1"/>
  <c r="BL6" i="9"/>
  <c r="BN6" i="9" s="1"/>
  <c r="BF6" i="9"/>
  <c r="BH6" i="9" s="1"/>
  <c r="AZ6" i="9"/>
  <c r="BB6" i="9" s="1"/>
  <c r="AT6" i="9"/>
  <c r="AV6" i="9" s="1"/>
  <c r="AN6" i="9"/>
  <c r="AP6" i="9" s="1"/>
  <c r="AH6" i="9"/>
  <c r="AJ6" i="9" s="1"/>
  <c r="AB6" i="9"/>
  <c r="AD6" i="9" s="1"/>
  <c r="V6" i="9"/>
  <c r="X6" i="9" s="1"/>
  <c r="P6" i="9"/>
  <c r="R6" i="9" s="1"/>
  <c r="J6" i="9"/>
  <c r="L6" i="9" s="1"/>
  <c r="B6" i="9"/>
  <c r="AOX5" i="9"/>
  <c r="AOZ5" i="9" s="1"/>
  <c r="AON5" i="9"/>
  <c r="AOL5" i="9"/>
  <c r="AOH5" i="9"/>
  <c r="AOF5" i="9"/>
  <c r="ANZ5" i="9"/>
  <c r="AOB5" i="9" s="1"/>
  <c r="ANV5" i="9"/>
  <c r="ANT5" i="9"/>
  <c r="ANP5" i="9"/>
  <c r="ANN5" i="9"/>
  <c r="ANH5" i="9"/>
  <c r="ANJ5" i="9" s="1"/>
  <c r="AND5" i="9"/>
  <c r="ANB5" i="9"/>
  <c r="AMX5" i="9"/>
  <c r="AMV5" i="9"/>
  <c r="AMP5" i="9"/>
  <c r="AMR5" i="9" s="1"/>
  <c r="AML5" i="9"/>
  <c r="AMJ5" i="9"/>
  <c r="AMF5" i="9"/>
  <c r="AMD5" i="9"/>
  <c r="ALX5" i="9"/>
  <c r="ALZ5" i="9" s="1"/>
  <c r="ALT5" i="9"/>
  <c r="ALR5" i="9"/>
  <c r="ALN5" i="9"/>
  <c r="ALL5" i="9"/>
  <c r="ALF5" i="9"/>
  <c r="ALH5" i="9" s="1"/>
  <c r="ALB5" i="9"/>
  <c r="AKZ5" i="9"/>
  <c r="AKV5" i="9"/>
  <c r="AKT5" i="9"/>
  <c r="AKN5" i="9"/>
  <c r="AKP5" i="9" s="1"/>
  <c r="AKJ5" i="9"/>
  <c r="AKH5" i="9"/>
  <c r="AKD5" i="9"/>
  <c r="AKB5" i="9"/>
  <c r="AJV5" i="9"/>
  <c r="AJX5" i="9" s="1"/>
  <c r="AJR5" i="9"/>
  <c r="AJP5" i="9"/>
  <c r="AJL5" i="9"/>
  <c r="AJJ5" i="9"/>
  <c r="AJD5" i="9"/>
  <c r="AJF5" i="9" s="1"/>
  <c r="AIZ5" i="9"/>
  <c r="AIX5" i="9"/>
  <c r="AIT5" i="9"/>
  <c r="AIR5" i="9"/>
  <c r="AIL5" i="9"/>
  <c r="AIN5" i="9" s="1"/>
  <c r="AIH5" i="9"/>
  <c r="AIF5" i="9"/>
  <c r="AIB5" i="9"/>
  <c r="AHZ5" i="9"/>
  <c r="AHT5" i="9"/>
  <c r="AHV5" i="9" s="1"/>
  <c r="AHP5" i="9"/>
  <c r="AHN5" i="9"/>
  <c r="AHJ5" i="9"/>
  <c r="AHH5" i="9"/>
  <c r="AHB5" i="9"/>
  <c r="AHD5" i="9" s="1"/>
  <c r="AGX5" i="9"/>
  <c r="AGV5" i="9"/>
  <c r="AGR5" i="9"/>
  <c r="AGP5" i="9"/>
  <c r="AGJ5" i="9"/>
  <c r="AGL5" i="9" s="1"/>
  <c r="AGF5" i="9"/>
  <c r="AGD5" i="9"/>
  <c r="AFZ5" i="9"/>
  <c r="AFX5" i="9"/>
  <c r="AFR5" i="9"/>
  <c r="AFT5" i="9" s="1"/>
  <c r="AFN5" i="9"/>
  <c r="AFL5" i="9"/>
  <c r="AFH5" i="9"/>
  <c r="AFF5" i="9"/>
  <c r="AEZ5" i="9"/>
  <c r="AFB5" i="9" s="1"/>
  <c r="AEV5" i="9"/>
  <c r="AET5" i="9"/>
  <c r="AEP5" i="9"/>
  <c r="AEN5" i="9"/>
  <c r="AEH5" i="9"/>
  <c r="AEJ5" i="9" s="1"/>
  <c r="AED5" i="9"/>
  <c r="AEB5" i="9"/>
  <c r="ADX5" i="9"/>
  <c r="ADV5" i="9"/>
  <c r="ADP5" i="9"/>
  <c r="ADR5" i="9" s="1"/>
  <c r="ADL5" i="9"/>
  <c r="ADJ5" i="9"/>
  <c r="ADF5" i="9"/>
  <c r="ADD5" i="9"/>
  <c r="ACX5" i="9"/>
  <c r="ACZ5" i="9" s="1"/>
  <c r="ACT5" i="9"/>
  <c r="ACR5" i="9"/>
  <c r="ACN5" i="9"/>
  <c r="ACL5" i="9"/>
  <c r="ACF5" i="9"/>
  <c r="ACH5" i="9" s="1"/>
  <c r="ACB5" i="9"/>
  <c r="ABZ5" i="9"/>
  <c r="ABV5" i="9"/>
  <c r="ABT5" i="9"/>
  <c r="ABN5" i="9"/>
  <c r="ABP5" i="9" s="1"/>
  <c r="ABJ5" i="9"/>
  <c r="ABH5" i="9"/>
  <c r="ABD5" i="9"/>
  <c r="ABB5" i="9"/>
  <c r="AAV5" i="9"/>
  <c r="AAX5" i="9" s="1"/>
  <c r="AAR5" i="9"/>
  <c r="AAP5" i="9"/>
  <c r="AAL5" i="9"/>
  <c r="AAJ5" i="9"/>
  <c r="AAD5" i="9"/>
  <c r="AAF5" i="9" s="1"/>
  <c r="ZZ5" i="9"/>
  <c r="ZX5" i="9"/>
  <c r="ZT5" i="9"/>
  <c r="ZR5" i="9"/>
  <c r="ZL5" i="9"/>
  <c r="ZN5" i="9" s="1"/>
  <c r="ZH5" i="9"/>
  <c r="ZF5" i="9"/>
  <c r="ZB5" i="9"/>
  <c r="YZ5" i="9"/>
  <c r="YT5" i="9"/>
  <c r="YV5" i="9" s="1"/>
  <c r="YP5" i="9"/>
  <c r="YN5" i="9"/>
  <c r="YJ5" i="9"/>
  <c r="YH5" i="9"/>
  <c r="YB5" i="9"/>
  <c r="YD5" i="9" s="1"/>
  <c r="XX5" i="9"/>
  <c r="XV5" i="9"/>
  <c r="XR5" i="9"/>
  <c r="XP5" i="9"/>
  <c r="XJ5" i="9"/>
  <c r="XL5" i="9" s="1"/>
  <c r="XF5" i="9"/>
  <c r="XD5" i="9"/>
  <c r="WZ5" i="9"/>
  <c r="WX5" i="9"/>
  <c r="WR5" i="9"/>
  <c r="WT5" i="9" s="1"/>
  <c r="WN5" i="9"/>
  <c r="WL5" i="9"/>
  <c r="WH5" i="9"/>
  <c r="WF5" i="9"/>
  <c r="VZ5" i="9"/>
  <c r="WB5" i="9" s="1"/>
  <c r="VV5" i="9"/>
  <c r="VT5" i="9"/>
  <c r="VP5" i="9"/>
  <c r="VN5" i="9"/>
  <c r="VH5" i="9"/>
  <c r="VJ5" i="9" s="1"/>
  <c r="VD5" i="9"/>
  <c r="VB5" i="9"/>
  <c r="UX5" i="9"/>
  <c r="UV5" i="9"/>
  <c r="UP5" i="9"/>
  <c r="UR5" i="9" s="1"/>
  <c r="UL5" i="9"/>
  <c r="UJ5" i="9"/>
  <c r="UF5" i="9"/>
  <c r="UD5" i="9"/>
  <c r="TX5" i="9"/>
  <c r="TZ5" i="9" s="1"/>
  <c r="TT5" i="9"/>
  <c r="TR5" i="9"/>
  <c r="TN5" i="9"/>
  <c r="TL5" i="9"/>
  <c r="TF5" i="9"/>
  <c r="TH5" i="9" s="1"/>
  <c r="TB5" i="9"/>
  <c r="SZ5" i="9"/>
  <c r="SV5" i="9"/>
  <c r="ST5" i="9"/>
  <c r="SN5" i="9"/>
  <c r="SP5" i="9" s="1"/>
  <c r="SJ5" i="9"/>
  <c r="SH5" i="9"/>
  <c r="SD5" i="9"/>
  <c r="SB5" i="9"/>
  <c r="RV5" i="9"/>
  <c r="RX5" i="9" s="1"/>
  <c r="RR5" i="9"/>
  <c r="RP5" i="9"/>
  <c r="RL5" i="9"/>
  <c r="RJ5" i="9"/>
  <c r="RD5" i="9"/>
  <c r="RF5" i="9" s="1"/>
  <c r="QZ5" i="9"/>
  <c r="QX5" i="9"/>
  <c r="QT5" i="9"/>
  <c r="QR5" i="9"/>
  <c r="QL5" i="9"/>
  <c r="QN5" i="9" s="1"/>
  <c r="QH5" i="9"/>
  <c r="QF5" i="9"/>
  <c r="QB5" i="9"/>
  <c r="PZ5" i="9"/>
  <c r="PT5" i="9"/>
  <c r="PV5" i="9" s="1"/>
  <c r="PP5" i="9"/>
  <c r="PN5" i="9"/>
  <c r="PJ5" i="9"/>
  <c r="PH5" i="9"/>
  <c r="PB5" i="9"/>
  <c r="PD5" i="9" s="1"/>
  <c r="OX5" i="9"/>
  <c r="OV5" i="9"/>
  <c r="OR5" i="9"/>
  <c r="OP5" i="9"/>
  <c r="OJ5" i="9"/>
  <c r="OL5" i="9" s="1"/>
  <c r="OF5" i="9"/>
  <c r="OD5" i="9"/>
  <c r="NZ5" i="9"/>
  <c r="NX5" i="9"/>
  <c r="NR5" i="9"/>
  <c r="NT5" i="9" s="1"/>
  <c r="NN5" i="9"/>
  <c r="NL5" i="9"/>
  <c r="NH5" i="9"/>
  <c r="NF5" i="9"/>
  <c r="MZ5" i="9"/>
  <c r="NB5" i="9" s="1"/>
  <c r="MV5" i="9"/>
  <c r="MT5" i="9"/>
  <c r="MP5" i="9"/>
  <c r="MN5" i="9"/>
  <c r="MH5" i="9"/>
  <c r="MJ5" i="9" s="1"/>
  <c r="MD5" i="9"/>
  <c r="MB5" i="9"/>
  <c r="LX5" i="9"/>
  <c r="LV5" i="9"/>
  <c r="LP5" i="9"/>
  <c r="LR5" i="9" s="1"/>
  <c r="LL5" i="9"/>
  <c r="LJ5" i="9"/>
  <c r="LF5" i="9"/>
  <c r="LD5" i="9"/>
  <c r="KX5" i="9"/>
  <c r="KZ5" i="9" s="1"/>
  <c r="KT5" i="9"/>
  <c r="KR5" i="9"/>
  <c r="KN5" i="9"/>
  <c r="KL5" i="9"/>
  <c r="KF5" i="9"/>
  <c r="KH5" i="9" s="1"/>
  <c r="KB5" i="9"/>
  <c r="JZ5" i="9"/>
  <c r="JV5" i="9"/>
  <c r="JT5" i="9"/>
  <c r="JN5" i="9"/>
  <c r="JP5" i="9" s="1"/>
  <c r="JJ5" i="9"/>
  <c r="JH5" i="9"/>
  <c r="JD5" i="9"/>
  <c r="JB5" i="9"/>
  <c r="IV5" i="9"/>
  <c r="IX5" i="9" s="1"/>
  <c r="IR5" i="9"/>
  <c r="IP5" i="9"/>
  <c r="IL5" i="9"/>
  <c r="IJ5" i="9"/>
  <c r="ID5" i="9"/>
  <c r="IF5" i="9" s="1"/>
  <c r="HZ5" i="9"/>
  <c r="HX5" i="9"/>
  <c r="HT5" i="9"/>
  <c r="HR5" i="9"/>
  <c r="HL5" i="9"/>
  <c r="HN5" i="9" s="1"/>
  <c r="HH5" i="9"/>
  <c r="HF5" i="9"/>
  <c r="HB5" i="9"/>
  <c r="GZ5" i="9"/>
  <c r="GT5" i="9"/>
  <c r="GV5" i="9" s="1"/>
  <c r="GP5" i="9"/>
  <c r="GN5" i="9"/>
  <c r="GJ5" i="9"/>
  <c r="GH5" i="9"/>
  <c r="GB5" i="9"/>
  <c r="GD5" i="9" s="1"/>
  <c r="FX5" i="9"/>
  <c r="FV5" i="9"/>
  <c r="FR5" i="9"/>
  <c r="FP5" i="9"/>
  <c r="FJ5" i="9"/>
  <c r="FL5" i="9" s="1"/>
  <c r="FF5" i="9"/>
  <c r="FD5" i="9"/>
  <c r="EZ5" i="9"/>
  <c r="EX5" i="9"/>
  <c r="ER5" i="9"/>
  <c r="ET5" i="9" s="1"/>
  <c r="EN5" i="9"/>
  <c r="EL5" i="9"/>
  <c r="EH5" i="9"/>
  <c r="EF5" i="9"/>
  <c r="DZ5" i="9"/>
  <c r="EB5" i="9" s="1"/>
  <c r="DV5" i="9"/>
  <c r="DT5" i="9"/>
  <c r="DP5" i="9"/>
  <c r="DN5" i="9"/>
  <c r="DH5" i="9"/>
  <c r="DJ5" i="9" s="1"/>
  <c r="DD5" i="9"/>
  <c r="DB5" i="9"/>
  <c r="CX5" i="9"/>
  <c r="CV5" i="9"/>
  <c r="CP5" i="9"/>
  <c r="CR5" i="9" s="1"/>
  <c r="CL5" i="9"/>
  <c r="CJ5" i="9"/>
  <c r="CF5" i="9"/>
  <c r="CD5" i="9"/>
  <c r="BX5" i="9"/>
  <c r="BZ5" i="9" s="1"/>
  <c r="BT5" i="9"/>
  <c r="BR5" i="9"/>
  <c r="BN5" i="9"/>
  <c r="BL5" i="9"/>
  <c r="BF5" i="9"/>
  <c r="BH5" i="9" s="1"/>
  <c r="BB5" i="9"/>
  <c r="AZ5" i="9"/>
  <c r="AV5" i="9"/>
  <c r="AT5" i="9"/>
  <c r="AN5" i="9"/>
  <c r="AP5" i="9" s="1"/>
  <c r="AH5" i="9"/>
  <c r="AJ5" i="9" s="1"/>
  <c r="AD5" i="9"/>
  <c r="AB5" i="9"/>
  <c r="V5" i="9"/>
  <c r="X5" i="9" s="1"/>
  <c r="R5" i="9"/>
  <c r="P5" i="9"/>
  <c r="L5" i="9"/>
  <c r="J5" i="9"/>
  <c r="B5" i="9"/>
  <c r="AOX4" i="9"/>
  <c r="AOZ4" i="9" s="1"/>
  <c r="AOL4" i="9"/>
  <c r="AON4" i="9" s="1"/>
  <c r="AOF4" i="9"/>
  <c r="AOH4" i="9" s="1"/>
  <c r="ANZ4" i="9"/>
  <c r="AOB4" i="9" s="1"/>
  <c r="ANT4" i="9"/>
  <c r="ANV4" i="9" s="1"/>
  <c r="ANP4" i="9"/>
  <c r="ANN4" i="9"/>
  <c r="ANH4" i="9"/>
  <c r="ANJ4" i="9" s="1"/>
  <c r="ANB4" i="9"/>
  <c r="AND4" i="9" s="1"/>
  <c r="AMV4" i="9"/>
  <c r="AMX4" i="9" s="1"/>
  <c r="AMP4" i="9"/>
  <c r="AMR4" i="9" s="1"/>
  <c r="AML4" i="9"/>
  <c r="AMJ4" i="9"/>
  <c r="AMD4" i="9"/>
  <c r="AMF4" i="9" s="1"/>
  <c r="ALX4" i="9"/>
  <c r="ALZ4" i="9" s="1"/>
  <c r="ALR4" i="9"/>
  <c r="ALT4" i="9" s="1"/>
  <c r="ALL4" i="9"/>
  <c r="ALN4" i="9" s="1"/>
  <c r="ALF4" i="9"/>
  <c r="ALH4" i="9" s="1"/>
  <c r="AKZ4" i="9"/>
  <c r="ALB4" i="9" s="1"/>
  <c r="AKT4" i="9"/>
  <c r="AKV4" i="9" s="1"/>
  <c r="AKN4" i="9"/>
  <c r="AKP4" i="9" s="1"/>
  <c r="AKH4" i="9"/>
  <c r="AKJ4" i="9" s="1"/>
  <c r="AKB4" i="9"/>
  <c r="AKD4" i="9" s="1"/>
  <c r="AJV4" i="9"/>
  <c r="AJX4" i="9" s="1"/>
  <c r="AJP4" i="9"/>
  <c r="AJR4" i="9" s="1"/>
  <c r="AJL4" i="9"/>
  <c r="AJJ4" i="9"/>
  <c r="AJD4" i="9"/>
  <c r="AJF4" i="9" s="1"/>
  <c r="AIX4" i="9"/>
  <c r="AIZ4" i="9" s="1"/>
  <c r="AIR4" i="9"/>
  <c r="AIT4" i="9" s="1"/>
  <c r="AIL4" i="9"/>
  <c r="AIN4" i="9" s="1"/>
  <c r="AIH4" i="9"/>
  <c r="AIF4" i="9"/>
  <c r="AHZ4" i="9"/>
  <c r="AIB4" i="9" s="1"/>
  <c r="AHT4" i="9"/>
  <c r="AHV4" i="9" s="1"/>
  <c r="AHN4" i="9"/>
  <c r="AHP4" i="9" s="1"/>
  <c r="AHH4" i="9"/>
  <c r="AHJ4" i="9" s="1"/>
  <c r="AHB4" i="9"/>
  <c r="AHD4" i="9" s="1"/>
  <c r="AGV4" i="9"/>
  <c r="AGX4" i="9" s="1"/>
  <c r="AGP4" i="9"/>
  <c r="AGR4" i="9" s="1"/>
  <c r="AGJ4" i="9"/>
  <c r="AGL4" i="9" s="1"/>
  <c r="AGD4" i="9"/>
  <c r="AGF4" i="9" s="1"/>
  <c r="AFX4" i="9"/>
  <c r="AFZ4" i="9" s="1"/>
  <c r="AFR4" i="9"/>
  <c r="AFT4" i="9" s="1"/>
  <c r="AFL4" i="9"/>
  <c r="AFN4" i="9" s="1"/>
  <c r="AFH4" i="9"/>
  <c r="AFF4" i="9"/>
  <c r="AEZ4" i="9"/>
  <c r="AFB4" i="9" s="1"/>
  <c r="AET4" i="9"/>
  <c r="AEV4" i="9" s="1"/>
  <c r="AEN4" i="9"/>
  <c r="AEP4" i="9" s="1"/>
  <c r="AEH4" i="9"/>
  <c r="AEJ4" i="9" s="1"/>
  <c r="AED4" i="9"/>
  <c r="AEB4" i="9"/>
  <c r="ADV4" i="9"/>
  <c r="ADX4" i="9" s="1"/>
  <c r="ADP4" i="9"/>
  <c r="ADR4" i="9" s="1"/>
  <c r="ADJ4" i="9"/>
  <c r="ADL4" i="9" s="1"/>
  <c r="ADD4" i="9"/>
  <c r="ADF4" i="9" s="1"/>
  <c r="ACX4" i="9"/>
  <c r="ACZ4" i="9" s="1"/>
  <c r="ACR4" i="9"/>
  <c r="ACT4" i="9" s="1"/>
  <c r="ACL4" i="9"/>
  <c r="ACN4" i="9" s="1"/>
  <c r="ACF4" i="9"/>
  <c r="ACH4" i="9" s="1"/>
  <c r="ABZ4" i="9"/>
  <c r="ACB4" i="9" s="1"/>
  <c r="ABT4" i="9"/>
  <c r="ABV4" i="9" s="1"/>
  <c r="ABN4" i="9"/>
  <c r="ABP4" i="9" s="1"/>
  <c r="ABH4" i="9"/>
  <c r="ABJ4" i="9" s="1"/>
  <c r="ABD4" i="9"/>
  <c r="ABB4" i="9"/>
  <c r="AAV4" i="9"/>
  <c r="AAX4" i="9" s="1"/>
  <c r="AAP4" i="9"/>
  <c r="AAR4" i="9" s="1"/>
  <c r="AAJ4" i="9"/>
  <c r="AAL4" i="9" s="1"/>
  <c r="AAD4" i="9"/>
  <c r="AAF4" i="9" s="1"/>
  <c r="ZZ4" i="9"/>
  <c r="ZX4" i="9"/>
  <c r="ZR4" i="9"/>
  <c r="ZT4" i="9" s="1"/>
  <c r="ZL4" i="9"/>
  <c r="ZN4" i="9" s="1"/>
  <c r="ZF4" i="9"/>
  <c r="ZH4" i="9" s="1"/>
  <c r="YZ4" i="9"/>
  <c r="ZB4" i="9" s="1"/>
  <c r="YT4" i="9"/>
  <c r="YV4" i="9" s="1"/>
  <c r="YN4" i="9"/>
  <c r="YP4" i="9" s="1"/>
  <c r="YH4" i="9"/>
  <c r="YJ4" i="9" s="1"/>
  <c r="YB4" i="9"/>
  <c r="YD4" i="9" s="1"/>
  <c r="XV4" i="9"/>
  <c r="XX4" i="9" s="1"/>
  <c r="XP4" i="9"/>
  <c r="XR4" i="9" s="1"/>
  <c r="XJ4" i="9"/>
  <c r="XL4" i="9" s="1"/>
  <c r="XD4" i="9"/>
  <c r="XF4" i="9" s="1"/>
  <c r="WZ4" i="9"/>
  <c r="WX4" i="9"/>
  <c r="WR4" i="9"/>
  <c r="WT4" i="9" s="1"/>
  <c r="WL4" i="9"/>
  <c r="WN4" i="9" s="1"/>
  <c r="WF4" i="9"/>
  <c r="WH4" i="9" s="1"/>
  <c r="VZ4" i="9"/>
  <c r="WB4" i="9" s="1"/>
  <c r="VV4" i="9"/>
  <c r="VT4" i="9"/>
  <c r="VN4" i="9"/>
  <c r="VP4" i="9" s="1"/>
  <c r="VH4" i="9"/>
  <c r="VJ4" i="9" s="1"/>
  <c r="VB4" i="9"/>
  <c r="VD4" i="9" s="1"/>
  <c r="UV4" i="9"/>
  <c r="UX4" i="9" s="1"/>
  <c r="UP4" i="9"/>
  <c r="UR4" i="9" s="1"/>
  <c r="UJ4" i="9"/>
  <c r="UL4" i="9" s="1"/>
  <c r="UD4" i="9"/>
  <c r="UF4" i="9" s="1"/>
  <c r="TX4" i="9"/>
  <c r="TZ4" i="9" s="1"/>
  <c r="TR4" i="9"/>
  <c r="TT4" i="9" s="1"/>
  <c r="TL4" i="9"/>
  <c r="TN4" i="9" s="1"/>
  <c r="TF4" i="9"/>
  <c r="TH4" i="9" s="1"/>
  <c r="SZ4" i="9"/>
  <c r="TB4" i="9" s="1"/>
  <c r="SV4" i="9"/>
  <c r="ST4" i="9"/>
  <c r="SN4" i="9"/>
  <c r="SP4" i="9" s="1"/>
  <c r="SH4" i="9"/>
  <c r="SJ4" i="9" s="1"/>
  <c r="SB4" i="9"/>
  <c r="SD4" i="9" s="1"/>
  <c r="RV4" i="9"/>
  <c r="RX4" i="9" s="1"/>
  <c r="RR4" i="9"/>
  <c r="RP4" i="9"/>
  <c r="RJ4" i="9"/>
  <c r="RL4" i="9" s="1"/>
  <c r="RD4" i="9"/>
  <c r="RF4" i="9" s="1"/>
  <c r="QX4" i="9"/>
  <c r="QZ4" i="9" s="1"/>
  <c r="QR4" i="9"/>
  <c r="QT4" i="9" s="1"/>
  <c r="QL4" i="9"/>
  <c r="QN4" i="9" s="1"/>
  <c r="QF4" i="9"/>
  <c r="QH4" i="9" s="1"/>
  <c r="PZ4" i="9"/>
  <c r="QB4" i="9" s="1"/>
  <c r="PT4" i="9"/>
  <c r="PV4" i="9" s="1"/>
  <c r="PN4" i="9"/>
  <c r="PP4" i="9" s="1"/>
  <c r="PH4" i="9"/>
  <c r="PJ4" i="9" s="1"/>
  <c r="PB4" i="9"/>
  <c r="PD4" i="9" s="1"/>
  <c r="OV4" i="9"/>
  <c r="OX4" i="9" s="1"/>
  <c r="OR4" i="9"/>
  <c r="OP4" i="9"/>
  <c r="OJ4" i="9"/>
  <c r="OL4" i="9" s="1"/>
  <c r="OD4" i="9"/>
  <c r="OF4" i="9" s="1"/>
  <c r="NX4" i="9"/>
  <c r="NZ4" i="9" s="1"/>
  <c r="NR4" i="9"/>
  <c r="NT4" i="9" s="1"/>
  <c r="NN4" i="9"/>
  <c r="NL4" i="9"/>
  <c r="NF4" i="9"/>
  <c r="NH4" i="9" s="1"/>
  <c r="MZ4" i="9"/>
  <c r="NB4" i="9" s="1"/>
  <c r="MT4" i="9"/>
  <c r="MV4" i="9" s="1"/>
  <c r="MN4" i="9"/>
  <c r="MP4" i="9" s="1"/>
  <c r="MH4" i="9"/>
  <c r="MJ4" i="9" s="1"/>
  <c r="MB4" i="9"/>
  <c r="MD4" i="9" s="1"/>
  <c r="LV4" i="9"/>
  <c r="LX4" i="9" s="1"/>
  <c r="LP4" i="9"/>
  <c r="LR4" i="9" s="1"/>
  <c r="LJ4" i="9"/>
  <c r="LL4" i="9" s="1"/>
  <c r="LD4" i="9"/>
  <c r="LF4" i="9" s="1"/>
  <c r="KX4" i="9"/>
  <c r="KZ4" i="9" s="1"/>
  <c r="KR4" i="9"/>
  <c r="KT4" i="9" s="1"/>
  <c r="KN4" i="9"/>
  <c r="KL4" i="9"/>
  <c r="KF4" i="9"/>
  <c r="KH4" i="9" s="1"/>
  <c r="JZ4" i="9"/>
  <c r="KB4" i="9" s="1"/>
  <c r="JT4" i="9"/>
  <c r="JV4" i="9" s="1"/>
  <c r="JN4" i="9"/>
  <c r="JP4" i="9" s="1"/>
  <c r="JJ4" i="9"/>
  <c r="JH4" i="9"/>
  <c r="JB4" i="9"/>
  <c r="JD4" i="9" s="1"/>
  <c r="IV4" i="9"/>
  <c r="IX4" i="9" s="1"/>
  <c r="IP4" i="9"/>
  <c r="IR4" i="9" s="1"/>
  <c r="IJ4" i="9"/>
  <c r="IL4" i="9" s="1"/>
  <c r="ID4" i="9"/>
  <c r="IF4" i="9" s="1"/>
  <c r="HX4" i="9"/>
  <c r="HZ4" i="9" s="1"/>
  <c r="HR4" i="9"/>
  <c r="HT4" i="9" s="1"/>
  <c r="HL4" i="9"/>
  <c r="HN4" i="9" s="1"/>
  <c r="HF4" i="9"/>
  <c r="HH4" i="9" s="1"/>
  <c r="GZ4" i="9"/>
  <c r="HB4" i="9" s="1"/>
  <c r="GT4" i="9"/>
  <c r="GV4" i="9" s="1"/>
  <c r="GN4" i="9"/>
  <c r="GP4" i="9" s="1"/>
  <c r="GJ4" i="9"/>
  <c r="GH4" i="9"/>
  <c r="GB4" i="9"/>
  <c r="GD4" i="9" s="1"/>
  <c r="FV4" i="9"/>
  <c r="FX4" i="9" s="1"/>
  <c r="FP4" i="9"/>
  <c r="FR4" i="9" s="1"/>
  <c r="FJ4" i="9"/>
  <c r="FL4" i="9" s="1"/>
  <c r="FF4" i="9"/>
  <c r="FD4" i="9"/>
  <c r="EX4" i="9"/>
  <c r="EZ4" i="9" s="1"/>
  <c r="ER4" i="9"/>
  <c r="ET4" i="9" s="1"/>
  <c r="EL4" i="9"/>
  <c r="EN4" i="9" s="1"/>
  <c r="EF4" i="9"/>
  <c r="EH4" i="9" s="1"/>
  <c r="DZ4" i="9"/>
  <c r="EB4" i="9" s="1"/>
  <c r="DT4" i="9"/>
  <c r="DV4" i="9" s="1"/>
  <c r="DN4" i="9"/>
  <c r="DP4" i="9" s="1"/>
  <c r="DH4" i="9"/>
  <c r="DJ4" i="9" s="1"/>
  <c r="DB4" i="9"/>
  <c r="DD4" i="9" s="1"/>
  <c r="CV4" i="9"/>
  <c r="CX4" i="9" s="1"/>
  <c r="CP4" i="9"/>
  <c r="CR4" i="9" s="1"/>
  <c r="CJ4" i="9"/>
  <c r="CL4" i="9" s="1"/>
  <c r="CF4" i="9"/>
  <c r="CD4" i="9"/>
  <c r="BX4" i="9"/>
  <c r="BZ4" i="9" s="1"/>
  <c r="BR4" i="9"/>
  <c r="BT4" i="9" s="1"/>
  <c r="BL4" i="9"/>
  <c r="BN4" i="9" s="1"/>
  <c r="BF4" i="9"/>
  <c r="BH4" i="9" s="1"/>
  <c r="BB4" i="9"/>
  <c r="AZ4" i="9"/>
  <c r="AT4" i="9"/>
  <c r="AV4" i="9" s="1"/>
  <c r="AN4" i="9"/>
  <c r="AP4" i="9" s="1"/>
  <c r="AH4" i="9"/>
  <c r="AJ4" i="9" s="1"/>
  <c r="AB4" i="9"/>
  <c r="AD4" i="9" s="1"/>
  <c r="V4" i="9"/>
  <c r="X4" i="9" s="1"/>
  <c r="P4" i="9"/>
  <c r="R4" i="9" s="1"/>
  <c r="J4" i="9"/>
  <c r="L4" i="9" s="1"/>
  <c r="B4" i="9"/>
  <c r="B16" i="9" l="1"/>
  <c r="AOP32" i="6" l="1"/>
  <c r="AOP31" i="6"/>
  <c r="AOP30" i="6"/>
  <c r="AOP28" i="6"/>
  <c r="AOP27" i="6"/>
  <c r="AOP26" i="6"/>
  <c r="AOP25" i="6"/>
  <c r="AOP24" i="6"/>
  <c r="AOP23" i="6"/>
  <c r="AOP22" i="6"/>
  <c r="AOP21" i="6"/>
  <c r="AOP20" i="6"/>
  <c r="AOP17" i="6"/>
  <c r="AOR17" i="6" s="1"/>
  <c r="AOR16" i="6"/>
  <c r="AOP16" i="6"/>
  <c r="AOP15" i="6"/>
  <c r="AOR15" i="6" s="1"/>
  <c r="AOR14" i="6"/>
  <c r="AOP14" i="6"/>
  <c r="AOR13" i="6"/>
  <c r="AOP13" i="6"/>
  <c r="AOP12" i="6"/>
  <c r="AOR12" i="6" s="1"/>
  <c r="AOP11" i="6"/>
  <c r="AOR11" i="6" s="1"/>
  <c r="AOR10" i="6"/>
  <c r="AOP10" i="6"/>
  <c r="AOP7" i="6"/>
  <c r="AOR7" i="6" s="1"/>
  <c r="AOP6" i="6"/>
  <c r="AOR6" i="6" s="1"/>
  <c r="AOP5" i="6"/>
  <c r="AOR5" i="6" s="1"/>
  <c r="AOP4" i="6"/>
  <c r="AOR4" i="6" s="1"/>
  <c r="AOJ32" i="6"/>
  <c r="AOJ31" i="6"/>
  <c r="AOJ30" i="6"/>
  <c r="AOJ28" i="6"/>
  <c r="AOJ27" i="6"/>
  <c r="AOJ26" i="6"/>
  <c r="AOJ25" i="6"/>
  <c r="AOJ24" i="6"/>
  <c r="AOJ23" i="6"/>
  <c r="AOJ22" i="6"/>
  <c r="AOJ21" i="6"/>
  <c r="AOJ20" i="6"/>
  <c r="AOJ17" i="6"/>
  <c r="AOL17" i="6" s="1"/>
  <c r="AOJ16" i="6"/>
  <c r="AOL16" i="6" s="1"/>
  <c r="AOJ15" i="6"/>
  <c r="AOL15" i="6" s="1"/>
  <c r="AOJ14" i="6"/>
  <c r="AOL14" i="6" s="1"/>
  <c r="AOJ13" i="6"/>
  <c r="AOL13" i="6" s="1"/>
  <c r="AOJ12" i="6"/>
  <c r="AOL12" i="6" s="1"/>
  <c r="AOJ11" i="6"/>
  <c r="AOL11" i="6" s="1"/>
  <c r="AOJ10" i="6"/>
  <c r="AOL10" i="6" s="1"/>
  <c r="AOJ7" i="6"/>
  <c r="AOL7" i="6" s="1"/>
  <c r="AOJ6" i="6"/>
  <c r="AOL6" i="6" s="1"/>
  <c r="AOJ5" i="6"/>
  <c r="AOL5" i="6" s="1"/>
  <c r="AOJ4" i="6"/>
  <c r="AOL4" i="6" s="1"/>
  <c r="AOD32" i="6"/>
  <c r="AOD31" i="6"/>
  <c r="AOD30" i="6"/>
  <c r="AOD28" i="6"/>
  <c r="AOD27" i="6"/>
  <c r="AOD26" i="6"/>
  <c r="AOD25" i="6"/>
  <c r="AOD24" i="6"/>
  <c r="AOD23" i="6"/>
  <c r="AOD22" i="6"/>
  <c r="AOD21" i="6"/>
  <c r="AOD20" i="6"/>
  <c r="AOD17" i="6"/>
  <c r="AOF17" i="6" s="1"/>
  <c r="AOD16" i="6"/>
  <c r="AOF16" i="6" s="1"/>
  <c r="AOD15" i="6"/>
  <c r="AOF15" i="6" s="1"/>
  <c r="AOD14" i="6"/>
  <c r="AOF14" i="6" s="1"/>
  <c r="AOD13" i="6"/>
  <c r="AOF13" i="6" s="1"/>
  <c r="AOD12" i="6"/>
  <c r="AOF12" i="6" s="1"/>
  <c r="AOD11" i="6"/>
  <c r="AOF11" i="6" s="1"/>
  <c r="AOD10" i="6"/>
  <c r="AOF10" i="6" s="1"/>
  <c r="AOD7" i="6"/>
  <c r="AOF7" i="6" s="1"/>
  <c r="AOD6" i="6"/>
  <c r="AOF6" i="6" s="1"/>
  <c r="AOD5" i="6"/>
  <c r="AOF5" i="6" s="1"/>
  <c r="AOD4" i="6"/>
  <c r="AOF4" i="6" s="1"/>
  <c r="ANX32" i="6" l="1"/>
  <c r="ANX31" i="6"/>
  <c r="ANX30" i="6"/>
  <c r="ANX28" i="6"/>
  <c r="ANX27" i="6"/>
  <c r="ANX26" i="6"/>
  <c r="ANX25" i="6"/>
  <c r="ANX24" i="6"/>
  <c r="ANX23" i="6"/>
  <c r="ANX22" i="6"/>
  <c r="ANX21" i="6"/>
  <c r="ANX20" i="6"/>
  <c r="ANX17" i="6"/>
  <c r="ANZ17" i="6" s="1"/>
  <c r="ANX16" i="6"/>
  <c r="ANZ16" i="6" s="1"/>
  <c r="ANX15" i="6"/>
  <c r="ANZ15" i="6" s="1"/>
  <c r="ANX14" i="6"/>
  <c r="ANZ14" i="6" s="1"/>
  <c r="ANX13" i="6"/>
  <c r="ANZ13" i="6" s="1"/>
  <c r="ANX12" i="6"/>
  <c r="ANZ12" i="6" s="1"/>
  <c r="ANX11" i="6"/>
  <c r="ANZ11" i="6" s="1"/>
  <c r="ANX10" i="6"/>
  <c r="ANZ10" i="6" s="1"/>
  <c r="ANX7" i="6"/>
  <c r="ANZ7" i="6" s="1"/>
  <c r="ANX6" i="6"/>
  <c r="ANZ6" i="6" s="1"/>
  <c r="ANX5" i="6"/>
  <c r="ANZ5" i="6" s="1"/>
  <c r="ANX4" i="6"/>
  <c r="ANZ4" i="6" s="1"/>
  <c r="ANR24" i="6"/>
  <c r="ANR16" i="6"/>
  <c r="ANT16" i="6" s="1"/>
  <c r="ANR10" i="6"/>
  <c r="ANT10" i="6" s="1"/>
  <c r="ANR25" i="6"/>
  <c r="ANR17" i="6"/>
  <c r="ANT17" i="6" s="1"/>
  <c r="ANR11" i="6"/>
  <c r="ANT11" i="6" s="1"/>
  <c r="ANR32" i="6"/>
  <c r="ANR31" i="6"/>
  <c r="ANR30" i="6"/>
  <c r="ANR28" i="6"/>
  <c r="ANR27" i="6"/>
  <c r="ANR26" i="6"/>
  <c r="ANR23" i="6"/>
  <c r="ANR22" i="6"/>
  <c r="ANR21" i="6"/>
  <c r="ANR20" i="6"/>
  <c r="ANR15" i="6"/>
  <c r="ANT15" i="6" s="1"/>
  <c r="ANR14" i="6"/>
  <c r="ANT14" i="6" s="1"/>
  <c r="ANR13" i="6"/>
  <c r="ANT13" i="6" s="1"/>
  <c r="ANR12" i="6"/>
  <c r="ANT12" i="6" s="1"/>
  <c r="ANR7" i="6"/>
  <c r="ANT7" i="6" s="1"/>
  <c r="ANR6" i="6"/>
  <c r="ANT6" i="6" s="1"/>
  <c r="ANR5" i="6"/>
  <c r="ANT5" i="6" s="1"/>
  <c r="ANR4" i="6"/>
  <c r="ANT4" i="6" s="1"/>
  <c r="ANL30" i="6" l="1"/>
  <c r="ANL21" i="6"/>
  <c r="ANL13" i="6"/>
  <c r="ANN13" i="6" s="1"/>
  <c r="ANL5" i="6"/>
  <c r="ANN5" i="6" s="1"/>
  <c r="ANL32" i="6"/>
  <c r="ANL31" i="6"/>
  <c r="ANL28" i="6"/>
  <c r="ANL27" i="6"/>
  <c r="ANL26" i="6"/>
  <c r="ANL25" i="6"/>
  <c r="ANL24" i="6"/>
  <c r="ANL23" i="6"/>
  <c r="ANL22" i="6"/>
  <c r="ANL20" i="6"/>
  <c r="ANL17" i="6"/>
  <c r="ANN17" i="6" s="1"/>
  <c r="ANL16" i="6"/>
  <c r="ANN16" i="6" s="1"/>
  <c r="ANL15" i="6"/>
  <c r="ANN15" i="6" s="1"/>
  <c r="ANL14" i="6"/>
  <c r="ANN14" i="6" s="1"/>
  <c r="ANL12" i="6"/>
  <c r="ANN12" i="6" s="1"/>
  <c r="ANL11" i="6"/>
  <c r="ANN11" i="6" s="1"/>
  <c r="ANL10" i="6"/>
  <c r="ANN10" i="6" s="1"/>
  <c r="ANL7" i="6"/>
  <c r="ANN7" i="6" s="1"/>
  <c r="ANL6" i="6"/>
  <c r="ANN6" i="6" s="1"/>
  <c r="ANL4" i="6"/>
  <c r="ANN4" i="6" s="1"/>
  <c r="ANF24" i="6"/>
  <c r="ANF16" i="6"/>
  <c r="ANH16" i="6" s="1"/>
  <c r="ANF10" i="6"/>
  <c r="ANH10" i="6" s="1"/>
  <c r="ANF23" i="6"/>
  <c r="ANF15" i="6"/>
  <c r="ANH15" i="6" s="1"/>
  <c r="ANF12" i="6"/>
  <c r="ANH12" i="6" s="1"/>
  <c r="ANF11" i="6"/>
  <c r="ANH11" i="6" s="1"/>
  <c r="ANF32" i="6"/>
  <c r="ANF31" i="6"/>
  <c r="ANF30" i="6"/>
  <c r="ANF28" i="6"/>
  <c r="ANF27" i="6"/>
  <c r="ANF26" i="6"/>
  <c r="ANF25" i="6"/>
  <c r="ANF22" i="6"/>
  <c r="ANF21" i="6"/>
  <c r="ANF20" i="6"/>
  <c r="ANF17" i="6"/>
  <c r="ANH17" i="6" s="1"/>
  <c r="ANF14" i="6"/>
  <c r="ANH14" i="6" s="1"/>
  <c r="ANF13" i="6"/>
  <c r="ANH13" i="6" s="1"/>
  <c r="ANF7" i="6"/>
  <c r="ANH7" i="6" s="1"/>
  <c r="ANF6" i="6"/>
  <c r="ANH6" i="6" s="1"/>
  <c r="ANF5" i="6"/>
  <c r="ANH5" i="6" s="1"/>
  <c r="ANF4" i="6"/>
  <c r="ANH4" i="6" s="1"/>
  <c r="AMZ32" i="6"/>
  <c r="AMZ31" i="6"/>
  <c r="AMZ30" i="6"/>
  <c r="AMZ28" i="6"/>
  <c r="AMZ27" i="6"/>
  <c r="AMZ26" i="6"/>
  <c r="AMZ25" i="6"/>
  <c r="AMZ24" i="6"/>
  <c r="AMZ23" i="6"/>
  <c r="AMZ22" i="6"/>
  <c r="AMZ21" i="6"/>
  <c r="AMZ20" i="6"/>
  <c r="AMZ17" i="6"/>
  <c r="ANB17" i="6" s="1"/>
  <c r="AMZ16" i="6"/>
  <c r="ANB16" i="6" s="1"/>
  <c r="AMZ15" i="6"/>
  <c r="ANB15" i="6" s="1"/>
  <c r="AMZ14" i="6"/>
  <c r="ANB14" i="6" s="1"/>
  <c r="AMZ13" i="6"/>
  <c r="ANB13" i="6" s="1"/>
  <c r="AMZ12" i="6"/>
  <c r="ANB12" i="6" s="1"/>
  <c r="AMZ11" i="6"/>
  <c r="ANB11" i="6" s="1"/>
  <c r="AMZ10" i="6"/>
  <c r="ANB10" i="6" s="1"/>
  <c r="AMZ7" i="6"/>
  <c r="ANB7" i="6" s="1"/>
  <c r="AMZ6" i="6"/>
  <c r="ANB6" i="6" s="1"/>
  <c r="AMZ5" i="6"/>
  <c r="ANB5" i="6" s="1"/>
  <c r="AMZ4" i="6"/>
  <c r="ANB4" i="6" s="1"/>
  <c r="AMT30" i="6"/>
  <c r="AMT32" i="6"/>
  <c r="AMT31" i="6"/>
  <c r="AMT28" i="6"/>
  <c r="AMT27" i="6"/>
  <c r="AMT26" i="6"/>
  <c r="AMT25" i="6"/>
  <c r="AMT24" i="6"/>
  <c r="AMT23" i="6"/>
  <c r="AMT22" i="6"/>
  <c r="AMT21" i="6"/>
  <c r="AMT20" i="6"/>
  <c r="AMT17" i="6"/>
  <c r="AMV17" i="6" s="1"/>
  <c r="AMT16" i="6"/>
  <c r="AMV16" i="6" s="1"/>
  <c r="AMT15" i="6"/>
  <c r="AMV15" i="6" s="1"/>
  <c r="AMT14" i="6"/>
  <c r="AMV14" i="6" s="1"/>
  <c r="AMT13" i="6"/>
  <c r="AMV13" i="6" s="1"/>
  <c r="AMT12" i="6"/>
  <c r="AMV12" i="6" s="1"/>
  <c r="AMT11" i="6"/>
  <c r="AMV11" i="6" s="1"/>
  <c r="AMT10" i="6"/>
  <c r="AMV10" i="6" s="1"/>
  <c r="AMT7" i="6"/>
  <c r="AMV7" i="6" s="1"/>
  <c r="AMT6" i="6"/>
  <c r="AMV6" i="6" s="1"/>
  <c r="AMT5" i="6"/>
  <c r="AMV5" i="6" s="1"/>
  <c r="AMT4" i="6"/>
  <c r="AMV4" i="6" s="1"/>
  <c r="AMN24" i="6" l="1"/>
  <c r="AMN16" i="6"/>
  <c r="AMP16" i="6" s="1"/>
  <c r="AMN10" i="6"/>
  <c r="AMP10" i="6" s="1"/>
  <c r="AMN32" i="6"/>
  <c r="AMN31" i="6"/>
  <c r="AMN30" i="6"/>
  <c r="AMN28" i="6"/>
  <c r="AMN27" i="6"/>
  <c r="AMN26" i="6"/>
  <c r="AMN25" i="6"/>
  <c r="AMN23" i="6"/>
  <c r="AMN22" i="6"/>
  <c r="AMN21" i="6"/>
  <c r="AMN20" i="6"/>
  <c r="AMN17" i="6"/>
  <c r="AMP17" i="6" s="1"/>
  <c r="AMN15" i="6"/>
  <c r="AMP15" i="6" s="1"/>
  <c r="AMN14" i="6"/>
  <c r="AMP14" i="6" s="1"/>
  <c r="AMN13" i="6"/>
  <c r="AMP13" i="6" s="1"/>
  <c r="AMN12" i="6"/>
  <c r="AMP12" i="6" s="1"/>
  <c r="AMN11" i="6"/>
  <c r="AMP11" i="6" s="1"/>
  <c r="AMN7" i="6"/>
  <c r="AMP7" i="6" s="1"/>
  <c r="AMN6" i="6"/>
  <c r="AMP6" i="6" s="1"/>
  <c r="AMN5" i="6"/>
  <c r="AMP5" i="6" s="1"/>
  <c r="AMN4" i="6"/>
  <c r="AMP4" i="6" s="1"/>
  <c r="AMH24" i="6"/>
  <c r="AMH32" i="6"/>
  <c r="AMH31" i="6"/>
  <c r="AMH30" i="6"/>
  <c r="AMH28" i="6"/>
  <c r="AMH27" i="6"/>
  <c r="AMH26" i="6"/>
  <c r="AMH25" i="6"/>
  <c r="AMH23" i="6"/>
  <c r="AMH22" i="6"/>
  <c r="AMH21" i="6"/>
  <c r="AMH20" i="6"/>
  <c r="AMH17" i="6"/>
  <c r="AMJ17" i="6" s="1"/>
  <c r="AMH16" i="6"/>
  <c r="AMJ16" i="6" s="1"/>
  <c r="AMH15" i="6"/>
  <c r="AMJ15" i="6" s="1"/>
  <c r="AMH14" i="6"/>
  <c r="AMJ14" i="6" s="1"/>
  <c r="AMH13" i="6"/>
  <c r="AMJ13" i="6" s="1"/>
  <c r="AMH12" i="6"/>
  <c r="AMJ12" i="6" s="1"/>
  <c r="AMH11" i="6"/>
  <c r="AMJ11" i="6" s="1"/>
  <c r="AMH10" i="6"/>
  <c r="AMJ10" i="6" s="1"/>
  <c r="AMH7" i="6"/>
  <c r="AMJ7" i="6" s="1"/>
  <c r="AMH6" i="6"/>
  <c r="AMJ6" i="6" s="1"/>
  <c r="AMH5" i="6"/>
  <c r="AMJ5" i="6" s="1"/>
  <c r="AMH4" i="6"/>
  <c r="AMJ4" i="6" s="1"/>
  <c r="AMB24" i="6" l="1"/>
  <c r="AMB32" i="6"/>
  <c r="AMB31" i="6"/>
  <c r="AMB30" i="6"/>
  <c r="AMB28" i="6"/>
  <c r="AMB27" i="6"/>
  <c r="AMB26" i="6"/>
  <c r="AMB25" i="6"/>
  <c r="AMB23" i="6"/>
  <c r="AMB22" i="6"/>
  <c r="AMB21" i="6"/>
  <c r="AMB20" i="6"/>
  <c r="AMB17" i="6"/>
  <c r="AMD17" i="6" s="1"/>
  <c r="AMB16" i="6"/>
  <c r="AMD16" i="6" s="1"/>
  <c r="AMB15" i="6"/>
  <c r="AMD15" i="6" s="1"/>
  <c r="AMB14" i="6"/>
  <c r="AMD14" i="6" s="1"/>
  <c r="AMB13" i="6"/>
  <c r="AMD13" i="6" s="1"/>
  <c r="AMB12" i="6"/>
  <c r="AMD12" i="6" s="1"/>
  <c r="AMB11" i="6"/>
  <c r="AMD11" i="6" s="1"/>
  <c r="AMB10" i="6"/>
  <c r="AMD10" i="6" s="1"/>
  <c r="AMB7" i="6"/>
  <c r="AMD7" i="6" s="1"/>
  <c r="AMB6" i="6"/>
  <c r="AMD6" i="6" s="1"/>
  <c r="AMB5" i="6"/>
  <c r="AMD5" i="6" s="1"/>
  <c r="AMB4" i="6"/>
  <c r="AMD4" i="6" s="1"/>
  <c r="ALV27" i="6" l="1"/>
  <c r="ALV32" i="6"/>
  <c r="ALV31" i="6"/>
  <c r="ALV30" i="6"/>
  <c r="ALV28" i="6"/>
  <c r="ALV26" i="6"/>
  <c r="ALV25" i="6"/>
  <c r="ALV24" i="6"/>
  <c r="ALV23" i="6"/>
  <c r="ALV22" i="6"/>
  <c r="ALV21" i="6"/>
  <c r="ALV20" i="6"/>
  <c r="ALV17" i="6"/>
  <c r="ALX17" i="6" s="1"/>
  <c r="ALV16" i="6"/>
  <c r="ALX16" i="6" s="1"/>
  <c r="ALV15" i="6"/>
  <c r="ALX15" i="6" s="1"/>
  <c r="ALV14" i="6"/>
  <c r="ALX14" i="6" s="1"/>
  <c r="ALV13" i="6"/>
  <c r="ALX13" i="6" s="1"/>
  <c r="ALV12" i="6"/>
  <c r="ALX12" i="6" s="1"/>
  <c r="ALV11" i="6"/>
  <c r="ALX11" i="6" s="1"/>
  <c r="ALV10" i="6"/>
  <c r="ALX10" i="6" s="1"/>
  <c r="ALV7" i="6"/>
  <c r="ALX7" i="6" s="1"/>
  <c r="ALV6" i="6"/>
  <c r="ALX6" i="6" s="1"/>
  <c r="ALV5" i="6"/>
  <c r="ALX5" i="6" s="1"/>
  <c r="ALV4" i="6"/>
  <c r="ALX4" i="6" s="1"/>
  <c r="ALP24" i="6"/>
  <c r="ALP16" i="6"/>
  <c r="ALR16" i="6" s="1"/>
  <c r="ALP10" i="6"/>
  <c r="ALR10" i="6" s="1"/>
  <c r="ALP32" i="6"/>
  <c r="ALP31" i="6"/>
  <c r="ALP30" i="6"/>
  <c r="ALP28" i="6"/>
  <c r="ALP27" i="6"/>
  <c r="ALP26" i="6"/>
  <c r="ALP25" i="6"/>
  <c r="ALP23" i="6"/>
  <c r="ALP22" i="6"/>
  <c r="ALP21" i="6"/>
  <c r="ALP20" i="6"/>
  <c r="ALP17" i="6"/>
  <c r="ALR17" i="6" s="1"/>
  <c r="ALP15" i="6"/>
  <c r="ALR15" i="6" s="1"/>
  <c r="ALP14" i="6"/>
  <c r="ALR14" i="6" s="1"/>
  <c r="ALP13" i="6"/>
  <c r="ALR13" i="6" s="1"/>
  <c r="ALP12" i="6"/>
  <c r="ALR12" i="6" s="1"/>
  <c r="ALP11" i="6"/>
  <c r="ALR11" i="6" s="1"/>
  <c r="ALP7" i="6"/>
  <c r="ALR7" i="6" s="1"/>
  <c r="ALP6" i="6"/>
  <c r="ALR6" i="6" s="1"/>
  <c r="ALP5" i="6"/>
  <c r="ALR5" i="6" s="1"/>
  <c r="ALP4" i="6"/>
  <c r="ALR4" i="6" s="1"/>
  <c r="ALJ24" i="6"/>
  <c r="ALJ16" i="6"/>
  <c r="ALL16" i="6" s="1"/>
  <c r="ALJ10" i="6"/>
  <c r="ALL10" i="6" s="1"/>
  <c r="ALJ32" i="6"/>
  <c r="ALJ31" i="6"/>
  <c r="ALJ30" i="6"/>
  <c r="ALJ28" i="6"/>
  <c r="ALJ27" i="6"/>
  <c r="ALJ26" i="6"/>
  <c r="ALJ25" i="6"/>
  <c r="ALJ23" i="6"/>
  <c r="ALJ22" i="6"/>
  <c r="ALJ21" i="6"/>
  <c r="ALJ20" i="6"/>
  <c r="ALJ17" i="6"/>
  <c r="ALL17" i="6" s="1"/>
  <c r="ALJ15" i="6"/>
  <c r="ALL15" i="6" s="1"/>
  <c r="ALJ14" i="6"/>
  <c r="ALL14" i="6" s="1"/>
  <c r="ALJ13" i="6"/>
  <c r="ALL13" i="6" s="1"/>
  <c r="ALJ12" i="6"/>
  <c r="ALL12" i="6" s="1"/>
  <c r="ALJ11" i="6"/>
  <c r="ALL11" i="6" s="1"/>
  <c r="ALJ7" i="6"/>
  <c r="ALL7" i="6" s="1"/>
  <c r="ALJ6" i="6"/>
  <c r="ALL6" i="6" s="1"/>
  <c r="ALJ5" i="6"/>
  <c r="ALL5" i="6" s="1"/>
  <c r="ALJ4" i="6"/>
  <c r="ALL4" i="6" s="1"/>
  <c r="ALD24" i="6" l="1"/>
  <c r="ALD16" i="6"/>
  <c r="ALF16" i="6" s="1"/>
  <c r="ALD32" i="6"/>
  <c r="ALD31" i="6"/>
  <c r="ALD30" i="6"/>
  <c r="ALD28" i="6"/>
  <c r="ALD27" i="6"/>
  <c r="ALD26" i="6"/>
  <c r="ALD25" i="6"/>
  <c r="ALD23" i="6"/>
  <c r="ALD22" i="6"/>
  <c r="ALD21" i="6"/>
  <c r="ALD20" i="6"/>
  <c r="ALD17" i="6"/>
  <c r="ALF17" i="6" s="1"/>
  <c r="ALD15" i="6"/>
  <c r="ALF15" i="6" s="1"/>
  <c r="ALD14" i="6"/>
  <c r="ALF14" i="6" s="1"/>
  <c r="ALD13" i="6"/>
  <c r="ALF13" i="6" s="1"/>
  <c r="ALD12" i="6"/>
  <c r="ALF12" i="6" s="1"/>
  <c r="ALD11" i="6"/>
  <c r="ALF11" i="6" s="1"/>
  <c r="ALD10" i="6"/>
  <c r="ALF10" i="6" s="1"/>
  <c r="ALD7" i="6"/>
  <c r="ALF7" i="6" s="1"/>
  <c r="ALD6" i="6"/>
  <c r="ALF6" i="6" s="1"/>
  <c r="ALD5" i="6"/>
  <c r="ALF5" i="6" s="1"/>
  <c r="ALD4" i="6"/>
  <c r="ALF4" i="6" s="1"/>
  <c r="AKX30" i="6"/>
  <c r="AKX27" i="6"/>
  <c r="AKX10" i="6"/>
  <c r="AKZ10" i="6" s="1"/>
  <c r="AKX32" i="6"/>
  <c r="AKX31" i="6"/>
  <c r="AKX28" i="6"/>
  <c r="AKX26" i="6"/>
  <c r="AKX25" i="6"/>
  <c r="AKX24" i="6"/>
  <c r="AKX23" i="6"/>
  <c r="AKX22" i="6"/>
  <c r="AKX21" i="6"/>
  <c r="AKX20" i="6"/>
  <c r="AKX17" i="6"/>
  <c r="AKZ17" i="6" s="1"/>
  <c r="AKX16" i="6"/>
  <c r="AKZ16" i="6" s="1"/>
  <c r="AKX15" i="6"/>
  <c r="AKZ15" i="6" s="1"/>
  <c r="AKX14" i="6"/>
  <c r="AKZ14" i="6" s="1"/>
  <c r="AKX13" i="6"/>
  <c r="AKZ13" i="6" s="1"/>
  <c r="AKX12" i="6"/>
  <c r="AKZ12" i="6" s="1"/>
  <c r="AKX11" i="6"/>
  <c r="AKZ11" i="6" s="1"/>
  <c r="AKX7" i="6"/>
  <c r="AKZ7" i="6" s="1"/>
  <c r="AKX6" i="6"/>
  <c r="AKZ6" i="6" s="1"/>
  <c r="AKX5" i="6"/>
  <c r="AKZ5" i="6" s="1"/>
  <c r="AKX4" i="6"/>
  <c r="AKZ4" i="6" s="1"/>
  <c r="AKR30" i="6"/>
  <c r="AKR13" i="6"/>
  <c r="AKT13" i="6" s="1"/>
  <c r="AKR10" i="6"/>
  <c r="AKT10" i="6" s="1"/>
  <c r="AKR5" i="6"/>
  <c r="AKT5" i="6" s="1"/>
  <c r="AKR32" i="6"/>
  <c r="AKR31" i="6"/>
  <c r="AKR28" i="6"/>
  <c r="AKR27" i="6"/>
  <c r="AKR26" i="6"/>
  <c r="AKR25" i="6"/>
  <c r="AKR24" i="6"/>
  <c r="AKR23" i="6"/>
  <c r="AKR22" i="6"/>
  <c r="AKR21" i="6"/>
  <c r="AKR20" i="6"/>
  <c r="AKR17" i="6"/>
  <c r="AKT17" i="6" s="1"/>
  <c r="AKR16" i="6"/>
  <c r="AKT16" i="6" s="1"/>
  <c r="AKR15" i="6"/>
  <c r="AKT15" i="6" s="1"/>
  <c r="AKR14" i="6"/>
  <c r="AKT14" i="6" s="1"/>
  <c r="AKR12" i="6"/>
  <c r="AKT12" i="6" s="1"/>
  <c r="AKR11" i="6"/>
  <c r="AKT11" i="6" s="1"/>
  <c r="AKR7" i="6"/>
  <c r="AKT7" i="6" s="1"/>
  <c r="AKR6" i="6"/>
  <c r="AKT6" i="6" s="1"/>
  <c r="AKR4" i="6"/>
  <c r="AKT4" i="6" s="1"/>
  <c r="AKL25" i="6"/>
  <c r="AKL32" i="6"/>
  <c r="AKL31" i="6"/>
  <c r="AKL30" i="6"/>
  <c r="AKL28" i="6"/>
  <c r="AKL27" i="6"/>
  <c r="AKL26" i="6"/>
  <c r="AKL24" i="6"/>
  <c r="AKL23" i="6"/>
  <c r="AKL22" i="6"/>
  <c r="AKL21" i="6"/>
  <c r="AKL20" i="6"/>
  <c r="AKL17" i="6"/>
  <c r="AKN17" i="6" s="1"/>
  <c r="AKL16" i="6"/>
  <c r="AKN16" i="6" s="1"/>
  <c r="AKL15" i="6"/>
  <c r="AKN15" i="6" s="1"/>
  <c r="AKL14" i="6"/>
  <c r="AKN14" i="6" s="1"/>
  <c r="AKL13" i="6"/>
  <c r="AKN13" i="6" s="1"/>
  <c r="AKL12" i="6"/>
  <c r="AKN12" i="6" s="1"/>
  <c r="AKL11" i="6"/>
  <c r="AKN11" i="6" s="1"/>
  <c r="AKL10" i="6"/>
  <c r="AKN10" i="6" s="1"/>
  <c r="AKL7" i="6"/>
  <c r="AKN7" i="6" s="1"/>
  <c r="AKL6" i="6"/>
  <c r="AKN6" i="6" s="1"/>
  <c r="AKL5" i="6"/>
  <c r="AKN5" i="6" s="1"/>
  <c r="AKL4" i="6"/>
  <c r="AKN4" i="6" s="1"/>
  <c r="AKF24" i="6" l="1"/>
  <c r="AKF32" i="6"/>
  <c r="AKF31" i="6"/>
  <c r="AKF30" i="6"/>
  <c r="AKF28" i="6"/>
  <c r="AKF27" i="6"/>
  <c r="AKF26" i="6"/>
  <c r="AKF25" i="6"/>
  <c r="AKF23" i="6"/>
  <c r="AKF22" i="6"/>
  <c r="AKF21" i="6"/>
  <c r="AKF20" i="6"/>
  <c r="AKF17" i="6"/>
  <c r="AKH17" i="6" s="1"/>
  <c r="AKF16" i="6"/>
  <c r="AKH16" i="6" s="1"/>
  <c r="AKF15" i="6"/>
  <c r="AKH15" i="6" s="1"/>
  <c r="AKF14" i="6"/>
  <c r="AKH14" i="6" s="1"/>
  <c r="AKF13" i="6"/>
  <c r="AKH13" i="6" s="1"/>
  <c r="AKF12" i="6"/>
  <c r="AKH12" i="6" s="1"/>
  <c r="AKF11" i="6"/>
  <c r="AKH11" i="6" s="1"/>
  <c r="AKF10" i="6"/>
  <c r="AKH10" i="6" s="1"/>
  <c r="AKF7" i="6"/>
  <c r="AKH7" i="6" s="1"/>
  <c r="AKF6" i="6"/>
  <c r="AKH6" i="6" s="1"/>
  <c r="AKF5" i="6"/>
  <c r="AKH5" i="6" s="1"/>
  <c r="AKF4" i="6"/>
  <c r="AKH4" i="6" s="1"/>
  <c r="AJZ32" i="6" l="1"/>
  <c r="AJZ31" i="6"/>
  <c r="AJZ30" i="6"/>
  <c r="AJZ28" i="6"/>
  <c r="AJZ27" i="6"/>
  <c r="AJZ26" i="6"/>
  <c r="AJZ25" i="6"/>
  <c r="AJZ24" i="6"/>
  <c r="AJZ23" i="6"/>
  <c r="AJZ22" i="6"/>
  <c r="AJZ21" i="6"/>
  <c r="AJZ20" i="6"/>
  <c r="AJZ17" i="6"/>
  <c r="AKB17" i="6" s="1"/>
  <c r="AJZ16" i="6"/>
  <c r="AKB16" i="6" s="1"/>
  <c r="AJZ15" i="6"/>
  <c r="AKB15" i="6" s="1"/>
  <c r="AJZ14" i="6"/>
  <c r="AKB14" i="6" s="1"/>
  <c r="AJZ13" i="6"/>
  <c r="AKB13" i="6" s="1"/>
  <c r="AJZ12" i="6"/>
  <c r="AKB12" i="6" s="1"/>
  <c r="AJZ11" i="6"/>
  <c r="AKB11" i="6" s="1"/>
  <c r="AJZ10" i="6"/>
  <c r="AKB10" i="6" s="1"/>
  <c r="AJZ7" i="6"/>
  <c r="AKB7" i="6" s="1"/>
  <c r="AJZ6" i="6"/>
  <c r="AKB6" i="6" s="1"/>
  <c r="AJZ5" i="6"/>
  <c r="AKB5" i="6" s="1"/>
  <c r="AJZ4" i="6"/>
  <c r="AKB4" i="6" s="1"/>
  <c r="AJT30" i="6"/>
  <c r="AJT24" i="6"/>
  <c r="AJT16" i="6"/>
  <c r="AJV16" i="6" s="1"/>
  <c r="AJT13" i="6"/>
  <c r="AJV13" i="6" s="1"/>
  <c r="AJT10" i="6"/>
  <c r="AJV10" i="6" s="1"/>
  <c r="AJT5" i="6"/>
  <c r="AJV5" i="6" s="1"/>
  <c r="AJT32" i="6"/>
  <c r="AJT31" i="6"/>
  <c r="AJT28" i="6"/>
  <c r="AJT27" i="6"/>
  <c r="AJT26" i="6"/>
  <c r="AJT25" i="6"/>
  <c r="AJT23" i="6"/>
  <c r="AJT22" i="6"/>
  <c r="AJT21" i="6"/>
  <c r="AJT20" i="6"/>
  <c r="AJT17" i="6"/>
  <c r="AJV17" i="6" s="1"/>
  <c r="AJT15" i="6"/>
  <c r="AJV15" i="6" s="1"/>
  <c r="AJT14" i="6"/>
  <c r="AJV14" i="6" s="1"/>
  <c r="AJT12" i="6"/>
  <c r="AJV12" i="6" s="1"/>
  <c r="AJT11" i="6"/>
  <c r="AJV11" i="6" s="1"/>
  <c r="AJT7" i="6"/>
  <c r="AJV7" i="6" s="1"/>
  <c r="AJT6" i="6"/>
  <c r="AJV6" i="6" s="1"/>
  <c r="AJT4" i="6"/>
  <c r="AJV4" i="6" s="1"/>
  <c r="AJN32" i="6" l="1"/>
  <c r="AJN27" i="6"/>
  <c r="AJN4" i="6"/>
  <c r="AJP4" i="6" s="1"/>
  <c r="AJN31" i="6"/>
  <c r="AJN30" i="6"/>
  <c r="AJN28" i="6"/>
  <c r="AJN26" i="6"/>
  <c r="AJN25" i="6"/>
  <c r="AJN24" i="6"/>
  <c r="AJN23" i="6"/>
  <c r="AJN22" i="6"/>
  <c r="AJN21" i="6"/>
  <c r="AJN20" i="6"/>
  <c r="AJN17" i="6"/>
  <c r="AJP17" i="6" s="1"/>
  <c r="AJN16" i="6"/>
  <c r="AJP16" i="6" s="1"/>
  <c r="AJN15" i="6"/>
  <c r="AJP15" i="6" s="1"/>
  <c r="AJN14" i="6"/>
  <c r="AJP14" i="6" s="1"/>
  <c r="AJN13" i="6"/>
  <c r="AJP13" i="6" s="1"/>
  <c r="AJN12" i="6"/>
  <c r="AJP12" i="6" s="1"/>
  <c r="AJN11" i="6"/>
  <c r="AJP11" i="6" s="1"/>
  <c r="AJN10" i="6"/>
  <c r="AJP10" i="6" s="1"/>
  <c r="AJN7" i="6"/>
  <c r="AJP7" i="6" s="1"/>
  <c r="AJN6" i="6"/>
  <c r="AJP6" i="6" s="1"/>
  <c r="AJN5" i="6"/>
  <c r="AJP5" i="6" s="1"/>
  <c r="AJH32" i="6"/>
  <c r="AJH30" i="6"/>
  <c r="AJH24" i="6"/>
  <c r="AJH16" i="6"/>
  <c r="AJJ16" i="6" s="1"/>
  <c r="AJH10" i="6"/>
  <c r="AJJ10" i="6" s="1"/>
  <c r="AJH31" i="6"/>
  <c r="AJH28" i="6"/>
  <c r="AJH27" i="6"/>
  <c r="AJH26" i="6"/>
  <c r="AJH25" i="6"/>
  <c r="AJH23" i="6"/>
  <c r="AJH22" i="6"/>
  <c r="AJH21" i="6"/>
  <c r="AJH20" i="6"/>
  <c r="AJH17" i="6"/>
  <c r="AJJ17" i="6" s="1"/>
  <c r="AJH15" i="6"/>
  <c r="AJJ15" i="6" s="1"/>
  <c r="AJH14" i="6"/>
  <c r="AJJ14" i="6" s="1"/>
  <c r="AJH13" i="6"/>
  <c r="AJJ13" i="6" s="1"/>
  <c r="AJH12" i="6"/>
  <c r="AJJ12" i="6" s="1"/>
  <c r="AJH11" i="6"/>
  <c r="AJJ11" i="6" s="1"/>
  <c r="AJH7" i="6"/>
  <c r="AJJ7" i="6" s="1"/>
  <c r="AJH6" i="6"/>
  <c r="AJJ6" i="6" s="1"/>
  <c r="AJH5" i="6"/>
  <c r="AJJ5" i="6" s="1"/>
  <c r="AJH4" i="6"/>
  <c r="AJJ4" i="6" s="1"/>
  <c r="AJB32" i="6"/>
  <c r="AJB31" i="6"/>
  <c r="AJB30" i="6"/>
  <c r="AJB28" i="6"/>
  <c r="AJB27" i="6"/>
  <c r="AJB26" i="6"/>
  <c r="AJB25" i="6"/>
  <c r="AJB24" i="6"/>
  <c r="AJB23" i="6"/>
  <c r="AJB22" i="6"/>
  <c r="AJB21" i="6"/>
  <c r="AJB20" i="6"/>
  <c r="AJB17" i="6"/>
  <c r="AJD17" i="6" s="1"/>
  <c r="AJB16" i="6"/>
  <c r="AJD16" i="6" s="1"/>
  <c r="AJB15" i="6"/>
  <c r="AJD15" i="6" s="1"/>
  <c r="AJB14" i="6"/>
  <c r="AJD14" i="6" s="1"/>
  <c r="AJB13" i="6"/>
  <c r="AJD13" i="6" s="1"/>
  <c r="AJB12" i="6"/>
  <c r="AJD12" i="6" s="1"/>
  <c r="AJB11" i="6"/>
  <c r="AJD11" i="6" s="1"/>
  <c r="AJB10" i="6"/>
  <c r="AJD10" i="6" s="1"/>
  <c r="AJB7" i="6"/>
  <c r="AJD7" i="6" s="1"/>
  <c r="AJB6" i="6"/>
  <c r="AJD6" i="6" s="1"/>
  <c r="AJB5" i="6"/>
  <c r="AJD5" i="6" s="1"/>
  <c r="AJB4" i="6"/>
  <c r="AJD4" i="6" s="1"/>
  <c r="AIV27" i="6" l="1"/>
  <c r="AIV10" i="6"/>
  <c r="AIX10" i="6" s="1"/>
  <c r="AIV32" i="6"/>
  <c r="AIV31" i="6"/>
  <c r="AIV30" i="6"/>
  <c r="AIV28" i="6"/>
  <c r="AIV26" i="6"/>
  <c r="AIV25" i="6"/>
  <c r="AIV24" i="6"/>
  <c r="AIV23" i="6"/>
  <c r="AIV22" i="6"/>
  <c r="AIV21" i="6"/>
  <c r="AIV20" i="6"/>
  <c r="AIV17" i="6"/>
  <c r="AIX17" i="6" s="1"/>
  <c r="AIV16" i="6"/>
  <c r="AIX16" i="6" s="1"/>
  <c r="AIV15" i="6"/>
  <c r="AIX15" i="6" s="1"/>
  <c r="AIV14" i="6"/>
  <c r="AIX14" i="6" s="1"/>
  <c r="AIV13" i="6"/>
  <c r="AIX13" i="6" s="1"/>
  <c r="AIV12" i="6"/>
  <c r="AIX12" i="6" s="1"/>
  <c r="AIV11" i="6"/>
  <c r="AIX11" i="6" s="1"/>
  <c r="AIV7" i="6"/>
  <c r="AIX7" i="6" s="1"/>
  <c r="AIV6" i="6"/>
  <c r="AIX6" i="6" s="1"/>
  <c r="AIV5" i="6"/>
  <c r="AIX5" i="6" s="1"/>
  <c r="AIV4" i="6"/>
  <c r="AIX4" i="6" s="1"/>
  <c r="AIP27" i="6" l="1"/>
  <c r="AIP32" i="6"/>
  <c r="AIP31" i="6"/>
  <c r="AIP30" i="6"/>
  <c r="AIP28" i="6"/>
  <c r="AIP26" i="6"/>
  <c r="AIP25" i="6"/>
  <c r="AIP24" i="6"/>
  <c r="AIP23" i="6"/>
  <c r="AIP22" i="6"/>
  <c r="AIP21" i="6"/>
  <c r="AIP20" i="6"/>
  <c r="AIP17" i="6"/>
  <c r="AIR17" i="6" s="1"/>
  <c r="AIP16" i="6"/>
  <c r="AIR16" i="6" s="1"/>
  <c r="AIP15" i="6"/>
  <c r="AIR15" i="6" s="1"/>
  <c r="AIP14" i="6"/>
  <c r="AIR14" i="6" s="1"/>
  <c r="AIP13" i="6"/>
  <c r="AIR13" i="6" s="1"/>
  <c r="AIP12" i="6"/>
  <c r="AIR12" i="6" s="1"/>
  <c r="AIP11" i="6"/>
  <c r="AIR11" i="6" s="1"/>
  <c r="AIP10" i="6"/>
  <c r="AIR10" i="6" s="1"/>
  <c r="AIP7" i="6"/>
  <c r="AIR7" i="6" s="1"/>
  <c r="AIP6" i="6"/>
  <c r="AIR6" i="6" s="1"/>
  <c r="AIP5" i="6"/>
  <c r="AIR5" i="6" s="1"/>
  <c r="AIP4" i="6"/>
  <c r="AIR4" i="6" s="1"/>
  <c r="AIJ30" i="6" l="1"/>
  <c r="AIJ16" i="6"/>
  <c r="AIL16" i="6" s="1"/>
  <c r="AIJ13" i="6"/>
  <c r="AIL13" i="6" s="1"/>
  <c r="AIJ10" i="6"/>
  <c r="AIL10" i="6" s="1"/>
  <c r="AIJ32" i="6"/>
  <c r="AIJ31" i="6"/>
  <c r="AIJ28" i="6"/>
  <c r="AIJ27" i="6"/>
  <c r="AIJ26" i="6"/>
  <c r="AIJ25" i="6"/>
  <c r="AIJ24" i="6"/>
  <c r="AIJ23" i="6"/>
  <c r="AIJ22" i="6"/>
  <c r="AIJ21" i="6"/>
  <c r="AIJ20" i="6"/>
  <c r="AIJ17" i="6"/>
  <c r="AIL17" i="6" s="1"/>
  <c r="AIJ15" i="6"/>
  <c r="AIL15" i="6" s="1"/>
  <c r="AIJ14" i="6"/>
  <c r="AIL14" i="6" s="1"/>
  <c r="AIJ12" i="6"/>
  <c r="AIL12" i="6" s="1"/>
  <c r="AIJ11" i="6"/>
  <c r="AIL11" i="6" s="1"/>
  <c r="AIJ7" i="6"/>
  <c r="AIL7" i="6" s="1"/>
  <c r="AIJ6" i="6"/>
  <c r="AIL6" i="6" s="1"/>
  <c r="AIJ5" i="6"/>
  <c r="AIL5" i="6" s="1"/>
  <c r="AIJ4" i="6"/>
  <c r="AIL4" i="6" s="1"/>
  <c r="AID24" i="6" l="1"/>
  <c r="AID16" i="6"/>
  <c r="AIF16" i="6" s="1"/>
  <c r="AID11" i="6"/>
  <c r="AIF11" i="6" s="1"/>
  <c r="AID10" i="6"/>
  <c r="AIF10" i="6" s="1"/>
  <c r="AID32" i="6"/>
  <c r="AID31" i="6"/>
  <c r="AID30" i="6"/>
  <c r="AID28" i="6"/>
  <c r="AID27" i="6"/>
  <c r="AID26" i="6"/>
  <c r="AID25" i="6"/>
  <c r="AID23" i="6"/>
  <c r="AID22" i="6"/>
  <c r="AID21" i="6"/>
  <c r="AID20" i="6"/>
  <c r="AID17" i="6"/>
  <c r="AIF17" i="6" s="1"/>
  <c r="AID15" i="6"/>
  <c r="AIF15" i="6" s="1"/>
  <c r="AID14" i="6"/>
  <c r="AIF14" i="6" s="1"/>
  <c r="AID13" i="6"/>
  <c r="AIF13" i="6" s="1"/>
  <c r="AID12" i="6"/>
  <c r="AIF12" i="6" s="1"/>
  <c r="AID7" i="6"/>
  <c r="AIF7" i="6" s="1"/>
  <c r="AID6" i="6"/>
  <c r="AIF6" i="6" s="1"/>
  <c r="AID5" i="6"/>
  <c r="AIF5" i="6" s="1"/>
  <c r="AID4" i="6"/>
  <c r="AIF4" i="6" s="1"/>
  <c r="AHX10" i="6"/>
  <c r="AHX32" i="6" l="1"/>
  <c r="AHX31" i="6"/>
  <c r="AHX30" i="6"/>
  <c r="AHX28" i="6"/>
  <c r="AHX27" i="6"/>
  <c r="AHX26" i="6"/>
  <c r="AHX25" i="6"/>
  <c r="AHX24" i="6"/>
  <c r="AHX23" i="6"/>
  <c r="AHX22" i="6"/>
  <c r="AHX21" i="6"/>
  <c r="AHX20" i="6"/>
  <c r="AHX17" i="6"/>
  <c r="AHZ17" i="6" s="1"/>
  <c r="AHX16" i="6"/>
  <c r="AHZ16" i="6" s="1"/>
  <c r="AHX15" i="6"/>
  <c r="AHZ15" i="6" s="1"/>
  <c r="AHX14" i="6"/>
  <c r="AHZ14" i="6" s="1"/>
  <c r="AHX13" i="6"/>
  <c r="AHZ13" i="6" s="1"/>
  <c r="AHX12" i="6"/>
  <c r="AHZ12" i="6" s="1"/>
  <c r="AHX11" i="6"/>
  <c r="AHZ11" i="6" s="1"/>
  <c r="AHZ10" i="6"/>
  <c r="AHX7" i="6"/>
  <c r="AHZ7" i="6" s="1"/>
  <c r="AHX6" i="6"/>
  <c r="AHZ6" i="6" s="1"/>
  <c r="AHX5" i="6"/>
  <c r="AHZ5" i="6" s="1"/>
  <c r="AHX4" i="6"/>
  <c r="AHZ4" i="6" s="1"/>
  <c r="AHR25" i="6" l="1"/>
  <c r="AHR17" i="6"/>
  <c r="AHT17" i="6" s="1"/>
  <c r="AHR16" i="6"/>
  <c r="AHT16" i="6" s="1"/>
  <c r="AHR10" i="6"/>
  <c r="AHT10" i="6" s="1"/>
  <c r="AHR32" i="6"/>
  <c r="AHR31" i="6"/>
  <c r="AHR30" i="6"/>
  <c r="AHR28" i="6"/>
  <c r="AHR27" i="6"/>
  <c r="AHR26" i="6"/>
  <c r="AHR24" i="6"/>
  <c r="AHR23" i="6"/>
  <c r="AHR22" i="6"/>
  <c r="AHR21" i="6"/>
  <c r="AHR20" i="6"/>
  <c r="AHR15" i="6"/>
  <c r="AHT15" i="6" s="1"/>
  <c r="AHR14" i="6"/>
  <c r="AHT14" i="6" s="1"/>
  <c r="AHR13" i="6"/>
  <c r="AHT13" i="6" s="1"/>
  <c r="AHR12" i="6"/>
  <c r="AHT12" i="6" s="1"/>
  <c r="AHR11" i="6"/>
  <c r="AHT11" i="6" s="1"/>
  <c r="AHR7" i="6"/>
  <c r="AHT7" i="6" s="1"/>
  <c r="AHR6" i="6"/>
  <c r="AHT6" i="6" s="1"/>
  <c r="AHR5" i="6"/>
  <c r="AHT5" i="6" s="1"/>
  <c r="AHR4" i="6"/>
  <c r="AHT4" i="6" s="1"/>
  <c r="AHL30" i="6" l="1"/>
  <c r="AHL27" i="6"/>
  <c r="AHL32" i="6"/>
  <c r="AHL31" i="6"/>
  <c r="AHL28" i="6"/>
  <c r="AHL26" i="6"/>
  <c r="AHL25" i="6"/>
  <c r="AHL24" i="6"/>
  <c r="AHL23" i="6"/>
  <c r="AHL22" i="6"/>
  <c r="AHL21" i="6"/>
  <c r="AHL20" i="6"/>
  <c r="AHL17" i="6"/>
  <c r="AHN17" i="6" s="1"/>
  <c r="AHL16" i="6"/>
  <c r="AHN16" i="6" s="1"/>
  <c r="AHL15" i="6"/>
  <c r="AHN15" i="6" s="1"/>
  <c r="AHL14" i="6"/>
  <c r="AHN14" i="6" s="1"/>
  <c r="AHL13" i="6"/>
  <c r="AHN13" i="6" s="1"/>
  <c r="AHL12" i="6"/>
  <c r="AHN12" i="6" s="1"/>
  <c r="AHL11" i="6"/>
  <c r="AHN11" i="6" s="1"/>
  <c r="AHL10" i="6"/>
  <c r="AHN10" i="6" s="1"/>
  <c r="AHL7" i="6"/>
  <c r="AHN7" i="6" s="1"/>
  <c r="AHL6" i="6"/>
  <c r="AHN6" i="6" s="1"/>
  <c r="AHL5" i="6"/>
  <c r="AHN5" i="6" s="1"/>
  <c r="AHL4" i="6"/>
  <c r="AHN4" i="6" s="1"/>
  <c r="AHF30" i="6"/>
  <c r="AHF5" i="6"/>
  <c r="AHH5" i="6" s="1"/>
  <c r="AHF32" i="6"/>
  <c r="AHF31" i="6"/>
  <c r="AHF28" i="6"/>
  <c r="AHF27" i="6"/>
  <c r="AHF26" i="6"/>
  <c r="AHF25" i="6"/>
  <c r="AHF24" i="6"/>
  <c r="AHF23" i="6"/>
  <c r="AHF22" i="6"/>
  <c r="AHF21" i="6"/>
  <c r="AHF20" i="6"/>
  <c r="AHF17" i="6"/>
  <c r="AHH17" i="6" s="1"/>
  <c r="AHF16" i="6"/>
  <c r="AHH16" i="6" s="1"/>
  <c r="AHF15" i="6"/>
  <c r="AHH15" i="6" s="1"/>
  <c r="AHF14" i="6"/>
  <c r="AHH14" i="6" s="1"/>
  <c r="AHF13" i="6"/>
  <c r="AHH13" i="6" s="1"/>
  <c r="AHF12" i="6"/>
  <c r="AHH12" i="6" s="1"/>
  <c r="AHF11" i="6"/>
  <c r="AHH11" i="6" s="1"/>
  <c r="AHF10" i="6"/>
  <c r="AHH10" i="6" s="1"/>
  <c r="AHF7" i="6"/>
  <c r="AHH7" i="6" s="1"/>
  <c r="AHF6" i="6"/>
  <c r="AHH6" i="6" s="1"/>
  <c r="AHF4" i="6"/>
  <c r="AHH4" i="6" s="1"/>
  <c r="AGZ16" i="6"/>
  <c r="AHB16" i="6" s="1"/>
  <c r="AGZ10" i="6"/>
  <c r="AHB10" i="6" s="1"/>
  <c r="AGZ32" i="6"/>
  <c r="AGZ31" i="6"/>
  <c r="AGZ30" i="6"/>
  <c r="AGZ28" i="6"/>
  <c r="AGZ27" i="6"/>
  <c r="AGZ26" i="6"/>
  <c r="AGZ25" i="6"/>
  <c r="AGZ24" i="6"/>
  <c r="AGZ23" i="6"/>
  <c r="AGZ22" i="6"/>
  <c r="AGZ21" i="6"/>
  <c r="AGZ20" i="6"/>
  <c r="AGZ17" i="6"/>
  <c r="AHB17" i="6" s="1"/>
  <c r="AGZ15" i="6"/>
  <c r="AHB15" i="6" s="1"/>
  <c r="AGZ14" i="6"/>
  <c r="AHB14" i="6" s="1"/>
  <c r="AGZ13" i="6"/>
  <c r="AHB13" i="6" s="1"/>
  <c r="AGZ12" i="6"/>
  <c r="AHB12" i="6" s="1"/>
  <c r="AGZ11" i="6"/>
  <c r="AHB11" i="6" s="1"/>
  <c r="AGZ7" i="6"/>
  <c r="AHB7" i="6" s="1"/>
  <c r="AGZ6" i="6"/>
  <c r="AHB6" i="6" s="1"/>
  <c r="AGZ5" i="6"/>
  <c r="AHB5" i="6" s="1"/>
  <c r="AGZ4" i="6"/>
  <c r="AHB4" i="6" s="1"/>
  <c r="AGT32" i="6" l="1"/>
  <c r="AGT31" i="6"/>
  <c r="AGT30" i="6"/>
  <c r="AGT28" i="6"/>
  <c r="AGT27" i="6"/>
  <c r="AGT26" i="6"/>
  <c r="AGT25" i="6"/>
  <c r="AGT24" i="6"/>
  <c r="AGT23" i="6"/>
  <c r="AGT22" i="6"/>
  <c r="AGT21" i="6"/>
  <c r="AGT20" i="6"/>
  <c r="AGT17" i="6"/>
  <c r="AGV17" i="6" s="1"/>
  <c r="AGT16" i="6"/>
  <c r="AGV16" i="6" s="1"/>
  <c r="AGT15" i="6"/>
  <c r="AGV15" i="6" s="1"/>
  <c r="AGT14" i="6"/>
  <c r="AGV14" i="6" s="1"/>
  <c r="AGT13" i="6"/>
  <c r="AGV13" i="6" s="1"/>
  <c r="AGT12" i="6"/>
  <c r="AGV12" i="6" s="1"/>
  <c r="AGT11" i="6"/>
  <c r="AGV11" i="6" s="1"/>
  <c r="AGT10" i="6"/>
  <c r="AGV10" i="6" s="1"/>
  <c r="AGT7" i="6"/>
  <c r="AGV7" i="6" s="1"/>
  <c r="AGT6" i="6"/>
  <c r="AGV6" i="6" s="1"/>
  <c r="AGT5" i="6"/>
  <c r="AGV5" i="6" s="1"/>
  <c r="AGT4" i="6"/>
  <c r="AGV4" i="6" s="1"/>
  <c r="AGN30" i="6" l="1"/>
  <c r="AGN24" i="6"/>
  <c r="AGN16" i="6"/>
  <c r="AGP16" i="6" s="1"/>
  <c r="AGN10" i="6"/>
  <c r="AGP10" i="6" s="1"/>
  <c r="AGN32" i="6"/>
  <c r="AGN31" i="6"/>
  <c r="AGN28" i="6"/>
  <c r="AGN27" i="6"/>
  <c r="AGN26" i="6"/>
  <c r="AGN25" i="6"/>
  <c r="AGN23" i="6"/>
  <c r="AGN22" i="6"/>
  <c r="AGN21" i="6"/>
  <c r="AGN20" i="6"/>
  <c r="AGN17" i="6"/>
  <c r="AGP17" i="6" s="1"/>
  <c r="AGN15" i="6"/>
  <c r="AGP15" i="6" s="1"/>
  <c r="AGN14" i="6"/>
  <c r="AGP14" i="6" s="1"/>
  <c r="AGN13" i="6"/>
  <c r="AGP13" i="6" s="1"/>
  <c r="AGN12" i="6"/>
  <c r="AGP12" i="6" s="1"/>
  <c r="AGN11" i="6"/>
  <c r="AGP11" i="6" s="1"/>
  <c r="AGN7" i="6"/>
  <c r="AGP7" i="6" s="1"/>
  <c r="AGN6" i="6"/>
  <c r="AGP6" i="6" s="1"/>
  <c r="AGN5" i="6"/>
  <c r="AGP5" i="6" s="1"/>
  <c r="AGN4" i="6"/>
  <c r="AGP4" i="6" s="1"/>
  <c r="AGH27" i="6" l="1"/>
  <c r="AGH11" i="6"/>
  <c r="AGJ11" i="6" s="1"/>
  <c r="AGH10" i="6"/>
  <c r="AGJ10" i="6" s="1"/>
  <c r="AGH4" i="6"/>
  <c r="AGJ4" i="6" s="1"/>
  <c r="AGH32" i="6"/>
  <c r="AGH31" i="6"/>
  <c r="AGH30" i="6"/>
  <c r="AGH28" i="6"/>
  <c r="AGH26" i="6"/>
  <c r="AGH25" i="6"/>
  <c r="AGH24" i="6"/>
  <c r="AGH23" i="6"/>
  <c r="AGH22" i="6"/>
  <c r="AGH21" i="6"/>
  <c r="AGH20" i="6"/>
  <c r="AGH17" i="6"/>
  <c r="AGJ17" i="6" s="1"/>
  <c r="AGH16" i="6"/>
  <c r="AGJ16" i="6" s="1"/>
  <c r="AGH15" i="6"/>
  <c r="AGJ15" i="6" s="1"/>
  <c r="AGH14" i="6"/>
  <c r="AGJ14" i="6" s="1"/>
  <c r="AGH13" i="6"/>
  <c r="AGJ13" i="6" s="1"/>
  <c r="AGH12" i="6"/>
  <c r="AGJ12" i="6" s="1"/>
  <c r="AGH7" i="6"/>
  <c r="AGJ7" i="6" s="1"/>
  <c r="AGH6" i="6"/>
  <c r="AGJ6" i="6" s="1"/>
  <c r="AGH5" i="6"/>
  <c r="AGJ5" i="6" s="1"/>
  <c r="AGB24" i="6"/>
  <c r="AGB16" i="6"/>
  <c r="AGD16" i="6" s="1"/>
  <c r="AGB32" i="6"/>
  <c r="AGB31" i="6"/>
  <c r="AGB30" i="6"/>
  <c r="AGB28" i="6"/>
  <c r="AGB27" i="6"/>
  <c r="AGB26" i="6"/>
  <c r="AGB25" i="6"/>
  <c r="AGB23" i="6"/>
  <c r="AGB22" i="6"/>
  <c r="AGB21" i="6"/>
  <c r="AGB20" i="6"/>
  <c r="AGB17" i="6"/>
  <c r="AGD17" i="6" s="1"/>
  <c r="AGB15" i="6"/>
  <c r="AGD15" i="6" s="1"/>
  <c r="AGB14" i="6"/>
  <c r="AGD14" i="6" s="1"/>
  <c r="AGB13" i="6"/>
  <c r="AGD13" i="6" s="1"/>
  <c r="AGB12" i="6"/>
  <c r="AGD12" i="6" s="1"/>
  <c r="AGB11" i="6"/>
  <c r="AGD11" i="6" s="1"/>
  <c r="AGB10" i="6"/>
  <c r="AGD10" i="6" s="1"/>
  <c r="AGB7" i="6"/>
  <c r="AGD7" i="6" s="1"/>
  <c r="AGB6" i="6"/>
  <c r="AGD6" i="6" s="1"/>
  <c r="AGB5" i="6"/>
  <c r="AGD5" i="6" s="1"/>
  <c r="AGB4" i="6"/>
  <c r="AGD4" i="6" s="1"/>
  <c r="AFV32" i="6"/>
  <c r="AFV31" i="6"/>
  <c r="AFV30" i="6"/>
  <c r="AFV28" i="6"/>
  <c r="AFV27" i="6"/>
  <c r="AFV26" i="6"/>
  <c r="AFV25" i="6"/>
  <c r="AFV24" i="6"/>
  <c r="AFV23" i="6"/>
  <c r="AFV22" i="6"/>
  <c r="AFV21" i="6"/>
  <c r="AFV20" i="6"/>
  <c r="AFV17" i="6"/>
  <c r="AFX17" i="6" s="1"/>
  <c r="AFV16" i="6"/>
  <c r="AFX16" i="6" s="1"/>
  <c r="AFV15" i="6"/>
  <c r="AFX15" i="6" s="1"/>
  <c r="AFV14" i="6"/>
  <c r="AFX14" i="6" s="1"/>
  <c r="AFV13" i="6"/>
  <c r="AFX13" i="6" s="1"/>
  <c r="AFV12" i="6"/>
  <c r="AFX12" i="6" s="1"/>
  <c r="AFV11" i="6"/>
  <c r="AFX11" i="6" s="1"/>
  <c r="AFV10" i="6"/>
  <c r="AFX10" i="6" s="1"/>
  <c r="AFV7" i="6"/>
  <c r="AFX7" i="6" s="1"/>
  <c r="AFV6" i="6"/>
  <c r="AFX6" i="6" s="1"/>
  <c r="AFV5" i="6"/>
  <c r="AFX5" i="6" s="1"/>
  <c r="AFV4" i="6"/>
  <c r="AFX4" i="6" s="1"/>
  <c r="AFP24" i="6" l="1"/>
  <c r="AFP16" i="6"/>
  <c r="AFR16" i="6" s="1"/>
  <c r="AFP10" i="6"/>
  <c r="AFR10" i="6" s="1"/>
  <c r="AFP32" i="6"/>
  <c r="AFP31" i="6"/>
  <c r="AFP30" i="6"/>
  <c r="AFP28" i="6"/>
  <c r="AFP27" i="6"/>
  <c r="AFP26" i="6"/>
  <c r="AFP25" i="6"/>
  <c r="AFP23" i="6"/>
  <c r="AFP22" i="6"/>
  <c r="AFP21" i="6"/>
  <c r="AFP20" i="6"/>
  <c r="AFP17" i="6"/>
  <c r="AFR17" i="6" s="1"/>
  <c r="AFP15" i="6"/>
  <c r="AFR15" i="6" s="1"/>
  <c r="AFP14" i="6"/>
  <c r="AFR14" i="6" s="1"/>
  <c r="AFP13" i="6"/>
  <c r="AFR13" i="6" s="1"/>
  <c r="AFP12" i="6"/>
  <c r="AFR12" i="6" s="1"/>
  <c r="AFP11" i="6"/>
  <c r="AFR11" i="6" s="1"/>
  <c r="AFP7" i="6"/>
  <c r="AFR7" i="6" s="1"/>
  <c r="AFP6" i="6"/>
  <c r="AFR6" i="6" s="1"/>
  <c r="AFP5" i="6"/>
  <c r="AFR5" i="6" s="1"/>
  <c r="AFP4" i="6"/>
  <c r="AFR4" i="6" s="1"/>
  <c r="AFJ32" i="6" l="1"/>
  <c r="AFJ31" i="6"/>
  <c r="AFJ30" i="6"/>
  <c r="AFJ28" i="6"/>
  <c r="AFJ27" i="6"/>
  <c r="AFJ26" i="6"/>
  <c r="AFJ25" i="6"/>
  <c r="AFJ24" i="6"/>
  <c r="AFJ23" i="6"/>
  <c r="AFJ22" i="6"/>
  <c r="AFJ21" i="6"/>
  <c r="AFJ20" i="6"/>
  <c r="AFJ17" i="6"/>
  <c r="AFL17" i="6" s="1"/>
  <c r="AFJ16" i="6"/>
  <c r="AFL16" i="6" s="1"/>
  <c r="AFJ15" i="6"/>
  <c r="AFL15" i="6" s="1"/>
  <c r="AFJ14" i="6"/>
  <c r="AFL14" i="6" s="1"/>
  <c r="AFJ13" i="6"/>
  <c r="AFL13" i="6" s="1"/>
  <c r="AFJ12" i="6"/>
  <c r="AFL12" i="6" s="1"/>
  <c r="AFJ11" i="6"/>
  <c r="AFL11" i="6" s="1"/>
  <c r="AFJ10" i="6"/>
  <c r="AFL10" i="6" s="1"/>
  <c r="AFJ7" i="6"/>
  <c r="AFL7" i="6" s="1"/>
  <c r="AFJ6" i="6"/>
  <c r="AFL6" i="6" s="1"/>
  <c r="AFJ5" i="6"/>
  <c r="AFL5" i="6" s="1"/>
  <c r="AFJ4" i="6"/>
  <c r="AFL4" i="6" s="1"/>
  <c r="AFD24" i="6" l="1"/>
  <c r="AFD12" i="6"/>
  <c r="AFF12" i="6" s="1"/>
  <c r="AFD10" i="6"/>
  <c r="AFF10" i="6" s="1"/>
  <c r="AFD32" i="6"/>
  <c r="AFD31" i="6"/>
  <c r="AFD30" i="6"/>
  <c r="AFD28" i="6"/>
  <c r="AFD27" i="6"/>
  <c r="AFD26" i="6"/>
  <c r="AFD25" i="6"/>
  <c r="AFD23" i="6"/>
  <c r="AFD22" i="6"/>
  <c r="AFD21" i="6"/>
  <c r="AFD20" i="6"/>
  <c r="AFD17" i="6"/>
  <c r="AFF17" i="6" s="1"/>
  <c r="AFD16" i="6"/>
  <c r="AFF16" i="6" s="1"/>
  <c r="AFD15" i="6"/>
  <c r="AFF15" i="6" s="1"/>
  <c r="AFD14" i="6"/>
  <c r="AFF14" i="6" s="1"/>
  <c r="AFD13" i="6"/>
  <c r="AFF13" i="6" s="1"/>
  <c r="AFD11" i="6"/>
  <c r="AFF11" i="6" s="1"/>
  <c r="AFD7" i="6"/>
  <c r="AFF7" i="6" s="1"/>
  <c r="AFD6" i="6"/>
  <c r="AFF6" i="6" s="1"/>
  <c r="AFD5" i="6"/>
  <c r="AFF5" i="6" s="1"/>
  <c r="AFD4" i="6"/>
  <c r="AFF4" i="6" s="1"/>
  <c r="AEX32" i="6"/>
  <c r="AEX31" i="6"/>
  <c r="AEX30" i="6"/>
  <c r="AEX28" i="6"/>
  <c r="AEX27" i="6"/>
  <c r="AEX26" i="6"/>
  <c r="AEX25" i="6"/>
  <c r="AEX24" i="6"/>
  <c r="AEX23" i="6"/>
  <c r="AEX22" i="6"/>
  <c r="AEX21" i="6"/>
  <c r="AEX20" i="6"/>
  <c r="AEX17" i="6"/>
  <c r="AEZ17" i="6" s="1"/>
  <c r="AEX16" i="6"/>
  <c r="AEZ16" i="6" s="1"/>
  <c r="AEX15" i="6"/>
  <c r="AEZ15" i="6" s="1"/>
  <c r="AEX14" i="6"/>
  <c r="AEZ14" i="6" s="1"/>
  <c r="AEX13" i="6"/>
  <c r="AEZ13" i="6" s="1"/>
  <c r="AEX12" i="6"/>
  <c r="AEZ12" i="6" s="1"/>
  <c r="AEX11" i="6"/>
  <c r="AEZ11" i="6" s="1"/>
  <c r="AEX10" i="6"/>
  <c r="AEZ10" i="6" s="1"/>
  <c r="AEX7" i="6"/>
  <c r="AEZ7" i="6" s="1"/>
  <c r="AEX6" i="6"/>
  <c r="AEZ6" i="6" s="1"/>
  <c r="AEX5" i="6"/>
  <c r="AEZ5" i="6" s="1"/>
  <c r="AEX4" i="6"/>
  <c r="AEZ4" i="6" s="1"/>
  <c r="AER30" i="6"/>
  <c r="AER24" i="6"/>
  <c r="AER32" i="6"/>
  <c r="AER31" i="6"/>
  <c r="AER28" i="6"/>
  <c r="AER27" i="6"/>
  <c r="AER26" i="6"/>
  <c r="AER25" i="6"/>
  <c r="AER23" i="6"/>
  <c r="AER22" i="6"/>
  <c r="AER21" i="6"/>
  <c r="AER20" i="6"/>
  <c r="AER17" i="6"/>
  <c r="AET17" i="6" s="1"/>
  <c r="AER16" i="6"/>
  <c r="AET16" i="6" s="1"/>
  <c r="AER15" i="6"/>
  <c r="AET15" i="6" s="1"/>
  <c r="AER14" i="6"/>
  <c r="AET14" i="6" s="1"/>
  <c r="AER13" i="6"/>
  <c r="AET13" i="6" s="1"/>
  <c r="AER12" i="6"/>
  <c r="AET12" i="6" s="1"/>
  <c r="AER11" i="6"/>
  <c r="AET11" i="6" s="1"/>
  <c r="AER10" i="6"/>
  <c r="AET10" i="6" s="1"/>
  <c r="AER7" i="6"/>
  <c r="AET7" i="6" s="1"/>
  <c r="AER6" i="6"/>
  <c r="AET6" i="6" s="1"/>
  <c r="AER5" i="6"/>
  <c r="AET5" i="6" s="1"/>
  <c r="AER4" i="6"/>
  <c r="AET4" i="6" s="1"/>
  <c r="AEL32" i="6"/>
  <c r="AEL30" i="6"/>
  <c r="AEL24" i="6"/>
  <c r="AEL16" i="6"/>
  <c r="AEN16" i="6" s="1"/>
  <c r="AEL4" i="6"/>
  <c r="AEN4" i="6" s="1"/>
  <c r="AEL31" i="6"/>
  <c r="AEL28" i="6"/>
  <c r="AEL27" i="6"/>
  <c r="AEL26" i="6"/>
  <c r="AEL25" i="6"/>
  <c r="AEL23" i="6"/>
  <c r="AEL22" i="6"/>
  <c r="AEL21" i="6"/>
  <c r="AEL20" i="6"/>
  <c r="AEL17" i="6"/>
  <c r="AEN17" i="6" s="1"/>
  <c r="AEL15" i="6"/>
  <c r="AEN15" i="6" s="1"/>
  <c r="AEL14" i="6"/>
  <c r="AEN14" i="6" s="1"/>
  <c r="AEL13" i="6"/>
  <c r="AEN13" i="6" s="1"/>
  <c r="AEL12" i="6"/>
  <c r="AEN12" i="6" s="1"/>
  <c r="AEL11" i="6"/>
  <c r="AEN11" i="6" s="1"/>
  <c r="AEL10" i="6"/>
  <c r="AEN10" i="6" s="1"/>
  <c r="AEL7" i="6"/>
  <c r="AEN7" i="6" s="1"/>
  <c r="AEL6" i="6"/>
  <c r="AEN6" i="6" s="1"/>
  <c r="AEL5" i="6"/>
  <c r="AEN5" i="6" s="1"/>
  <c r="AEF24" i="6" l="1"/>
  <c r="AEF32" i="6"/>
  <c r="AEF31" i="6"/>
  <c r="AEF30" i="6"/>
  <c r="AEF28" i="6"/>
  <c r="AEF27" i="6"/>
  <c r="AEF26" i="6"/>
  <c r="AEF25" i="6"/>
  <c r="AEF23" i="6"/>
  <c r="AEF22" i="6"/>
  <c r="AEF21" i="6"/>
  <c r="AEF20" i="6"/>
  <c r="AEF17" i="6"/>
  <c r="AEH17" i="6" s="1"/>
  <c r="AEF16" i="6"/>
  <c r="AEH16" i="6" s="1"/>
  <c r="AEF15" i="6"/>
  <c r="AEH15" i="6" s="1"/>
  <c r="AEF14" i="6"/>
  <c r="AEH14" i="6" s="1"/>
  <c r="AEF13" i="6"/>
  <c r="AEH13" i="6" s="1"/>
  <c r="AEF12" i="6"/>
  <c r="AEH12" i="6" s="1"/>
  <c r="AEF11" i="6"/>
  <c r="AEH11" i="6" s="1"/>
  <c r="AEF10" i="6"/>
  <c r="AEH10" i="6" s="1"/>
  <c r="AEF7" i="6"/>
  <c r="AEH7" i="6" s="1"/>
  <c r="AEF6" i="6"/>
  <c r="AEH6" i="6" s="1"/>
  <c r="AEF5" i="6"/>
  <c r="AEH5" i="6" s="1"/>
  <c r="AEF4" i="6"/>
  <c r="AEH4" i="6" s="1"/>
  <c r="ADZ24" i="6"/>
  <c r="ADZ16" i="6"/>
  <c r="AEB16" i="6" s="1"/>
  <c r="ADZ10" i="6"/>
  <c r="AEB10" i="6" s="1"/>
  <c r="ADZ32" i="6"/>
  <c r="ADZ31" i="6"/>
  <c r="ADZ30" i="6"/>
  <c r="ADZ28" i="6"/>
  <c r="ADZ27" i="6"/>
  <c r="ADZ26" i="6"/>
  <c r="ADZ25" i="6"/>
  <c r="ADZ23" i="6"/>
  <c r="ADZ22" i="6"/>
  <c r="ADZ21" i="6"/>
  <c r="ADZ20" i="6"/>
  <c r="ADZ17" i="6"/>
  <c r="AEB17" i="6" s="1"/>
  <c r="ADZ15" i="6"/>
  <c r="AEB15" i="6" s="1"/>
  <c r="ADZ14" i="6"/>
  <c r="AEB14" i="6" s="1"/>
  <c r="ADZ13" i="6"/>
  <c r="AEB13" i="6" s="1"/>
  <c r="ADZ12" i="6"/>
  <c r="AEB12" i="6" s="1"/>
  <c r="ADZ11" i="6"/>
  <c r="AEB11" i="6" s="1"/>
  <c r="ADZ7" i="6"/>
  <c r="AEB7" i="6" s="1"/>
  <c r="ADZ6" i="6"/>
  <c r="AEB6" i="6" s="1"/>
  <c r="ADZ5" i="6"/>
  <c r="AEB5" i="6" s="1"/>
  <c r="ADZ4" i="6"/>
  <c r="AEB4" i="6" s="1"/>
  <c r="ADT32" i="6"/>
  <c r="ADT31" i="6"/>
  <c r="ADT30" i="6"/>
  <c r="ADT28" i="6"/>
  <c r="ADT27" i="6"/>
  <c r="ADT26" i="6"/>
  <c r="ADT25" i="6"/>
  <c r="ADT24" i="6"/>
  <c r="ADT23" i="6"/>
  <c r="ADT22" i="6"/>
  <c r="ADT21" i="6"/>
  <c r="ADT20" i="6"/>
  <c r="ADT17" i="6"/>
  <c r="ADV17" i="6" s="1"/>
  <c r="ADT16" i="6"/>
  <c r="ADV16" i="6" s="1"/>
  <c r="ADT15" i="6"/>
  <c r="ADV15" i="6" s="1"/>
  <c r="ADT14" i="6"/>
  <c r="ADV14" i="6" s="1"/>
  <c r="ADT13" i="6"/>
  <c r="ADV13" i="6" s="1"/>
  <c r="ADT12" i="6"/>
  <c r="ADV12" i="6" s="1"/>
  <c r="ADT11" i="6"/>
  <c r="ADV11" i="6" s="1"/>
  <c r="ADT10" i="6"/>
  <c r="ADV10" i="6" s="1"/>
  <c r="ADT7" i="6"/>
  <c r="ADV7" i="6" s="1"/>
  <c r="ADT6" i="6"/>
  <c r="ADV6" i="6" s="1"/>
  <c r="ADT5" i="6"/>
  <c r="ADV5" i="6" s="1"/>
  <c r="ADT4" i="6"/>
  <c r="ADV4" i="6" s="1"/>
  <c r="ADN27" i="6"/>
  <c r="ADN25" i="6"/>
  <c r="ADN21" i="6"/>
  <c r="ADN17" i="6"/>
  <c r="ADP17" i="6" s="1"/>
  <c r="ADN11" i="6"/>
  <c r="ADP11" i="6" s="1"/>
  <c r="ADN30" i="6"/>
  <c r="ADN22" i="6"/>
  <c r="ADN15" i="6"/>
  <c r="ADP15" i="6" s="1"/>
  <c r="ADN32" i="6"/>
  <c r="ADN31" i="6"/>
  <c r="ADN28" i="6"/>
  <c r="ADN26" i="6"/>
  <c r="ADN24" i="6"/>
  <c r="ADN23" i="6"/>
  <c r="ADN20" i="6"/>
  <c r="ADN16" i="6"/>
  <c r="ADP16" i="6" s="1"/>
  <c r="ADN14" i="6"/>
  <c r="ADP14" i="6" s="1"/>
  <c r="ADN13" i="6"/>
  <c r="ADP13" i="6" s="1"/>
  <c r="ADN12" i="6"/>
  <c r="ADP12" i="6" s="1"/>
  <c r="ADN10" i="6"/>
  <c r="ADP10" i="6" s="1"/>
  <c r="ADN7" i="6"/>
  <c r="ADP7" i="6" s="1"/>
  <c r="ADN6" i="6"/>
  <c r="ADP6" i="6" s="1"/>
  <c r="ADN5" i="6"/>
  <c r="ADP5" i="6" s="1"/>
  <c r="ADN4" i="6"/>
  <c r="ADP4" i="6" s="1"/>
  <c r="ADH10" i="6" l="1"/>
  <c r="ADJ10" i="6" s="1"/>
  <c r="ADH32" i="6"/>
  <c r="ADH31" i="6"/>
  <c r="ADH30" i="6"/>
  <c r="ADH28" i="6"/>
  <c r="ADH27" i="6"/>
  <c r="ADH26" i="6"/>
  <c r="ADH25" i="6"/>
  <c r="ADH24" i="6"/>
  <c r="ADH23" i="6"/>
  <c r="ADH22" i="6"/>
  <c r="ADH21" i="6"/>
  <c r="ADH20" i="6"/>
  <c r="ADH17" i="6"/>
  <c r="ADJ17" i="6" s="1"/>
  <c r="ADH16" i="6"/>
  <c r="ADJ16" i="6" s="1"/>
  <c r="ADH15" i="6"/>
  <c r="ADJ15" i="6" s="1"/>
  <c r="ADH14" i="6"/>
  <c r="ADJ14" i="6" s="1"/>
  <c r="ADH13" i="6"/>
  <c r="ADJ13" i="6" s="1"/>
  <c r="ADH12" i="6"/>
  <c r="ADJ12" i="6" s="1"/>
  <c r="ADH11" i="6"/>
  <c r="ADJ11" i="6" s="1"/>
  <c r="ADH7" i="6"/>
  <c r="ADJ7" i="6" s="1"/>
  <c r="ADH6" i="6"/>
  <c r="ADJ6" i="6" s="1"/>
  <c r="ADH5" i="6"/>
  <c r="ADJ5" i="6" s="1"/>
  <c r="ADH4" i="6"/>
  <c r="ADJ4" i="6" s="1"/>
  <c r="ADB27" i="6"/>
  <c r="ADB32" i="6"/>
  <c r="ADB31" i="6"/>
  <c r="ADB30" i="6"/>
  <c r="ADB28" i="6"/>
  <c r="ADB26" i="6"/>
  <c r="ADB25" i="6"/>
  <c r="ADB24" i="6"/>
  <c r="ADB23" i="6"/>
  <c r="ADB22" i="6"/>
  <c r="ADB21" i="6"/>
  <c r="ADB20" i="6"/>
  <c r="ADB17" i="6"/>
  <c r="ADD17" i="6" s="1"/>
  <c r="ADB16" i="6"/>
  <c r="ADD16" i="6" s="1"/>
  <c r="ADB15" i="6"/>
  <c r="ADD15" i="6" s="1"/>
  <c r="ADB14" i="6"/>
  <c r="ADD14" i="6" s="1"/>
  <c r="ADB13" i="6"/>
  <c r="ADD13" i="6" s="1"/>
  <c r="ADB12" i="6"/>
  <c r="ADD12" i="6" s="1"/>
  <c r="ADB11" i="6"/>
  <c r="ADD11" i="6" s="1"/>
  <c r="ADB10" i="6"/>
  <c r="ADD10" i="6" s="1"/>
  <c r="ADB7" i="6"/>
  <c r="ADD7" i="6" s="1"/>
  <c r="ADB6" i="6"/>
  <c r="ADD6" i="6" s="1"/>
  <c r="ADB5" i="6"/>
  <c r="ADD5" i="6" s="1"/>
  <c r="ADB4" i="6"/>
  <c r="ADD4" i="6" s="1"/>
  <c r="ACV32" i="6" l="1"/>
  <c r="ACV30" i="6"/>
  <c r="ACV24" i="6"/>
  <c r="ACV16" i="6"/>
  <c r="ACX16" i="6" s="1"/>
  <c r="ACV12" i="6"/>
  <c r="ACX12" i="6" s="1"/>
  <c r="ACV10" i="6"/>
  <c r="ACX10" i="6" s="1"/>
  <c r="ACV5" i="6"/>
  <c r="ACX5" i="6" s="1"/>
  <c r="ACV31" i="6"/>
  <c r="ACV28" i="6"/>
  <c r="ACV27" i="6"/>
  <c r="ACV26" i="6"/>
  <c r="ACV25" i="6"/>
  <c r="ACV23" i="6"/>
  <c r="ACV22" i="6"/>
  <c r="ACV21" i="6"/>
  <c r="ACV20" i="6"/>
  <c r="ACV17" i="6"/>
  <c r="ACX17" i="6" s="1"/>
  <c r="ACV15" i="6"/>
  <c r="ACX15" i="6" s="1"/>
  <c r="ACV14" i="6"/>
  <c r="ACX14" i="6" s="1"/>
  <c r="ACV13" i="6"/>
  <c r="ACX13" i="6" s="1"/>
  <c r="ACV11" i="6"/>
  <c r="ACX11" i="6" s="1"/>
  <c r="ACV7" i="6"/>
  <c r="ACX7" i="6" s="1"/>
  <c r="ACV6" i="6"/>
  <c r="ACX6" i="6" s="1"/>
  <c r="ACV4" i="6"/>
  <c r="ACX4" i="6" s="1"/>
  <c r="ACP10" i="6"/>
  <c r="ACR10" i="6" s="1"/>
  <c r="ACP32" i="6"/>
  <c r="ACP31" i="6"/>
  <c r="ACP30" i="6"/>
  <c r="ACP28" i="6"/>
  <c r="ACP27" i="6"/>
  <c r="ACP26" i="6"/>
  <c r="ACP25" i="6"/>
  <c r="ACP24" i="6"/>
  <c r="ACP23" i="6"/>
  <c r="ACP22" i="6"/>
  <c r="ACP21" i="6"/>
  <c r="ACP20" i="6"/>
  <c r="ACP17" i="6"/>
  <c r="ACR17" i="6" s="1"/>
  <c r="ACP16" i="6"/>
  <c r="ACR16" i="6" s="1"/>
  <c r="ACP15" i="6"/>
  <c r="ACR15" i="6" s="1"/>
  <c r="ACP14" i="6"/>
  <c r="ACR14" i="6" s="1"/>
  <c r="ACP13" i="6"/>
  <c r="ACR13" i="6" s="1"/>
  <c r="ACP12" i="6"/>
  <c r="ACR12" i="6" s="1"/>
  <c r="ACP11" i="6"/>
  <c r="ACR11" i="6" s="1"/>
  <c r="ACP7" i="6"/>
  <c r="ACR7" i="6" s="1"/>
  <c r="ACP6" i="6"/>
  <c r="ACR6" i="6" s="1"/>
  <c r="ACP5" i="6"/>
  <c r="ACR5" i="6" s="1"/>
  <c r="ACP4" i="6"/>
  <c r="ACR4" i="6" s="1"/>
  <c r="ACJ10" i="6"/>
  <c r="ACL10" i="6" s="1"/>
  <c r="ACJ32" i="6"/>
  <c r="ACJ31" i="6"/>
  <c r="ACJ30" i="6"/>
  <c r="ACJ28" i="6"/>
  <c r="ACJ27" i="6"/>
  <c r="ACJ26" i="6"/>
  <c r="ACJ25" i="6"/>
  <c r="ACJ24" i="6"/>
  <c r="ACJ23" i="6"/>
  <c r="ACJ22" i="6"/>
  <c r="ACJ21" i="6"/>
  <c r="ACJ20" i="6"/>
  <c r="ACJ17" i="6"/>
  <c r="ACL17" i="6" s="1"/>
  <c r="ACJ16" i="6"/>
  <c r="ACL16" i="6" s="1"/>
  <c r="ACJ15" i="6"/>
  <c r="ACL15" i="6" s="1"/>
  <c r="ACJ14" i="6"/>
  <c r="ACL14" i="6" s="1"/>
  <c r="ACJ13" i="6"/>
  <c r="ACL13" i="6" s="1"/>
  <c r="ACJ12" i="6"/>
  <c r="ACL12" i="6" s="1"/>
  <c r="ACJ11" i="6"/>
  <c r="ACL11" i="6" s="1"/>
  <c r="ACJ7" i="6"/>
  <c r="ACL7" i="6" s="1"/>
  <c r="ACJ6" i="6"/>
  <c r="ACL6" i="6" s="1"/>
  <c r="ACJ5" i="6"/>
  <c r="ACL5" i="6" s="1"/>
  <c r="ACJ4" i="6"/>
  <c r="ACL4" i="6" s="1"/>
  <c r="ACD32" i="6"/>
  <c r="ACD31" i="6"/>
  <c r="ACD27" i="6"/>
  <c r="ACD30" i="6"/>
  <c r="ACD28" i="6"/>
  <c r="ACD26" i="6"/>
  <c r="ACD25" i="6"/>
  <c r="ACD24" i="6"/>
  <c r="ACD23" i="6"/>
  <c r="ACD22" i="6"/>
  <c r="ACD21" i="6"/>
  <c r="ACD20" i="6"/>
  <c r="ACD17" i="6"/>
  <c r="ACF17" i="6" s="1"/>
  <c r="ACD16" i="6"/>
  <c r="ACF16" i="6" s="1"/>
  <c r="ACD15" i="6"/>
  <c r="ACF15" i="6" s="1"/>
  <c r="ACD14" i="6"/>
  <c r="ACF14" i="6" s="1"/>
  <c r="ACD13" i="6"/>
  <c r="ACF13" i="6" s="1"/>
  <c r="ACD12" i="6"/>
  <c r="ACF12" i="6" s="1"/>
  <c r="ACD11" i="6"/>
  <c r="ACF11" i="6" s="1"/>
  <c r="ACD10" i="6"/>
  <c r="ACF10" i="6" s="1"/>
  <c r="ACD7" i="6"/>
  <c r="ACF7" i="6" s="1"/>
  <c r="ACD6" i="6"/>
  <c r="ACF6" i="6" s="1"/>
  <c r="ACD5" i="6"/>
  <c r="ACF5" i="6" s="1"/>
  <c r="ACD4" i="6"/>
  <c r="ACF4" i="6" s="1"/>
  <c r="ABX30" i="6" l="1"/>
  <c r="ABX32" i="6"/>
  <c r="ABX31" i="6"/>
  <c r="ABX28" i="6"/>
  <c r="ABX27" i="6"/>
  <c r="ABX26" i="6"/>
  <c r="ABX25" i="6"/>
  <c r="ABX24" i="6"/>
  <c r="ABX23" i="6"/>
  <c r="ABX22" i="6"/>
  <c r="ABX21" i="6"/>
  <c r="ABX20" i="6"/>
  <c r="ABX17" i="6"/>
  <c r="ABZ17" i="6" s="1"/>
  <c r="ABX16" i="6"/>
  <c r="ABZ16" i="6" s="1"/>
  <c r="ABX15" i="6"/>
  <c r="ABZ15" i="6" s="1"/>
  <c r="ABX14" i="6"/>
  <c r="ABZ14" i="6" s="1"/>
  <c r="ABX13" i="6"/>
  <c r="ABZ13" i="6" s="1"/>
  <c r="ABX12" i="6"/>
  <c r="ABZ12" i="6" s="1"/>
  <c r="ABX11" i="6"/>
  <c r="ABZ11" i="6" s="1"/>
  <c r="ABX10" i="6"/>
  <c r="ABZ10" i="6" s="1"/>
  <c r="ABX7" i="6"/>
  <c r="ABZ7" i="6" s="1"/>
  <c r="ABX6" i="6"/>
  <c r="ABZ6" i="6" s="1"/>
  <c r="ABX5" i="6"/>
  <c r="ABZ5" i="6" s="1"/>
  <c r="ABX4" i="6"/>
  <c r="ABZ4" i="6" s="1"/>
  <c r="ABR32" i="6"/>
  <c r="ABR31" i="6"/>
  <c r="ABR27" i="6"/>
  <c r="ABR14" i="6"/>
  <c r="ABT14" i="6" s="1"/>
  <c r="ABR7" i="6"/>
  <c r="ABT7" i="6" s="1"/>
  <c r="ABR6" i="6"/>
  <c r="ABT6" i="6" s="1"/>
  <c r="ABR30" i="6"/>
  <c r="ABR28" i="6"/>
  <c r="ABR26" i="6"/>
  <c r="ABR25" i="6"/>
  <c r="ABR24" i="6"/>
  <c r="ABR23" i="6"/>
  <c r="ABR22" i="6"/>
  <c r="ABR21" i="6"/>
  <c r="ABR20" i="6"/>
  <c r="ABR17" i="6"/>
  <c r="ABT17" i="6" s="1"/>
  <c r="ABR16" i="6"/>
  <c r="ABT16" i="6" s="1"/>
  <c r="ABR15" i="6"/>
  <c r="ABT15" i="6" s="1"/>
  <c r="ABR13" i="6"/>
  <c r="ABT13" i="6" s="1"/>
  <c r="ABR12" i="6"/>
  <c r="ABT12" i="6" s="1"/>
  <c r="ABR11" i="6"/>
  <c r="ABT11" i="6" s="1"/>
  <c r="ABR10" i="6"/>
  <c r="ABT10" i="6" s="1"/>
  <c r="ABR5" i="6"/>
  <c r="ABT5" i="6" s="1"/>
  <c r="ABR4" i="6"/>
  <c r="ABT4" i="6" s="1"/>
  <c r="ABL30" i="6"/>
  <c r="ABL24" i="6"/>
  <c r="ABL32" i="6"/>
  <c r="ABL31" i="6"/>
  <c r="ABL28" i="6"/>
  <c r="ABL27" i="6"/>
  <c r="ABL26" i="6"/>
  <c r="ABL25" i="6"/>
  <c r="ABL23" i="6"/>
  <c r="ABL22" i="6"/>
  <c r="ABL21" i="6"/>
  <c r="ABL20" i="6"/>
  <c r="ABL17" i="6"/>
  <c r="ABN17" i="6" s="1"/>
  <c r="ABL16" i="6"/>
  <c r="ABN16" i="6" s="1"/>
  <c r="ABL15" i="6"/>
  <c r="ABN15" i="6" s="1"/>
  <c r="ABL14" i="6"/>
  <c r="ABN14" i="6" s="1"/>
  <c r="ABL13" i="6"/>
  <c r="ABN13" i="6" s="1"/>
  <c r="ABL12" i="6"/>
  <c r="ABN12" i="6" s="1"/>
  <c r="ABL11" i="6"/>
  <c r="ABN11" i="6" s="1"/>
  <c r="ABL10" i="6"/>
  <c r="ABN10" i="6" s="1"/>
  <c r="ABL7" i="6"/>
  <c r="ABN7" i="6" s="1"/>
  <c r="ABL6" i="6"/>
  <c r="ABN6" i="6" s="1"/>
  <c r="ABL5" i="6"/>
  <c r="ABN5" i="6" s="1"/>
  <c r="ABL4" i="6"/>
  <c r="ABN4" i="6" s="1"/>
  <c r="ABF30" i="6"/>
  <c r="ABF27" i="6"/>
  <c r="ABF10" i="6"/>
  <c r="ABH10" i="6" s="1"/>
  <c r="ABF32" i="6"/>
  <c r="ABF31" i="6"/>
  <c r="ABF28" i="6"/>
  <c r="ABF26" i="6"/>
  <c r="ABF25" i="6"/>
  <c r="ABF24" i="6"/>
  <c r="ABF23" i="6"/>
  <c r="ABF22" i="6"/>
  <c r="ABF21" i="6"/>
  <c r="ABF20" i="6"/>
  <c r="ABF17" i="6"/>
  <c r="ABH17" i="6" s="1"/>
  <c r="ABF16" i="6"/>
  <c r="ABH16" i="6" s="1"/>
  <c r="ABF15" i="6"/>
  <c r="ABH15" i="6" s="1"/>
  <c r="ABF14" i="6"/>
  <c r="ABH14" i="6" s="1"/>
  <c r="ABF13" i="6"/>
  <c r="ABH13" i="6" s="1"/>
  <c r="ABF12" i="6"/>
  <c r="ABH12" i="6" s="1"/>
  <c r="ABF11" i="6"/>
  <c r="ABH11" i="6" s="1"/>
  <c r="ABF7" i="6"/>
  <c r="ABH7" i="6" s="1"/>
  <c r="ABF6" i="6"/>
  <c r="ABH6" i="6" s="1"/>
  <c r="ABF5" i="6"/>
  <c r="ABH5" i="6" s="1"/>
  <c r="ABF4" i="6"/>
  <c r="ABH4" i="6" s="1"/>
  <c r="AAZ32" i="6" l="1"/>
  <c r="AAZ31" i="6"/>
  <c r="AAZ30" i="6"/>
  <c r="AAZ28" i="6"/>
  <c r="AAZ27" i="6"/>
  <c r="AAZ26" i="6"/>
  <c r="AAZ25" i="6"/>
  <c r="AAZ24" i="6"/>
  <c r="AAZ23" i="6"/>
  <c r="AAZ22" i="6"/>
  <c r="AAZ21" i="6"/>
  <c r="AAZ20" i="6"/>
  <c r="AAZ17" i="6"/>
  <c r="ABB17" i="6" s="1"/>
  <c r="AAZ16" i="6"/>
  <c r="ABB16" i="6" s="1"/>
  <c r="AAZ15" i="6"/>
  <c r="ABB15" i="6" s="1"/>
  <c r="AAZ14" i="6"/>
  <c r="ABB14" i="6" s="1"/>
  <c r="AAZ13" i="6"/>
  <c r="ABB13" i="6" s="1"/>
  <c r="AAZ12" i="6"/>
  <c r="ABB12" i="6" s="1"/>
  <c r="AAZ11" i="6"/>
  <c r="ABB11" i="6" s="1"/>
  <c r="AAZ10" i="6"/>
  <c r="ABB10" i="6" s="1"/>
  <c r="AAZ7" i="6"/>
  <c r="ABB7" i="6" s="1"/>
  <c r="AAZ6" i="6"/>
  <c r="ABB6" i="6" s="1"/>
  <c r="AAZ5" i="6"/>
  <c r="ABB5" i="6" s="1"/>
  <c r="AAZ4" i="6"/>
  <c r="ABB4" i="6" s="1"/>
  <c r="AAT32" i="6"/>
  <c r="AAT31" i="6"/>
  <c r="AAT27" i="6"/>
  <c r="AAT30" i="6"/>
  <c r="AAT28" i="6"/>
  <c r="AAT26" i="6"/>
  <c r="AAT25" i="6"/>
  <c r="AAT24" i="6"/>
  <c r="AAT23" i="6"/>
  <c r="AAT22" i="6"/>
  <c r="AAT21" i="6"/>
  <c r="AAT20" i="6"/>
  <c r="AAT17" i="6"/>
  <c r="AAV17" i="6" s="1"/>
  <c r="AAT16" i="6"/>
  <c r="AAV16" i="6" s="1"/>
  <c r="AAT15" i="6"/>
  <c r="AAV15" i="6" s="1"/>
  <c r="AAT14" i="6"/>
  <c r="AAV14" i="6" s="1"/>
  <c r="AAT13" i="6"/>
  <c r="AAV13" i="6" s="1"/>
  <c r="AAT12" i="6"/>
  <c r="AAV12" i="6" s="1"/>
  <c r="AAT11" i="6"/>
  <c r="AAV11" i="6" s="1"/>
  <c r="AAT10" i="6"/>
  <c r="AAV10" i="6" s="1"/>
  <c r="AAT7" i="6"/>
  <c r="AAV7" i="6" s="1"/>
  <c r="AAT6" i="6"/>
  <c r="AAV6" i="6" s="1"/>
  <c r="AAT5" i="6"/>
  <c r="AAV5" i="6" s="1"/>
  <c r="AAT4" i="6"/>
  <c r="AAV4" i="6" s="1"/>
  <c r="AAN27" i="6" l="1"/>
  <c r="AAN16" i="6"/>
  <c r="AAP16" i="6" s="1"/>
  <c r="AAN12" i="6"/>
  <c r="AAP12" i="6" s="1"/>
  <c r="AAN6" i="6"/>
  <c r="AAP6" i="6" s="1"/>
  <c r="AAN32" i="6"/>
  <c r="AAN31" i="6"/>
  <c r="AAN30" i="6"/>
  <c r="AAN28" i="6"/>
  <c r="AAN26" i="6"/>
  <c r="AAN25" i="6"/>
  <c r="AAN24" i="6"/>
  <c r="AAN23" i="6"/>
  <c r="AAN22" i="6"/>
  <c r="AAN21" i="6"/>
  <c r="AAN20" i="6"/>
  <c r="AAN17" i="6"/>
  <c r="AAP17" i="6" s="1"/>
  <c r="AAN15" i="6"/>
  <c r="AAP15" i="6" s="1"/>
  <c r="AAN14" i="6"/>
  <c r="AAP14" i="6" s="1"/>
  <c r="AAN13" i="6"/>
  <c r="AAP13" i="6" s="1"/>
  <c r="AAN11" i="6"/>
  <c r="AAP11" i="6" s="1"/>
  <c r="AAN10" i="6"/>
  <c r="AAP10" i="6" s="1"/>
  <c r="AAN7" i="6"/>
  <c r="AAP7" i="6" s="1"/>
  <c r="AAN5" i="6"/>
  <c r="AAP5" i="6" s="1"/>
  <c r="AAN4" i="6"/>
  <c r="AAP4" i="6" s="1"/>
  <c r="AAH27" i="6"/>
  <c r="AAH32" i="6"/>
  <c r="AAH31" i="6"/>
  <c r="AAH30" i="6"/>
  <c r="AAH28" i="6"/>
  <c r="AAH26" i="6"/>
  <c r="AAH25" i="6"/>
  <c r="AAH24" i="6"/>
  <c r="AAH23" i="6"/>
  <c r="AAH22" i="6"/>
  <c r="AAH21" i="6"/>
  <c r="AAH20" i="6"/>
  <c r="AAH17" i="6"/>
  <c r="AAJ17" i="6" s="1"/>
  <c r="AAH16" i="6"/>
  <c r="AAJ16" i="6" s="1"/>
  <c r="AAH15" i="6"/>
  <c r="AAJ15" i="6" s="1"/>
  <c r="AAH14" i="6"/>
  <c r="AAJ14" i="6" s="1"/>
  <c r="AAH13" i="6"/>
  <c r="AAJ13" i="6" s="1"/>
  <c r="AAH12" i="6"/>
  <c r="AAJ12" i="6" s="1"/>
  <c r="AAH11" i="6"/>
  <c r="AAJ11" i="6" s="1"/>
  <c r="AAH10" i="6"/>
  <c r="AAJ10" i="6" s="1"/>
  <c r="AAH7" i="6"/>
  <c r="AAJ7" i="6" s="1"/>
  <c r="AAH6" i="6"/>
  <c r="AAJ6" i="6" s="1"/>
  <c r="AAH5" i="6"/>
  <c r="AAJ5" i="6" s="1"/>
  <c r="AAH4" i="6"/>
  <c r="AAJ4" i="6" s="1"/>
  <c r="AAB32" i="6"/>
  <c r="AAB31" i="6"/>
  <c r="AAB30" i="6"/>
  <c r="AAB28" i="6"/>
  <c r="AAB27" i="6"/>
  <c r="AAB26" i="6"/>
  <c r="AAB25" i="6"/>
  <c r="AAB24" i="6"/>
  <c r="AAB23" i="6"/>
  <c r="AAB22" i="6"/>
  <c r="AAB21" i="6"/>
  <c r="AAB20" i="6"/>
  <c r="AAB17" i="6"/>
  <c r="AAD17" i="6" s="1"/>
  <c r="AAB16" i="6"/>
  <c r="AAD16" i="6" s="1"/>
  <c r="AAB15" i="6"/>
  <c r="AAD15" i="6" s="1"/>
  <c r="AAB14" i="6"/>
  <c r="AAD14" i="6" s="1"/>
  <c r="AAB13" i="6"/>
  <c r="AAD13" i="6" s="1"/>
  <c r="AAB12" i="6"/>
  <c r="AAD12" i="6" s="1"/>
  <c r="AAB11" i="6"/>
  <c r="AAD11" i="6" s="1"/>
  <c r="AAB10" i="6"/>
  <c r="AAD10" i="6" s="1"/>
  <c r="AAB7" i="6"/>
  <c r="AAD7" i="6" s="1"/>
  <c r="AAB6" i="6"/>
  <c r="AAD6" i="6" s="1"/>
  <c r="AAB5" i="6"/>
  <c r="AAD5" i="6" s="1"/>
  <c r="AAB4" i="6"/>
  <c r="AAD4" i="6" s="1"/>
  <c r="ZV27" i="6"/>
  <c r="ZV32" i="6"/>
  <c r="ZV31" i="6"/>
  <c r="ZV30" i="6"/>
  <c r="ZV28" i="6"/>
  <c r="ZV26" i="6"/>
  <c r="ZV25" i="6"/>
  <c r="ZV24" i="6"/>
  <c r="ZV23" i="6"/>
  <c r="ZV22" i="6"/>
  <c r="ZV21" i="6"/>
  <c r="ZV20" i="6"/>
  <c r="ZV17" i="6"/>
  <c r="ZX17" i="6" s="1"/>
  <c r="ZV16" i="6"/>
  <c r="ZX16" i="6" s="1"/>
  <c r="ZV15" i="6"/>
  <c r="ZX15" i="6" s="1"/>
  <c r="ZV14" i="6"/>
  <c r="ZX14" i="6" s="1"/>
  <c r="ZV13" i="6"/>
  <c r="ZX13" i="6" s="1"/>
  <c r="ZV12" i="6"/>
  <c r="ZX12" i="6" s="1"/>
  <c r="ZV11" i="6"/>
  <c r="ZX11" i="6" s="1"/>
  <c r="ZV10" i="6"/>
  <c r="ZX10" i="6" s="1"/>
  <c r="ZV7" i="6"/>
  <c r="ZX7" i="6" s="1"/>
  <c r="ZV6" i="6"/>
  <c r="ZX6" i="6" s="1"/>
  <c r="ZV5" i="6"/>
  <c r="ZX5" i="6" s="1"/>
  <c r="ZV4" i="6"/>
  <c r="ZX4" i="6" s="1"/>
  <c r="ZP31" i="6"/>
  <c r="ZP24" i="6"/>
  <c r="ZP20" i="6"/>
  <c r="ZP14" i="6"/>
  <c r="ZR14" i="6" s="1"/>
  <c r="ZP10" i="6"/>
  <c r="ZR10" i="6" s="1"/>
  <c r="ZP30" i="6"/>
  <c r="ZP27" i="6"/>
  <c r="ZP6" i="6"/>
  <c r="ZR6" i="6" s="1"/>
  <c r="ZP32" i="6"/>
  <c r="ZP28" i="6"/>
  <c r="ZP26" i="6"/>
  <c r="ZP25" i="6"/>
  <c r="ZP23" i="6"/>
  <c r="ZP22" i="6"/>
  <c r="ZP21" i="6"/>
  <c r="ZP17" i="6"/>
  <c r="ZR17" i="6" s="1"/>
  <c r="ZP16" i="6"/>
  <c r="ZR16" i="6" s="1"/>
  <c r="ZP15" i="6"/>
  <c r="ZR15" i="6" s="1"/>
  <c r="ZP13" i="6"/>
  <c r="ZR13" i="6" s="1"/>
  <c r="ZP12" i="6"/>
  <c r="ZR12" i="6" s="1"/>
  <c r="ZP11" i="6"/>
  <c r="ZR11" i="6" s="1"/>
  <c r="ZP7" i="6"/>
  <c r="ZR7" i="6" s="1"/>
  <c r="ZP5" i="6"/>
  <c r="ZR5" i="6" s="1"/>
  <c r="ZP4" i="6"/>
  <c r="ZR4" i="6" s="1"/>
  <c r="ZJ27" i="6" l="1"/>
  <c r="ZJ6" i="6"/>
  <c r="ZL6" i="6" s="1"/>
  <c r="ZJ32" i="6"/>
  <c r="ZJ31" i="6"/>
  <c r="ZJ30" i="6"/>
  <c r="ZJ28" i="6"/>
  <c r="ZJ26" i="6"/>
  <c r="ZJ25" i="6"/>
  <c r="ZJ24" i="6"/>
  <c r="ZJ23" i="6"/>
  <c r="ZJ22" i="6"/>
  <c r="ZJ21" i="6"/>
  <c r="ZJ20" i="6"/>
  <c r="ZJ17" i="6"/>
  <c r="ZL17" i="6" s="1"/>
  <c r="ZJ16" i="6"/>
  <c r="ZL16" i="6" s="1"/>
  <c r="ZJ15" i="6"/>
  <c r="ZL15" i="6" s="1"/>
  <c r="ZJ14" i="6"/>
  <c r="ZL14" i="6" s="1"/>
  <c r="ZJ13" i="6"/>
  <c r="ZL13" i="6" s="1"/>
  <c r="ZJ12" i="6"/>
  <c r="ZL12" i="6" s="1"/>
  <c r="ZJ11" i="6"/>
  <c r="ZL11" i="6" s="1"/>
  <c r="ZJ10" i="6"/>
  <c r="ZL10" i="6" s="1"/>
  <c r="ZJ7" i="6"/>
  <c r="ZL7" i="6" s="1"/>
  <c r="ZJ5" i="6"/>
  <c r="ZL5" i="6" s="1"/>
  <c r="ZJ4" i="6"/>
  <c r="ZL4" i="6" s="1"/>
  <c r="ZD32" i="6"/>
  <c r="ZD31" i="6"/>
  <c r="ZD27" i="6"/>
  <c r="ZD14" i="6"/>
  <c r="ZF14" i="6" s="1"/>
  <c r="ZD12" i="6"/>
  <c r="ZF12" i="6" s="1"/>
  <c r="ZD10" i="6"/>
  <c r="ZF10" i="6" s="1"/>
  <c r="ZD5" i="6"/>
  <c r="ZF5" i="6" s="1"/>
  <c r="ZD4" i="6"/>
  <c r="ZF4" i="6" s="1"/>
  <c r="ZD30" i="6"/>
  <c r="ZD28" i="6"/>
  <c r="ZD26" i="6"/>
  <c r="ZD25" i="6"/>
  <c r="ZD24" i="6"/>
  <c r="ZD23" i="6"/>
  <c r="ZD22" i="6"/>
  <c r="ZD21" i="6"/>
  <c r="ZD20" i="6"/>
  <c r="ZD17" i="6"/>
  <c r="ZF17" i="6" s="1"/>
  <c r="ZD16" i="6"/>
  <c r="ZF16" i="6" s="1"/>
  <c r="ZD15" i="6"/>
  <c r="ZF15" i="6" s="1"/>
  <c r="ZD13" i="6"/>
  <c r="ZF13" i="6" s="1"/>
  <c r="ZD11" i="6"/>
  <c r="ZF11" i="6" s="1"/>
  <c r="ZD7" i="6"/>
  <c r="ZF7" i="6" s="1"/>
  <c r="ZD6" i="6"/>
  <c r="ZF6" i="6" s="1"/>
  <c r="YX31" i="6"/>
  <c r="YX24" i="6"/>
  <c r="YX20" i="6"/>
  <c r="YX14" i="6"/>
  <c r="YZ14" i="6" s="1"/>
  <c r="YX10" i="6"/>
  <c r="YZ10" i="6" s="1"/>
  <c r="YX4" i="6"/>
  <c r="YZ4" i="6" s="1"/>
  <c r="YX27" i="6"/>
  <c r="YX6" i="6"/>
  <c r="YZ6" i="6" s="1"/>
  <c r="YX32" i="6"/>
  <c r="YX30" i="6"/>
  <c r="YX28" i="6"/>
  <c r="YX26" i="6"/>
  <c r="YX25" i="6"/>
  <c r="YX23" i="6"/>
  <c r="YX22" i="6"/>
  <c r="YX21" i="6"/>
  <c r="YX17" i="6"/>
  <c r="YZ17" i="6" s="1"/>
  <c r="YX16" i="6"/>
  <c r="YZ16" i="6" s="1"/>
  <c r="YX15" i="6"/>
  <c r="YZ15" i="6" s="1"/>
  <c r="YX13" i="6"/>
  <c r="YZ13" i="6" s="1"/>
  <c r="YX12" i="6"/>
  <c r="YZ12" i="6" s="1"/>
  <c r="YX11" i="6"/>
  <c r="YZ11" i="6" s="1"/>
  <c r="YX7" i="6"/>
  <c r="YZ7" i="6" s="1"/>
  <c r="YX5" i="6"/>
  <c r="YZ5" i="6" s="1"/>
  <c r="YR32" i="6" l="1"/>
  <c r="YR31" i="6"/>
  <c r="YR27" i="6"/>
  <c r="YR10" i="6"/>
  <c r="YT10" i="6" s="1"/>
  <c r="YR30" i="6"/>
  <c r="YR28" i="6"/>
  <c r="YR26" i="6"/>
  <c r="YR25" i="6"/>
  <c r="YR24" i="6"/>
  <c r="YR23" i="6"/>
  <c r="YR22" i="6"/>
  <c r="YR21" i="6"/>
  <c r="YR20" i="6"/>
  <c r="YR17" i="6"/>
  <c r="YT17" i="6" s="1"/>
  <c r="YR16" i="6"/>
  <c r="YT16" i="6" s="1"/>
  <c r="YR15" i="6"/>
  <c r="YT15" i="6" s="1"/>
  <c r="YR14" i="6"/>
  <c r="YT14" i="6" s="1"/>
  <c r="YR13" i="6"/>
  <c r="YT13" i="6" s="1"/>
  <c r="YR12" i="6"/>
  <c r="YT12" i="6" s="1"/>
  <c r="YR11" i="6"/>
  <c r="YT11" i="6" s="1"/>
  <c r="YR7" i="6"/>
  <c r="YT7" i="6" s="1"/>
  <c r="YR6" i="6"/>
  <c r="YT6" i="6" s="1"/>
  <c r="YR5" i="6"/>
  <c r="YT5" i="6" s="1"/>
  <c r="YR4" i="6"/>
  <c r="YT4" i="6" s="1"/>
  <c r="YL32" i="6" l="1"/>
  <c r="YL31" i="6"/>
  <c r="YL30" i="6"/>
  <c r="YL28" i="6"/>
  <c r="YL27" i="6"/>
  <c r="YL26" i="6"/>
  <c r="YL25" i="6"/>
  <c r="YL24" i="6"/>
  <c r="YL23" i="6"/>
  <c r="YL22" i="6"/>
  <c r="YL21" i="6"/>
  <c r="YL20" i="6"/>
  <c r="YL17" i="6"/>
  <c r="YN17" i="6" s="1"/>
  <c r="YL16" i="6"/>
  <c r="YN16" i="6" s="1"/>
  <c r="YL15" i="6"/>
  <c r="YN15" i="6" s="1"/>
  <c r="YL14" i="6"/>
  <c r="YN14" i="6" s="1"/>
  <c r="YL13" i="6"/>
  <c r="YN13" i="6" s="1"/>
  <c r="YL12" i="6"/>
  <c r="YN12" i="6" s="1"/>
  <c r="YL11" i="6"/>
  <c r="YN11" i="6" s="1"/>
  <c r="YL10" i="6"/>
  <c r="YN10" i="6" s="1"/>
  <c r="YL7" i="6"/>
  <c r="YN7" i="6" s="1"/>
  <c r="YL6" i="6"/>
  <c r="YN6" i="6" s="1"/>
  <c r="YL5" i="6"/>
  <c r="YN5" i="6" s="1"/>
  <c r="YL4" i="6"/>
  <c r="YN4" i="6" s="1"/>
  <c r="YF27" i="6"/>
  <c r="YF12" i="6"/>
  <c r="YH12" i="6" s="1"/>
  <c r="YF5" i="6"/>
  <c r="YH5" i="6" s="1"/>
  <c r="YF32" i="6"/>
  <c r="YF31" i="6"/>
  <c r="YF30" i="6"/>
  <c r="YF28" i="6"/>
  <c r="YF26" i="6"/>
  <c r="YF25" i="6"/>
  <c r="YF24" i="6"/>
  <c r="YF23" i="6"/>
  <c r="YF22" i="6"/>
  <c r="YF21" i="6"/>
  <c r="YF20" i="6"/>
  <c r="YF17" i="6"/>
  <c r="YH17" i="6" s="1"/>
  <c r="YF16" i="6"/>
  <c r="YH16" i="6" s="1"/>
  <c r="YF15" i="6"/>
  <c r="YH15" i="6" s="1"/>
  <c r="YF14" i="6"/>
  <c r="YH14" i="6" s="1"/>
  <c r="YF13" i="6"/>
  <c r="YH13" i="6" s="1"/>
  <c r="YF11" i="6"/>
  <c r="YH11" i="6" s="1"/>
  <c r="YF10" i="6"/>
  <c r="YH10" i="6" s="1"/>
  <c r="YF7" i="6"/>
  <c r="YH7" i="6" s="1"/>
  <c r="YF6" i="6"/>
  <c r="YH6" i="6" s="1"/>
  <c r="YF4" i="6"/>
  <c r="YH4" i="6" s="1"/>
  <c r="XZ31" i="6" l="1"/>
  <c r="XZ27" i="6"/>
  <c r="XZ32" i="6"/>
  <c r="XZ30" i="6"/>
  <c r="XZ28" i="6"/>
  <c r="XZ26" i="6"/>
  <c r="XZ25" i="6"/>
  <c r="XZ24" i="6"/>
  <c r="XZ23" i="6"/>
  <c r="XZ22" i="6"/>
  <c r="XZ21" i="6"/>
  <c r="XZ20" i="6"/>
  <c r="XZ17" i="6"/>
  <c r="YB17" i="6" s="1"/>
  <c r="XZ16" i="6"/>
  <c r="YB16" i="6" s="1"/>
  <c r="XZ15" i="6"/>
  <c r="YB15" i="6" s="1"/>
  <c r="XZ14" i="6"/>
  <c r="YB14" i="6" s="1"/>
  <c r="XZ13" i="6"/>
  <c r="YB13" i="6" s="1"/>
  <c r="XZ12" i="6"/>
  <c r="YB12" i="6" s="1"/>
  <c r="XZ11" i="6"/>
  <c r="YB11" i="6" s="1"/>
  <c r="XZ10" i="6"/>
  <c r="YB10" i="6" s="1"/>
  <c r="XZ7" i="6"/>
  <c r="YB7" i="6" s="1"/>
  <c r="XZ6" i="6"/>
  <c r="YB6" i="6" s="1"/>
  <c r="XZ5" i="6"/>
  <c r="YB5" i="6" s="1"/>
  <c r="XZ4" i="6"/>
  <c r="YB4" i="6" s="1"/>
  <c r="XT32" i="6"/>
  <c r="XT27" i="6"/>
  <c r="XT16" i="6"/>
  <c r="XV16" i="6" s="1"/>
  <c r="XT12" i="6"/>
  <c r="XV12" i="6" s="1"/>
  <c r="XT6" i="6"/>
  <c r="XV6" i="6" s="1"/>
  <c r="XT31" i="6"/>
  <c r="XT30" i="6"/>
  <c r="XT28" i="6"/>
  <c r="XT26" i="6"/>
  <c r="XT25" i="6"/>
  <c r="XT24" i="6"/>
  <c r="XT23" i="6"/>
  <c r="XT22" i="6"/>
  <c r="XT21" i="6"/>
  <c r="XT20" i="6"/>
  <c r="XT17" i="6"/>
  <c r="XV17" i="6" s="1"/>
  <c r="XT15" i="6"/>
  <c r="XV15" i="6" s="1"/>
  <c r="XT14" i="6"/>
  <c r="XV14" i="6" s="1"/>
  <c r="XT13" i="6"/>
  <c r="XV13" i="6" s="1"/>
  <c r="XT11" i="6"/>
  <c r="XV11" i="6" s="1"/>
  <c r="XT10" i="6"/>
  <c r="XV10" i="6" s="1"/>
  <c r="XT7" i="6"/>
  <c r="XV7" i="6" s="1"/>
  <c r="XT5" i="6"/>
  <c r="XV5" i="6" s="1"/>
  <c r="XT4" i="6"/>
  <c r="XV4" i="6" s="1"/>
  <c r="XN32" i="6"/>
  <c r="XN27" i="6"/>
  <c r="XN14" i="6"/>
  <c r="XP14" i="6" s="1"/>
  <c r="XN10" i="6"/>
  <c r="XP10" i="6" s="1"/>
  <c r="XN4" i="6"/>
  <c r="XP4" i="6" s="1"/>
  <c r="XN31" i="6"/>
  <c r="XN30" i="6"/>
  <c r="XN28" i="6"/>
  <c r="XN26" i="6"/>
  <c r="XN25" i="6"/>
  <c r="XN24" i="6"/>
  <c r="XN23" i="6"/>
  <c r="XN22" i="6"/>
  <c r="XN21" i="6"/>
  <c r="XN20" i="6"/>
  <c r="XN17" i="6"/>
  <c r="XP17" i="6" s="1"/>
  <c r="XN16" i="6"/>
  <c r="XP16" i="6" s="1"/>
  <c r="XN15" i="6"/>
  <c r="XP15" i="6" s="1"/>
  <c r="XN13" i="6"/>
  <c r="XP13" i="6" s="1"/>
  <c r="XN12" i="6"/>
  <c r="XP12" i="6" s="1"/>
  <c r="XN11" i="6"/>
  <c r="XP11" i="6" s="1"/>
  <c r="XN7" i="6"/>
  <c r="XP7" i="6" s="1"/>
  <c r="XN6" i="6"/>
  <c r="XP6" i="6" s="1"/>
  <c r="XN5" i="6"/>
  <c r="XP5" i="6" s="1"/>
  <c r="XH22" i="6"/>
  <c r="XH16" i="6"/>
  <c r="XJ16" i="6" s="1"/>
  <c r="XH14" i="6"/>
  <c r="XJ14" i="6" s="1"/>
  <c r="XH12" i="6"/>
  <c r="XJ12" i="6" s="1"/>
  <c r="XH10" i="6"/>
  <c r="XJ10" i="6" s="1"/>
  <c r="XH6" i="6"/>
  <c r="XJ6" i="6" s="1"/>
  <c r="XH32" i="6"/>
  <c r="XH31" i="6"/>
  <c r="XH30" i="6"/>
  <c r="XH28" i="6"/>
  <c r="XH27" i="6"/>
  <c r="XH26" i="6"/>
  <c r="XH25" i="6"/>
  <c r="XH24" i="6"/>
  <c r="XH23" i="6"/>
  <c r="XH21" i="6"/>
  <c r="XH20" i="6"/>
  <c r="XH17" i="6"/>
  <c r="XJ17" i="6" s="1"/>
  <c r="XH15" i="6"/>
  <c r="XJ15" i="6" s="1"/>
  <c r="XH13" i="6"/>
  <c r="XJ13" i="6" s="1"/>
  <c r="XH11" i="6"/>
  <c r="XJ11" i="6" s="1"/>
  <c r="XH7" i="6"/>
  <c r="XJ7" i="6" s="1"/>
  <c r="XH5" i="6"/>
  <c r="XJ5" i="6" s="1"/>
  <c r="XH4" i="6"/>
  <c r="XJ4" i="6" s="1"/>
  <c r="XB32" i="6" l="1"/>
  <c r="XB31" i="6"/>
  <c r="XB30" i="6"/>
  <c r="XB28" i="6"/>
  <c r="XB27" i="6"/>
  <c r="XB26" i="6"/>
  <c r="XB25" i="6"/>
  <c r="XB24" i="6"/>
  <c r="XB23" i="6"/>
  <c r="XB22" i="6"/>
  <c r="XB21" i="6"/>
  <c r="XB20" i="6"/>
  <c r="XB17" i="6"/>
  <c r="XD17" i="6" s="1"/>
  <c r="XB16" i="6"/>
  <c r="XD16" i="6" s="1"/>
  <c r="XB15" i="6"/>
  <c r="XD15" i="6" s="1"/>
  <c r="XB14" i="6"/>
  <c r="XD14" i="6" s="1"/>
  <c r="XB13" i="6"/>
  <c r="XD13" i="6" s="1"/>
  <c r="XB12" i="6"/>
  <c r="XD12" i="6" s="1"/>
  <c r="XB11" i="6"/>
  <c r="XD11" i="6" s="1"/>
  <c r="XB10" i="6"/>
  <c r="XD10" i="6" s="1"/>
  <c r="XB7" i="6"/>
  <c r="XD7" i="6" s="1"/>
  <c r="XB6" i="6"/>
  <c r="XD6" i="6" s="1"/>
  <c r="XB5" i="6"/>
  <c r="XD5" i="6" s="1"/>
  <c r="XB4" i="6"/>
  <c r="XD4" i="6" s="1"/>
  <c r="WV30" i="6"/>
  <c r="WV32" i="6"/>
  <c r="WV31" i="6"/>
  <c r="WV28" i="6"/>
  <c r="WV27" i="6"/>
  <c r="WV26" i="6"/>
  <c r="WV25" i="6"/>
  <c r="WV24" i="6"/>
  <c r="WV23" i="6"/>
  <c r="WV22" i="6"/>
  <c r="WV21" i="6"/>
  <c r="WV20" i="6"/>
  <c r="WV17" i="6"/>
  <c r="WX17" i="6" s="1"/>
  <c r="WV16" i="6"/>
  <c r="WX16" i="6" s="1"/>
  <c r="WV15" i="6"/>
  <c r="WX15" i="6" s="1"/>
  <c r="WV14" i="6"/>
  <c r="WX14" i="6" s="1"/>
  <c r="WV13" i="6"/>
  <c r="WX13" i="6" s="1"/>
  <c r="WV12" i="6"/>
  <c r="WX12" i="6" s="1"/>
  <c r="WV11" i="6"/>
  <c r="WX11" i="6" s="1"/>
  <c r="WV10" i="6"/>
  <c r="WX10" i="6" s="1"/>
  <c r="WV7" i="6"/>
  <c r="WX7" i="6" s="1"/>
  <c r="WV6" i="6"/>
  <c r="WX6" i="6" s="1"/>
  <c r="WV5" i="6"/>
  <c r="WX5" i="6" s="1"/>
  <c r="WV4" i="6"/>
  <c r="WX4" i="6" s="1"/>
  <c r="WP30" i="6" l="1"/>
  <c r="WP27" i="6"/>
  <c r="WP32" i="6"/>
  <c r="WP31" i="6"/>
  <c r="WP28" i="6"/>
  <c r="WP26" i="6"/>
  <c r="WP25" i="6"/>
  <c r="WP24" i="6"/>
  <c r="WP23" i="6"/>
  <c r="WP22" i="6"/>
  <c r="WP21" i="6"/>
  <c r="WP20" i="6"/>
  <c r="WP17" i="6"/>
  <c r="WR17" i="6" s="1"/>
  <c r="WP16" i="6"/>
  <c r="WR16" i="6" s="1"/>
  <c r="WP15" i="6"/>
  <c r="WR15" i="6" s="1"/>
  <c r="WP14" i="6"/>
  <c r="WR14" i="6" s="1"/>
  <c r="WP13" i="6"/>
  <c r="WR13" i="6" s="1"/>
  <c r="WP12" i="6"/>
  <c r="WR12" i="6" s="1"/>
  <c r="WP11" i="6"/>
  <c r="WR11" i="6" s="1"/>
  <c r="WP10" i="6"/>
  <c r="WR10" i="6" s="1"/>
  <c r="WP7" i="6"/>
  <c r="WR7" i="6" s="1"/>
  <c r="WP6" i="6"/>
  <c r="WR6" i="6" s="1"/>
  <c r="WP5" i="6"/>
  <c r="WR5" i="6" s="1"/>
  <c r="WP4" i="6"/>
  <c r="WR4" i="6" s="1"/>
  <c r="WJ14" i="6"/>
  <c r="WL14" i="6" s="1"/>
  <c r="WJ13" i="6"/>
  <c r="WL13" i="6" s="1"/>
  <c r="WJ4" i="6"/>
  <c r="WJ15" i="6"/>
  <c r="WL15" i="6" s="1"/>
  <c r="WJ16" i="6"/>
  <c r="WL16" i="6" s="1"/>
  <c r="WJ32" i="6" l="1"/>
  <c r="WJ31" i="6"/>
  <c r="WJ30" i="6"/>
  <c r="WJ28" i="6"/>
  <c r="WJ27" i="6"/>
  <c r="WJ26" i="6"/>
  <c r="WJ25" i="6"/>
  <c r="WJ24" i="6"/>
  <c r="WJ23" i="6"/>
  <c r="WJ22" i="6"/>
  <c r="WJ21" i="6"/>
  <c r="WJ20" i="6"/>
  <c r="WJ17" i="6"/>
  <c r="WL17" i="6" s="1"/>
  <c r="WJ12" i="6"/>
  <c r="WL12" i="6" s="1"/>
  <c r="WJ11" i="6"/>
  <c r="WL11" i="6" s="1"/>
  <c r="WJ10" i="6"/>
  <c r="WL10" i="6" s="1"/>
  <c r="WJ7" i="6"/>
  <c r="WL7" i="6" s="1"/>
  <c r="WJ6" i="6"/>
  <c r="WL6" i="6" s="1"/>
  <c r="WJ5" i="6"/>
  <c r="WL5" i="6" s="1"/>
  <c r="WL4" i="6"/>
  <c r="WD30" i="6"/>
  <c r="WD24" i="6"/>
  <c r="WD20" i="6"/>
  <c r="WD15" i="6"/>
  <c r="WF15" i="6" s="1"/>
  <c r="WD14" i="6"/>
  <c r="WF14" i="6" s="1"/>
  <c r="WD11" i="6"/>
  <c r="WF11" i="6" s="1"/>
  <c r="WD10" i="6"/>
  <c r="WF10" i="6" s="1"/>
  <c r="WD4" i="6"/>
  <c r="WF4" i="6" s="1"/>
  <c r="WD32" i="6"/>
  <c r="WD31" i="6"/>
  <c r="WD28" i="6"/>
  <c r="WD27" i="6"/>
  <c r="WD26" i="6"/>
  <c r="WD25" i="6"/>
  <c r="WD23" i="6"/>
  <c r="WD22" i="6"/>
  <c r="WD21" i="6"/>
  <c r="WD17" i="6"/>
  <c r="WF17" i="6" s="1"/>
  <c r="WD16" i="6"/>
  <c r="WF16" i="6" s="1"/>
  <c r="WD13" i="6"/>
  <c r="WF13" i="6" s="1"/>
  <c r="WD12" i="6"/>
  <c r="WF12" i="6" s="1"/>
  <c r="WD7" i="6"/>
  <c r="WF7" i="6" s="1"/>
  <c r="WD6" i="6"/>
  <c r="WF6" i="6" s="1"/>
  <c r="WD5" i="6"/>
  <c r="WF5" i="6" s="1"/>
  <c r="VX27" i="6" l="1"/>
  <c r="VX32" i="6"/>
  <c r="VX31" i="6"/>
  <c r="VX30" i="6"/>
  <c r="VX28" i="6"/>
  <c r="VX26" i="6"/>
  <c r="VX25" i="6"/>
  <c r="VX24" i="6"/>
  <c r="VX23" i="6"/>
  <c r="VX22" i="6"/>
  <c r="VX21" i="6"/>
  <c r="VX20" i="6"/>
  <c r="VX17" i="6"/>
  <c r="VZ17" i="6" s="1"/>
  <c r="VX16" i="6"/>
  <c r="VZ16" i="6" s="1"/>
  <c r="VX15" i="6"/>
  <c r="VZ15" i="6" s="1"/>
  <c r="VX14" i="6"/>
  <c r="VZ14" i="6" s="1"/>
  <c r="VX13" i="6"/>
  <c r="VZ13" i="6" s="1"/>
  <c r="VX12" i="6"/>
  <c r="VZ12" i="6" s="1"/>
  <c r="VX11" i="6"/>
  <c r="VZ11" i="6" s="1"/>
  <c r="VX10" i="6"/>
  <c r="VZ10" i="6" s="1"/>
  <c r="VX7" i="6"/>
  <c r="VZ7" i="6" s="1"/>
  <c r="VX6" i="6"/>
  <c r="VZ6" i="6" s="1"/>
  <c r="VX5" i="6"/>
  <c r="VZ5" i="6" s="1"/>
  <c r="VX4" i="6"/>
  <c r="VZ4" i="6" s="1"/>
  <c r="VR27" i="6" l="1"/>
  <c r="VR6" i="6"/>
  <c r="VT6" i="6" s="1"/>
  <c r="VR32" i="6"/>
  <c r="VR31" i="6"/>
  <c r="VR30" i="6"/>
  <c r="VR28" i="6"/>
  <c r="VR26" i="6"/>
  <c r="VR25" i="6"/>
  <c r="VR24" i="6"/>
  <c r="VR23" i="6"/>
  <c r="VR22" i="6"/>
  <c r="VR21" i="6"/>
  <c r="VR20" i="6"/>
  <c r="VR17" i="6"/>
  <c r="VT17" i="6" s="1"/>
  <c r="VR16" i="6"/>
  <c r="VT16" i="6" s="1"/>
  <c r="VR15" i="6"/>
  <c r="VT15" i="6" s="1"/>
  <c r="VR14" i="6"/>
  <c r="VT14" i="6" s="1"/>
  <c r="VR13" i="6"/>
  <c r="VT13" i="6" s="1"/>
  <c r="VR12" i="6"/>
  <c r="VT12" i="6" s="1"/>
  <c r="VR11" i="6"/>
  <c r="VT11" i="6" s="1"/>
  <c r="VR10" i="6"/>
  <c r="VT10" i="6" s="1"/>
  <c r="VR7" i="6"/>
  <c r="VT7" i="6" s="1"/>
  <c r="VR5" i="6"/>
  <c r="VT5" i="6" s="1"/>
  <c r="VR4" i="6"/>
  <c r="VT4" i="6" s="1"/>
  <c r="VL32" i="6" l="1"/>
  <c r="VL27" i="6"/>
  <c r="VL4" i="6"/>
  <c r="VN4" i="6" s="1"/>
  <c r="VL31" i="6"/>
  <c r="VL30" i="6"/>
  <c r="VL28" i="6"/>
  <c r="VL26" i="6"/>
  <c r="VL25" i="6"/>
  <c r="VL24" i="6"/>
  <c r="VL23" i="6"/>
  <c r="VL22" i="6"/>
  <c r="VL21" i="6"/>
  <c r="VL20" i="6"/>
  <c r="VL17" i="6"/>
  <c r="VN17" i="6" s="1"/>
  <c r="VL16" i="6"/>
  <c r="VN16" i="6" s="1"/>
  <c r="VL15" i="6"/>
  <c r="VN15" i="6" s="1"/>
  <c r="VL14" i="6"/>
  <c r="VN14" i="6" s="1"/>
  <c r="VL13" i="6"/>
  <c r="VN13" i="6" s="1"/>
  <c r="VL12" i="6"/>
  <c r="VN12" i="6" s="1"/>
  <c r="VL11" i="6"/>
  <c r="VN11" i="6" s="1"/>
  <c r="VL10" i="6"/>
  <c r="VN10" i="6" s="1"/>
  <c r="VL7" i="6"/>
  <c r="VN7" i="6" s="1"/>
  <c r="VL6" i="6"/>
  <c r="VN6" i="6" s="1"/>
  <c r="VL5" i="6"/>
  <c r="VN5" i="6" s="1"/>
  <c r="VF27" i="6" l="1"/>
  <c r="VF12" i="6"/>
  <c r="VH12" i="6" s="1"/>
  <c r="VF6" i="6"/>
  <c r="VH6" i="6" s="1"/>
  <c r="VF32" i="6"/>
  <c r="VF31" i="6"/>
  <c r="VF30" i="6"/>
  <c r="VF28" i="6"/>
  <c r="VF26" i="6"/>
  <c r="VF25" i="6"/>
  <c r="VF24" i="6"/>
  <c r="VF23" i="6"/>
  <c r="VF22" i="6"/>
  <c r="VF21" i="6"/>
  <c r="VF20" i="6"/>
  <c r="VF17" i="6"/>
  <c r="VH17" i="6" s="1"/>
  <c r="VF16" i="6"/>
  <c r="VH16" i="6" s="1"/>
  <c r="VF15" i="6"/>
  <c r="VH15" i="6" s="1"/>
  <c r="VF14" i="6"/>
  <c r="VH14" i="6" s="1"/>
  <c r="VF13" i="6"/>
  <c r="VH13" i="6" s="1"/>
  <c r="VF11" i="6"/>
  <c r="VH11" i="6" s="1"/>
  <c r="VF10" i="6"/>
  <c r="VH10" i="6" s="1"/>
  <c r="VF7" i="6"/>
  <c r="VH7" i="6" s="1"/>
  <c r="VF5" i="6"/>
  <c r="VH5" i="6" s="1"/>
  <c r="VF4" i="6"/>
  <c r="VH4" i="6" s="1"/>
  <c r="UZ27" i="6" l="1"/>
  <c r="UZ12" i="6"/>
  <c r="VB12" i="6" s="1"/>
  <c r="UZ6" i="6"/>
  <c r="VB6" i="6" s="1"/>
  <c r="UZ32" i="6"/>
  <c r="UZ31" i="6"/>
  <c r="UZ30" i="6"/>
  <c r="UZ28" i="6"/>
  <c r="UZ26" i="6"/>
  <c r="UZ25" i="6"/>
  <c r="UZ24" i="6"/>
  <c r="UZ23" i="6"/>
  <c r="UZ22" i="6"/>
  <c r="UZ21" i="6"/>
  <c r="UZ20" i="6"/>
  <c r="UZ17" i="6"/>
  <c r="VB17" i="6" s="1"/>
  <c r="UZ16" i="6"/>
  <c r="VB16" i="6" s="1"/>
  <c r="UZ15" i="6"/>
  <c r="VB15" i="6" s="1"/>
  <c r="UZ14" i="6"/>
  <c r="VB14" i="6" s="1"/>
  <c r="UZ13" i="6"/>
  <c r="VB13" i="6" s="1"/>
  <c r="UZ11" i="6"/>
  <c r="VB11" i="6" s="1"/>
  <c r="UZ10" i="6"/>
  <c r="VB10" i="6" s="1"/>
  <c r="UZ7" i="6"/>
  <c r="VB7" i="6" s="1"/>
  <c r="UZ5" i="6"/>
  <c r="VB5" i="6" s="1"/>
  <c r="UZ4" i="6"/>
  <c r="VB4" i="6" s="1"/>
  <c r="UT32" i="6" l="1"/>
  <c r="UT31" i="6"/>
  <c r="UT30" i="6"/>
  <c r="UT28" i="6"/>
  <c r="UT27" i="6"/>
  <c r="UT26" i="6"/>
  <c r="UT25" i="6"/>
  <c r="UT24" i="6"/>
  <c r="UT23" i="6"/>
  <c r="UT22" i="6"/>
  <c r="UT21" i="6"/>
  <c r="UT20" i="6"/>
  <c r="UT17" i="6"/>
  <c r="UV17" i="6" s="1"/>
  <c r="UT16" i="6"/>
  <c r="UV16" i="6" s="1"/>
  <c r="UT15" i="6"/>
  <c r="UV15" i="6" s="1"/>
  <c r="UT14" i="6"/>
  <c r="UV14" i="6" s="1"/>
  <c r="UT13" i="6"/>
  <c r="UV13" i="6" s="1"/>
  <c r="UT12" i="6"/>
  <c r="UV12" i="6" s="1"/>
  <c r="UT11" i="6"/>
  <c r="UV11" i="6" s="1"/>
  <c r="UT10" i="6"/>
  <c r="UV10" i="6" s="1"/>
  <c r="UT7" i="6"/>
  <c r="UV7" i="6" s="1"/>
  <c r="UT6" i="6"/>
  <c r="UV6" i="6" s="1"/>
  <c r="UT5" i="6"/>
  <c r="UV5" i="6" s="1"/>
  <c r="UT4" i="6"/>
  <c r="UV4" i="6" s="1"/>
  <c r="UN32" i="6"/>
  <c r="UN31" i="6"/>
  <c r="UN27" i="6"/>
  <c r="UN14" i="6"/>
  <c r="UP14" i="6" s="1"/>
  <c r="UN5" i="6"/>
  <c r="UP5" i="6" s="1"/>
  <c r="UN4" i="6"/>
  <c r="UP4" i="6" s="1"/>
  <c r="UN30" i="6"/>
  <c r="UN28" i="6"/>
  <c r="UN26" i="6"/>
  <c r="UN25" i="6"/>
  <c r="UN24" i="6"/>
  <c r="UN23" i="6"/>
  <c r="UN22" i="6"/>
  <c r="UN21" i="6"/>
  <c r="UN20" i="6"/>
  <c r="UN17" i="6"/>
  <c r="UP17" i="6" s="1"/>
  <c r="UN16" i="6"/>
  <c r="UP16" i="6" s="1"/>
  <c r="UN15" i="6"/>
  <c r="UP15" i="6" s="1"/>
  <c r="UN13" i="6"/>
  <c r="UP13" i="6" s="1"/>
  <c r="UN12" i="6"/>
  <c r="UP12" i="6" s="1"/>
  <c r="UN11" i="6"/>
  <c r="UP11" i="6" s="1"/>
  <c r="UN10" i="6"/>
  <c r="UP10" i="6" s="1"/>
  <c r="UN7" i="6"/>
  <c r="UP7" i="6" s="1"/>
  <c r="UN6" i="6"/>
  <c r="UP6" i="6" s="1"/>
  <c r="UH32" i="6" l="1"/>
  <c r="UH27" i="6"/>
  <c r="UH6" i="6"/>
  <c r="UJ6" i="6" s="1"/>
  <c r="UH5" i="6"/>
  <c r="UJ5" i="6" s="1"/>
  <c r="UH31" i="6"/>
  <c r="UH30" i="6"/>
  <c r="UH28" i="6"/>
  <c r="UH26" i="6"/>
  <c r="UH25" i="6"/>
  <c r="UH24" i="6"/>
  <c r="UH23" i="6"/>
  <c r="UH22" i="6"/>
  <c r="UH21" i="6"/>
  <c r="UH20" i="6"/>
  <c r="UH17" i="6"/>
  <c r="UJ17" i="6" s="1"/>
  <c r="UH16" i="6"/>
  <c r="UJ16" i="6" s="1"/>
  <c r="UH15" i="6"/>
  <c r="UJ15" i="6" s="1"/>
  <c r="UH14" i="6"/>
  <c r="UJ14" i="6" s="1"/>
  <c r="UH13" i="6"/>
  <c r="UJ13" i="6" s="1"/>
  <c r="UH12" i="6"/>
  <c r="UJ12" i="6" s="1"/>
  <c r="UH11" i="6"/>
  <c r="UJ11" i="6" s="1"/>
  <c r="UH10" i="6"/>
  <c r="UJ10" i="6" s="1"/>
  <c r="UH7" i="6"/>
  <c r="UJ7" i="6" s="1"/>
  <c r="UH4" i="6"/>
  <c r="UJ4" i="6" s="1"/>
  <c r="UB32" i="6"/>
  <c r="UB31" i="6"/>
  <c r="UB27" i="6"/>
  <c r="UB30" i="6"/>
  <c r="UB28" i="6"/>
  <c r="UB26" i="6"/>
  <c r="UB25" i="6"/>
  <c r="UB24" i="6"/>
  <c r="UB23" i="6"/>
  <c r="UB22" i="6"/>
  <c r="UB21" i="6"/>
  <c r="UB20" i="6"/>
  <c r="UB17" i="6"/>
  <c r="UD17" i="6" s="1"/>
  <c r="UB16" i="6"/>
  <c r="UD16" i="6" s="1"/>
  <c r="UB15" i="6"/>
  <c r="UD15" i="6" s="1"/>
  <c r="UB14" i="6"/>
  <c r="UD14" i="6" s="1"/>
  <c r="UB13" i="6"/>
  <c r="UD13" i="6" s="1"/>
  <c r="UB12" i="6"/>
  <c r="UD12" i="6" s="1"/>
  <c r="UB11" i="6"/>
  <c r="UD11" i="6" s="1"/>
  <c r="UB10" i="6"/>
  <c r="UD10" i="6" s="1"/>
  <c r="UB7" i="6"/>
  <c r="UD7" i="6" s="1"/>
  <c r="UB6" i="6"/>
  <c r="UD6" i="6" s="1"/>
  <c r="UB5" i="6"/>
  <c r="UD5" i="6" s="1"/>
  <c r="UB4" i="6"/>
  <c r="UD4" i="6" s="1"/>
  <c r="TV27" i="6"/>
  <c r="TV16" i="6"/>
  <c r="TX16" i="6" s="1"/>
  <c r="TV12" i="6"/>
  <c r="TX12" i="6" s="1"/>
  <c r="TV32" i="6"/>
  <c r="TV31" i="6"/>
  <c r="TV30" i="6"/>
  <c r="TV28" i="6"/>
  <c r="TV26" i="6"/>
  <c r="TV25" i="6"/>
  <c r="TV24" i="6"/>
  <c r="TV23" i="6"/>
  <c r="TV22" i="6"/>
  <c r="TV21" i="6"/>
  <c r="TV20" i="6"/>
  <c r="TV17" i="6"/>
  <c r="TX17" i="6" s="1"/>
  <c r="TV15" i="6"/>
  <c r="TX15" i="6" s="1"/>
  <c r="TV14" i="6"/>
  <c r="TX14" i="6" s="1"/>
  <c r="TV13" i="6"/>
  <c r="TX13" i="6" s="1"/>
  <c r="TV11" i="6"/>
  <c r="TX11" i="6" s="1"/>
  <c r="TV10" i="6"/>
  <c r="TX10" i="6" s="1"/>
  <c r="TV7" i="6"/>
  <c r="TX7" i="6" s="1"/>
  <c r="TV6" i="6"/>
  <c r="TX6" i="6" s="1"/>
  <c r="TV5" i="6"/>
  <c r="TX5" i="6" s="1"/>
  <c r="TV4" i="6"/>
  <c r="TX4" i="6" s="1"/>
  <c r="TP22" i="6"/>
  <c r="TP16" i="6"/>
  <c r="TR16" i="6" s="1"/>
  <c r="TP13" i="6"/>
  <c r="TR13" i="6" s="1"/>
  <c r="TP17" i="6"/>
  <c r="TR17" i="6" s="1"/>
  <c r="TP23" i="6"/>
  <c r="TP30" i="6"/>
  <c r="TP32" i="6"/>
  <c r="TP27" i="6"/>
  <c r="TP31" i="6"/>
  <c r="TP28" i="6"/>
  <c r="TP26" i="6"/>
  <c r="TP25" i="6"/>
  <c r="TP24" i="6"/>
  <c r="TP21" i="6"/>
  <c r="TP20" i="6"/>
  <c r="TP15" i="6"/>
  <c r="TR15" i="6" s="1"/>
  <c r="TP14" i="6"/>
  <c r="TR14" i="6" s="1"/>
  <c r="TP12" i="6"/>
  <c r="TR12" i="6" s="1"/>
  <c r="TP11" i="6"/>
  <c r="TR11" i="6" s="1"/>
  <c r="TP10" i="6"/>
  <c r="TR10" i="6" s="1"/>
  <c r="TP7" i="6"/>
  <c r="TR7" i="6" s="1"/>
  <c r="TP6" i="6"/>
  <c r="TR6" i="6" s="1"/>
  <c r="TP5" i="6"/>
  <c r="TR5" i="6" s="1"/>
  <c r="TP4" i="6"/>
  <c r="TR4" i="6" s="1"/>
  <c r="TJ27" i="6"/>
  <c r="TJ32" i="6"/>
  <c r="TJ31" i="6"/>
  <c r="TJ30" i="6"/>
  <c r="TJ28" i="6"/>
  <c r="TJ26" i="6"/>
  <c r="TJ25" i="6"/>
  <c r="TJ24" i="6"/>
  <c r="TJ23" i="6"/>
  <c r="TJ22" i="6"/>
  <c r="TJ21" i="6"/>
  <c r="TJ20" i="6"/>
  <c r="TJ17" i="6"/>
  <c r="TL17" i="6" s="1"/>
  <c r="TJ16" i="6"/>
  <c r="TL16" i="6" s="1"/>
  <c r="TJ15" i="6"/>
  <c r="TL15" i="6" s="1"/>
  <c r="TJ14" i="6"/>
  <c r="TL14" i="6" s="1"/>
  <c r="TJ13" i="6"/>
  <c r="TL13" i="6" s="1"/>
  <c r="TJ12" i="6"/>
  <c r="TL12" i="6" s="1"/>
  <c r="TJ11" i="6"/>
  <c r="TL11" i="6" s="1"/>
  <c r="TJ10" i="6"/>
  <c r="TL10" i="6" s="1"/>
  <c r="TJ7" i="6"/>
  <c r="TL7" i="6" s="1"/>
  <c r="TJ6" i="6"/>
  <c r="TL6" i="6" s="1"/>
  <c r="TJ5" i="6"/>
  <c r="TL5" i="6" s="1"/>
  <c r="TJ4" i="6"/>
  <c r="TL4" i="6" s="1"/>
  <c r="TD27" i="6" l="1"/>
  <c r="TD23" i="6"/>
  <c r="TD22" i="6"/>
  <c r="TD17" i="6"/>
  <c r="TF17" i="6" s="1"/>
  <c r="TD16" i="6"/>
  <c r="TF16" i="6" s="1"/>
  <c r="TD12" i="6"/>
  <c r="TF12" i="6" s="1"/>
  <c r="TD7" i="6"/>
  <c r="TF7" i="6" s="1"/>
  <c r="TD21" i="6"/>
  <c r="TD15" i="6"/>
  <c r="TF15" i="6" s="1"/>
  <c r="TD11" i="6"/>
  <c r="TF11" i="6" s="1"/>
  <c r="TD4" i="6"/>
  <c r="TF4" i="6" s="1"/>
  <c r="TD32" i="6"/>
  <c r="TD31" i="6"/>
  <c r="TD30" i="6"/>
  <c r="TD28" i="6"/>
  <c r="TD26" i="6"/>
  <c r="TD25" i="6"/>
  <c r="TD24" i="6"/>
  <c r="TD20" i="6"/>
  <c r="TD14" i="6"/>
  <c r="TF14" i="6" s="1"/>
  <c r="TD13" i="6"/>
  <c r="TF13" i="6" s="1"/>
  <c r="TD10" i="6"/>
  <c r="TF10" i="6" s="1"/>
  <c r="TD6" i="6"/>
  <c r="TF6" i="6" s="1"/>
  <c r="TD5" i="6"/>
  <c r="TF5" i="6" s="1"/>
  <c r="SX6" i="6" l="1"/>
  <c r="SZ6" i="6" s="1"/>
  <c r="SX32" i="6"/>
  <c r="SX31" i="6"/>
  <c r="SX30" i="6"/>
  <c r="SX28" i="6"/>
  <c r="SX27" i="6"/>
  <c r="SX26" i="6"/>
  <c r="SX25" i="6"/>
  <c r="SX24" i="6"/>
  <c r="SX23" i="6"/>
  <c r="SX22" i="6"/>
  <c r="SX21" i="6"/>
  <c r="SX20" i="6"/>
  <c r="SX17" i="6"/>
  <c r="SZ17" i="6" s="1"/>
  <c r="SX16" i="6"/>
  <c r="SZ16" i="6" s="1"/>
  <c r="SX15" i="6"/>
  <c r="SZ15" i="6" s="1"/>
  <c r="SX14" i="6"/>
  <c r="SZ14" i="6" s="1"/>
  <c r="SX13" i="6"/>
  <c r="SZ13" i="6" s="1"/>
  <c r="SX12" i="6"/>
  <c r="SZ12" i="6" s="1"/>
  <c r="SX11" i="6"/>
  <c r="SZ11" i="6" s="1"/>
  <c r="SX10" i="6"/>
  <c r="SZ10" i="6" s="1"/>
  <c r="SX7" i="6"/>
  <c r="SZ7" i="6" s="1"/>
  <c r="SX5" i="6"/>
  <c r="SZ5" i="6" s="1"/>
  <c r="SX4" i="6"/>
  <c r="SZ4" i="6" s="1"/>
  <c r="SR30" i="6"/>
  <c r="SR27" i="6"/>
  <c r="SR16" i="6"/>
  <c r="ST16" i="6" s="1"/>
  <c r="SR13" i="6"/>
  <c r="ST13" i="6" s="1"/>
  <c r="SR12" i="6"/>
  <c r="ST12" i="6" s="1"/>
  <c r="SR32" i="6"/>
  <c r="SR31" i="6"/>
  <c r="SR28" i="6"/>
  <c r="SR26" i="6"/>
  <c r="SR25" i="6"/>
  <c r="SR24" i="6"/>
  <c r="SR23" i="6"/>
  <c r="SR22" i="6"/>
  <c r="SR21" i="6"/>
  <c r="SR20" i="6"/>
  <c r="SR17" i="6"/>
  <c r="ST17" i="6" s="1"/>
  <c r="SR15" i="6"/>
  <c r="ST15" i="6" s="1"/>
  <c r="SR14" i="6"/>
  <c r="ST14" i="6" s="1"/>
  <c r="SR11" i="6"/>
  <c r="ST11" i="6" s="1"/>
  <c r="SR10" i="6"/>
  <c r="ST10" i="6" s="1"/>
  <c r="SR7" i="6"/>
  <c r="ST7" i="6" s="1"/>
  <c r="SR5" i="6"/>
  <c r="ST5" i="6" s="1"/>
  <c r="SR4" i="6"/>
  <c r="ST4" i="6" s="1"/>
  <c r="SL32" i="6"/>
  <c r="SL27" i="6"/>
  <c r="SL31" i="6"/>
  <c r="SL30" i="6"/>
  <c r="SL28" i="6"/>
  <c r="SL26" i="6"/>
  <c r="SL25" i="6"/>
  <c r="SL24" i="6"/>
  <c r="SL23" i="6"/>
  <c r="SL22" i="6"/>
  <c r="SL21" i="6"/>
  <c r="SL20" i="6"/>
  <c r="SL17" i="6"/>
  <c r="SN17" i="6" s="1"/>
  <c r="SL16" i="6"/>
  <c r="SN16" i="6" s="1"/>
  <c r="SL15" i="6"/>
  <c r="SN15" i="6" s="1"/>
  <c r="SL14" i="6"/>
  <c r="SN14" i="6" s="1"/>
  <c r="SL13" i="6"/>
  <c r="SN13" i="6" s="1"/>
  <c r="SL12" i="6"/>
  <c r="SN12" i="6" s="1"/>
  <c r="SL11" i="6"/>
  <c r="SN11" i="6" s="1"/>
  <c r="SL10" i="6"/>
  <c r="SN10" i="6" s="1"/>
  <c r="SL7" i="6"/>
  <c r="SN7" i="6" s="1"/>
  <c r="SL5" i="6"/>
  <c r="SN5" i="6" s="1"/>
  <c r="SL4" i="6"/>
  <c r="SN4" i="6" s="1"/>
  <c r="SF32" i="6"/>
  <c r="SF27" i="6"/>
  <c r="SF31" i="6"/>
  <c r="SF30" i="6"/>
  <c r="SF28" i="6"/>
  <c r="SF26" i="6"/>
  <c r="SF25" i="6"/>
  <c r="SF24" i="6"/>
  <c r="SF23" i="6"/>
  <c r="SF22" i="6"/>
  <c r="SF21" i="6"/>
  <c r="SF20" i="6"/>
  <c r="SF17" i="6"/>
  <c r="SH17" i="6" s="1"/>
  <c r="SF16" i="6"/>
  <c r="SH16" i="6" s="1"/>
  <c r="SF15" i="6"/>
  <c r="SH15" i="6" s="1"/>
  <c r="SF14" i="6"/>
  <c r="SH14" i="6" s="1"/>
  <c r="SF13" i="6"/>
  <c r="SH13" i="6" s="1"/>
  <c r="SF12" i="6"/>
  <c r="SH12" i="6" s="1"/>
  <c r="SF11" i="6"/>
  <c r="SH11" i="6" s="1"/>
  <c r="SF10" i="6"/>
  <c r="SH10" i="6" s="1"/>
  <c r="SF7" i="6"/>
  <c r="SH7" i="6" s="1"/>
  <c r="SF5" i="6"/>
  <c r="SH5" i="6" s="1"/>
  <c r="SF4" i="6"/>
  <c r="SH4" i="6" s="1"/>
  <c r="RZ32" i="6"/>
  <c r="RZ27" i="6"/>
  <c r="RZ31" i="6"/>
  <c r="RZ30" i="6"/>
  <c r="RZ28" i="6"/>
  <c r="RZ26" i="6"/>
  <c r="RZ25" i="6"/>
  <c r="RZ24" i="6"/>
  <c r="RZ23" i="6"/>
  <c r="RZ22" i="6"/>
  <c r="RZ21" i="6"/>
  <c r="RZ20" i="6"/>
  <c r="RZ17" i="6"/>
  <c r="SB17" i="6" s="1"/>
  <c r="RZ16" i="6"/>
  <c r="SB16" i="6" s="1"/>
  <c r="RZ15" i="6"/>
  <c r="SB15" i="6" s="1"/>
  <c r="RZ14" i="6"/>
  <c r="SB14" i="6" s="1"/>
  <c r="RZ13" i="6"/>
  <c r="SB13" i="6" s="1"/>
  <c r="RZ12" i="6"/>
  <c r="SB12" i="6" s="1"/>
  <c r="RZ11" i="6"/>
  <c r="SB11" i="6" s="1"/>
  <c r="RZ10" i="6"/>
  <c r="SB10" i="6" s="1"/>
  <c r="RZ7" i="6"/>
  <c r="SB7" i="6" s="1"/>
  <c r="RZ5" i="6"/>
  <c r="SB5" i="6" s="1"/>
  <c r="RZ4" i="6"/>
  <c r="SB4" i="6" s="1"/>
  <c r="RT32" i="6"/>
  <c r="RT31" i="6"/>
  <c r="RT30" i="6"/>
  <c r="RT28" i="6"/>
  <c r="RT27" i="6"/>
  <c r="RT26" i="6"/>
  <c r="RT25" i="6"/>
  <c r="RT24" i="6"/>
  <c r="RT23" i="6"/>
  <c r="RT22" i="6"/>
  <c r="RT21" i="6"/>
  <c r="RT20" i="6"/>
  <c r="RT17" i="6"/>
  <c r="RV17" i="6" s="1"/>
  <c r="RT16" i="6"/>
  <c r="RV16" i="6" s="1"/>
  <c r="RT15" i="6"/>
  <c r="RV15" i="6" s="1"/>
  <c r="RT14" i="6"/>
  <c r="RV14" i="6" s="1"/>
  <c r="RT13" i="6"/>
  <c r="RV13" i="6" s="1"/>
  <c r="RT12" i="6"/>
  <c r="RV12" i="6" s="1"/>
  <c r="RT11" i="6"/>
  <c r="RV11" i="6" s="1"/>
  <c r="RT10" i="6"/>
  <c r="RV10" i="6" s="1"/>
  <c r="RT7" i="6"/>
  <c r="RV7" i="6" s="1"/>
  <c r="RT5" i="6"/>
  <c r="RV5" i="6" s="1"/>
  <c r="RT4" i="6"/>
  <c r="RV4" i="6" s="1"/>
  <c r="RN27" i="6"/>
  <c r="RN32" i="6"/>
  <c r="RN31" i="6"/>
  <c r="RN30" i="6"/>
  <c r="RN28" i="6"/>
  <c r="RN26" i="6"/>
  <c r="RN25" i="6"/>
  <c r="RN24" i="6"/>
  <c r="RN23" i="6"/>
  <c r="RN22" i="6"/>
  <c r="RN21" i="6"/>
  <c r="RN20" i="6"/>
  <c r="RN17" i="6"/>
  <c r="RP17" i="6" s="1"/>
  <c r="RN16" i="6"/>
  <c r="RP16" i="6" s="1"/>
  <c r="RN15" i="6"/>
  <c r="RP15" i="6" s="1"/>
  <c r="RN14" i="6"/>
  <c r="RP14" i="6" s="1"/>
  <c r="RN13" i="6"/>
  <c r="RP13" i="6" s="1"/>
  <c r="RN12" i="6"/>
  <c r="RP12" i="6" s="1"/>
  <c r="RN11" i="6"/>
  <c r="RP11" i="6" s="1"/>
  <c r="RN10" i="6"/>
  <c r="RP10" i="6" s="1"/>
  <c r="RN7" i="6"/>
  <c r="RP7" i="6" s="1"/>
  <c r="RN5" i="6"/>
  <c r="RP5" i="6" s="1"/>
  <c r="RN4" i="6"/>
  <c r="RP4" i="6" s="1"/>
  <c r="RH32" i="6" l="1"/>
  <c r="RH27" i="6"/>
  <c r="RH31" i="6"/>
  <c r="RH30" i="6"/>
  <c r="RH28" i="6"/>
  <c r="RH26" i="6"/>
  <c r="RH25" i="6"/>
  <c r="RH24" i="6"/>
  <c r="RH23" i="6"/>
  <c r="RH22" i="6"/>
  <c r="RH21" i="6"/>
  <c r="RH20" i="6"/>
  <c r="RH17" i="6"/>
  <c r="RJ17" i="6" s="1"/>
  <c r="RH16" i="6"/>
  <c r="RJ16" i="6" s="1"/>
  <c r="RH15" i="6"/>
  <c r="RJ15" i="6" s="1"/>
  <c r="RH14" i="6"/>
  <c r="RJ14" i="6" s="1"/>
  <c r="RH13" i="6"/>
  <c r="RJ13" i="6" s="1"/>
  <c r="RH12" i="6"/>
  <c r="RJ12" i="6" s="1"/>
  <c r="RH11" i="6"/>
  <c r="RJ11" i="6" s="1"/>
  <c r="RH10" i="6"/>
  <c r="RJ10" i="6" s="1"/>
  <c r="RH7" i="6"/>
  <c r="RJ7" i="6" s="1"/>
  <c r="RH5" i="6"/>
  <c r="RJ5" i="6" s="1"/>
  <c r="RH4" i="6"/>
  <c r="RJ4" i="6" s="1"/>
  <c r="RB32" i="6" l="1"/>
  <c r="RB27" i="6"/>
  <c r="RB31" i="6"/>
  <c r="RB30" i="6"/>
  <c r="RB28" i="6"/>
  <c r="RB26" i="6"/>
  <c r="RB25" i="6"/>
  <c r="RB24" i="6"/>
  <c r="RB23" i="6"/>
  <c r="RB22" i="6"/>
  <c r="RB21" i="6"/>
  <c r="RB20" i="6"/>
  <c r="RB17" i="6"/>
  <c r="RD17" i="6" s="1"/>
  <c r="RB16" i="6"/>
  <c r="RD16" i="6" s="1"/>
  <c r="RB15" i="6"/>
  <c r="RD15" i="6" s="1"/>
  <c r="RB14" i="6"/>
  <c r="RD14" i="6" s="1"/>
  <c r="RB13" i="6"/>
  <c r="RD13" i="6" s="1"/>
  <c r="RB12" i="6"/>
  <c r="RD12" i="6" s="1"/>
  <c r="RB11" i="6"/>
  <c r="RD11" i="6" s="1"/>
  <c r="RB10" i="6"/>
  <c r="RD10" i="6" s="1"/>
  <c r="RB7" i="6"/>
  <c r="RD7" i="6" s="1"/>
  <c r="RB5" i="6"/>
  <c r="RD5" i="6" s="1"/>
  <c r="RB4" i="6"/>
  <c r="RD4" i="6" s="1"/>
  <c r="QV32" i="6"/>
  <c r="QV31" i="6"/>
  <c r="QV30" i="6"/>
  <c r="QV28" i="6"/>
  <c r="QV27" i="6"/>
  <c r="QV26" i="6"/>
  <c r="QV25" i="6"/>
  <c r="QV24" i="6"/>
  <c r="QV23" i="6"/>
  <c r="QV22" i="6"/>
  <c r="QV21" i="6"/>
  <c r="QV20" i="6"/>
  <c r="QV17" i="6"/>
  <c r="QX17" i="6" s="1"/>
  <c r="QV16" i="6"/>
  <c r="QX16" i="6" s="1"/>
  <c r="QV15" i="6"/>
  <c r="QX15" i="6" s="1"/>
  <c r="QV14" i="6"/>
  <c r="QX14" i="6" s="1"/>
  <c r="QV13" i="6"/>
  <c r="QX13" i="6" s="1"/>
  <c r="QV12" i="6"/>
  <c r="QX12" i="6" s="1"/>
  <c r="QV11" i="6"/>
  <c r="QX11" i="6" s="1"/>
  <c r="QV10" i="6"/>
  <c r="QX10" i="6" s="1"/>
  <c r="QV7" i="6"/>
  <c r="QX7" i="6" s="1"/>
  <c r="QV5" i="6"/>
  <c r="QX5" i="6" s="1"/>
  <c r="QV4" i="6"/>
  <c r="QX4" i="6" s="1"/>
  <c r="QP32" i="6" l="1"/>
  <c r="QP27" i="6"/>
  <c r="QP12" i="6"/>
  <c r="QR12" i="6" s="1"/>
  <c r="QP10" i="6"/>
  <c r="QR10" i="6" s="1"/>
  <c r="QP5" i="6"/>
  <c r="QR5" i="6" s="1"/>
  <c r="QP31" i="6"/>
  <c r="QP30" i="6"/>
  <c r="QP28" i="6"/>
  <c r="QP26" i="6"/>
  <c r="QP25" i="6"/>
  <c r="QP24" i="6"/>
  <c r="QP23" i="6"/>
  <c r="QP22" i="6"/>
  <c r="QP21" i="6"/>
  <c r="QP20" i="6"/>
  <c r="QP17" i="6"/>
  <c r="QR17" i="6" s="1"/>
  <c r="QP16" i="6"/>
  <c r="QR16" i="6" s="1"/>
  <c r="QP15" i="6"/>
  <c r="QR15" i="6" s="1"/>
  <c r="QP14" i="6"/>
  <c r="QR14" i="6" s="1"/>
  <c r="QP13" i="6"/>
  <c r="QR13" i="6" s="1"/>
  <c r="QP11" i="6"/>
  <c r="QR11" i="6" s="1"/>
  <c r="QP7" i="6"/>
  <c r="QR7" i="6" s="1"/>
  <c r="QP4" i="6"/>
  <c r="QR4" i="6" s="1"/>
  <c r="QJ30" i="6"/>
  <c r="QJ27" i="6"/>
  <c r="QJ12" i="6"/>
  <c r="QL12" i="6" s="1"/>
  <c r="QJ7" i="6"/>
  <c r="QL7" i="6" s="1"/>
  <c r="QJ32" i="6"/>
  <c r="QJ31" i="6"/>
  <c r="QJ28" i="6"/>
  <c r="QJ26" i="6"/>
  <c r="QJ25" i="6"/>
  <c r="QJ24" i="6"/>
  <c r="QJ23" i="6"/>
  <c r="QJ22" i="6"/>
  <c r="QJ21" i="6"/>
  <c r="QJ20" i="6"/>
  <c r="QJ17" i="6"/>
  <c r="QL17" i="6" s="1"/>
  <c r="QJ16" i="6"/>
  <c r="QL16" i="6" s="1"/>
  <c r="QJ15" i="6"/>
  <c r="QL15" i="6" s="1"/>
  <c r="QJ14" i="6"/>
  <c r="QL14" i="6" s="1"/>
  <c r="QJ13" i="6"/>
  <c r="QL13" i="6" s="1"/>
  <c r="QJ11" i="6"/>
  <c r="QL11" i="6" s="1"/>
  <c r="QJ10" i="6"/>
  <c r="QL10" i="6" s="1"/>
  <c r="QJ5" i="6"/>
  <c r="QL5" i="6" s="1"/>
  <c r="QJ4" i="6"/>
  <c r="QL4" i="6" s="1"/>
  <c r="QD32" i="6"/>
  <c r="QD27" i="6"/>
  <c r="QD16" i="6"/>
  <c r="QF16" i="6" s="1"/>
  <c r="QD15" i="6"/>
  <c r="QF15" i="6" s="1"/>
  <c r="QD12" i="6"/>
  <c r="QF12" i="6" s="1"/>
  <c r="QD10" i="6"/>
  <c r="QF10" i="6" s="1"/>
  <c r="QD4" i="6"/>
  <c r="QF4" i="6" s="1"/>
  <c r="QD31" i="6"/>
  <c r="QD30" i="6"/>
  <c r="QD28" i="6"/>
  <c r="QD26" i="6"/>
  <c r="QD25" i="6"/>
  <c r="QD24" i="6"/>
  <c r="QD23" i="6"/>
  <c r="QD22" i="6"/>
  <c r="QD21" i="6"/>
  <c r="QD20" i="6"/>
  <c r="QD17" i="6"/>
  <c r="QF17" i="6" s="1"/>
  <c r="QD14" i="6"/>
  <c r="QF14" i="6" s="1"/>
  <c r="QD13" i="6"/>
  <c r="QF13" i="6" s="1"/>
  <c r="QD11" i="6"/>
  <c r="QF11" i="6" s="1"/>
  <c r="QD7" i="6"/>
  <c r="QF7" i="6" s="1"/>
  <c r="QD5" i="6"/>
  <c r="QF5" i="6" s="1"/>
  <c r="PX32" i="6"/>
  <c r="PX27" i="6"/>
  <c r="PX14" i="6"/>
  <c r="PZ14" i="6" s="1"/>
  <c r="PX12" i="6"/>
  <c r="PZ12" i="6" s="1"/>
  <c r="PX10" i="6"/>
  <c r="PZ10" i="6" s="1"/>
  <c r="PX5" i="6"/>
  <c r="PZ5" i="6" s="1"/>
  <c r="PX31" i="6"/>
  <c r="PX30" i="6"/>
  <c r="PX28" i="6"/>
  <c r="PX26" i="6"/>
  <c r="PX25" i="6"/>
  <c r="PX24" i="6"/>
  <c r="PX23" i="6"/>
  <c r="PX22" i="6"/>
  <c r="PX21" i="6"/>
  <c r="PX20" i="6"/>
  <c r="PX17" i="6"/>
  <c r="PZ17" i="6" s="1"/>
  <c r="PX16" i="6"/>
  <c r="PZ16" i="6" s="1"/>
  <c r="PX15" i="6"/>
  <c r="PZ15" i="6" s="1"/>
  <c r="PX13" i="6"/>
  <c r="PZ13" i="6" s="1"/>
  <c r="PX11" i="6"/>
  <c r="PZ11" i="6" s="1"/>
  <c r="PX7" i="6"/>
  <c r="PZ7" i="6" s="1"/>
  <c r="PX4" i="6"/>
  <c r="PZ4" i="6" s="1"/>
  <c r="PR32" i="6"/>
  <c r="PR27" i="6"/>
  <c r="PR31" i="6"/>
  <c r="PR30" i="6"/>
  <c r="PR28" i="6"/>
  <c r="PR26" i="6"/>
  <c r="PR25" i="6"/>
  <c r="PR24" i="6"/>
  <c r="PR23" i="6"/>
  <c r="PR22" i="6"/>
  <c r="PR21" i="6"/>
  <c r="PR20" i="6"/>
  <c r="PR17" i="6"/>
  <c r="PT17" i="6" s="1"/>
  <c r="PR16" i="6"/>
  <c r="PT16" i="6" s="1"/>
  <c r="PR15" i="6"/>
  <c r="PT15" i="6" s="1"/>
  <c r="PR14" i="6"/>
  <c r="PT14" i="6" s="1"/>
  <c r="PR13" i="6"/>
  <c r="PT13" i="6" s="1"/>
  <c r="PR12" i="6"/>
  <c r="PT12" i="6" s="1"/>
  <c r="PR11" i="6"/>
  <c r="PT11" i="6" s="1"/>
  <c r="PR10" i="6"/>
  <c r="PT10" i="6" s="1"/>
  <c r="PR7" i="6"/>
  <c r="PT7" i="6" s="1"/>
  <c r="PR5" i="6"/>
  <c r="PT5" i="6" s="1"/>
  <c r="PR4" i="6"/>
  <c r="PT4" i="6" s="1"/>
  <c r="PL27" i="6"/>
  <c r="PL12" i="6"/>
  <c r="PN12" i="6" s="1"/>
  <c r="PL32" i="6"/>
  <c r="PL31" i="6"/>
  <c r="PL30" i="6"/>
  <c r="PL28" i="6"/>
  <c r="PL26" i="6"/>
  <c r="PL25" i="6"/>
  <c r="PL24" i="6"/>
  <c r="PL23" i="6"/>
  <c r="PL22" i="6"/>
  <c r="PL21" i="6"/>
  <c r="PL20" i="6"/>
  <c r="PL17" i="6"/>
  <c r="PN17" i="6" s="1"/>
  <c r="PL16" i="6"/>
  <c r="PN16" i="6" s="1"/>
  <c r="PL15" i="6"/>
  <c r="PN15" i="6" s="1"/>
  <c r="PL14" i="6"/>
  <c r="PN14" i="6" s="1"/>
  <c r="PL13" i="6"/>
  <c r="PN13" i="6" s="1"/>
  <c r="PL11" i="6"/>
  <c r="PN11" i="6" s="1"/>
  <c r="PL10" i="6"/>
  <c r="PN10" i="6" s="1"/>
  <c r="PL7" i="6"/>
  <c r="PN7" i="6" s="1"/>
  <c r="PL5" i="6"/>
  <c r="PN5" i="6" s="1"/>
  <c r="PL4" i="6"/>
  <c r="PN4" i="6" s="1"/>
  <c r="PF30" i="6"/>
  <c r="PF27" i="6"/>
  <c r="PF32" i="6"/>
  <c r="PF31" i="6"/>
  <c r="PF28" i="6"/>
  <c r="PF26" i="6"/>
  <c r="PF25" i="6"/>
  <c r="PF24" i="6"/>
  <c r="PF23" i="6"/>
  <c r="PF22" i="6"/>
  <c r="PF21" i="6"/>
  <c r="PF20" i="6"/>
  <c r="PF17" i="6"/>
  <c r="PH17" i="6" s="1"/>
  <c r="PF16" i="6"/>
  <c r="PH16" i="6" s="1"/>
  <c r="PF15" i="6"/>
  <c r="PH15" i="6" s="1"/>
  <c r="PF14" i="6"/>
  <c r="PH14" i="6" s="1"/>
  <c r="PF13" i="6"/>
  <c r="PH13" i="6" s="1"/>
  <c r="PF12" i="6"/>
  <c r="PH12" i="6" s="1"/>
  <c r="PF11" i="6"/>
  <c r="PH11" i="6" s="1"/>
  <c r="PF10" i="6"/>
  <c r="PH10" i="6" s="1"/>
  <c r="PF7" i="6"/>
  <c r="PH7" i="6" s="1"/>
  <c r="PF5" i="6"/>
  <c r="PH5" i="6" s="1"/>
  <c r="PF4" i="6"/>
  <c r="PH4" i="6" s="1"/>
  <c r="OZ30" i="6"/>
  <c r="OZ27" i="6"/>
  <c r="OZ23" i="6"/>
  <c r="OZ16" i="6"/>
  <c r="PB16" i="6" s="1"/>
  <c r="OZ13" i="6"/>
  <c r="PB13" i="6" s="1"/>
  <c r="OZ12" i="6"/>
  <c r="PB12" i="6" s="1"/>
  <c r="OZ32" i="6"/>
  <c r="OZ31" i="6"/>
  <c r="OZ28" i="6"/>
  <c r="OZ26" i="6"/>
  <c r="OZ25" i="6"/>
  <c r="OZ24" i="6"/>
  <c r="OZ22" i="6"/>
  <c r="OZ21" i="6"/>
  <c r="OZ20" i="6"/>
  <c r="OZ17" i="6"/>
  <c r="PB17" i="6" s="1"/>
  <c r="OZ15" i="6"/>
  <c r="PB15" i="6" s="1"/>
  <c r="OZ14" i="6"/>
  <c r="PB14" i="6" s="1"/>
  <c r="OZ11" i="6"/>
  <c r="PB11" i="6" s="1"/>
  <c r="OZ10" i="6"/>
  <c r="PB10" i="6" s="1"/>
  <c r="OZ7" i="6"/>
  <c r="PB7" i="6" s="1"/>
  <c r="OZ5" i="6"/>
  <c r="PB5" i="6" s="1"/>
  <c r="OZ4" i="6"/>
  <c r="PB4" i="6" s="1"/>
  <c r="OT32" i="6"/>
  <c r="OT27" i="6"/>
  <c r="OT16" i="6"/>
  <c r="OV16" i="6" s="1"/>
  <c r="OT15" i="6"/>
  <c r="OV15" i="6" s="1"/>
  <c r="OT12" i="6"/>
  <c r="OV12" i="6" s="1"/>
  <c r="OT5" i="6"/>
  <c r="OV5" i="6" s="1"/>
  <c r="OT31" i="6"/>
  <c r="OT30" i="6"/>
  <c r="OT28" i="6"/>
  <c r="OT26" i="6"/>
  <c r="OT25" i="6"/>
  <c r="OT24" i="6"/>
  <c r="OT23" i="6"/>
  <c r="OT22" i="6"/>
  <c r="OT21" i="6"/>
  <c r="OT20" i="6"/>
  <c r="OT17" i="6"/>
  <c r="OV17" i="6" s="1"/>
  <c r="OT14" i="6"/>
  <c r="OV14" i="6" s="1"/>
  <c r="OT13" i="6"/>
  <c r="OV13" i="6" s="1"/>
  <c r="OT11" i="6"/>
  <c r="OV11" i="6" s="1"/>
  <c r="OT10" i="6"/>
  <c r="OV10" i="6" s="1"/>
  <c r="OT7" i="6"/>
  <c r="OV7" i="6" s="1"/>
  <c r="OT4" i="6"/>
  <c r="OV4" i="6" s="1"/>
  <c r="ON30" i="6"/>
  <c r="ON27" i="6"/>
  <c r="ON32" i="6"/>
  <c r="ON31" i="6"/>
  <c r="ON28" i="6"/>
  <c r="ON26" i="6"/>
  <c r="ON25" i="6"/>
  <c r="ON24" i="6"/>
  <c r="ON23" i="6"/>
  <c r="ON22" i="6"/>
  <c r="ON21" i="6"/>
  <c r="ON20" i="6"/>
  <c r="ON17" i="6"/>
  <c r="OP17" i="6" s="1"/>
  <c r="ON16" i="6"/>
  <c r="OP16" i="6" s="1"/>
  <c r="ON15" i="6"/>
  <c r="OP15" i="6" s="1"/>
  <c r="ON14" i="6"/>
  <c r="OP14" i="6" s="1"/>
  <c r="ON13" i="6"/>
  <c r="OP13" i="6" s="1"/>
  <c r="ON12" i="6"/>
  <c r="OP12" i="6" s="1"/>
  <c r="ON11" i="6"/>
  <c r="OP11" i="6" s="1"/>
  <c r="ON10" i="6"/>
  <c r="OP10" i="6" s="1"/>
  <c r="ON7" i="6"/>
  <c r="OP7" i="6" s="1"/>
  <c r="ON5" i="6"/>
  <c r="OP5" i="6" s="1"/>
  <c r="ON4" i="6"/>
  <c r="OP4" i="6" s="1"/>
  <c r="OH32" i="6"/>
  <c r="OH27" i="6"/>
  <c r="OH16" i="6"/>
  <c r="OJ16" i="6" s="1"/>
  <c r="OH14" i="6"/>
  <c r="OJ14" i="6" s="1"/>
  <c r="OH12" i="6"/>
  <c r="OJ12" i="6" s="1"/>
  <c r="OH11" i="6"/>
  <c r="OJ11" i="6" s="1"/>
  <c r="OH31" i="6"/>
  <c r="OH30" i="6"/>
  <c r="OH28" i="6"/>
  <c r="OH26" i="6"/>
  <c r="OH25" i="6"/>
  <c r="OH24" i="6"/>
  <c r="OH23" i="6"/>
  <c r="OH22" i="6"/>
  <c r="OH21" i="6"/>
  <c r="OH20" i="6"/>
  <c r="OH17" i="6"/>
  <c r="OJ17" i="6" s="1"/>
  <c r="OH15" i="6"/>
  <c r="OJ15" i="6" s="1"/>
  <c r="OH13" i="6"/>
  <c r="OJ13" i="6" s="1"/>
  <c r="OH10" i="6"/>
  <c r="OJ10" i="6" s="1"/>
  <c r="OH7" i="6"/>
  <c r="OJ7" i="6" s="1"/>
  <c r="OH5" i="6"/>
  <c r="OJ5" i="6" s="1"/>
  <c r="OH4" i="6"/>
  <c r="OJ4" i="6" s="1"/>
  <c r="OB30" i="6"/>
  <c r="OB27" i="6"/>
  <c r="OB12" i="6"/>
  <c r="OD12" i="6" s="1"/>
  <c r="OB32" i="6"/>
  <c r="OB31" i="6"/>
  <c r="OB28" i="6"/>
  <c r="OB26" i="6"/>
  <c r="OB25" i="6"/>
  <c r="OB24" i="6"/>
  <c r="OB23" i="6"/>
  <c r="OB22" i="6"/>
  <c r="OB21" i="6"/>
  <c r="OB20" i="6"/>
  <c r="OB17" i="6"/>
  <c r="OD17" i="6" s="1"/>
  <c r="OB16" i="6"/>
  <c r="OD16" i="6" s="1"/>
  <c r="OB15" i="6"/>
  <c r="OD15" i="6" s="1"/>
  <c r="OB14" i="6"/>
  <c r="OD14" i="6" s="1"/>
  <c r="OB13" i="6"/>
  <c r="OD13" i="6" s="1"/>
  <c r="OB11" i="6"/>
  <c r="OD11" i="6" s="1"/>
  <c r="OB10" i="6"/>
  <c r="OD10" i="6" s="1"/>
  <c r="OB7" i="6"/>
  <c r="OD7" i="6" s="1"/>
  <c r="OB5" i="6"/>
  <c r="OD5" i="6" s="1"/>
  <c r="OB4" i="6"/>
  <c r="OD4" i="6" s="1"/>
  <c r="NV27" i="6"/>
  <c r="NV12" i="6"/>
  <c r="NX12" i="6" s="1"/>
  <c r="NV32" i="6"/>
  <c r="NV31" i="6"/>
  <c r="NV30" i="6"/>
  <c r="NV28" i="6"/>
  <c r="NV26" i="6"/>
  <c r="NV25" i="6"/>
  <c r="NV24" i="6"/>
  <c r="NV23" i="6"/>
  <c r="NV22" i="6"/>
  <c r="NV21" i="6"/>
  <c r="NV20" i="6"/>
  <c r="NV17" i="6"/>
  <c r="NX17" i="6" s="1"/>
  <c r="NV16" i="6"/>
  <c r="NX16" i="6" s="1"/>
  <c r="NV15" i="6"/>
  <c r="NX15" i="6" s="1"/>
  <c r="NV14" i="6"/>
  <c r="NX14" i="6" s="1"/>
  <c r="NV13" i="6"/>
  <c r="NX13" i="6" s="1"/>
  <c r="NV11" i="6"/>
  <c r="NX11" i="6" s="1"/>
  <c r="NV10" i="6"/>
  <c r="NX10" i="6" s="1"/>
  <c r="NV7" i="6"/>
  <c r="NX7" i="6" s="1"/>
  <c r="NV5" i="6"/>
  <c r="NX5" i="6" s="1"/>
  <c r="NV4" i="6"/>
  <c r="NX4" i="6" s="1"/>
  <c r="NP32" i="6"/>
  <c r="NP27" i="6"/>
  <c r="NP12" i="6"/>
  <c r="NR12" i="6" s="1"/>
  <c r="NP10" i="6"/>
  <c r="NR10" i="6" s="1"/>
  <c r="NP4" i="6"/>
  <c r="NR4" i="6" s="1"/>
  <c r="NP31" i="6"/>
  <c r="NP30" i="6"/>
  <c r="NP28" i="6"/>
  <c r="NP26" i="6"/>
  <c r="NP25" i="6"/>
  <c r="NP24" i="6"/>
  <c r="NP23" i="6"/>
  <c r="NP22" i="6"/>
  <c r="NP21" i="6"/>
  <c r="NP20" i="6"/>
  <c r="NP17" i="6"/>
  <c r="NR17" i="6" s="1"/>
  <c r="NP16" i="6"/>
  <c r="NR16" i="6" s="1"/>
  <c r="NP15" i="6"/>
  <c r="NR15" i="6" s="1"/>
  <c r="NP14" i="6"/>
  <c r="NR14" i="6" s="1"/>
  <c r="NP13" i="6"/>
  <c r="NR13" i="6" s="1"/>
  <c r="NP11" i="6"/>
  <c r="NR11" i="6" s="1"/>
  <c r="NP7" i="6"/>
  <c r="NR7" i="6" s="1"/>
  <c r="NP5" i="6"/>
  <c r="NR5" i="6" s="1"/>
  <c r="NJ32" i="6"/>
  <c r="NJ27" i="6"/>
  <c r="NJ31" i="6"/>
  <c r="NJ30" i="6"/>
  <c r="NJ28" i="6"/>
  <c r="NJ26" i="6"/>
  <c r="NJ25" i="6"/>
  <c r="NJ24" i="6"/>
  <c r="NJ23" i="6"/>
  <c r="NJ22" i="6"/>
  <c r="NJ21" i="6"/>
  <c r="NJ20" i="6"/>
  <c r="NJ17" i="6"/>
  <c r="NL17" i="6" s="1"/>
  <c r="NJ16" i="6"/>
  <c r="NL16" i="6" s="1"/>
  <c r="NJ15" i="6"/>
  <c r="NL15" i="6" s="1"/>
  <c r="NJ14" i="6"/>
  <c r="NL14" i="6" s="1"/>
  <c r="NJ13" i="6"/>
  <c r="NL13" i="6" s="1"/>
  <c r="NJ12" i="6"/>
  <c r="NL12" i="6" s="1"/>
  <c r="NJ11" i="6"/>
  <c r="NL11" i="6" s="1"/>
  <c r="NJ10" i="6"/>
  <c r="NL10" i="6" s="1"/>
  <c r="NJ7" i="6"/>
  <c r="NL7" i="6" s="1"/>
  <c r="NJ5" i="6"/>
  <c r="NL5" i="6" s="1"/>
  <c r="NJ4" i="6"/>
  <c r="NL4" i="6" s="1"/>
  <c r="ND32" i="6"/>
  <c r="ND31" i="6"/>
  <c r="ND27" i="6"/>
  <c r="ND14" i="6"/>
  <c r="NF14" i="6" s="1"/>
  <c r="ND11" i="6"/>
  <c r="NF11" i="6" s="1"/>
  <c r="ND10" i="6"/>
  <c r="NF10" i="6" s="1"/>
  <c r="ND4" i="6"/>
  <c r="NF4" i="6" s="1"/>
  <c r="ND30" i="6"/>
  <c r="ND28" i="6"/>
  <c r="ND26" i="6"/>
  <c r="ND25" i="6"/>
  <c r="ND24" i="6"/>
  <c r="ND23" i="6"/>
  <c r="ND22" i="6"/>
  <c r="ND21" i="6"/>
  <c r="ND20" i="6"/>
  <c r="ND17" i="6"/>
  <c r="NF17" i="6" s="1"/>
  <c r="ND16" i="6"/>
  <c r="NF16" i="6" s="1"/>
  <c r="ND15" i="6"/>
  <c r="NF15" i="6" s="1"/>
  <c r="ND13" i="6"/>
  <c r="NF13" i="6" s="1"/>
  <c r="ND12" i="6"/>
  <c r="NF12" i="6" s="1"/>
  <c r="ND7" i="6"/>
  <c r="NF7" i="6" s="1"/>
  <c r="ND5" i="6"/>
  <c r="NF5" i="6" s="1"/>
  <c r="MX32" i="6"/>
  <c r="MX27" i="6"/>
  <c r="MX14" i="6"/>
  <c r="MZ14" i="6" s="1"/>
  <c r="MX12" i="6"/>
  <c r="MZ12" i="6" s="1"/>
  <c r="MX10" i="6"/>
  <c r="MZ10" i="6" s="1"/>
  <c r="MX4" i="6"/>
  <c r="MZ4" i="6" s="1"/>
  <c r="MX31" i="6"/>
  <c r="MX30" i="6"/>
  <c r="MX28" i="6"/>
  <c r="MX26" i="6"/>
  <c r="MX25" i="6"/>
  <c r="MX24" i="6"/>
  <c r="MX23" i="6"/>
  <c r="MX22" i="6"/>
  <c r="MX21" i="6"/>
  <c r="MX20" i="6"/>
  <c r="MX17" i="6"/>
  <c r="MZ17" i="6" s="1"/>
  <c r="MX16" i="6"/>
  <c r="MZ16" i="6" s="1"/>
  <c r="MX15" i="6"/>
  <c r="MZ15" i="6" s="1"/>
  <c r="MX13" i="6"/>
  <c r="MZ13" i="6" s="1"/>
  <c r="MX11" i="6"/>
  <c r="MZ11" i="6" s="1"/>
  <c r="MX7" i="6"/>
  <c r="MZ7" i="6" s="1"/>
  <c r="MX5" i="6"/>
  <c r="MZ5" i="6" s="1"/>
  <c r="MR30" i="6"/>
  <c r="MR27" i="6"/>
  <c r="MR32" i="6"/>
  <c r="MR31" i="6"/>
  <c r="MR28" i="6"/>
  <c r="MR26" i="6"/>
  <c r="MR25" i="6"/>
  <c r="MR24" i="6"/>
  <c r="MR23" i="6"/>
  <c r="MR22" i="6"/>
  <c r="MR21" i="6"/>
  <c r="MR20" i="6"/>
  <c r="MR17" i="6"/>
  <c r="MT17" i="6" s="1"/>
  <c r="MR16" i="6"/>
  <c r="MT16" i="6" s="1"/>
  <c r="MR15" i="6"/>
  <c r="MT15" i="6" s="1"/>
  <c r="MR14" i="6"/>
  <c r="MT14" i="6" s="1"/>
  <c r="MR13" i="6"/>
  <c r="MT13" i="6" s="1"/>
  <c r="MR12" i="6"/>
  <c r="MT12" i="6" s="1"/>
  <c r="MR11" i="6"/>
  <c r="MT11" i="6" s="1"/>
  <c r="MR10" i="6"/>
  <c r="MT10" i="6" s="1"/>
  <c r="MR7" i="6"/>
  <c r="MT7" i="6" s="1"/>
  <c r="MR5" i="6"/>
  <c r="MT5" i="6" s="1"/>
  <c r="MR4" i="6"/>
  <c r="MT4" i="6" s="1"/>
  <c r="ML32" i="6"/>
  <c r="ML27" i="6"/>
  <c r="ML31" i="6"/>
  <c r="ML30" i="6"/>
  <c r="ML28" i="6"/>
  <c r="ML26" i="6"/>
  <c r="ML25" i="6"/>
  <c r="ML24" i="6"/>
  <c r="ML23" i="6"/>
  <c r="ML22" i="6"/>
  <c r="ML21" i="6"/>
  <c r="ML20" i="6"/>
  <c r="ML17" i="6"/>
  <c r="MN17" i="6" s="1"/>
  <c r="ML16" i="6"/>
  <c r="MN16" i="6" s="1"/>
  <c r="ML15" i="6"/>
  <c r="MN15" i="6" s="1"/>
  <c r="ML14" i="6"/>
  <c r="MN14" i="6" s="1"/>
  <c r="ML13" i="6"/>
  <c r="MN13" i="6" s="1"/>
  <c r="ML12" i="6"/>
  <c r="MN12" i="6" s="1"/>
  <c r="ML11" i="6"/>
  <c r="MN11" i="6" s="1"/>
  <c r="ML10" i="6"/>
  <c r="MN10" i="6" s="1"/>
  <c r="ML7" i="6"/>
  <c r="MN7" i="6" s="1"/>
  <c r="ML5" i="6"/>
  <c r="MN5" i="6" s="1"/>
  <c r="ML4" i="6"/>
  <c r="MN4" i="6" s="1"/>
  <c r="MF32" i="6"/>
  <c r="MF31" i="6"/>
  <c r="MF27" i="6"/>
  <c r="MF14" i="6"/>
  <c r="MH14" i="6" s="1"/>
  <c r="MF10" i="6"/>
  <c r="MH10" i="6" s="1"/>
  <c r="MF5" i="6"/>
  <c r="MH5" i="6" s="1"/>
  <c r="MF4" i="6"/>
  <c r="MH4" i="6" s="1"/>
  <c r="MF30" i="6"/>
  <c r="MF28" i="6"/>
  <c r="MF26" i="6"/>
  <c r="MF25" i="6"/>
  <c r="MF24" i="6"/>
  <c r="MF23" i="6"/>
  <c r="MF22" i="6"/>
  <c r="MF21" i="6"/>
  <c r="MF20" i="6"/>
  <c r="MF17" i="6"/>
  <c r="MH17" i="6" s="1"/>
  <c r="MF16" i="6"/>
  <c r="MH16" i="6" s="1"/>
  <c r="MF15" i="6"/>
  <c r="MH15" i="6" s="1"/>
  <c r="MF13" i="6"/>
  <c r="MH13" i="6" s="1"/>
  <c r="MF12" i="6"/>
  <c r="MH12" i="6" s="1"/>
  <c r="MF11" i="6"/>
  <c r="MH11" i="6" s="1"/>
  <c r="MF7" i="6"/>
  <c r="MH7" i="6" s="1"/>
  <c r="LZ27" i="6"/>
  <c r="LZ32" i="6"/>
  <c r="LZ31" i="6"/>
  <c r="LZ30" i="6"/>
  <c r="LZ28" i="6"/>
  <c r="LZ26" i="6"/>
  <c r="LZ25" i="6"/>
  <c r="LZ24" i="6"/>
  <c r="LZ23" i="6"/>
  <c r="LZ22" i="6"/>
  <c r="LZ21" i="6"/>
  <c r="LZ20" i="6"/>
  <c r="LZ17" i="6"/>
  <c r="MB17" i="6" s="1"/>
  <c r="LZ16" i="6"/>
  <c r="LZ15" i="6"/>
  <c r="LZ14" i="6"/>
  <c r="MB14" i="6" s="1"/>
  <c r="LZ13" i="6"/>
  <c r="MB13" i="6" s="1"/>
  <c r="LZ12" i="6"/>
  <c r="MB12" i="6" s="1"/>
  <c r="LZ11" i="6"/>
  <c r="MB11" i="6" s="1"/>
  <c r="LZ10" i="6"/>
  <c r="MB10" i="6" s="1"/>
  <c r="LZ7" i="6"/>
  <c r="LZ5" i="6"/>
  <c r="MB5" i="6" s="1"/>
  <c r="LZ4" i="6"/>
  <c r="MB15" i="6" l="1"/>
  <c r="MB16" i="6"/>
  <c r="MB7" i="6"/>
  <c r="MB4" i="6"/>
  <c r="LT30" i="6"/>
  <c r="LT27" i="6"/>
  <c r="LT32" i="6"/>
  <c r="LT31" i="6"/>
  <c r="LT28" i="6"/>
  <c r="LT26" i="6"/>
  <c r="LT25" i="6"/>
  <c r="LT24" i="6"/>
  <c r="LT23" i="6"/>
  <c r="LT22" i="6"/>
  <c r="LT21" i="6"/>
  <c r="LT20" i="6"/>
  <c r="LT17" i="6"/>
  <c r="LV17" i="6" s="1"/>
  <c r="LT16" i="6"/>
  <c r="LV16" i="6" s="1"/>
  <c r="LT15" i="6"/>
  <c r="LV15" i="6" s="1"/>
  <c r="LT14" i="6"/>
  <c r="LV14" i="6" s="1"/>
  <c r="LT13" i="6"/>
  <c r="LV13" i="6" s="1"/>
  <c r="LT12" i="6"/>
  <c r="LV12" i="6" s="1"/>
  <c r="LT11" i="6"/>
  <c r="LV11" i="6" s="1"/>
  <c r="LT10" i="6"/>
  <c r="LV10" i="6" s="1"/>
  <c r="LT7" i="6"/>
  <c r="LT5" i="6"/>
  <c r="LV5" i="6" s="1"/>
  <c r="LT4" i="6"/>
  <c r="LN32" i="6"/>
  <c r="LN31" i="6"/>
  <c r="LN25" i="6"/>
  <c r="LN24" i="6"/>
  <c r="LN21" i="6"/>
  <c r="LN20" i="6"/>
  <c r="LN15" i="6"/>
  <c r="LP15" i="6" s="1"/>
  <c r="LN14" i="6"/>
  <c r="LP14" i="6" s="1"/>
  <c r="LN30" i="6"/>
  <c r="LN28" i="6"/>
  <c r="LN27" i="6"/>
  <c r="LN26" i="6"/>
  <c r="LN23" i="6"/>
  <c r="LN22" i="6"/>
  <c r="LN17" i="6"/>
  <c r="LN16" i="6"/>
  <c r="LP16" i="6" s="1"/>
  <c r="LN13" i="6"/>
  <c r="LN12" i="6"/>
  <c r="LN11" i="6"/>
  <c r="LP11" i="6" s="1"/>
  <c r="LN10" i="6"/>
  <c r="LP10" i="6" s="1"/>
  <c r="LN7" i="6"/>
  <c r="LN5" i="6"/>
  <c r="LN4" i="6"/>
  <c r="LP4" i="6" s="1"/>
  <c r="LH32" i="6"/>
  <c r="LH31" i="6"/>
  <c r="LH27" i="6"/>
  <c r="LH14" i="6"/>
  <c r="LJ14" i="6" s="1"/>
  <c r="LH12" i="6"/>
  <c r="LJ12" i="6" s="1"/>
  <c r="LH10" i="6"/>
  <c r="LJ10" i="6" s="1"/>
  <c r="LH4" i="6"/>
  <c r="LJ4" i="6" s="1"/>
  <c r="LH30" i="6"/>
  <c r="LH28" i="6"/>
  <c r="LH26" i="6"/>
  <c r="LH25" i="6"/>
  <c r="LH24" i="6"/>
  <c r="LH23" i="6"/>
  <c r="LH22" i="6"/>
  <c r="LH21" i="6"/>
  <c r="LH20" i="6"/>
  <c r="LH17" i="6"/>
  <c r="LJ17" i="6" s="1"/>
  <c r="LH16" i="6"/>
  <c r="LJ16" i="6" s="1"/>
  <c r="LH15" i="6"/>
  <c r="LJ15" i="6" s="1"/>
  <c r="LH13" i="6"/>
  <c r="LJ13" i="6" s="1"/>
  <c r="LH11" i="6"/>
  <c r="LJ11" i="6" s="1"/>
  <c r="LH7" i="6"/>
  <c r="LJ7" i="6" s="1"/>
  <c r="LH5" i="6"/>
  <c r="LJ5" i="6" s="1"/>
  <c r="LB32" i="6"/>
  <c r="LB31" i="6"/>
  <c r="LB30" i="6"/>
  <c r="LB28" i="6"/>
  <c r="LB27" i="6"/>
  <c r="LB26" i="6"/>
  <c r="LB25" i="6"/>
  <c r="LB24" i="6"/>
  <c r="LB23" i="6"/>
  <c r="LB22" i="6"/>
  <c r="LB21" i="6"/>
  <c r="LB20" i="6"/>
  <c r="LB17" i="6"/>
  <c r="LD17" i="6" s="1"/>
  <c r="LB16" i="6"/>
  <c r="LD16" i="6" s="1"/>
  <c r="LB15" i="6"/>
  <c r="LD15" i="6" s="1"/>
  <c r="LB14" i="6"/>
  <c r="LB13" i="6"/>
  <c r="LD13" i="6" s="1"/>
  <c r="LB12" i="6"/>
  <c r="LD12" i="6" s="1"/>
  <c r="LB11" i="6"/>
  <c r="LD11" i="6" s="1"/>
  <c r="LB10" i="6"/>
  <c r="LD10" i="6" s="1"/>
  <c r="LB7" i="6"/>
  <c r="LB5" i="6"/>
  <c r="LD5" i="6" s="1"/>
  <c r="LB4" i="6"/>
  <c r="KV32" i="6"/>
  <c r="KV31" i="6"/>
  <c r="KV27" i="6"/>
  <c r="KV30" i="6"/>
  <c r="KV28" i="6"/>
  <c r="KV26" i="6"/>
  <c r="KV25" i="6"/>
  <c r="KV24" i="6"/>
  <c r="KV23" i="6"/>
  <c r="KV22" i="6"/>
  <c r="KV21" i="6"/>
  <c r="KV20" i="6"/>
  <c r="KV17" i="6"/>
  <c r="KX17" i="6" s="1"/>
  <c r="KV16" i="6"/>
  <c r="KV15" i="6"/>
  <c r="KX15" i="6" s="1"/>
  <c r="KV14" i="6"/>
  <c r="KX14" i="6" s="1"/>
  <c r="KV13" i="6"/>
  <c r="KX13" i="6" s="1"/>
  <c r="KV12" i="6"/>
  <c r="KX12" i="6" s="1"/>
  <c r="KV11" i="6"/>
  <c r="KX11" i="6" s="1"/>
  <c r="KV10" i="6"/>
  <c r="KX10" i="6" s="1"/>
  <c r="KV7" i="6"/>
  <c r="KV5" i="6"/>
  <c r="KX5" i="6" s="1"/>
  <c r="KV4" i="6"/>
  <c r="KP30" i="6"/>
  <c r="KP27" i="6"/>
  <c r="KP32" i="6"/>
  <c r="KP31" i="6"/>
  <c r="KP28" i="6"/>
  <c r="KP26" i="6"/>
  <c r="KP25" i="6"/>
  <c r="KP24" i="6"/>
  <c r="KP23" i="6"/>
  <c r="KP22" i="6"/>
  <c r="KP21" i="6"/>
  <c r="KP20" i="6"/>
  <c r="KP17" i="6"/>
  <c r="KP16" i="6"/>
  <c r="KR16" i="6" s="1"/>
  <c r="KP15" i="6"/>
  <c r="KR15" i="6" s="1"/>
  <c r="KP14" i="6"/>
  <c r="KR14" i="6" s="1"/>
  <c r="KP13" i="6"/>
  <c r="KR13" i="6" s="1"/>
  <c r="KP12" i="6"/>
  <c r="KR12" i="6" s="1"/>
  <c r="KP11" i="6"/>
  <c r="KR11" i="6" s="1"/>
  <c r="KP10" i="6"/>
  <c r="KP7" i="6"/>
  <c r="KR7" i="6" s="1"/>
  <c r="KP5" i="6"/>
  <c r="KP4" i="6"/>
  <c r="LV7" i="6" l="1"/>
  <c r="LV4" i="6"/>
  <c r="LP17" i="6"/>
  <c r="LP12" i="6"/>
  <c r="LP7" i="6"/>
  <c r="LP13" i="6"/>
  <c r="LP5" i="6"/>
  <c r="LD14" i="6"/>
  <c r="LD7" i="6"/>
  <c r="LD4" i="6"/>
  <c r="KX16" i="6"/>
  <c r="KX7" i="6"/>
  <c r="KX4" i="6"/>
  <c r="KR17" i="6"/>
  <c r="KR10" i="6"/>
  <c r="KR5" i="6"/>
  <c r="KR4" i="6"/>
  <c r="KJ30" i="6"/>
  <c r="KJ27" i="6"/>
  <c r="KJ32" i="6"/>
  <c r="KJ31" i="6"/>
  <c r="KJ28" i="6"/>
  <c r="KJ26" i="6"/>
  <c r="KJ25" i="6"/>
  <c r="KJ24" i="6"/>
  <c r="KJ23" i="6"/>
  <c r="KJ22" i="6"/>
  <c r="KJ21" i="6"/>
  <c r="KJ20" i="6"/>
  <c r="KJ17" i="6"/>
  <c r="KL17" i="6" s="1"/>
  <c r="KJ16" i="6"/>
  <c r="KL16" i="6" s="1"/>
  <c r="KJ15" i="6"/>
  <c r="KL15" i="6" s="1"/>
  <c r="KJ14" i="6"/>
  <c r="KL14" i="6" s="1"/>
  <c r="KJ13" i="6"/>
  <c r="KL13" i="6" s="1"/>
  <c r="KJ12" i="6"/>
  <c r="KL12" i="6" s="1"/>
  <c r="KJ11" i="6"/>
  <c r="KL11" i="6" s="1"/>
  <c r="KJ10" i="6"/>
  <c r="KL10" i="6" s="1"/>
  <c r="KJ7" i="6"/>
  <c r="KL7" i="6" s="1"/>
  <c r="KJ5" i="6"/>
  <c r="KJ4" i="6"/>
  <c r="KD32" i="6"/>
  <c r="KD31" i="6"/>
  <c r="KD30" i="6"/>
  <c r="KD28" i="6"/>
  <c r="KD27" i="6"/>
  <c r="KD26" i="6"/>
  <c r="KD25" i="6"/>
  <c r="KD24" i="6"/>
  <c r="KD23" i="6"/>
  <c r="KD22" i="6"/>
  <c r="KD21" i="6"/>
  <c r="KD20" i="6"/>
  <c r="KD17" i="6"/>
  <c r="KD16" i="6"/>
  <c r="KD15" i="6"/>
  <c r="KF15" i="6" s="1"/>
  <c r="KD14" i="6"/>
  <c r="KF14" i="6" s="1"/>
  <c r="KD13" i="6"/>
  <c r="KF13" i="6" s="1"/>
  <c r="KD12" i="6"/>
  <c r="KF12" i="6" s="1"/>
  <c r="KD11" i="6"/>
  <c r="KF11" i="6" s="1"/>
  <c r="KD10" i="6"/>
  <c r="KF10" i="6" s="1"/>
  <c r="KD7" i="6"/>
  <c r="KD5" i="6"/>
  <c r="KF5" i="6" s="1"/>
  <c r="KD4" i="6"/>
  <c r="JX32" i="6"/>
  <c r="JX31" i="6"/>
  <c r="JX27" i="6"/>
  <c r="JX15" i="6"/>
  <c r="JZ15" i="6" s="1"/>
  <c r="JX14" i="6"/>
  <c r="JZ14" i="6" s="1"/>
  <c r="JX12" i="6"/>
  <c r="JX30" i="6"/>
  <c r="JX28" i="6"/>
  <c r="JX26" i="6"/>
  <c r="JX25" i="6"/>
  <c r="JX24" i="6"/>
  <c r="JX23" i="6"/>
  <c r="JX22" i="6"/>
  <c r="JX21" i="6"/>
  <c r="JX20" i="6"/>
  <c r="JX17" i="6"/>
  <c r="JX16" i="6"/>
  <c r="JX13" i="6"/>
  <c r="JZ13" i="6" s="1"/>
  <c r="JX11" i="6"/>
  <c r="JZ11" i="6" s="1"/>
  <c r="JX10" i="6"/>
  <c r="JZ10" i="6" s="1"/>
  <c r="JX7" i="6"/>
  <c r="JZ7" i="6" s="1"/>
  <c r="JX5" i="6"/>
  <c r="JZ5" i="6" s="1"/>
  <c r="JX4" i="6"/>
  <c r="KL5" i="6" l="1"/>
  <c r="KL4" i="6"/>
  <c r="KF16" i="6"/>
  <c r="KF17" i="6"/>
  <c r="KF7" i="6"/>
  <c r="KF4" i="6"/>
  <c r="JZ12" i="6"/>
  <c r="JZ16" i="6"/>
  <c r="JZ17" i="6"/>
  <c r="JZ4" i="6"/>
  <c r="JR32" i="6" l="1"/>
  <c r="JR31" i="6"/>
  <c r="JR30" i="6"/>
  <c r="JR28" i="6"/>
  <c r="JR27" i="6"/>
  <c r="JR26" i="6"/>
  <c r="JR25" i="6"/>
  <c r="JR24" i="6"/>
  <c r="JR23" i="6"/>
  <c r="JR22" i="6"/>
  <c r="JR21" i="6"/>
  <c r="JR20" i="6"/>
  <c r="JR17" i="6"/>
  <c r="JT17" i="6" s="1"/>
  <c r="JR16" i="6"/>
  <c r="JT16" i="6" s="1"/>
  <c r="JR15" i="6"/>
  <c r="JT15" i="6" s="1"/>
  <c r="JR14" i="6"/>
  <c r="JT14" i="6" s="1"/>
  <c r="JR13" i="6"/>
  <c r="JT13" i="6" s="1"/>
  <c r="JR12" i="6"/>
  <c r="JT12" i="6" s="1"/>
  <c r="JR11" i="6"/>
  <c r="JT11" i="6" s="1"/>
  <c r="JR10" i="6"/>
  <c r="JT10" i="6" s="1"/>
  <c r="JR7" i="6"/>
  <c r="JT7" i="6" s="1"/>
  <c r="JR5" i="6"/>
  <c r="JT5" i="6" s="1"/>
  <c r="JR4" i="6"/>
  <c r="JT4" i="6" s="1"/>
  <c r="JL30" i="6"/>
  <c r="JL27" i="6"/>
  <c r="JL32" i="6"/>
  <c r="JL31" i="6"/>
  <c r="JL28" i="6"/>
  <c r="JL26" i="6"/>
  <c r="JL25" i="6"/>
  <c r="JL24" i="6"/>
  <c r="JL23" i="6"/>
  <c r="JL22" i="6"/>
  <c r="JL21" i="6"/>
  <c r="JL20" i="6"/>
  <c r="JL17" i="6"/>
  <c r="JN17" i="6" s="1"/>
  <c r="JL16" i="6"/>
  <c r="JL15" i="6"/>
  <c r="JN15" i="6" s="1"/>
  <c r="JL14" i="6"/>
  <c r="JN14" i="6" s="1"/>
  <c r="JL13" i="6"/>
  <c r="JL12" i="6"/>
  <c r="JN12" i="6" s="1"/>
  <c r="JL11" i="6"/>
  <c r="JN11" i="6" s="1"/>
  <c r="JL10" i="6"/>
  <c r="JN10" i="6" s="1"/>
  <c r="JL7" i="6"/>
  <c r="JN7" i="6" s="1"/>
  <c r="JL5" i="6"/>
  <c r="JN5" i="6" s="1"/>
  <c r="JL4" i="6"/>
  <c r="JN16" i="6" l="1"/>
  <c r="JN13" i="6"/>
  <c r="JN4" i="6"/>
  <c r="JF32" i="6"/>
  <c r="JF27" i="6"/>
  <c r="JF14" i="6"/>
  <c r="JF10" i="6"/>
  <c r="JH10" i="6" s="1"/>
  <c r="JF4" i="6"/>
  <c r="JF31" i="6"/>
  <c r="JF30" i="6"/>
  <c r="JF28" i="6"/>
  <c r="JF26" i="6"/>
  <c r="JF25" i="6"/>
  <c r="JF24" i="6"/>
  <c r="JF23" i="6"/>
  <c r="JF22" i="6"/>
  <c r="JF21" i="6"/>
  <c r="JF20" i="6"/>
  <c r="JF17" i="6"/>
  <c r="JH17" i="6" s="1"/>
  <c r="JF16" i="6"/>
  <c r="JF15" i="6"/>
  <c r="JH15" i="6" s="1"/>
  <c r="JF13" i="6"/>
  <c r="JF12" i="6"/>
  <c r="JF11" i="6"/>
  <c r="JH11" i="6" s="1"/>
  <c r="JF7" i="6"/>
  <c r="JH7" i="6" s="1"/>
  <c r="JF5" i="6"/>
  <c r="JH5" i="6" s="1"/>
  <c r="IZ32" i="6"/>
  <c r="IZ27" i="6"/>
  <c r="IZ31" i="6"/>
  <c r="IZ30" i="6"/>
  <c r="IZ28" i="6"/>
  <c r="IZ26" i="6"/>
  <c r="IZ25" i="6"/>
  <c r="IZ24" i="6"/>
  <c r="IZ23" i="6"/>
  <c r="IZ22" i="6"/>
  <c r="IZ21" i="6"/>
  <c r="IZ20" i="6"/>
  <c r="IZ17" i="6"/>
  <c r="IZ16" i="6"/>
  <c r="IZ15" i="6"/>
  <c r="JB15" i="6" s="1"/>
  <c r="IZ14" i="6"/>
  <c r="JB14" i="6" s="1"/>
  <c r="IZ13" i="6"/>
  <c r="IZ12" i="6"/>
  <c r="IZ11" i="6"/>
  <c r="IZ10" i="6"/>
  <c r="JB10" i="6" s="1"/>
  <c r="IZ7" i="6"/>
  <c r="IZ5" i="6"/>
  <c r="IZ4" i="6"/>
  <c r="IT32" i="6"/>
  <c r="IT27" i="6"/>
  <c r="IT31" i="6"/>
  <c r="IT30" i="6"/>
  <c r="IT28" i="6"/>
  <c r="IT26" i="6"/>
  <c r="IT25" i="6"/>
  <c r="IT24" i="6"/>
  <c r="IT23" i="6"/>
  <c r="IT22" i="6"/>
  <c r="IT21" i="6"/>
  <c r="IT20" i="6"/>
  <c r="IT17" i="6"/>
  <c r="IV17" i="6" s="1"/>
  <c r="IT16" i="6"/>
  <c r="IT15" i="6"/>
  <c r="IV15" i="6" s="1"/>
  <c r="IT14" i="6"/>
  <c r="IV14" i="6" s="1"/>
  <c r="IT13" i="6"/>
  <c r="IV13" i="6" s="1"/>
  <c r="IT12" i="6"/>
  <c r="IV12" i="6" s="1"/>
  <c r="IT11" i="6"/>
  <c r="IV11" i="6" s="1"/>
  <c r="IT10" i="6"/>
  <c r="IV10" i="6" s="1"/>
  <c r="IT7" i="6"/>
  <c r="IT5" i="6"/>
  <c r="IV5" i="6" s="1"/>
  <c r="IT4" i="6"/>
  <c r="IN27" i="6"/>
  <c r="IN32" i="6"/>
  <c r="IN31" i="6"/>
  <c r="IN30" i="6"/>
  <c r="IN28" i="6"/>
  <c r="IN26" i="6"/>
  <c r="IN25" i="6"/>
  <c r="IN24" i="6"/>
  <c r="IN23" i="6"/>
  <c r="IN22" i="6"/>
  <c r="IN21" i="6"/>
  <c r="IN20" i="6"/>
  <c r="IN17" i="6"/>
  <c r="IP17" i="6" s="1"/>
  <c r="IN16" i="6"/>
  <c r="IP16" i="6" s="1"/>
  <c r="IN15" i="6"/>
  <c r="IP15" i="6" s="1"/>
  <c r="IN14" i="6"/>
  <c r="IN13" i="6"/>
  <c r="IP13" i="6" s="1"/>
  <c r="IN12" i="6"/>
  <c r="IP12" i="6" s="1"/>
  <c r="IN11" i="6"/>
  <c r="IP11" i="6" s="1"/>
  <c r="IN10" i="6"/>
  <c r="IN7" i="6"/>
  <c r="IN5" i="6"/>
  <c r="IP5" i="6" s="1"/>
  <c r="IN4" i="6"/>
  <c r="JH12" i="6" l="1"/>
  <c r="JH13" i="6"/>
  <c r="JH14" i="6"/>
  <c r="JH16" i="6"/>
  <c r="JH4" i="6"/>
  <c r="JB12" i="6"/>
  <c r="JB16" i="6"/>
  <c r="JB13" i="6"/>
  <c r="JB17" i="6"/>
  <c r="JB5" i="6"/>
  <c r="JB11" i="6"/>
  <c r="JB7" i="6"/>
  <c r="JB4" i="6"/>
  <c r="IV16" i="6"/>
  <c r="IV7" i="6"/>
  <c r="IV4" i="6"/>
  <c r="IP14" i="6"/>
  <c r="IP10" i="6"/>
  <c r="IP7" i="6"/>
  <c r="IP4" i="6"/>
  <c r="IH30" i="6"/>
  <c r="IH27" i="6"/>
  <c r="IH23" i="6"/>
  <c r="IH32" i="6"/>
  <c r="IH31" i="6"/>
  <c r="IH28" i="6"/>
  <c r="IH26" i="6"/>
  <c r="IH25" i="6"/>
  <c r="IH24" i="6"/>
  <c r="IH22" i="6"/>
  <c r="IH21" i="6"/>
  <c r="IH20" i="6"/>
  <c r="IH17" i="6"/>
  <c r="IJ17" i="6" s="1"/>
  <c r="IH16" i="6"/>
  <c r="IJ16" i="6" s="1"/>
  <c r="IH15" i="6"/>
  <c r="IJ15" i="6" s="1"/>
  <c r="IH14" i="6"/>
  <c r="IJ14" i="6" s="1"/>
  <c r="IH13" i="6"/>
  <c r="IJ13" i="6" s="1"/>
  <c r="IH12" i="6"/>
  <c r="IJ12" i="6" s="1"/>
  <c r="IH11" i="6"/>
  <c r="IJ11" i="6" s="1"/>
  <c r="IH10" i="6"/>
  <c r="IJ10" i="6" s="1"/>
  <c r="IH7" i="6"/>
  <c r="IJ7" i="6" s="1"/>
  <c r="IH5" i="6"/>
  <c r="IJ5" i="6" s="1"/>
  <c r="IH4" i="6"/>
  <c r="IJ4" i="6" s="1"/>
  <c r="IB32" i="6"/>
  <c r="IB31" i="6"/>
  <c r="IB30" i="6"/>
  <c r="IB28" i="6"/>
  <c r="IB27" i="6"/>
  <c r="IB26" i="6"/>
  <c r="IB25" i="6"/>
  <c r="IB24" i="6"/>
  <c r="IB23" i="6"/>
  <c r="IB22" i="6"/>
  <c r="IB21" i="6"/>
  <c r="IB20" i="6"/>
  <c r="IB17" i="6"/>
  <c r="ID17" i="6" s="1"/>
  <c r="IB16" i="6"/>
  <c r="ID16" i="6" s="1"/>
  <c r="IB15" i="6"/>
  <c r="ID15" i="6" s="1"/>
  <c r="IB14" i="6"/>
  <c r="ID14" i="6" s="1"/>
  <c r="IB13" i="6"/>
  <c r="ID13" i="6" s="1"/>
  <c r="IB12" i="6"/>
  <c r="ID12" i="6" s="1"/>
  <c r="IB11" i="6"/>
  <c r="ID11" i="6" s="1"/>
  <c r="IB10" i="6"/>
  <c r="ID10" i="6" s="1"/>
  <c r="IB7" i="6"/>
  <c r="ID7" i="6" s="1"/>
  <c r="IB5" i="6"/>
  <c r="ID5" i="6" s="1"/>
  <c r="IB4" i="6"/>
  <c r="ID4" i="6" s="1"/>
  <c r="HV32" i="6"/>
  <c r="HV31" i="6"/>
  <c r="HV10" i="6"/>
  <c r="HX10" i="6" s="1"/>
  <c r="HV5" i="6"/>
  <c r="HX5" i="6" s="1"/>
  <c r="HV4" i="6"/>
  <c r="HX4" i="6" s="1"/>
  <c r="HV30" i="6"/>
  <c r="HV28" i="6"/>
  <c r="HV27" i="6"/>
  <c r="HV26" i="6"/>
  <c r="HV25" i="6"/>
  <c r="HV24" i="6"/>
  <c r="HV23" i="6"/>
  <c r="HV22" i="6"/>
  <c r="HV21" i="6"/>
  <c r="HV20" i="6"/>
  <c r="HV17" i="6"/>
  <c r="HX17" i="6" s="1"/>
  <c r="HV16" i="6"/>
  <c r="HX16" i="6" s="1"/>
  <c r="HV15" i="6"/>
  <c r="HX15" i="6" s="1"/>
  <c r="HV14" i="6"/>
  <c r="HX14" i="6" s="1"/>
  <c r="HV13" i="6"/>
  <c r="HX13" i="6" s="1"/>
  <c r="HV12" i="6"/>
  <c r="HX12" i="6" s="1"/>
  <c r="HV11" i="6"/>
  <c r="HX11" i="6" s="1"/>
  <c r="HV7" i="6"/>
  <c r="HX7" i="6" s="1"/>
  <c r="HP27" i="6"/>
  <c r="HP32" i="6"/>
  <c r="HP31" i="6"/>
  <c r="HP30" i="6"/>
  <c r="HP28" i="6"/>
  <c r="HP26" i="6"/>
  <c r="HP25" i="6"/>
  <c r="HP24" i="6"/>
  <c r="HP23" i="6"/>
  <c r="HP22" i="6"/>
  <c r="HP21" i="6"/>
  <c r="HP20" i="6"/>
  <c r="HP17" i="6"/>
  <c r="HR17" i="6" s="1"/>
  <c r="HP16" i="6"/>
  <c r="HR16" i="6" s="1"/>
  <c r="HP15" i="6"/>
  <c r="HR15" i="6" s="1"/>
  <c r="HP14" i="6"/>
  <c r="HR14" i="6" s="1"/>
  <c r="HP13" i="6"/>
  <c r="HR13" i="6" s="1"/>
  <c r="HP12" i="6"/>
  <c r="HR12" i="6" s="1"/>
  <c r="HP11" i="6"/>
  <c r="HR11" i="6" s="1"/>
  <c r="HP10" i="6"/>
  <c r="HR10" i="6" s="1"/>
  <c r="HP7" i="6"/>
  <c r="HR7" i="6" s="1"/>
  <c r="HP5" i="6"/>
  <c r="HR5" i="6" s="1"/>
  <c r="HP4" i="6"/>
  <c r="HR4" i="6" s="1"/>
  <c r="HJ32" i="6"/>
  <c r="HJ27" i="6"/>
  <c r="HJ14" i="6"/>
  <c r="HL14" i="6" s="1"/>
  <c r="HJ12" i="6"/>
  <c r="HL12" i="6" s="1"/>
  <c r="HJ10" i="6"/>
  <c r="HL10" i="6" s="1"/>
  <c r="HJ5" i="6"/>
  <c r="HL5" i="6" s="1"/>
  <c r="HJ31" i="6"/>
  <c r="HJ30" i="6"/>
  <c r="HJ28" i="6"/>
  <c r="HJ26" i="6"/>
  <c r="HJ25" i="6"/>
  <c r="HJ24" i="6"/>
  <c r="HJ23" i="6"/>
  <c r="HJ22" i="6"/>
  <c r="HJ21" i="6"/>
  <c r="HJ20" i="6"/>
  <c r="HJ17" i="6"/>
  <c r="HL17" i="6" s="1"/>
  <c r="HJ16" i="6"/>
  <c r="HL16" i="6" s="1"/>
  <c r="HJ15" i="6"/>
  <c r="HL15" i="6" s="1"/>
  <c r="HJ13" i="6"/>
  <c r="HL13" i="6" s="1"/>
  <c r="HJ11" i="6"/>
  <c r="HL11" i="6" s="1"/>
  <c r="HJ7" i="6"/>
  <c r="HL7" i="6" s="1"/>
  <c r="HJ4" i="6"/>
  <c r="HL4" i="6" s="1"/>
  <c r="HD32" i="6"/>
  <c r="HD27" i="6"/>
  <c r="HD4" i="6"/>
  <c r="HF4" i="6" s="1"/>
  <c r="HD31" i="6"/>
  <c r="HD30" i="6"/>
  <c r="HD28" i="6"/>
  <c r="HD26" i="6"/>
  <c r="HD25" i="6"/>
  <c r="HD24" i="6"/>
  <c r="HD23" i="6"/>
  <c r="HD22" i="6"/>
  <c r="HD21" i="6"/>
  <c r="HD20" i="6"/>
  <c r="HD17" i="6"/>
  <c r="HF17" i="6" s="1"/>
  <c r="HD16" i="6"/>
  <c r="HF16" i="6" s="1"/>
  <c r="HD15" i="6"/>
  <c r="HF15" i="6" s="1"/>
  <c r="HD14" i="6"/>
  <c r="HF14" i="6" s="1"/>
  <c r="HD13" i="6"/>
  <c r="HF13" i="6" s="1"/>
  <c r="HD12" i="6"/>
  <c r="HF12" i="6" s="1"/>
  <c r="HD11" i="6"/>
  <c r="HF11" i="6" s="1"/>
  <c r="HD10" i="6"/>
  <c r="HF10" i="6" s="1"/>
  <c r="HD7" i="6"/>
  <c r="HF7" i="6" s="1"/>
  <c r="HD5" i="6"/>
  <c r="HF5" i="6" s="1"/>
  <c r="GX32" i="6"/>
  <c r="GX27" i="6"/>
  <c r="GX31" i="6"/>
  <c r="GX30" i="6"/>
  <c r="GX28" i="6"/>
  <c r="GX26" i="6"/>
  <c r="GX25" i="6"/>
  <c r="GX24" i="6"/>
  <c r="GX23" i="6"/>
  <c r="GX22" i="6"/>
  <c r="GX21" i="6"/>
  <c r="GX20" i="6"/>
  <c r="GX17" i="6"/>
  <c r="GZ17" i="6" s="1"/>
  <c r="GX16" i="6"/>
  <c r="GZ16" i="6" s="1"/>
  <c r="GX15" i="6"/>
  <c r="GZ15" i="6" s="1"/>
  <c r="GX14" i="6"/>
  <c r="GZ14" i="6" s="1"/>
  <c r="GX13" i="6"/>
  <c r="GZ13" i="6" s="1"/>
  <c r="GX12" i="6"/>
  <c r="GZ12" i="6" s="1"/>
  <c r="GX11" i="6"/>
  <c r="GZ11" i="6" s="1"/>
  <c r="GX10" i="6"/>
  <c r="GZ10" i="6" s="1"/>
  <c r="GX7" i="6"/>
  <c r="GZ7" i="6" s="1"/>
  <c r="GX5" i="6"/>
  <c r="GZ5" i="6" s="1"/>
  <c r="GX4" i="6"/>
  <c r="GZ4" i="6" s="1"/>
  <c r="GR32" i="6"/>
  <c r="GR31" i="6"/>
  <c r="GR30" i="6"/>
  <c r="GR28" i="6"/>
  <c r="GR27" i="6"/>
  <c r="GR26" i="6"/>
  <c r="GR25" i="6"/>
  <c r="GR24" i="6"/>
  <c r="GR23" i="6"/>
  <c r="GR22" i="6"/>
  <c r="GR21" i="6"/>
  <c r="GR20" i="6"/>
  <c r="GR17" i="6"/>
  <c r="GT17" i="6" s="1"/>
  <c r="GR16" i="6"/>
  <c r="GT16" i="6" s="1"/>
  <c r="GR15" i="6"/>
  <c r="GT15" i="6" s="1"/>
  <c r="GR14" i="6"/>
  <c r="GT14" i="6" s="1"/>
  <c r="GR13" i="6"/>
  <c r="GT13" i="6" s="1"/>
  <c r="GR12" i="6"/>
  <c r="GT12" i="6" s="1"/>
  <c r="GR11" i="6"/>
  <c r="GT11" i="6" s="1"/>
  <c r="GR10" i="6"/>
  <c r="GT10" i="6" s="1"/>
  <c r="GR7" i="6"/>
  <c r="GT7" i="6" s="1"/>
  <c r="GR5" i="6"/>
  <c r="GT5" i="6" s="1"/>
  <c r="GR4" i="6"/>
  <c r="GT4" i="6" s="1"/>
  <c r="GL32" i="6"/>
  <c r="GL31" i="6"/>
  <c r="GL27" i="6"/>
  <c r="GL4" i="6"/>
  <c r="GN4" i="6" s="1"/>
  <c r="GL30" i="6"/>
  <c r="GL28" i="6"/>
  <c r="GL26" i="6"/>
  <c r="GL25" i="6"/>
  <c r="GL24" i="6"/>
  <c r="GL23" i="6"/>
  <c r="GL22" i="6"/>
  <c r="GL21" i="6"/>
  <c r="GL20" i="6"/>
  <c r="GL17" i="6"/>
  <c r="GN17" i="6" s="1"/>
  <c r="GL16" i="6"/>
  <c r="GN16" i="6" s="1"/>
  <c r="GL15" i="6"/>
  <c r="GN15" i="6" s="1"/>
  <c r="GL14" i="6"/>
  <c r="GN14" i="6" s="1"/>
  <c r="GL13" i="6"/>
  <c r="GN13" i="6" s="1"/>
  <c r="GL12" i="6"/>
  <c r="GN12" i="6" s="1"/>
  <c r="GL11" i="6"/>
  <c r="GN11" i="6" s="1"/>
  <c r="GL10" i="6"/>
  <c r="GN10" i="6" s="1"/>
  <c r="GL7" i="6"/>
  <c r="GN7" i="6" s="1"/>
  <c r="GL5" i="6"/>
  <c r="GN5" i="6" s="1"/>
  <c r="GF32" i="6"/>
  <c r="GF27" i="6"/>
  <c r="GF14" i="6"/>
  <c r="GH14" i="6" s="1"/>
  <c r="GF12" i="6"/>
  <c r="GH12" i="6" s="1"/>
  <c r="GF31" i="6"/>
  <c r="GF30" i="6"/>
  <c r="GF28" i="6"/>
  <c r="GF26" i="6"/>
  <c r="GF25" i="6"/>
  <c r="GF24" i="6"/>
  <c r="GF23" i="6"/>
  <c r="GF22" i="6"/>
  <c r="GF21" i="6"/>
  <c r="GF20" i="6"/>
  <c r="GF17" i="6"/>
  <c r="GH17" i="6" s="1"/>
  <c r="GF16" i="6"/>
  <c r="GH16" i="6" s="1"/>
  <c r="GF15" i="6"/>
  <c r="GH15" i="6" s="1"/>
  <c r="GF13" i="6"/>
  <c r="GH13" i="6" s="1"/>
  <c r="GF11" i="6"/>
  <c r="GH11" i="6" s="1"/>
  <c r="GF10" i="6"/>
  <c r="GH10" i="6" s="1"/>
  <c r="GF7" i="6"/>
  <c r="GH7" i="6" s="1"/>
  <c r="GF5" i="6"/>
  <c r="GH5" i="6" s="1"/>
  <c r="GF4" i="6"/>
  <c r="GH4" i="6" s="1"/>
  <c r="FZ32" i="6"/>
  <c r="FZ27" i="6"/>
  <c r="FZ16" i="6"/>
  <c r="GB16" i="6" s="1"/>
  <c r="FZ12" i="6"/>
  <c r="GB12" i="6" s="1"/>
  <c r="FZ10" i="6"/>
  <c r="GB10" i="6" s="1"/>
  <c r="FZ4" i="6"/>
  <c r="GB4" i="6" s="1"/>
  <c r="FZ31" i="6"/>
  <c r="FZ30" i="6"/>
  <c r="FZ28" i="6"/>
  <c r="FZ26" i="6"/>
  <c r="FZ25" i="6"/>
  <c r="FZ24" i="6"/>
  <c r="FZ23" i="6"/>
  <c r="FZ22" i="6"/>
  <c r="FZ21" i="6"/>
  <c r="FZ20" i="6"/>
  <c r="FZ17" i="6"/>
  <c r="GB17" i="6" s="1"/>
  <c r="FZ15" i="6"/>
  <c r="GB15" i="6" s="1"/>
  <c r="FZ14" i="6"/>
  <c r="GB14" i="6" s="1"/>
  <c r="FZ13" i="6"/>
  <c r="GB13" i="6" s="1"/>
  <c r="FZ11" i="6"/>
  <c r="GB11" i="6" s="1"/>
  <c r="FZ7" i="6"/>
  <c r="GB7" i="6" s="1"/>
  <c r="FZ5" i="6"/>
  <c r="GB5" i="6" s="1"/>
  <c r="FT32" i="6"/>
  <c r="FT27" i="6"/>
  <c r="FT31" i="6"/>
  <c r="FT30" i="6"/>
  <c r="FT28" i="6"/>
  <c r="FT26" i="6"/>
  <c r="FT25" i="6"/>
  <c r="FT24" i="6"/>
  <c r="FT23" i="6"/>
  <c r="FT22" i="6"/>
  <c r="FT21" i="6"/>
  <c r="FT20" i="6"/>
  <c r="FT17" i="6"/>
  <c r="FV17" i="6" s="1"/>
  <c r="FT16" i="6"/>
  <c r="FV16" i="6" s="1"/>
  <c r="FT15" i="6"/>
  <c r="FV15" i="6" s="1"/>
  <c r="FT14" i="6"/>
  <c r="FV14" i="6" s="1"/>
  <c r="FT13" i="6"/>
  <c r="FV13" i="6" s="1"/>
  <c r="FT12" i="6"/>
  <c r="FV12" i="6" s="1"/>
  <c r="FT11" i="6"/>
  <c r="FV11" i="6" s="1"/>
  <c r="FT10" i="6"/>
  <c r="FV10" i="6" s="1"/>
  <c r="FT7" i="6"/>
  <c r="FV7" i="6" s="1"/>
  <c r="FT5" i="6"/>
  <c r="FV5" i="6" s="1"/>
  <c r="FT4" i="6"/>
  <c r="FV4" i="6" s="1"/>
  <c r="FN32" i="6"/>
  <c r="FN31" i="6"/>
  <c r="FN30" i="6"/>
  <c r="FN28" i="6"/>
  <c r="FN27" i="6"/>
  <c r="FN26" i="6"/>
  <c r="FN25" i="6"/>
  <c r="FN24" i="6"/>
  <c r="FN23" i="6"/>
  <c r="FN22" i="6"/>
  <c r="FN21" i="6"/>
  <c r="FN20" i="6"/>
  <c r="FN17" i="6"/>
  <c r="FP17" i="6" s="1"/>
  <c r="FN16" i="6"/>
  <c r="FP16" i="6" s="1"/>
  <c r="FN15" i="6"/>
  <c r="FP15" i="6" s="1"/>
  <c r="FN14" i="6"/>
  <c r="FP14" i="6" s="1"/>
  <c r="FN13" i="6"/>
  <c r="FP13" i="6" s="1"/>
  <c r="FN12" i="6"/>
  <c r="FP12" i="6" s="1"/>
  <c r="FN11" i="6"/>
  <c r="FP11" i="6" s="1"/>
  <c r="FN10" i="6"/>
  <c r="FP10" i="6" s="1"/>
  <c r="FN7" i="6"/>
  <c r="FP7" i="6" s="1"/>
  <c r="FN5" i="6"/>
  <c r="FP5" i="6" s="1"/>
  <c r="FN4" i="6"/>
  <c r="FP4" i="6" s="1"/>
  <c r="FH32" i="6"/>
  <c r="FH31" i="6"/>
  <c r="FH24" i="6"/>
  <c r="FH20" i="6"/>
  <c r="FH10" i="6"/>
  <c r="FJ10" i="6" s="1"/>
  <c r="FH5" i="6"/>
  <c r="FJ5" i="6" s="1"/>
  <c r="FH4" i="6"/>
  <c r="FJ4" i="6" s="1"/>
  <c r="FH28" i="6"/>
  <c r="FH27" i="6"/>
  <c r="FH26" i="6"/>
  <c r="FH25" i="6"/>
  <c r="FH23" i="6"/>
  <c r="FH22" i="6"/>
  <c r="FH21" i="6"/>
  <c r="FH30" i="6"/>
  <c r="FH17" i="6"/>
  <c r="FJ17" i="6" s="1"/>
  <c r="FH16" i="6"/>
  <c r="FJ16" i="6" s="1"/>
  <c r="FH15" i="6"/>
  <c r="FJ15" i="6" s="1"/>
  <c r="FH14" i="6"/>
  <c r="FJ14" i="6" s="1"/>
  <c r="FH13" i="6"/>
  <c r="FJ13" i="6" s="1"/>
  <c r="FH12" i="6"/>
  <c r="FJ12" i="6" s="1"/>
  <c r="FH11" i="6"/>
  <c r="FJ11" i="6" s="1"/>
  <c r="FH7" i="6"/>
  <c r="FJ7" i="6" s="1"/>
  <c r="FB30" i="6"/>
  <c r="FB27" i="6"/>
  <c r="FB32" i="6"/>
  <c r="FB31" i="6"/>
  <c r="FB28" i="6"/>
  <c r="FB26" i="6"/>
  <c r="FB25" i="6"/>
  <c r="FB24" i="6"/>
  <c r="FB23" i="6"/>
  <c r="FB22" i="6"/>
  <c r="FB21" i="6"/>
  <c r="FB20" i="6"/>
  <c r="FB17" i="6"/>
  <c r="FD17" i="6" s="1"/>
  <c r="FB16" i="6"/>
  <c r="FD16" i="6" s="1"/>
  <c r="FB15" i="6"/>
  <c r="FD15" i="6" s="1"/>
  <c r="FB14" i="6"/>
  <c r="FD14" i="6" s="1"/>
  <c r="FB13" i="6"/>
  <c r="FD13" i="6" s="1"/>
  <c r="FB12" i="6"/>
  <c r="FD12" i="6" s="1"/>
  <c r="FB11" i="6"/>
  <c r="FD11" i="6" s="1"/>
  <c r="FB10" i="6"/>
  <c r="FD10" i="6" s="1"/>
  <c r="FB7" i="6"/>
  <c r="FD7" i="6" s="1"/>
  <c r="FB5" i="6"/>
  <c r="FD5" i="6" s="1"/>
  <c r="FB4" i="6"/>
  <c r="FD4" i="6" s="1"/>
  <c r="EV30" i="6"/>
  <c r="EV27" i="6"/>
  <c r="EV32" i="6"/>
  <c r="EV31" i="6"/>
  <c r="EV28" i="6"/>
  <c r="EV26" i="6"/>
  <c r="EV25" i="6"/>
  <c r="EV24" i="6"/>
  <c r="EV23" i="6"/>
  <c r="EV22" i="6"/>
  <c r="EV21" i="6"/>
  <c r="EV20" i="6"/>
  <c r="EV17" i="6"/>
  <c r="EX17" i="6" s="1"/>
  <c r="EV16" i="6"/>
  <c r="EX16" i="6" s="1"/>
  <c r="EV15" i="6"/>
  <c r="EX15" i="6" s="1"/>
  <c r="EV14" i="6"/>
  <c r="EX14" i="6" s="1"/>
  <c r="EV13" i="6"/>
  <c r="EX13" i="6" s="1"/>
  <c r="EV12" i="6"/>
  <c r="EX12" i="6" s="1"/>
  <c r="EV11" i="6"/>
  <c r="EX11" i="6" s="1"/>
  <c r="EV10" i="6"/>
  <c r="EX10" i="6" s="1"/>
  <c r="EV7" i="6"/>
  <c r="EX7" i="6" s="1"/>
  <c r="EV5" i="6"/>
  <c r="EX5" i="6" s="1"/>
  <c r="EV4" i="6"/>
  <c r="EX4" i="6" s="1"/>
  <c r="EP32" i="6"/>
  <c r="EP27" i="6"/>
  <c r="EP31" i="6"/>
  <c r="EP30" i="6"/>
  <c r="EP28" i="6"/>
  <c r="EP26" i="6"/>
  <c r="EP25" i="6"/>
  <c r="EP24" i="6"/>
  <c r="EP23" i="6"/>
  <c r="EP22" i="6"/>
  <c r="EP21" i="6"/>
  <c r="EP20" i="6"/>
  <c r="EP17" i="6"/>
  <c r="ER17" i="6" s="1"/>
  <c r="EP16" i="6"/>
  <c r="ER16" i="6" s="1"/>
  <c r="EP15" i="6"/>
  <c r="ER15" i="6" s="1"/>
  <c r="EP14" i="6"/>
  <c r="ER14" i="6" s="1"/>
  <c r="EP13" i="6"/>
  <c r="ER13" i="6" s="1"/>
  <c r="EP12" i="6"/>
  <c r="ER12" i="6" s="1"/>
  <c r="EP11" i="6"/>
  <c r="ER11" i="6" s="1"/>
  <c r="EP10" i="6"/>
  <c r="ER10" i="6" s="1"/>
  <c r="EP7" i="6"/>
  <c r="ER7" i="6" s="1"/>
  <c r="EP5" i="6"/>
  <c r="ER5" i="6" s="1"/>
  <c r="EP4" i="6"/>
  <c r="ER4" i="6" s="1"/>
  <c r="EJ32" i="6"/>
  <c r="EJ27" i="6"/>
  <c r="EJ31" i="6"/>
  <c r="EJ30" i="6"/>
  <c r="EJ28" i="6"/>
  <c r="EJ26" i="6"/>
  <c r="EJ25" i="6"/>
  <c r="EJ24" i="6"/>
  <c r="EJ23" i="6"/>
  <c r="EJ22" i="6"/>
  <c r="EJ21" i="6"/>
  <c r="EJ20" i="6"/>
  <c r="EJ17" i="6"/>
  <c r="EL17" i="6" s="1"/>
  <c r="EJ16" i="6"/>
  <c r="EL16" i="6" s="1"/>
  <c r="EJ15" i="6"/>
  <c r="EL15" i="6" s="1"/>
  <c r="EJ14" i="6"/>
  <c r="EL14" i="6" s="1"/>
  <c r="EJ13" i="6"/>
  <c r="EL13" i="6" s="1"/>
  <c r="EJ12" i="6"/>
  <c r="EL12" i="6" s="1"/>
  <c r="EJ11" i="6"/>
  <c r="EL11" i="6" s="1"/>
  <c r="EJ10" i="6"/>
  <c r="EL10" i="6" s="1"/>
  <c r="EJ7" i="6"/>
  <c r="EL7" i="6" s="1"/>
  <c r="EJ5" i="6"/>
  <c r="EL5" i="6" s="1"/>
  <c r="EJ4" i="6"/>
  <c r="EL4" i="6" s="1"/>
  <c r="ED32" i="6"/>
  <c r="ED31" i="6"/>
  <c r="ED30" i="6"/>
  <c r="ED28" i="6"/>
  <c r="ED27" i="6"/>
  <c r="ED26" i="6"/>
  <c r="ED25" i="6"/>
  <c r="ED24" i="6"/>
  <c r="ED23" i="6"/>
  <c r="ED22" i="6"/>
  <c r="ED21" i="6"/>
  <c r="ED20" i="6"/>
  <c r="ED17" i="6"/>
  <c r="EF17" i="6" s="1"/>
  <c r="ED16" i="6"/>
  <c r="EF16" i="6" s="1"/>
  <c r="ED15" i="6"/>
  <c r="EF15" i="6" s="1"/>
  <c r="ED14" i="6"/>
  <c r="EF14" i="6" s="1"/>
  <c r="ED13" i="6"/>
  <c r="EF13" i="6" s="1"/>
  <c r="ED12" i="6"/>
  <c r="EF12" i="6" s="1"/>
  <c r="ED11" i="6"/>
  <c r="EF11" i="6" s="1"/>
  <c r="ED10" i="6"/>
  <c r="EF10" i="6" s="1"/>
  <c r="ED7" i="6"/>
  <c r="EF7" i="6" s="1"/>
  <c r="ED5" i="6"/>
  <c r="EF5" i="6" s="1"/>
  <c r="ED4" i="6"/>
  <c r="EF4" i="6" s="1"/>
  <c r="DX30" i="6"/>
  <c r="DX27" i="6"/>
  <c r="DX15" i="6"/>
  <c r="DZ15" i="6" s="1"/>
  <c r="DX12" i="6"/>
  <c r="DZ12" i="6" s="1"/>
  <c r="DX7" i="6"/>
  <c r="DZ7" i="6" s="1"/>
  <c r="DX32" i="6"/>
  <c r="DX31" i="6"/>
  <c r="DX28" i="6"/>
  <c r="DX26" i="6"/>
  <c r="DX25" i="6"/>
  <c r="DX24" i="6"/>
  <c r="DX23" i="6"/>
  <c r="DX22" i="6"/>
  <c r="DX21" i="6"/>
  <c r="DX20" i="6"/>
  <c r="DX17" i="6"/>
  <c r="DZ17" i="6" s="1"/>
  <c r="DX16" i="6"/>
  <c r="DZ16" i="6" s="1"/>
  <c r="DX14" i="6"/>
  <c r="DZ14" i="6" s="1"/>
  <c r="DX13" i="6"/>
  <c r="DZ13" i="6" s="1"/>
  <c r="DX11" i="6"/>
  <c r="DZ11" i="6" s="1"/>
  <c r="DX10" i="6"/>
  <c r="DZ10" i="6" s="1"/>
  <c r="DX5" i="6"/>
  <c r="DZ5" i="6" s="1"/>
  <c r="DX4" i="6"/>
  <c r="DZ4" i="6" s="1"/>
  <c r="DR32" i="6"/>
  <c r="DR16" i="6"/>
  <c r="DT16" i="6" s="1"/>
  <c r="DR31" i="6"/>
  <c r="DR30" i="6"/>
  <c r="DR28" i="6"/>
  <c r="DR27" i="6"/>
  <c r="DR26" i="6"/>
  <c r="DR25" i="6"/>
  <c r="DR24" i="6"/>
  <c r="DR23" i="6"/>
  <c r="DR22" i="6"/>
  <c r="DR21" i="6"/>
  <c r="DR20" i="6"/>
  <c r="DR17" i="6"/>
  <c r="DT17" i="6" s="1"/>
  <c r="DR15" i="6"/>
  <c r="DT15" i="6" s="1"/>
  <c r="DR14" i="6"/>
  <c r="DT14" i="6" s="1"/>
  <c r="DR13" i="6"/>
  <c r="DT13" i="6" s="1"/>
  <c r="DR12" i="6"/>
  <c r="DT12" i="6" s="1"/>
  <c r="DR11" i="6"/>
  <c r="DT11" i="6" s="1"/>
  <c r="DR10" i="6"/>
  <c r="DT10" i="6" s="1"/>
  <c r="DR7" i="6"/>
  <c r="DT7" i="6" s="1"/>
  <c r="DR5" i="6"/>
  <c r="DT5" i="6" s="1"/>
  <c r="DR4" i="6"/>
  <c r="DT4" i="6" s="1"/>
  <c r="DL30" i="6"/>
  <c r="DL27" i="6"/>
  <c r="DL32" i="6"/>
  <c r="DL31" i="6"/>
  <c r="DL28" i="6"/>
  <c r="DL26" i="6"/>
  <c r="DL25" i="6"/>
  <c r="DL24" i="6"/>
  <c r="DL23" i="6"/>
  <c r="DL22" i="6"/>
  <c r="DL21" i="6"/>
  <c r="DL20" i="6"/>
  <c r="DL17" i="6"/>
  <c r="DN17" i="6" s="1"/>
  <c r="DL16" i="6"/>
  <c r="DN16" i="6" s="1"/>
  <c r="DL15" i="6"/>
  <c r="DN15" i="6" s="1"/>
  <c r="DL14" i="6"/>
  <c r="DN14" i="6" s="1"/>
  <c r="DL13" i="6"/>
  <c r="DN13" i="6" s="1"/>
  <c r="DL12" i="6"/>
  <c r="DN12" i="6" s="1"/>
  <c r="DL11" i="6"/>
  <c r="DN11" i="6" s="1"/>
  <c r="DL10" i="6"/>
  <c r="DN10" i="6" s="1"/>
  <c r="DL7" i="6"/>
  <c r="DN7" i="6" s="1"/>
  <c r="DL5" i="6"/>
  <c r="DN5" i="6" s="1"/>
  <c r="DL4" i="6"/>
  <c r="DN4" i="6" s="1"/>
  <c r="DF30" i="6"/>
  <c r="DF27" i="6"/>
  <c r="DF32" i="6"/>
  <c r="DF31" i="6"/>
  <c r="DF28" i="6"/>
  <c r="DF26" i="6"/>
  <c r="DF25" i="6"/>
  <c r="DF24" i="6"/>
  <c r="DF23" i="6"/>
  <c r="DF22" i="6"/>
  <c r="DF21" i="6"/>
  <c r="DF20" i="6"/>
  <c r="DF17" i="6"/>
  <c r="DH17" i="6" s="1"/>
  <c r="DF16" i="6"/>
  <c r="DH16" i="6" s="1"/>
  <c r="DF15" i="6"/>
  <c r="DH15" i="6" s="1"/>
  <c r="DF14" i="6"/>
  <c r="DH14" i="6" s="1"/>
  <c r="DF13" i="6"/>
  <c r="DH13" i="6" s="1"/>
  <c r="DF12" i="6"/>
  <c r="DH12" i="6" s="1"/>
  <c r="DF11" i="6"/>
  <c r="DH11" i="6" s="1"/>
  <c r="DF10" i="6"/>
  <c r="DH10" i="6" s="1"/>
  <c r="DF7" i="6"/>
  <c r="DH7" i="6" s="1"/>
  <c r="DF5" i="6"/>
  <c r="DH5" i="6" s="1"/>
  <c r="DF4" i="6"/>
  <c r="DH4" i="6" s="1"/>
  <c r="CZ32" i="6"/>
  <c r="CZ31" i="6"/>
  <c r="CZ30" i="6"/>
  <c r="CZ28" i="6"/>
  <c r="CZ27" i="6"/>
  <c r="CZ26" i="6"/>
  <c r="CZ25" i="6"/>
  <c r="CZ24" i="6"/>
  <c r="CZ23" i="6"/>
  <c r="CZ22" i="6"/>
  <c r="CZ21" i="6"/>
  <c r="CZ20" i="6"/>
  <c r="CZ17" i="6"/>
  <c r="DB17" i="6" s="1"/>
  <c r="CZ16" i="6"/>
  <c r="DB16" i="6" s="1"/>
  <c r="CZ15" i="6"/>
  <c r="DB15" i="6" s="1"/>
  <c r="CZ14" i="6"/>
  <c r="DB14" i="6" s="1"/>
  <c r="CZ13" i="6"/>
  <c r="DB13" i="6" s="1"/>
  <c r="CZ12" i="6"/>
  <c r="DB12" i="6" s="1"/>
  <c r="CZ11" i="6"/>
  <c r="DB11" i="6" s="1"/>
  <c r="CZ10" i="6"/>
  <c r="DB10" i="6" s="1"/>
  <c r="CZ7" i="6"/>
  <c r="DB7" i="6" s="1"/>
  <c r="CZ5" i="6"/>
  <c r="DB5" i="6" s="1"/>
  <c r="CZ4" i="6"/>
  <c r="DB4" i="6" s="1"/>
  <c r="CT32" i="6"/>
  <c r="CT31" i="6"/>
  <c r="CT27" i="6"/>
  <c r="CT30" i="6"/>
  <c r="CT28" i="6"/>
  <c r="CT26" i="6"/>
  <c r="CT25" i="6"/>
  <c r="CT24" i="6"/>
  <c r="CT23" i="6"/>
  <c r="CT22" i="6"/>
  <c r="CT21" i="6"/>
  <c r="CT20" i="6"/>
  <c r="CT17" i="6"/>
  <c r="CV17" i="6" s="1"/>
  <c r="CT16" i="6"/>
  <c r="CV16" i="6" s="1"/>
  <c r="CT15" i="6"/>
  <c r="CV15" i="6" s="1"/>
  <c r="CT14" i="6"/>
  <c r="CV14" i="6" s="1"/>
  <c r="CT13" i="6"/>
  <c r="CV13" i="6" s="1"/>
  <c r="CT12" i="6"/>
  <c r="CV12" i="6" s="1"/>
  <c r="CT11" i="6"/>
  <c r="CV11" i="6" s="1"/>
  <c r="CT10" i="6"/>
  <c r="CV10" i="6" s="1"/>
  <c r="CT7" i="6"/>
  <c r="CV7" i="6" s="1"/>
  <c r="CT5" i="6"/>
  <c r="CV5" i="6" s="1"/>
  <c r="CT4" i="6"/>
  <c r="CV4" i="6" s="1"/>
  <c r="CN7" i="6"/>
  <c r="CP7" i="6" s="1"/>
  <c r="CN5" i="6"/>
  <c r="CP5" i="6" s="1"/>
  <c r="CN4" i="6"/>
  <c r="CP4" i="6" s="1"/>
  <c r="CN27" i="6"/>
  <c r="CN32" i="6"/>
  <c r="CN31" i="6"/>
  <c r="CN30" i="6"/>
  <c r="CN28" i="6"/>
  <c r="CN26" i="6"/>
  <c r="CN25" i="6"/>
  <c r="CN24" i="6"/>
  <c r="CN23" i="6"/>
  <c r="CN22" i="6"/>
  <c r="CN21" i="6"/>
  <c r="CN20" i="6"/>
  <c r="CN17" i="6"/>
  <c r="CP17" i="6" s="1"/>
  <c r="CN16" i="6"/>
  <c r="CP16" i="6" s="1"/>
  <c r="CN15" i="6"/>
  <c r="CP15" i="6" s="1"/>
  <c r="CN14" i="6"/>
  <c r="CP14" i="6" s="1"/>
  <c r="CN13" i="6"/>
  <c r="CP13" i="6" s="1"/>
  <c r="CN12" i="6"/>
  <c r="CP12" i="6" s="1"/>
  <c r="CN11" i="6"/>
  <c r="CP11" i="6" s="1"/>
  <c r="CN10" i="6"/>
  <c r="CP10" i="6" s="1"/>
  <c r="CH20" i="6"/>
  <c r="CH21" i="6"/>
  <c r="CH22" i="6"/>
  <c r="CH23" i="6"/>
  <c r="CH24" i="6"/>
  <c r="CH25" i="6"/>
  <c r="CH26" i="6"/>
  <c r="CH27" i="6"/>
  <c r="CH28" i="6"/>
  <c r="CH32" i="6"/>
  <c r="CH31" i="6"/>
  <c r="CH30" i="6"/>
  <c r="CH17" i="6"/>
  <c r="CJ17" i="6" s="1"/>
  <c r="CH16" i="6"/>
  <c r="CJ16" i="6" s="1"/>
  <c r="CH15" i="6"/>
  <c r="CJ15" i="6" s="1"/>
  <c r="CH14" i="6"/>
  <c r="CJ14" i="6" s="1"/>
  <c r="CH13" i="6"/>
  <c r="CJ13" i="6" s="1"/>
  <c r="CH12" i="6"/>
  <c r="CJ12" i="6" s="1"/>
  <c r="CH11" i="6"/>
  <c r="CJ11" i="6" s="1"/>
  <c r="CH10" i="6"/>
  <c r="CJ10" i="6" s="1"/>
  <c r="CH7" i="6"/>
  <c r="CJ7" i="6" s="1"/>
  <c r="CH5" i="6"/>
  <c r="CJ5" i="6" s="1"/>
  <c r="CH4" i="6"/>
  <c r="CJ4" i="6" s="1"/>
  <c r="CB32" i="6"/>
  <c r="CB31" i="6"/>
  <c r="CB27" i="6"/>
  <c r="CB30" i="6"/>
  <c r="CB28" i="6"/>
  <c r="CB26" i="6"/>
  <c r="CB25" i="6"/>
  <c r="CB24" i="6"/>
  <c r="CB23" i="6"/>
  <c r="CB22" i="6"/>
  <c r="CB21" i="6"/>
  <c r="CB20" i="6"/>
  <c r="CB17" i="6"/>
  <c r="CD17" i="6" s="1"/>
  <c r="CB16" i="6"/>
  <c r="CD16" i="6" s="1"/>
  <c r="CB15" i="6"/>
  <c r="CD15" i="6" s="1"/>
  <c r="CB14" i="6"/>
  <c r="CD14" i="6" s="1"/>
  <c r="CB13" i="6"/>
  <c r="CD13" i="6" s="1"/>
  <c r="CB12" i="6"/>
  <c r="CD12" i="6" s="1"/>
  <c r="CB11" i="6"/>
  <c r="CD11" i="6" s="1"/>
  <c r="CB10" i="6"/>
  <c r="CD10" i="6" s="1"/>
  <c r="CB7" i="6"/>
  <c r="CD7" i="6" s="1"/>
  <c r="CB5" i="6"/>
  <c r="CD5" i="6" s="1"/>
  <c r="CB4" i="6"/>
  <c r="CD4" i="6" s="1"/>
  <c r="BV32" i="6"/>
  <c r="BV31" i="6"/>
  <c r="BV27" i="6"/>
  <c r="BV30" i="6"/>
  <c r="BV28" i="6"/>
  <c r="BV26" i="6"/>
  <c r="BV25" i="6"/>
  <c r="BV24" i="6"/>
  <c r="BV23" i="6"/>
  <c r="BV22" i="6"/>
  <c r="BV21" i="6"/>
  <c r="BV20" i="6"/>
  <c r="BV17" i="6"/>
  <c r="BX17" i="6" s="1"/>
  <c r="BV16" i="6"/>
  <c r="BX16" i="6" s="1"/>
  <c r="BV15" i="6"/>
  <c r="BX15" i="6" s="1"/>
  <c r="BV14" i="6"/>
  <c r="BX14" i="6" s="1"/>
  <c r="BV13" i="6"/>
  <c r="BX13" i="6" s="1"/>
  <c r="BV12" i="6"/>
  <c r="BX12" i="6" s="1"/>
  <c r="BV11" i="6"/>
  <c r="BX11" i="6" s="1"/>
  <c r="BV10" i="6"/>
  <c r="BX10" i="6" s="1"/>
  <c r="BV7" i="6"/>
  <c r="BX7" i="6" s="1"/>
  <c r="BV5" i="6"/>
  <c r="BX5" i="6" s="1"/>
  <c r="BV4" i="6"/>
  <c r="BX4" i="6" s="1"/>
  <c r="BP32" i="6"/>
  <c r="BP31" i="6"/>
  <c r="BP27" i="6"/>
  <c r="BP15" i="6"/>
  <c r="BR15" i="6" s="1"/>
  <c r="BP11" i="6"/>
  <c r="BR11" i="6" s="1"/>
  <c r="BP5" i="6"/>
  <c r="BR5" i="6" s="1"/>
  <c r="BP30" i="6"/>
  <c r="BP28" i="6"/>
  <c r="BP26" i="6"/>
  <c r="BP25" i="6"/>
  <c r="BP24" i="6"/>
  <c r="BP23" i="6"/>
  <c r="BP22" i="6"/>
  <c r="BP21" i="6"/>
  <c r="BP20" i="6"/>
  <c r="BP17" i="6"/>
  <c r="BR17" i="6" s="1"/>
  <c r="BP16" i="6"/>
  <c r="BR16" i="6" s="1"/>
  <c r="BP14" i="6"/>
  <c r="BR14" i="6" s="1"/>
  <c r="BP13" i="6"/>
  <c r="BR13" i="6" s="1"/>
  <c r="BP12" i="6"/>
  <c r="BR12" i="6" s="1"/>
  <c r="BP10" i="6"/>
  <c r="BR10" i="6" s="1"/>
  <c r="BP7" i="6"/>
  <c r="BR7" i="6" s="1"/>
  <c r="BP4" i="6"/>
  <c r="BR4" i="6" s="1"/>
  <c r="BJ32" i="6"/>
  <c r="BJ31" i="6"/>
  <c r="BJ5" i="6"/>
  <c r="BL5" i="6" s="1"/>
  <c r="BJ4" i="6"/>
  <c r="BL4" i="6" s="1"/>
  <c r="BJ30" i="6"/>
  <c r="BJ28" i="6"/>
  <c r="BJ27" i="6"/>
  <c r="BJ26" i="6"/>
  <c r="BJ25" i="6"/>
  <c r="BJ24" i="6"/>
  <c r="BJ23" i="6"/>
  <c r="BJ22" i="6"/>
  <c r="BJ21" i="6"/>
  <c r="BJ20" i="6"/>
  <c r="BJ17" i="6"/>
  <c r="BL17" i="6" s="1"/>
  <c r="BJ16" i="6"/>
  <c r="BL16" i="6" s="1"/>
  <c r="BJ15" i="6"/>
  <c r="BL15" i="6" s="1"/>
  <c r="BJ14" i="6"/>
  <c r="BL14" i="6" s="1"/>
  <c r="BJ13" i="6"/>
  <c r="BL13" i="6" s="1"/>
  <c r="BJ12" i="6"/>
  <c r="BL12" i="6" s="1"/>
  <c r="BJ11" i="6"/>
  <c r="BL11" i="6" s="1"/>
  <c r="BJ10" i="6"/>
  <c r="BL10" i="6" s="1"/>
  <c r="BJ7" i="6"/>
  <c r="BL7" i="6" s="1"/>
  <c r="BD32" i="6"/>
  <c r="BD31" i="6"/>
  <c r="BD30" i="6"/>
  <c r="BD28" i="6"/>
  <c r="BD27" i="6"/>
  <c r="BD26" i="6"/>
  <c r="BD25" i="6"/>
  <c r="BD24" i="6"/>
  <c r="BD23" i="6"/>
  <c r="BD22" i="6"/>
  <c r="BD21" i="6"/>
  <c r="BD20" i="6"/>
  <c r="BD17" i="6"/>
  <c r="BF17" i="6" s="1"/>
  <c r="BD16" i="6"/>
  <c r="BF16" i="6" s="1"/>
  <c r="BD15" i="6"/>
  <c r="BF15" i="6" s="1"/>
  <c r="BD14" i="6"/>
  <c r="BF14" i="6" s="1"/>
  <c r="BD13" i="6"/>
  <c r="BF13" i="6" s="1"/>
  <c r="BD12" i="6"/>
  <c r="BF12" i="6" s="1"/>
  <c r="BD11" i="6"/>
  <c r="BF11" i="6" s="1"/>
  <c r="BD10" i="6"/>
  <c r="BF10" i="6" s="1"/>
  <c r="BD7" i="6"/>
  <c r="BF7" i="6" s="1"/>
  <c r="BD5" i="6"/>
  <c r="BF5" i="6" s="1"/>
  <c r="BD4" i="6"/>
  <c r="BF4" i="6" s="1"/>
  <c r="AL32" i="6"/>
  <c r="AL31" i="6"/>
  <c r="AL30" i="6"/>
  <c r="AR32" i="6"/>
  <c r="AR31" i="6"/>
  <c r="AR30" i="6"/>
  <c r="AX32" i="6"/>
  <c r="AX31" i="6"/>
  <c r="AX30" i="6"/>
  <c r="AL28" i="6"/>
  <c r="AL27" i="6"/>
  <c r="AL26" i="6"/>
  <c r="AL25" i="6"/>
  <c r="AL24" i="6"/>
  <c r="AL23" i="6"/>
  <c r="AL22" i="6"/>
  <c r="AL21" i="6"/>
  <c r="AL20" i="6"/>
  <c r="AR28" i="6"/>
  <c r="AR27" i="6"/>
  <c r="AR26" i="6"/>
  <c r="AR25" i="6"/>
  <c r="AR24" i="6"/>
  <c r="AR23" i="6"/>
  <c r="AR22" i="6"/>
  <c r="AR21" i="6"/>
  <c r="AR20" i="6"/>
  <c r="AL17" i="6"/>
  <c r="AN17" i="6" s="1"/>
  <c r="AL16" i="6"/>
  <c r="AN16" i="6" s="1"/>
  <c r="AL15" i="6"/>
  <c r="AN15" i="6" s="1"/>
  <c r="AL14" i="6"/>
  <c r="AN14" i="6" s="1"/>
  <c r="AL13" i="6"/>
  <c r="AN13" i="6" s="1"/>
  <c r="AL12" i="6"/>
  <c r="AN12" i="6" s="1"/>
  <c r="AL11" i="6"/>
  <c r="AN11" i="6" s="1"/>
  <c r="AL10" i="6"/>
  <c r="AN10" i="6" s="1"/>
  <c r="AL7" i="6"/>
  <c r="AN7" i="6" s="1"/>
  <c r="AL5" i="6"/>
  <c r="AN5" i="6" s="1"/>
  <c r="AL4" i="6"/>
  <c r="AN4" i="6" s="1"/>
  <c r="AR7" i="6"/>
  <c r="AT7" i="6" s="1"/>
  <c r="AR5" i="6"/>
  <c r="AT5" i="6" s="1"/>
  <c r="AR4" i="6"/>
  <c r="AT4" i="6" s="1"/>
  <c r="AR17" i="6"/>
  <c r="AT17" i="6" s="1"/>
  <c r="AR16" i="6"/>
  <c r="AT16" i="6" s="1"/>
  <c r="AR15" i="6"/>
  <c r="AT15" i="6" s="1"/>
  <c r="AR14" i="6"/>
  <c r="AT14" i="6" s="1"/>
  <c r="AR13" i="6"/>
  <c r="AT13" i="6" s="1"/>
  <c r="AR12" i="6"/>
  <c r="AT12" i="6" s="1"/>
  <c r="AR11" i="6"/>
  <c r="AT11" i="6" s="1"/>
  <c r="AR10" i="6"/>
  <c r="AT10" i="6" s="1"/>
  <c r="AX11" i="6"/>
  <c r="AZ11" i="6" s="1"/>
  <c r="AX12" i="6"/>
  <c r="AZ12" i="6" s="1"/>
  <c r="AX13" i="6"/>
  <c r="AZ13" i="6" s="1"/>
  <c r="AX14" i="6"/>
  <c r="AZ14" i="6" s="1"/>
  <c r="AX15" i="6"/>
  <c r="AZ15" i="6" s="1"/>
  <c r="AX16" i="6"/>
  <c r="AZ16" i="6" s="1"/>
  <c r="AX17" i="6"/>
  <c r="AZ17" i="6" s="1"/>
  <c r="AX10" i="6"/>
  <c r="AZ10" i="6" s="1"/>
  <c r="AX5" i="6"/>
  <c r="AZ5" i="6" s="1"/>
  <c r="AX7" i="6"/>
  <c r="AZ7" i="6" s="1"/>
  <c r="AX4" i="6"/>
  <c r="AZ4" i="6" s="1"/>
  <c r="AX28" i="6"/>
  <c r="AX27" i="6"/>
  <c r="AX26" i="6"/>
  <c r="AX25" i="6"/>
  <c r="AX24" i="6"/>
  <c r="AX23" i="6"/>
  <c r="AX22" i="6"/>
  <c r="AX21" i="6"/>
  <c r="AX20" i="6"/>
  <c r="AF32" i="6"/>
  <c r="AF31" i="6"/>
  <c r="AF25" i="6"/>
  <c r="AF24" i="6"/>
  <c r="AF21" i="6"/>
  <c r="AF20" i="6"/>
  <c r="AF14" i="6"/>
  <c r="AH14" i="6" s="1"/>
  <c r="AF10" i="6"/>
  <c r="AH10" i="6" s="1"/>
  <c r="AF4" i="6"/>
  <c r="AH4" i="6" s="1"/>
  <c r="AF30" i="6"/>
  <c r="AF27" i="6"/>
  <c r="AF23" i="6"/>
  <c r="AF22" i="6"/>
  <c r="AF17" i="6"/>
  <c r="AH17" i="6" s="1"/>
  <c r="AF16" i="6"/>
  <c r="AH16" i="6" s="1"/>
  <c r="AF15" i="6"/>
  <c r="AH15" i="6" s="1"/>
  <c r="AF13" i="6"/>
  <c r="AH13" i="6" s="1"/>
  <c r="AF12" i="6"/>
  <c r="AH12" i="6" s="1"/>
  <c r="AF11" i="6"/>
  <c r="AH11" i="6" s="1"/>
  <c r="AF7" i="6"/>
  <c r="AH7" i="6" s="1"/>
  <c r="AF5" i="6"/>
  <c r="AH5" i="6" s="1"/>
  <c r="Z32" i="6"/>
  <c r="Z31" i="6"/>
  <c r="Z30" i="6"/>
  <c r="Z27" i="6"/>
  <c r="Z25" i="6"/>
  <c r="Z24" i="6"/>
  <c r="Z23" i="6"/>
  <c r="Z22" i="6"/>
  <c r="Z21" i="6"/>
  <c r="Z20" i="6"/>
  <c r="Z17" i="6"/>
  <c r="AB17" i="6" s="1"/>
  <c r="Z16" i="6"/>
  <c r="AB16" i="6" s="1"/>
  <c r="Z15" i="6"/>
  <c r="AB15" i="6" s="1"/>
  <c r="Z14" i="6"/>
  <c r="AB14" i="6" s="1"/>
  <c r="Z13" i="6"/>
  <c r="AB13" i="6" s="1"/>
  <c r="Z12" i="6"/>
  <c r="AB12" i="6" s="1"/>
  <c r="Z11" i="6"/>
  <c r="AB11" i="6" s="1"/>
  <c r="Z10" i="6"/>
  <c r="AB10" i="6" s="1"/>
  <c r="Z7" i="6"/>
  <c r="AB7" i="6" s="1"/>
  <c r="Z5" i="6"/>
  <c r="AB5" i="6" s="1"/>
  <c r="Z4" i="6"/>
  <c r="AB4" i="6" s="1"/>
  <c r="T27" i="6"/>
  <c r="T16" i="6"/>
  <c r="V16" i="6" s="1"/>
  <c r="T12" i="6"/>
  <c r="V12" i="6" s="1"/>
  <c r="T25" i="6"/>
  <c r="T22" i="6"/>
  <c r="T20" i="6"/>
  <c r="T10" i="6"/>
  <c r="V10" i="6" s="1"/>
  <c r="T5" i="6"/>
  <c r="V5" i="6" s="1"/>
  <c r="T32" i="6"/>
  <c r="T31" i="6"/>
  <c r="T30" i="6"/>
  <c r="T24" i="6"/>
  <c r="T23" i="6"/>
  <c r="T21" i="6"/>
  <c r="T17" i="6"/>
  <c r="V17" i="6" s="1"/>
  <c r="T15" i="6"/>
  <c r="V15" i="6" s="1"/>
  <c r="T14" i="6"/>
  <c r="V14" i="6" s="1"/>
  <c r="T13" i="6"/>
  <c r="V13" i="6" s="1"/>
  <c r="T11" i="6"/>
  <c r="V11" i="6" s="1"/>
  <c r="T7" i="6"/>
  <c r="V7" i="6" s="1"/>
  <c r="T4" i="6"/>
  <c r="V4" i="6" s="1"/>
  <c r="N11" i="6"/>
  <c r="P11" i="6" s="1"/>
  <c r="N12" i="6"/>
  <c r="P12" i="6" s="1"/>
  <c r="N13" i="6"/>
  <c r="P13" i="6" s="1"/>
  <c r="N14" i="6"/>
  <c r="P14" i="6" s="1"/>
  <c r="N15" i="6"/>
  <c r="P15" i="6" s="1"/>
  <c r="N16" i="6"/>
  <c r="P16" i="6" s="1"/>
  <c r="N17" i="6"/>
  <c r="P17" i="6" s="1"/>
  <c r="N10" i="6"/>
  <c r="P10" i="6" s="1"/>
  <c r="N21" i="6"/>
  <c r="N22" i="6"/>
  <c r="N23" i="6"/>
  <c r="N24" i="6"/>
  <c r="N25" i="6"/>
  <c r="N27" i="6"/>
  <c r="N5" i="6"/>
  <c r="P5" i="6" s="1"/>
  <c r="N7" i="6"/>
  <c r="P7" i="6" s="1"/>
  <c r="N4" i="6"/>
  <c r="P4" i="6" s="1"/>
  <c r="N32" i="6"/>
  <c r="N31" i="6"/>
  <c r="N30" i="6"/>
  <c r="N20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tc={291B4204-576C-48A3-8AF7-A117B333B5A6}</author>
    <author>tc={9A7C5F73-91DA-45D4-8A66-1806DDAD24E7}</author>
    <author>tc={94E957C9-054B-45EB-8346-9068FB2A1405}</author>
    <author>tc={36217C04-96E0-4D02-9CA0-63C9CD4BD05B}</author>
    <author>Author</author>
    <author>tc={364DEF8A-1453-40D1-8631-69D3B9F83C43}</author>
  </authors>
  <commentList>
    <comment ref="BO1" authorId="0" shapeId="0" xr:uid="{291B4204-576C-48A3-8AF7-A117B333B5A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Morning, please don’t forget to do the Inventory as soon as possible! Thank you!
Reply:
    [Mention was removed] </t>
      </text>
    </comment>
    <comment ref="IA1" authorId="1" shapeId="0" xr:uid="{9A7C5F73-91DA-45D4-8A66-1806DDAD24E7}">
      <text>
        <t>[Threaded comment]
Your version of Excel allows you to read this threaded comment; however, any edits to it will get removed if the file is opened in a newer version of Excel. Learn more: https://go.microsoft.com/fwlink/?linkid=870924
Comment:
    Morning, please inventory Liquor. Thank you!</t>
      </text>
    </comment>
    <comment ref="IE1" authorId="2" shapeId="0" xr:uid="{94E957C9-054B-45EB-8346-9068FB2A1405}">
      <text>
        <t>[Threaded comment]
Your version of Excel allows you to read this threaded comment; however, any edits to it will get removed if the file is opened in a newer version of Excel. Learn more: https://go.microsoft.com/fwlink/?linkid=870924
Comment:
    Morning, please inventory Liquor. Thank you!</t>
      </text>
    </comment>
    <comment ref="II1" authorId="3" shapeId="0" xr:uid="{36217C04-96E0-4D02-9CA0-63C9CD4BD05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Morning, please inventory Liquor as soon as possible. Thank you! </t>
      </text>
    </comment>
    <comment ref="C8" authorId="4" shapeId="0" xr:uid="{517C9EDF-E358-4320-BE14-047E3AA135AF}">
      <text>
        <r>
          <rPr>
            <sz val="9"/>
            <color indexed="81"/>
            <rFont val="Tahoma"/>
            <family val="2"/>
          </rPr>
          <t xml:space="preserve">changed from 4 to 2
8/27/2025
</t>
        </r>
      </text>
    </comment>
    <comment ref="EQ8" authorId="4" shapeId="0" xr:uid="{DC16862D-F7A6-4711-A65F-76341A22594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2nd ord 4/16
2btl</t>
        </r>
      </text>
    </comment>
    <comment ref="HO8" authorId="4" shapeId="0" xr:uid="{2E4979D6-6CC9-4E77-A2A6-E73B73B561C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tfr from CM</t>
        </r>
      </text>
    </comment>
    <comment ref="LS8" authorId="5" shapeId="0" xr:uid="{364DEF8A-1453-40D1-8631-69D3B9F83C43}">
      <text>
        <t>[Threaded comment]
Your version of Excel allows you to read this threaded comment; however, any edits to it will get removed if the file is opened in a newer version of Excel. Learn more: https://go.microsoft.com/fwlink/?linkid=870924
Comment:
    [Mention was removed]  Good</t>
      </text>
    </comment>
    <comment ref="MA8" authorId="4" shapeId="0" xr:uid="{1CD9BCB7-3A06-4848-BD49-56BB0BC68C2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checked by Mr. Tellez 3/30</t>
        </r>
      </text>
    </comment>
    <comment ref="C10" authorId="4" shapeId="0" xr:uid="{0194C4A1-2BDC-4349-8A85-A0FA8DB54263}">
      <text>
        <r>
          <rPr>
            <sz val="9"/>
            <color indexed="81"/>
            <rFont val="Tahoma"/>
            <family val="2"/>
          </rPr>
          <t xml:space="preserve">changed from 7 to 5
8/27/2025
</t>
        </r>
      </text>
    </comment>
    <comment ref="NT11" authorId="4" shapeId="0" xr:uid="{C4500234-31DE-4AD8-8EF3-9346B55253A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sold 4 6/15/2026
</t>
        </r>
      </text>
    </comment>
    <comment ref="EQ12" authorId="4" shapeId="0" xr:uid="{933D1E73-2BD1-4F9D-86AA-265AFB8913E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2nd ord. 4/16
</t>
        </r>
      </text>
    </comment>
    <comment ref="C13" authorId="4" shapeId="0" xr:uid="{A8C0BE2E-204C-406B-AFAB-260998394404}">
      <text>
        <r>
          <rPr>
            <sz val="9"/>
            <color indexed="81"/>
            <rFont val="Tahoma"/>
            <family val="2"/>
          </rPr>
          <t xml:space="preserve">changed from 4 to 3
8/27/2025
</t>
        </r>
      </text>
    </comment>
    <comment ref="OF13" authorId="4" shapeId="0" xr:uid="{96BC1687-C5E9-49C4-B881-CCD48582AE4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sold 14</t>
        </r>
      </text>
    </comment>
    <comment ref="OJ13" authorId="4" shapeId="0" xr:uid="{C9E8F6AA-035A-421A-981C-31D9D06285A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sold 20</t>
        </r>
      </text>
    </comment>
    <comment ref="ON13" authorId="4" shapeId="0" xr:uid="{8FCF27F1-7726-4F20-B48A-30B3CFE2860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sold 27</t>
        </r>
      </text>
    </comment>
    <comment ref="PL13" authorId="4" shapeId="0" xr:uid="{3EA62B8B-5796-480A-8C9C-46B950C3654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25-1.5btl pmix</t>
        </r>
      </text>
    </comment>
    <comment ref="HO15" authorId="4" shapeId="0" xr:uid="{65DDA894-6E1F-4CA1-B0CA-B050606C796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tfr from CM</t>
        </r>
      </text>
    </comment>
    <comment ref="IY15" authorId="4" shapeId="0" xr:uid="{90733992-5F8F-42C5-A6B9-BAC12A71F2F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tfr to VN 11/14</t>
        </r>
      </text>
    </comment>
    <comment ref="EI20" authorId="4" shapeId="0" xr:uid="{6782ACCC-5FF3-4D9C-AEC2-FC0DCD274A1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tfr from sp 4/2</t>
        </r>
      </text>
    </comment>
    <comment ref="PP20" authorId="4" shapeId="0" xr:uid="{2E6AECC0-6323-44B5-8836-1EAC5A48DE7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sold 2</t>
        </r>
      </text>
    </comment>
    <comment ref="OB26" authorId="4" shapeId="0" xr:uid="{377CAE5C-320B-47F7-BB1B-6CB7C9AE3A8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sold 27</t>
        </r>
      </text>
    </comment>
    <comment ref="OF26" authorId="4" shapeId="0" xr:uid="{551A6946-23F0-46F6-8DD4-3DBB465E6E9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sold 8</t>
        </r>
      </text>
    </comment>
    <comment ref="OJ26" authorId="4" shapeId="0" xr:uid="{453DCA3B-F196-4983-8AA0-1D050439487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sold 15</t>
        </r>
      </text>
    </comment>
  </commentList>
</comments>
</file>

<file path=xl/sharedStrings.xml><?xml version="1.0" encoding="utf-8"?>
<sst xmlns="http://schemas.openxmlformats.org/spreadsheetml/2006/main" count="7788" uniqueCount="158">
  <si>
    <t>ASHBURN</t>
  </si>
  <si>
    <t>DATE</t>
  </si>
  <si>
    <t>NAME</t>
  </si>
  <si>
    <t>TIME</t>
  </si>
  <si>
    <t>Sajid</t>
  </si>
  <si>
    <t>Miriam</t>
  </si>
  <si>
    <t>Kency</t>
  </si>
  <si>
    <t>Cristian</t>
  </si>
  <si>
    <t>9:20 AMMM</t>
  </si>
  <si>
    <t>Michael G</t>
  </si>
  <si>
    <t>George</t>
  </si>
  <si>
    <t>JUICE</t>
  </si>
  <si>
    <t>UNIT</t>
  </si>
  <si>
    <t>PAR</t>
  </si>
  <si>
    <t>TOT</t>
  </si>
  <si>
    <t>ORD</t>
  </si>
  <si>
    <t>USAGE</t>
  </si>
  <si>
    <t>PMIX</t>
  </si>
  <si>
    <t>VAR</t>
  </si>
  <si>
    <t>ORANGE JC</t>
  </si>
  <si>
    <t>12 BTL</t>
  </si>
  <si>
    <t>APPLE JC</t>
  </si>
  <si>
    <t>PINE. MANGO</t>
  </si>
  <si>
    <t>CRANBERRY JC</t>
  </si>
  <si>
    <t>SODA</t>
  </si>
  <si>
    <t xml:space="preserve">PEPSI </t>
  </si>
  <si>
    <t>24 BTL</t>
  </si>
  <si>
    <t>MNT. DEW</t>
  </si>
  <si>
    <t xml:space="preserve">DR. PEPPER </t>
  </si>
  <si>
    <t xml:space="preserve">DIET PEPSI </t>
  </si>
  <si>
    <t>GAT ORANGE</t>
  </si>
  <si>
    <t>GAT FT PUNCH</t>
  </si>
  <si>
    <t>ORANGE SODA</t>
  </si>
  <si>
    <t xml:space="preserve">GREEN TEA </t>
  </si>
  <si>
    <t>BIB SODA</t>
  </si>
  <si>
    <t>5 GL</t>
  </si>
  <si>
    <t>SIERRA MIST</t>
  </si>
  <si>
    <t>PINK LEMONADE</t>
  </si>
  <si>
    <t>MT. DEW</t>
  </si>
  <si>
    <t>ROOT BEER</t>
  </si>
  <si>
    <t>BAR</t>
  </si>
  <si>
    <t>GINGER</t>
  </si>
  <si>
    <t>3 GL</t>
  </si>
  <si>
    <t>CRANBERRY</t>
  </si>
  <si>
    <t>TONIC WATER</t>
  </si>
  <si>
    <t>1 pink lem from CH</t>
  </si>
  <si>
    <t>Changed to Tuesday Night Inv</t>
  </si>
  <si>
    <t>DAY OFF NO PMIX</t>
  </si>
  <si>
    <t>Jadiel</t>
  </si>
  <si>
    <t>Riccy</t>
  </si>
  <si>
    <t>Robert</t>
  </si>
  <si>
    <t>BOTTLES</t>
  </si>
  <si>
    <t>USE</t>
  </si>
  <si>
    <t>CORONA</t>
  </si>
  <si>
    <t xml:space="preserve">CORONA LIGHT </t>
  </si>
  <si>
    <t>MODELO-NEGRA</t>
  </si>
  <si>
    <t>DOS X-LAGER</t>
  </si>
  <si>
    <t>HEINEKEN</t>
  </si>
  <si>
    <t>BUDWEISER</t>
  </si>
  <si>
    <t xml:space="preserve">BUD LIGHT </t>
  </si>
  <si>
    <t>PACIFICO</t>
  </si>
  <si>
    <t>FULL KEGS</t>
  </si>
  <si>
    <t>MODELO-ESPECIAL</t>
  </si>
  <si>
    <t>MILLER LITE</t>
  </si>
  <si>
    <t>DOS X-AMBER</t>
  </si>
  <si>
    <t>YUENGLING</t>
  </si>
  <si>
    <t>VA Eagle</t>
  </si>
  <si>
    <t>Dennise</t>
  </si>
  <si>
    <t>Marita Chihuan</t>
  </si>
  <si>
    <t>Yazmin</t>
  </si>
  <si>
    <t xml:space="preserve">Dennise </t>
  </si>
  <si>
    <t>04.05.25</t>
  </si>
  <si>
    <t>04.12.25</t>
  </si>
  <si>
    <t>TYPE</t>
  </si>
  <si>
    <t>HOUSE&amp;PUPULAR</t>
  </si>
  <si>
    <t>CODE</t>
  </si>
  <si>
    <t>INV</t>
  </si>
  <si>
    <t>TEQUILA</t>
  </si>
  <si>
    <r>
      <t xml:space="preserve">SAUZA SILVER </t>
    </r>
    <r>
      <rPr>
        <b/>
        <sz val="9"/>
        <rFont val="Calibri"/>
        <family val="2"/>
        <scheme val="minor"/>
      </rPr>
      <t>ӿ</t>
    </r>
  </si>
  <si>
    <t>088556</t>
  </si>
  <si>
    <t>1800 REPOSADO</t>
  </si>
  <si>
    <t>LIQUEUR</t>
  </si>
  <si>
    <r>
      <t xml:space="preserve">GRAN GALA </t>
    </r>
    <r>
      <rPr>
        <b/>
        <sz val="9"/>
        <rFont val="Calibri"/>
        <family val="2"/>
        <scheme val="minor"/>
      </rPr>
      <t>ӿ</t>
    </r>
  </si>
  <si>
    <t>PATRON SILVER</t>
  </si>
  <si>
    <t>CASAMIGOS</t>
  </si>
  <si>
    <t>087280</t>
  </si>
  <si>
    <t>VODKA</t>
  </si>
  <si>
    <r>
      <t xml:space="preserve">TITO'S </t>
    </r>
    <r>
      <rPr>
        <b/>
        <sz val="9"/>
        <color theme="1"/>
        <rFont val="Calibri"/>
        <family val="2"/>
        <scheme val="minor"/>
      </rPr>
      <t>ӿ</t>
    </r>
  </si>
  <si>
    <t>RUM</t>
  </si>
  <si>
    <r>
      <t xml:space="preserve">BACARDI </t>
    </r>
    <r>
      <rPr>
        <b/>
        <sz val="9"/>
        <rFont val="Calibri"/>
        <family val="2"/>
        <scheme val="minor"/>
      </rPr>
      <t>ӿ</t>
    </r>
  </si>
  <si>
    <t>SCOTCH</t>
  </si>
  <si>
    <t>DEWARS</t>
  </si>
  <si>
    <t>OTHER</t>
  </si>
  <si>
    <t>PATRON REPOSD</t>
  </si>
  <si>
    <t>GREY GOOSE</t>
  </si>
  <si>
    <t>MYERS DARK</t>
  </si>
  <si>
    <t>WHISKY</t>
  </si>
  <si>
    <t>JACKS DANIELS</t>
  </si>
  <si>
    <t>26826</t>
  </si>
  <si>
    <t>BAILEYS CREAM</t>
  </si>
  <si>
    <t>JOHNNIE WLKR RD</t>
  </si>
  <si>
    <t>5346</t>
  </si>
  <si>
    <t>BOURBON</t>
  </si>
  <si>
    <t>MAKER'S MARK</t>
  </si>
  <si>
    <t>GIN</t>
  </si>
  <si>
    <r>
      <t xml:space="preserve">BEEFEATER </t>
    </r>
    <r>
      <rPr>
        <b/>
        <sz val="9"/>
        <rFont val="Calibri"/>
        <family val="2"/>
        <scheme val="minor"/>
      </rPr>
      <t>ӿ</t>
    </r>
  </si>
  <si>
    <t>BRANDY</t>
  </si>
  <si>
    <t>HENNESSY</t>
  </si>
  <si>
    <t>048241</t>
  </si>
  <si>
    <t>GENERAL PROCEDURES</t>
  </si>
  <si>
    <t xml:space="preserve"> - Every week, new Blank columns will be added - These are the only Columns you are to fill out.</t>
  </si>
  <si>
    <t xml:space="preserve"> - You are to fill out only the areas highlighted "green"</t>
  </si>
  <si>
    <t>07.26.25</t>
  </si>
  <si>
    <t>Manuel C</t>
  </si>
  <si>
    <t xml:space="preserve">Roxana </t>
  </si>
  <si>
    <t>Esmeralda A</t>
  </si>
  <si>
    <t>Manule C</t>
  </si>
  <si>
    <t>MIX</t>
  </si>
  <si>
    <t>ANITARITA MIX</t>
  </si>
  <si>
    <t>CLASSIC MIX</t>
  </si>
  <si>
    <t>GAL</t>
  </si>
  <si>
    <t>Mauel C</t>
  </si>
  <si>
    <t>01.10.25</t>
  </si>
  <si>
    <t>Victor S.</t>
  </si>
  <si>
    <t>Victor</t>
  </si>
  <si>
    <t>1.31.26</t>
  </si>
  <si>
    <t>2.7.26</t>
  </si>
  <si>
    <t>Marita C.</t>
  </si>
  <si>
    <t>04.04.26</t>
  </si>
  <si>
    <t>04.11.26</t>
  </si>
  <si>
    <t>04.18.26</t>
  </si>
  <si>
    <t>04.25.26</t>
  </si>
  <si>
    <t>CENTENARIO SILVER</t>
  </si>
  <si>
    <t>CENTENARIO REPOSD</t>
  </si>
  <si>
    <t>05.02.26</t>
  </si>
  <si>
    <t>05.09.26</t>
  </si>
  <si>
    <t>05.16.26</t>
  </si>
  <si>
    <t>05.23.26</t>
  </si>
  <si>
    <t>05.30.26</t>
  </si>
  <si>
    <t>06.06.26</t>
  </si>
  <si>
    <t>06.13.26</t>
  </si>
  <si>
    <t>06.20.26</t>
  </si>
  <si>
    <t>Patricia G.</t>
  </si>
  <si>
    <t>06.27.26</t>
  </si>
  <si>
    <t>07.04.26</t>
  </si>
  <si>
    <t>07.11.26</t>
  </si>
  <si>
    <t>07.18.26</t>
  </si>
  <si>
    <t>07.25.26</t>
  </si>
  <si>
    <t>08.01.26</t>
  </si>
  <si>
    <t>08.08.26</t>
  </si>
  <si>
    <t>08.15.26</t>
  </si>
  <si>
    <t>08.22.26</t>
  </si>
  <si>
    <t>08.29.26</t>
  </si>
  <si>
    <t>Albert A</t>
  </si>
  <si>
    <t>9.5.26</t>
  </si>
  <si>
    <t>Matilde C</t>
  </si>
  <si>
    <t>9.12.26</t>
  </si>
  <si>
    <t>9.19.26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</si>
</sst>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164" formatCode="0.0"/>
    <numFmt numFmtId="165" formatCode="0.00;[Red]0.00"/>
    <numFmt numFmtId="166" formatCode="0.0_);[Red]\(0.0\)"/>
    <numFmt numFmtId="167" formatCode="0_);[Red]\(0\)"/>
    <numFmt numFmtId="168" formatCode="0;[Red]0"/>
    <numFmt numFmtId="169" formatCode="m/d;@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b/>
      <sz val="8"/>
      <color theme="1"/>
      <name val="Calibri"/>
      <family val="2"/>
    </font>
    <font>
      <sz val="8"/>
      <color theme="1"/>
      <name val="Calibri"/>
      <family val="2"/>
    </font>
    <font>
      <i/>
      <sz val="8"/>
      <color theme="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/>
      <bottom style="thin">
        <color indexed="64"/>
      </bottom>
      <diagonal style="thin">
        <color indexed="64"/>
      </diagonal>
    </border>
  </borders>
  <cellStyleXfs count="19">
    <xf numFmtId="0" fontId="0" fillId="0" borderId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5" fillId="2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6" fillId="0" borderId="0" applyFont="0" applyFill="0" applyBorder="0" applyAlignment="0" applyProtection="0"/>
  </cellStyleXfs>
  <cellXfs count="200">
    <xf numFmtId="0" fontId="0" fillId="0" borderId="0" xfId="0"/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3" xfId="0" applyBorder="1"/>
    <xf numFmtId="0" fontId="3" fillId="0" borderId="0" xfId="0" applyFont="1"/>
    <xf numFmtId="0" fontId="0" fillId="0" borderId="3" xfId="0" applyBorder="1" applyAlignment="1">
      <alignment horizontal="center"/>
    </xf>
    <xf numFmtId="0" fontId="1" fillId="0" borderId="3" xfId="0" applyFont="1" applyBorder="1"/>
    <xf numFmtId="0" fontId="1" fillId="0" borderId="1" xfId="0" applyFont="1" applyBorder="1" applyAlignment="1">
      <alignment horizontal="center"/>
    </xf>
    <xf numFmtId="0" fontId="4" fillId="0" borderId="3" xfId="0" applyFont="1" applyBorder="1" applyAlignment="1">
      <alignment horizontal="center" shrinkToFit="1"/>
    </xf>
    <xf numFmtId="0" fontId="4" fillId="0" borderId="3" xfId="0" applyFont="1" applyBorder="1" applyAlignment="1">
      <alignment horizontal="center"/>
    </xf>
    <xf numFmtId="164" fontId="4" fillId="0" borderId="3" xfId="0" applyNumberFormat="1" applyFont="1" applyBorder="1" applyAlignment="1">
      <alignment horizontal="center"/>
    </xf>
    <xf numFmtId="164" fontId="3" fillId="0" borderId="3" xfId="0" applyNumberFormat="1" applyFont="1" applyBorder="1" applyProtection="1">
      <protection locked="0"/>
    </xf>
    <xf numFmtId="0" fontId="4" fillId="0" borderId="4" xfId="0" applyFont="1" applyBorder="1" applyAlignment="1">
      <alignment horizontal="center" shrinkToFit="1"/>
    </xf>
    <xf numFmtId="164" fontId="3" fillId="0" borderId="3" xfId="0" applyNumberFormat="1" applyFont="1" applyBorder="1"/>
    <xf numFmtId="164" fontId="3" fillId="0" borderId="3" xfId="0" applyNumberFormat="1" applyFont="1" applyBorder="1" applyAlignment="1">
      <alignment horizontal="center"/>
    </xf>
    <xf numFmtId="164" fontId="3" fillId="0" borderId="3" xfId="0" applyNumberFormat="1" applyFont="1" applyBorder="1" applyAlignment="1" applyProtection="1">
      <alignment horizontal="center"/>
      <protection locked="0"/>
    </xf>
    <xf numFmtId="0" fontId="3" fillId="0" borderId="3" xfId="0" applyFont="1" applyBorder="1" applyAlignment="1" applyProtection="1">
      <alignment horizontal="center"/>
      <protection locked="0"/>
    </xf>
    <xf numFmtId="0" fontId="1" fillId="0" borderId="1" xfId="0" applyFont="1" applyBorder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  <xf numFmtId="166" fontId="3" fillId="0" borderId="3" xfId="0" applyNumberFormat="1" applyFont="1" applyBorder="1" applyAlignment="1">
      <alignment horizontal="center"/>
    </xf>
    <xf numFmtId="166" fontId="3" fillId="0" borderId="0" xfId="0" applyNumberFormat="1" applyFont="1"/>
    <xf numFmtId="164" fontId="3" fillId="3" borderId="3" xfId="0" applyNumberFormat="1" applyFont="1" applyFill="1" applyBorder="1" applyAlignment="1" applyProtection="1">
      <alignment horizontal="center"/>
      <protection locked="0"/>
    </xf>
    <xf numFmtId="165" fontId="0" fillId="0" borderId="3" xfId="0" applyNumberFormat="1" applyBorder="1" applyAlignment="1">
      <alignment horizontal="center"/>
    </xf>
    <xf numFmtId="0" fontId="4" fillId="0" borderId="0" xfId="0" applyFont="1" applyAlignment="1">
      <alignment vertical="top"/>
    </xf>
    <xf numFmtId="16" fontId="3" fillId="0" borderId="3" xfId="0" applyNumberFormat="1" applyFont="1" applyBorder="1" applyAlignment="1" applyProtection="1">
      <alignment horizontal="center"/>
      <protection locked="0"/>
    </xf>
    <xf numFmtId="0" fontId="3" fillId="0" borderId="3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left"/>
    </xf>
    <xf numFmtId="2" fontId="0" fillId="0" borderId="0" xfId="0" applyNumberFormat="1" applyAlignment="1">
      <alignment horizontal="center"/>
    </xf>
    <xf numFmtId="164" fontId="0" fillId="0" borderId="0" xfId="0" applyNumberFormat="1"/>
    <xf numFmtId="0" fontId="1" fillId="0" borderId="0" xfId="0" applyFont="1" applyAlignment="1">
      <alignment horizontal="center"/>
    </xf>
    <xf numFmtId="1" fontId="3" fillId="0" borderId="3" xfId="0" applyNumberFormat="1" applyFont="1" applyBorder="1" applyAlignment="1" applyProtection="1">
      <alignment horizontal="center"/>
      <protection locked="0"/>
    </xf>
    <xf numFmtId="0" fontId="1" fillId="0" borderId="0" xfId="0" applyFont="1"/>
    <xf numFmtId="0" fontId="0" fillId="0" borderId="1" xfId="0" applyBorder="1"/>
    <xf numFmtId="0" fontId="0" fillId="4" borderId="3" xfId="0" applyFill="1" applyBorder="1" applyAlignment="1">
      <alignment horizontal="center"/>
    </xf>
    <xf numFmtId="0" fontId="0" fillId="0" borderId="5" xfId="0" applyBorder="1" applyAlignment="1">
      <alignment horizontal="center"/>
    </xf>
    <xf numFmtId="1" fontId="3" fillId="3" borderId="3" xfId="0" applyNumberFormat="1" applyFont="1" applyFill="1" applyBorder="1" applyAlignment="1" applyProtection="1">
      <alignment horizontal="center"/>
      <protection locked="0"/>
    </xf>
    <xf numFmtId="1" fontId="3" fillId="0" borderId="3" xfId="0" applyNumberFormat="1" applyFont="1" applyBorder="1" applyAlignment="1">
      <alignment horizontal="center"/>
    </xf>
    <xf numFmtId="167" fontId="3" fillId="0" borderId="3" xfId="0" applyNumberFormat="1" applyFont="1" applyBorder="1" applyAlignment="1">
      <alignment horizontal="center"/>
    </xf>
    <xf numFmtId="168" fontId="0" fillId="0" borderId="3" xfId="0" applyNumberFormat="1" applyBorder="1" applyAlignment="1">
      <alignment horizontal="center"/>
    </xf>
    <xf numFmtId="2" fontId="0" fillId="4" borderId="0" xfId="0" applyNumberFormat="1" applyFill="1" applyAlignment="1">
      <alignment horizontal="center"/>
    </xf>
    <xf numFmtId="168" fontId="0" fillId="5" borderId="3" xfId="0" applyNumberFormat="1" applyFill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0" fontId="0" fillId="5" borderId="3" xfId="0" applyFill="1" applyBorder="1" applyAlignment="1">
      <alignment horizontal="center"/>
    </xf>
    <xf numFmtId="1" fontId="3" fillId="5" borderId="3" xfId="0" applyNumberFormat="1" applyFont="1" applyFill="1" applyBorder="1" applyAlignment="1" applyProtection="1">
      <alignment horizontal="center"/>
      <protection locked="0"/>
    </xf>
    <xf numFmtId="1" fontId="3" fillId="0" borderId="5" xfId="0" applyNumberFormat="1" applyFont="1" applyBorder="1" applyAlignment="1" applyProtection="1">
      <alignment horizontal="center"/>
      <protection locked="0"/>
    </xf>
    <xf numFmtId="165" fontId="1" fillId="0" borderId="3" xfId="0" applyNumberFormat="1" applyFont="1" applyBorder="1" applyAlignment="1">
      <alignment horizontal="center"/>
    </xf>
    <xf numFmtId="168" fontId="1" fillId="0" borderId="3" xfId="0" applyNumberFormat="1" applyFont="1" applyBorder="1" applyAlignment="1">
      <alignment horizontal="center"/>
    </xf>
    <xf numFmtId="0" fontId="3" fillId="0" borderId="0" xfId="0" applyFont="1" applyAlignment="1" applyProtection="1">
      <alignment horizontal="center"/>
      <protection locked="0"/>
    </xf>
    <xf numFmtId="164" fontId="3" fillId="0" borderId="0" xfId="0" applyNumberFormat="1" applyFont="1" applyAlignment="1" applyProtection="1">
      <alignment horizontal="center"/>
      <protection locked="0"/>
    </xf>
    <xf numFmtId="164" fontId="3" fillId="0" borderId="0" xfId="0" applyNumberFormat="1" applyFont="1" applyProtection="1">
      <protection locked="0"/>
    </xf>
    <xf numFmtId="164" fontId="3" fillId="0" borderId="0" xfId="0" applyNumberFormat="1" applyFont="1"/>
    <xf numFmtId="166" fontId="3" fillId="0" borderId="0" xfId="0" applyNumberFormat="1" applyFont="1" applyAlignment="1">
      <alignment horizontal="center"/>
    </xf>
    <xf numFmtId="1" fontId="3" fillId="0" borderId="0" xfId="0" applyNumberFormat="1" applyFont="1" applyAlignment="1" applyProtection="1">
      <alignment horizontal="center"/>
      <protection locked="0"/>
    </xf>
    <xf numFmtId="1" fontId="3" fillId="0" borderId="0" xfId="0" applyNumberFormat="1" applyFont="1" applyAlignment="1">
      <alignment horizontal="center"/>
    </xf>
    <xf numFmtId="167" fontId="3" fillId="0" borderId="0" xfId="0" applyNumberFormat="1" applyFont="1" applyAlignment="1">
      <alignment horizontal="center"/>
    </xf>
    <xf numFmtId="1" fontId="3" fillId="6" borderId="3" xfId="0" applyNumberFormat="1" applyFont="1" applyFill="1" applyBorder="1" applyAlignment="1" applyProtection="1">
      <alignment horizontal="center"/>
      <protection locked="0"/>
    </xf>
    <xf numFmtId="9" fontId="3" fillId="0" borderId="0" xfId="18" applyFont="1" applyFill="1"/>
    <xf numFmtId="165" fontId="0" fillId="0" borderId="0" xfId="0" applyNumberFormat="1" applyAlignment="1">
      <alignment horizontal="center"/>
    </xf>
    <xf numFmtId="168" fontId="0" fillId="0" borderId="0" xfId="0" applyNumberFormat="1" applyAlignment="1">
      <alignment horizontal="center"/>
    </xf>
    <xf numFmtId="0" fontId="7" fillId="7" borderId="0" xfId="0" applyFont="1" applyFill="1"/>
    <xf numFmtId="0" fontId="1" fillId="7" borderId="3" xfId="0" applyFont="1" applyFill="1" applyBorder="1"/>
    <xf numFmtId="0" fontId="0" fillId="6" borderId="3" xfId="0" applyFill="1" applyBorder="1"/>
    <xf numFmtId="0" fontId="0" fillId="6" borderId="3" xfId="0" applyFill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0" fontId="3" fillId="6" borderId="0" xfId="0" applyFont="1" applyFill="1"/>
    <xf numFmtId="0" fontId="3" fillId="6" borderId="3" xfId="0" applyFont="1" applyFill="1" applyBorder="1" applyAlignment="1" applyProtection="1">
      <alignment horizontal="center"/>
      <protection locked="0"/>
    </xf>
    <xf numFmtId="164" fontId="3" fillId="6" borderId="3" xfId="0" applyNumberFormat="1" applyFont="1" applyFill="1" applyBorder="1" applyAlignment="1" applyProtection="1">
      <alignment horizontal="center"/>
      <protection locked="0"/>
    </xf>
    <xf numFmtId="164" fontId="3" fillId="6" borderId="3" xfId="0" applyNumberFormat="1" applyFont="1" applyFill="1" applyBorder="1" applyProtection="1">
      <protection locked="0"/>
    </xf>
    <xf numFmtId="164" fontId="3" fillId="6" borderId="3" xfId="0" applyNumberFormat="1" applyFont="1" applyFill="1" applyBorder="1"/>
    <xf numFmtId="166" fontId="3" fillId="6" borderId="3" xfId="0" applyNumberFormat="1" applyFont="1" applyFill="1" applyBorder="1" applyAlignment="1">
      <alignment horizontal="center"/>
    </xf>
    <xf numFmtId="1" fontId="3" fillId="6" borderId="3" xfId="0" applyNumberFormat="1" applyFont="1" applyFill="1" applyBorder="1" applyAlignment="1">
      <alignment horizontal="center"/>
    </xf>
    <xf numFmtId="167" fontId="3" fillId="6" borderId="3" xfId="0" applyNumberFormat="1" applyFont="1" applyFill="1" applyBorder="1" applyAlignment="1">
      <alignment horizontal="center"/>
    </xf>
    <xf numFmtId="0" fontId="0" fillId="8" borderId="3" xfId="0" applyFill="1" applyBorder="1"/>
    <xf numFmtId="0" fontId="0" fillId="3" borderId="0" xfId="0" applyFill="1" applyAlignment="1">
      <alignment horizontal="center"/>
    </xf>
    <xf numFmtId="0" fontId="4" fillId="3" borderId="0" xfId="0" applyFont="1" applyFill="1" applyAlignment="1">
      <alignment vertical="top"/>
    </xf>
    <xf numFmtId="0" fontId="4" fillId="3" borderId="0" xfId="0" applyFont="1" applyFill="1"/>
    <xf numFmtId="0" fontId="3" fillId="3" borderId="0" xfId="0" applyFont="1" applyFill="1"/>
    <xf numFmtId="0" fontId="4" fillId="3" borderId="0" xfId="0" applyFont="1" applyFill="1" applyAlignment="1">
      <alignment horizontal="center"/>
    </xf>
    <xf numFmtId="16" fontId="3" fillId="3" borderId="3" xfId="0" applyNumberFormat="1" applyFont="1" applyFill="1" applyBorder="1" applyAlignment="1" applyProtection="1">
      <alignment horizontal="center"/>
      <protection locked="0"/>
    </xf>
    <xf numFmtId="0" fontId="3" fillId="3" borderId="1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18" fontId="4" fillId="3" borderId="1" xfId="0" applyNumberFormat="1" applyFont="1" applyFill="1" applyBorder="1" applyAlignment="1">
      <alignment horizontal="center"/>
    </xf>
    <xf numFmtId="18" fontId="4" fillId="3" borderId="2" xfId="0" applyNumberFormat="1" applyFont="1" applyFill="1" applyBorder="1" applyAlignment="1">
      <alignment horizontal="center"/>
    </xf>
    <xf numFmtId="1" fontId="0" fillId="0" borderId="3" xfId="0" applyNumberForma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9" fillId="0" borderId="1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9" fillId="0" borderId="3" xfId="0" applyFont="1" applyBorder="1" applyAlignment="1">
      <alignment horizontal="center"/>
    </xf>
    <xf numFmtId="0" fontId="8" fillId="0" borderId="0" xfId="0" applyFont="1"/>
    <xf numFmtId="0" fontId="9" fillId="0" borderId="3" xfId="0" applyFont="1" applyBorder="1" applyAlignment="1">
      <alignment horizontal="center" vertical="center"/>
    </xf>
    <xf numFmtId="1" fontId="9" fillId="0" borderId="3" xfId="0" applyNumberFormat="1" applyFont="1" applyBorder="1" applyAlignment="1">
      <alignment horizontal="center" vertical="center"/>
    </xf>
    <xf numFmtId="0" fontId="10" fillId="0" borderId="3" xfId="1" applyFont="1" applyBorder="1" applyAlignment="1">
      <alignment horizontal="left" vertical="center"/>
    </xf>
    <xf numFmtId="164" fontId="11" fillId="0" borderId="4" xfId="1" quotePrefix="1" applyNumberFormat="1" applyFont="1" applyBorder="1" applyAlignment="1">
      <alignment horizontal="center" vertical="center"/>
    </xf>
    <xf numFmtId="1" fontId="11" fillId="0" borderId="4" xfId="1" quotePrefix="1" applyNumberFormat="1" applyFont="1" applyBorder="1" applyAlignment="1">
      <alignment horizontal="center" vertical="center"/>
    </xf>
    <xf numFmtId="49" fontId="8" fillId="0" borderId="3" xfId="0" applyNumberFormat="1" applyFont="1" applyBorder="1" applyAlignment="1">
      <alignment horizontal="center"/>
    </xf>
    <xf numFmtId="0" fontId="8" fillId="0" borderId="3" xfId="0" applyFont="1" applyBorder="1" applyAlignment="1">
      <alignment vertical="center"/>
    </xf>
    <xf numFmtId="0" fontId="8" fillId="0" borderId="3" xfId="0" applyFont="1" applyBorder="1" applyAlignment="1">
      <alignment horizontal="left" vertical="center" shrinkToFit="1"/>
    </xf>
    <xf numFmtId="0" fontId="8" fillId="0" borderId="3" xfId="0" applyFont="1" applyBorder="1" applyAlignment="1">
      <alignment horizontal="left" vertical="center"/>
    </xf>
    <xf numFmtId="2" fontId="11" fillId="0" borderId="4" xfId="1" quotePrefix="1" applyNumberFormat="1" applyFont="1" applyBorder="1" applyAlignment="1">
      <alignment horizontal="center" vertical="center"/>
    </xf>
    <xf numFmtId="0" fontId="8" fillId="0" borderId="3" xfId="0" applyFont="1" applyBorder="1" applyAlignment="1">
      <alignment vertical="center" shrinkToFit="1"/>
    </xf>
    <xf numFmtId="0" fontId="8" fillId="0" borderId="0" xfId="0" applyFont="1" applyAlignment="1">
      <alignment horizontal="center"/>
    </xf>
    <xf numFmtId="1" fontId="8" fillId="0" borderId="0" xfId="0" applyNumberFormat="1" applyFont="1"/>
    <xf numFmtId="164" fontId="11" fillId="0" borderId="4" xfId="1" quotePrefix="1" applyNumberFormat="1" applyFont="1" applyBorder="1" applyAlignment="1" applyProtection="1">
      <alignment horizontal="center" vertical="center"/>
      <protection locked="0"/>
    </xf>
    <xf numFmtId="0" fontId="12" fillId="0" borderId="0" xfId="0" applyFont="1"/>
    <xf numFmtId="0" fontId="13" fillId="0" borderId="0" xfId="0" applyFont="1"/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left"/>
    </xf>
    <xf numFmtId="0" fontId="14" fillId="0" borderId="0" xfId="0" applyFont="1"/>
    <xf numFmtId="0" fontId="9" fillId="0" borderId="3" xfId="0" applyFont="1" applyBorder="1"/>
    <xf numFmtId="165" fontId="9" fillId="0" borderId="3" xfId="0" applyNumberFormat="1" applyFont="1" applyBorder="1" applyAlignment="1">
      <alignment horizontal="center" vertical="center"/>
    </xf>
    <xf numFmtId="165" fontId="11" fillId="0" borderId="4" xfId="1" quotePrefix="1" applyNumberFormat="1" applyFont="1" applyBorder="1" applyAlignment="1">
      <alignment horizontal="center" vertical="center"/>
    </xf>
    <xf numFmtId="165" fontId="8" fillId="0" borderId="0" xfId="0" applyNumberFormat="1" applyFont="1"/>
    <xf numFmtId="164" fontId="11" fillId="0" borderId="4" xfId="1" applyNumberFormat="1" applyFont="1" applyBorder="1" applyAlignment="1">
      <alignment horizontal="center" vertical="center"/>
    </xf>
    <xf numFmtId="1" fontId="11" fillId="0" borderId="4" xfId="1" applyNumberFormat="1" applyFont="1" applyBorder="1" applyAlignment="1">
      <alignment horizontal="center" vertical="center"/>
    </xf>
    <xf numFmtId="1" fontId="11" fillId="10" borderId="4" xfId="1" quotePrefix="1" applyNumberFormat="1" applyFont="1" applyFill="1" applyBorder="1" applyAlignment="1">
      <alignment horizontal="center" vertical="center"/>
    </xf>
    <xf numFmtId="164" fontId="11" fillId="5" borderId="4" xfId="1" quotePrefix="1" applyNumberFormat="1" applyFont="1" applyFill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165" fontId="9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 applyProtection="1">
      <alignment horizontal="center" vertical="center"/>
      <protection locked="0"/>
    </xf>
    <xf numFmtId="0" fontId="10" fillId="0" borderId="6" xfId="1" applyFont="1" applyBorder="1" applyAlignment="1">
      <alignment horizontal="left" vertical="center"/>
    </xf>
    <xf numFmtId="0" fontId="8" fillId="0" borderId="3" xfId="0" applyFont="1" applyBorder="1"/>
    <xf numFmtId="0" fontId="10" fillId="0" borderId="2" xfId="1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 shrinkToFit="1"/>
    </xf>
    <xf numFmtId="0" fontId="8" fillId="0" borderId="2" xfId="0" applyFont="1" applyBorder="1" applyAlignment="1">
      <alignment vertical="center"/>
    </xf>
    <xf numFmtId="0" fontId="8" fillId="0" borderId="2" xfId="0" applyFont="1" applyBorder="1" applyAlignment="1">
      <alignment horizontal="left" vertical="center"/>
    </xf>
    <xf numFmtId="0" fontId="17" fillId="0" borderId="4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7" xfId="0" applyFont="1" applyBorder="1" applyAlignment="1">
      <alignment horizontal="center"/>
    </xf>
    <xf numFmtId="0" fontId="9" fillId="9" borderId="3" xfId="0" applyFont="1" applyFill="1" applyBorder="1"/>
    <xf numFmtId="0" fontId="9" fillId="9" borderId="3" xfId="0" applyFont="1" applyFill="1" applyBorder="1" applyAlignment="1">
      <alignment horizontal="center" vertical="center"/>
    </xf>
    <xf numFmtId="169" fontId="8" fillId="0" borderId="3" xfId="0" applyNumberFormat="1" applyFont="1" applyBorder="1" applyAlignment="1">
      <alignment horizontal="center"/>
    </xf>
    <xf numFmtId="169" fontId="8" fillId="0" borderId="3" xfId="0" applyNumberFormat="1" applyFont="1" applyBorder="1" applyAlignment="1" applyProtection="1">
      <alignment horizontal="center"/>
      <protection locked="0"/>
    </xf>
    <xf numFmtId="169" fontId="9" fillId="0" borderId="3" xfId="0" applyNumberFormat="1" applyFont="1" applyBorder="1" applyAlignment="1">
      <alignment horizontal="center"/>
    </xf>
    <xf numFmtId="169" fontId="9" fillId="0" borderId="3" xfId="0" applyNumberFormat="1" applyFont="1" applyBorder="1" applyAlignment="1" applyProtection="1">
      <alignment horizontal="center"/>
      <protection locked="0"/>
    </xf>
    <xf numFmtId="0" fontId="9" fillId="9" borderId="3" xfId="0" applyFont="1" applyFill="1" applyBorder="1" applyAlignment="1" applyProtection="1">
      <alignment horizontal="center" vertical="center"/>
      <protection locked="0"/>
    </xf>
    <xf numFmtId="0" fontId="8" fillId="0" borderId="0" xfId="0" applyFont="1" applyProtection="1">
      <protection locked="0"/>
    </xf>
    <xf numFmtId="0" fontId="9" fillId="0" borderId="3" xfId="0" applyFont="1" applyBorder="1" applyAlignment="1" applyProtection="1">
      <alignment horizontal="center" vertical="center"/>
      <protection locked="0"/>
    </xf>
    <xf numFmtId="1" fontId="11" fillId="0" borderId="5" xfId="1" quotePrefix="1" applyNumberFormat="1" applyFont="1" applyBorder="1" applyAlignment="1">
      <alignment horizontal="center" vertical="center"/>
    </xf>
    <xf numFmtId="1" fontId="11" fillId="0" borderId="8" xfId="1" quotePrefix="1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164" fontId="11" fillId="0" borderId="1" xfId="1" quotePrefix="1" applyNumberFormat="1" applyFont="1" applyBorder="1" applyAlignment="1">
      <alignment horizontal="center" vertical="center"/>
    </xf>
    <xf numFmtId="164" fontId="11" fillId="0" borderId="2" xfId="1" quotePrefix="1" applyNumberFormat="1" applyFont="1" applyBorder="1" applyAlignment="1">
      <alignment horizontal="center" vertical="center"/>
    </xf>
    <xf numFmtId="1" fontId="9" fillId="0" borderId="3" xfId="0" applyNumberFormat="1" applyFont="1" applyBorder="1" applyAlignment="1">
      <alignment horizontal="left" vertical="center"/>
    </xf>
    <xf numFmtId="169" fontId="8" fillId="0" borderId="3" xfId="0" applyNumberFormat="1" applyFont="1" applyBorder="1" applyAlignment="1">
      <alignment horizontal="center"/>
    </xf>
    <xf numFmtId="1" fontId="9" fillId="0" borderId="3" xfId="0" applyNumberFormat="1" applyFont="1" applyBorder="1" applyAlignment="1" applyProtection="1">
      <alignment horizontal="left" vertical="center"/>
      <protection locked="0"/>
    </xf>
    <xf numFmtId="169" fontId="8" fillId="0" borderId="3" xfId="0" applyNumberFormat="1" applyFont="1" applyBorder="1" applyAlignment="1" applyProtection="1">
      <alignment horizontal="center"/>
      <protection locked="0"/>
    </xf>
    <xf numFmtId="164" fontId="11" fillId="0" borderId="1" xfId="1" quotePrefix="1" applyNumberFormat="1" applyFont="1" applyBorder="1" applyAlignment="1" applyProtection="1">
      <alignment horizontal="center" vertical="center"/>
      <protection locked="0"/>
    </xf>
    <xf numFmtId="164" fontId="11" fillId="0" borderId="2" xfId="1" quotePrefix="1" applyNumberFormat="1" applyFont="1" applyBorder="1" applyAlignment="1" applyProtection="1">
      <alignment horizontal="center" vertical="center"/>
      <protection locked="0"/>
    </xf>
    <xf numFmtId="169" fontId="9" fillId="0" borderId="3" xfId="0" applyNumberFormat="1" applyFont="1" applyBorder="1" applyAlignment="1" applyProtection="1">
      <alignment horizontal="center"/>
      <protection locked="0"/>
    </xf>
    <xf numFmtId="1" fontId="8" fillId="0" borderId="3" xfId="0" applyNumberFormat="1" applyFont="1" applyBorder="1" applyAlignment="1">
      <alignment horizontal="center"/>
    </xf>
    <xf numFmtId="1" fontId="9" fillId="0" borderId="3" xfId="0" applyNumberFormat="1" applyFont="1" applyBorder="1" applyAlignment="1">
      <alignment horizontal="center"/>
    </xf>
    <xf numFmtId="0" fontId="8" fillId="0" borderId="1" xfId="0" applyFont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169" fontId="9" fillId="0" borderId="3" xfId="0" applyNumberFormat="1" applyFont="1" applyBorder="1" applyAlignment="1">
      <alignment horizontal="center"/>
    </xf>
    <xf numFmtId="1" fontId="8" fillId="0" borderId="3" xfId="0" applyNumberFormat="1" applyFont="1" applyBorder="1" applyAlignment="1" applyProtection="1">
      <alignment horizontal="left" vertical="center"/>
      <protection locked="0"/>
    </xf>
    <xf numFmtId="0" fontId="9" fillId="0" borderId="1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1" fontId="8" fillId="0" borderId="3" xfId="0" applyNumberFormat="1" applyFont="1" applyBorder="1" applyAlignment="1">
      <alignment horizontal="left" vertical="center"/>
    </xf>
    <xf numFmtId="1" fontId="9" fillId="0" borderId="3" xfId="0" applyNumberFormat="1" applyFont="1" applyBorder="1" applyAlignment="1" applyProtection="1">
      <alignment horizontal="center"/>
      <protection locked="0"/>
    </xf>
    <xf numFmtId="164" fontId="11" fillId="0" borderId="1" xfId="1" applyNumberFormat="1" applyFont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9" fillId="9" borderId="2" xfId="0" applyFont="1" applyFill="1" applyBorder="1" applyAlignment="1">
      <alignment horizontal="center" vertical="center"/>
    </xf>
    <xf numFmtId="18" fontId="3" fillId="0" borderId="1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3" borderId="3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8" fontId="4" fillId="3" borderId="1" xfId="0" applyNumberFormat="1" applyFont="1" applyFill="1" applyBorder="1" applyAlignment="1">
      <alignment horizontal="center"/>
    </xf>
    <xf numFmtId="18" fontId="4" fillId="3" borderId="2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1" fontId="8" fillId="0" borderId="3" xfId="0" applyNumberFormat="1" applyFont="1" applyBorder="1" applyAlignment="1" applyProtection="1">
      <alignment horizontal="center"/>
      <protection locked="0"/>
    </xf>
    <xf numFmtId="0" fontId="9" fillId="0" borderId="3" xfId="0" applyFont="1" applyFill="1" applyBorder="1" applyProtection="1"/>
    <xf numFmtId="1" fontId="9" fillId="0" borderId="3" xfId="0" applyNumberFormat="1" applyFont="1" applyFill="1" applyBorder="1" applyAlignment="1" applyProtection="1">
      <alignment horizontal="left" vertical="center"/>
    </xf>
    <xf numFmtId="169" fontId="8" fillId="0" borderId="3" xfId="0" applyNumberFormat="1" applyFont="1" applyFill="1" applyBorder="1" applyAlignment="1" applyProtection="1">
      <alignment horizontal="center"/>
    </xf>
    <xf numFmtId="0" fontId="9" fillId="0" borderId="1" xfId="0" applyFont="1" applyFill="1" applyBorder="1" applyAlignment="1" applyProtection="1">
      <alignment horizontal="center" vertical="center"/>
    </xf>
    <xf numFmtId="0" fontId="9" fillId="0" borderId="2" xfId="0" applyFont="1" applyFill="1" applyBorder="1" applyAlignment="1" applyProtection="1">
      <alignment horizontal="center" vertical="center"/>
    </xf>
    <xf numFmtId="0" fontId="9" fillId="0" borderId="3" xfId="0" applyFont="1" applyFill="1" applyBorder="1" applyAlignment="1" applyProtection="1">
      <alignment horizontal="center" vertical="center"/>
    </xf>
    <xf numFmtId="164" fontId="11" fillId="0" borderId="1" xfId="1" quotePrefix="1" applyNumberFormat="1" applyFont="1" applyFill="1" applyBorder="1" applyAlignment="1" applyProtection="1">
      <alignment horizontal="center" vertical="center"/>
    </xf>
    <xf numFmtId="164" fontId="11" fillId="0" borderId="2" xfId="1" quotePrefix="1" applyNumberFormat="1" applyFont="1" applyFill="1" applyBorder="1" applyAlignment="1" applyProtection="1">
      <alignment horizontal="center" vertical="center"/>
    </xf>
    <xf numFmtId="164" fontId="11" fillId="0" borderId="4" xfId="1" quotePrefix="1" applyNumberFormat="1" applyFont="1" applyFill="1" applyBorder="1" applyAlignment="1" applyProtection="1">
      <alignment horizontal="center" vertical="center"/>
    </xf>
    <xf numFmtId="0" fontId="8" fillId="0" borderId="0" xfId="0" applyFont="1" applyFill="1" applyProtection="1"/>
    <xf numFmtId="1" fontId="8" fillId="0" borderId="0" xfId="0" applyNumberFormat="1" applyFont="1" applyFill="1" applyProtection="1"/>
    <xf numFmtId="1" fontId="9" fillId="0" borderId="3" xfId="0" applyNumberFormat="1" applyFont="1" applyFill="1" applyBorder="1" applyAlignment="1" applyProtection="1">
      <alignment horizontal="center" vertical="center"/>
    </xf>
    <xf numFmtId="1" fontId="11" fillId="0" borderId="4" xfId="1" quotePrefix="1" applyNumberFormat="1" applyFont="1" applyFill="1" applyBorder="1" applyAlignment="1" applyProtection="1">
      <alignment horizontal="center" vertical="center"/>
    </xf>
    <xf numFmtId="1" fontId="11" fillId="0" borderId="4" xfId="1" applyNumberFormat="1" applyFont="1" applyFill="1" applyBorder="1" applyAlignment="1" applyProtection="1">
      <alignment horizontal="center" vertical="center"/>
    </xf>
    <xf numFmtId="0" fontId="9" fillId="0" borderId="4" xfId="0" applyFont="1" applyFill="1" applyBorder="1" applyAlignment="1" applyProtection="1">
      <alignment horizontal="center" vertical="center"/>
    </xf>
    <xf numFmtId="1" fontId="9" fillId="0" borderId="4" xfId="0" applyNumberFormat="1" applyFont="1" applyFill="1" applyBorder="1" applyAlignment="1" applyProtection="1">
      <alignment horizontal="center" vertical="center"/>
    </xf>
    <xf numFmtId="1" fontId="11" fillId="0" borderId="5" xfId="1" quotePrefix="1" applyNumberFormat="1" applyFont="1" applyFill="1" applyBorder="1" applyAlignment="1" applyProtection="1">
      <alignment horizontal="center" vertical="center"/>
    </xf>
    <xf numFmtId="1" fontId="11" fillId="0" borderId="8" xfId="1" quotePrefix="1" applyNumberFormat="1" applyFont="1" applyFill="1" applyBorder="1" applyAlignment="1" applyProtection="1">
      <alignment horizontal="center" vertical="center"/>
    </xf>
  </cellXfs>
  <cellStyles count="19">
    <cellStyle name="Currency 2" xfId="2" xr:uid="{00000000-0005-0000-0000-000030000000}"/>
    <cellStyle name="Currency 2 2" xfId="3" xr:uid="{00000000-0005-0000-0000-000031000000}"/>
    <cellStyle name="Neutral 2" xfId="4" xr:uid="{00000000-0005-0000-0000-000032000000}"/>
    <cellStyle name="Normal" xfId="0" builtinId="0"/>
    <cellStyle name="Normal 2" xfId="5" xr:uid="{00000000-0005-0000-0000-000033000000}"/>
    <cellStyle name="Normal 2 2" xfId="6" xr:uid="{00000000-0005-0000-0000-000034000000}"/>
    <cellStyle name="Normal 2 2 2" xfId="1" xr:uid="{1996C138-A7DA-42C2-B40D-9BB0353818F4}"/>
    <cellStyle name="Normal 2 2 3" xfId="7" xr:uid="{00000000-0005-0000-0000-000035000000}"/>
    <cellStyle name="Normal 2 2 4" xfId="8" xr:uid="{00000000-0005-0000-0000-000036000000}"/>
    <cellStyle name="Normal 2 2 5" xfId="9" xr:uid="{00000000-0005-0000-0000-000037000000}"/>
    <cellStyle name="Normal 2 2 6" xfId="10" xr:uid="{00000000-0005-0000-0000-000038000000}"/>
    <cellStyle name="Normal 2 2 7" xfId="11" xr:uid="{00000000-0005-0000-0000-000039000000}"/>
    <cellStyle name="Normal 2 3" xfId="12" xr:uid="{00000000-0005-0000-0000-00003A000000}"/>
    <cellStyle name="Normal 2 3 2" xfId="13" xr:uid="{00000000-0005-0000-0000-00003B000000}"/>
    <cellStyle name="Normal 2 3 3" xfId="14" xr:uid="{00000000-0005-0000-0000-00003C000000}"/>
    <cellStyle name="Normal 2 3 4" xfId="15" xr:uid="{00000000-0005-0000-0000-00003D000000}"/>
    <cellStyle name="Normal 2 3 5" xfId="16" xr:uid="{00000000-0005-0000-0000-00003E000000}"/>
    <cellStyle name="Normal 2 3 6" xfId="17" xr:uid="{00000000-0005-0000-0000-00003F000000}"/>
    <cellStyle name="Percent" xfId="18" builtinId="5"/>
  </cellStyles>
  <dxfs count="453"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colors>
    <mruColors>
      <color rgb="FFCCFFFF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O1" dT="2024-11-25T12:21:30.31" personId="{00000000-0000-0000-0000-000000000000}" id="{291B4204-576C-48A3-8AF7-A117B333B5A6}">
    <text>Morning, please don’t forget to do the Inventory as soon as possible! Thank you!</text>
  </threadedComment>
  <threadedComment ref="BO1" dT="2024-11-25T12:21:36.01" personId="{00000000-0000-0000-0000-000000000000}" id="{1867D7DC-59E1-4406-B15B-A0C3D105B8AE}" parentId="{291B4204-576C-48A3-8AF7-A117B333B5A6}">
    <text xml:space="preserve">[Mention was removed] </text>
  </threadedComment>
  <threadedComment ref="IA1" dT="2025-09-29T11:12:17.97" personId="{00000000-0000-0000-0000-000000000000}" id="{9A7C5F73-91DA-45D4-8A66-1806DDAD24E7}">
    <text>Morning, please inventory Liquor. Thank you!</text>
  </threadedComment>
  <threadedComment ref="IE1" dT="2025-10-06T14:49:29.18" personId="{00000000-0000-0000-0000-000000000000}" id="{94E957C9-054B-45EB-8346-9068FB2A1405}">
    <text>Morning, please inventory Liquor. Thank you!</text>
  </threadedComment>
  <threadedComment ref="II1" dT="2025-10-13T11:14:17.21" personId="{00000000-0000-0000-0000-000000000000}" id="{36217C04-96E0-4D02-9CA0-63C9CD4BD05B}">
    <text xml:space="preserve">Morning, please inventory Liquor as soon as possible. Thank you! </text>
  </threadedComment>
  <threadedComment ref="LS8" dT="2026-03-16T11:49:29.12" personId="{00000000-0000-0000-0000-000000000000}" id="{364DEF8A-1453-40D1-8631-69D3B9F83C43}">
    <text>[Mention was removed]  Good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7BC0A-A2B9-4252-9F07-2AD0532FA19C}">
  <sheetPr>
    <tabColor rgb="FF0070C0"/>
  </sheetPr>
  <dimension ref="A1:AOS35"/>
  <sheetViews>
    <sheetView showZeros="0" zoomScaleNormal="100" workbookViewId="0">
      <selection activeCell="AOP14" sqref="AOP14"/>
    </sheetView>
  </sheetViews>
  <sheetFormatPr defaultRowHeight="15" x14ac:dyDescent="0.25"/>
  <cols>
    <col min="1" max="1" width="15.85546875" style="4" bestFit="1" customWidth="1"/>
    <col min="2" max="2" width="6" style="4" hidden="1" customWidth="1"/>
    <col min="3" max="3" width="6.85546875" style="4" hidden="1" customWidth="1"/>
    <col min="4" max="4" width="4.7109375" style="4" customWidth="1"/>
    <col min="5" max="5" width="2.140625" style="4" hidden="1" customWidth="1"/>
    <col min="6" max="6" width="6.7109375" style="4" hidden="1" customWidth="1"/>
    <col min="7" max="7" width="5.7109375" style="4" hidden="1" customWidth="1"/>
    <col min="8" max="8" width="7.140625" style="4" hidden="1" customWidth="1"/>
    <col min="9" max="9" width="6.28515625" style="4" hidden="1" customWidth="1"/>
    <col min="10" max="10" width="6.42578125" style="4" hidden="1" customWidth="1"/>
    <col min="11" max="11" width="2.42578125" style="4" hidden="1" customWidth="1"/>
    <col min="12" max="12" width="6.7109375" style="4" hidden="1" customWidth="1"/>
    <col min="13" max="13" width="5.7109375" style="4" hidden="1" customWidth="1"/>
    <col min="14" max="14" width="7.140625" style="4" hidden="1" customWidth="1"/>
    <col min="15" max="15" width="5.85546875" style="4" hidden="1" customWidth="1"/>
    <col min="16" max="16" width="6" style="4" hidden="1" customWidth="1"/>
    <col min="17" max="17" width="2.42578125" style="4" hidden="1" customWidth="1"/>
    <col min="18" max="18" width="6.7109375" style="4" hidden="1" customWidth="1"/>
    <col min="19" max="19" width="5.7109375" style="4" hidden="1" customWidth="1"/>
    <col min="20" max="20" width="7.140625" style="4" hidden="1" customWidth="1"/>
    <col min="21" max="21" width="5.85546875" style="4" hidden="1" customWidth="1"/>
    <col min="22" max="22" width="7" style="4" hidden="1" customWidth="1"/>
    <col min="23" max="23" width="2.42578125" style="4" hidden="1" customWidth="1"/>
    <col min="24" max="24" width="6.7109375" style="4" hidden="1" customWidth="1"/>
    <col min="25" max="25" width="5.7109375" style="4" hidden="1" customWidth="1"/>
    <col min="26" max="26" width="7.140625" style="4" hidden="1" customWidth="1"/>
    <col min="27" max="27" width="5.85546875" style="4" hidden="1" customWidth="1"/>
    <col min="28" max="28" width="7" style="4" hidden="1" customWidth="1"/>
    <col min="29" max="29" width="2.42578125" style="4" hidden="1" customWidth="1"/>
    <col min="30" max="30" width="6.7109375" style="4" hidden="1" customWidth="1"/>
    <col min="31" max="31" width="5.7109375" style="4" hidden="1" customWidth="1"/>
    <col min="32" max="32" width="7.140625" style="4" hidden="1" customWidth="1"/>
    <col min="33" max="33" width="5.85546875" style="4" hidden="1" customWidth="1"/>
    <col min="34" max="34" width="7" style="4" hidden="1" customWidth="1"/>
    <col min="35" max="35" width="2.42578125" style="4" hidden="1" customWidth="1"/>
    <col min="36" max="36" width="6.7109375" style="4" hidden="1" customWidth="1"/>
    <col min="37" max="37" width="5.7109375" style="4" hidden="1" customWidth="1"/>
    <col min="38" max="38" width="7.140625" style="4" hidden="1" customWidth="1"/>
    <col min="39" max="39" width="5.85546875" style="4" hidden="1" customWidth="1"/>
    <col min="40" max="40" width="7" style="4" hidden="1" customWidth="1"/>
    <col min="41" max="41" width="2.42578125" style="4" hidden="1" customWidth="1"/>
    <col min="42" max="42" width="6.7109375" style="4" hidden="1" customWidth="1"/>
    <col min="43" max="43" width="5.7109375" style="4" hidden="1" customWidth="1"/>
    <col min="44" max="44" width="7.140625" style="4" hidden="1" customWidth="1"/>
    <col min="45" max="45" width="5.85546875" style="4" hidden="1" customWidth="1"/>
    <col min="46" max="46" width="7" style="4" hidden="1" customWidth="1"/>
    <col min="47" max="47" width="2.42578125" style="4" hidden="1" customWidth="1"/>
    <col min="48" max="48" width="7.140625" style="4" hidden="1" customWidth="1"/>
    <col min="49" max="49" width="5.7109375" style="4" hidden="1" customWidth="1"/>
    <col min="50" max="50" width="7.140625" style="4" hidden="1" customWidth="1"/>
    <col min="51" max="51" width="5.85546875" style="4" hidden="1" customWidth="1"/>
    <col min="52" max="52" width="7" style="4" hidden="1" customWidth="1"/>
    <col min="53" max="53" width="2.42578125" style="4" hidden="1" customWidth="1"/>
    <col min="54" max="54" width="7.140625" style="4" hidden="1" customWidth="1"/>
    <col min="55" max="55" width="5.7109375" style="4" hidden="1" customWidth="1"/>
    <col min="56" max="56" width="7.140625" style="4" hidden="1" customWidth="1"/>
    <col min="57" max="57" width="5.85546875" style="4" hidden="1" customWidth="1"/>
    <col min="58" max="58" width="7" style="4" hidden="1" customWidth="1"/>
    <col min="59" max="59" width="2.42578125" style="4" hidden="1" customWidth="1"/>
    <col min="60" max="60" width="7.140625" style="4" hidden="1" customWidth="1"/>
    <col min="61" max="61" width="5.7109375" style="4" hidden="1" customWidth="1"/>
    <col min="62" max="62" width="7.140625" style="4" hidden="1" customWidth="1"/>
    <col min="63" max="63" width="5.85546875" style="4" hidden="1" customWidth="1"/>
    <col min="64" max="64" width="7" style="4" hidden="1" customWidth="1"/>
    <col min="65" max="65" width="2.42578125" style="4" hidden="1" customWidth="1"/>
    <col min="66" max="66" width="7.140625" style="4" hidden="1" customWidth="1"/>
    <col min="67" max="67" width="5.7109375" style="4" hidden="1" customWidth="1"/>
    <col min="68" max="68" width="7.140625" style="4" hidden="1" customWidth="1"/>
    <col min="69" max="69" width="5.85546875" style="4" hidden="1" customWidth="1"/>
    <col min="70" max="70" width="7" style="4" hidden="1" customWidth="1"/>
    <col min="71" max="71" width="2.42578125" style="4" hidden="1" customWidth="1"/>
    <col min="72" max="72" width="7.140625" style="4" hidden="1" customWidth="1"/>
    <col min="73" max="73" width="5.7109375" style="4" hidden="1" customWidth="1"/>
    <col min="74" max="74" width="7.140625" style="4" hidden="1" customWidth="1"/>
    <col min="75" max="75" width="5.85546875" style="4" hidden="1" customWidth="1"/>
    <col min="76" max="76" width="7" style="4" hidden="1" customWidth="1"/>
    <col min="77" max="77" width="2.42578125" style="4" hidden="1" customWidth="1"/>
    <col min="78" max="78" width="7.140625" style="4" hidden="1" customWidth="1"/>
    <col min="79" max="79" width="5.7109375" style="4" hidden="1" customWidth="1"/>
    <col min="80" max="80" width="7.140625" style="4" hidden="1" customWidth="1"/>
    <col min="81" max="81" width="5.85546875" style="4" hidden="1" customWidth="1"/>
    <col min="82" max="82" width="7" style="4" hidden="1" customWidth="1"/>
    <col min="83" max="83" width="2.42578125" style="4" hidden="1" customWidth="1"/>
    <col min="84" max="84" width="7.140625" style="4" hidden="1" customWidth="1"/>
    <col min="85" max="85" width="5.7109375" style="4" hidden="1" customWidth="1"/>
    <col min="86" max="86" width="7.140625" style="4" hidden="1" customWidth="1"/>
    <col min="87" max="87" width="5.85546875" style="18" hidden="1" customWidth="1"/>
    <col min="88" max="88" width="7" style="4" hidden="1" customWidth="1"/>
    <col min="89" max="89" width="2.42578125" style="4" hidden="1" customWidth="1"/>
    <col min="90" max="90" width="7.140625" style="4" hidden="1" customWidth="1"/>
    <col min="91" max="91" width="5.7109375" style="4" hidden="1" customWidth="1"/>
    <col min="92" max="92" width="7.140625" style="4" hidden="1" customWidth="1"/>
    <col min="93" max="93" width="5.85546875" style="18" hidden="1" customWidth="1"/>
    <col min="94" max="94" width="7" style="4" hidden="1" customWidth="1"/>
    <col min="95" max="95" width="2.42578125" style="4" hidden="1" customWidth="1"/>
    <col min="96" max="96" width="7.140625" style="4" hidden="1" customWidth="1"/>
    <col min="97" max="97" width="5.7109375" style="4" hidden="1" customWidth="1"/>
    <col min="98" max="98" width="7.140625" style="4" hidden="1" customWidth="1"/>
    <col min="99" max="99" width="5.85546875" style="18" hidden="1" customWidth="1"/>
    <col min="100" max="100" width="7" style="4" hidden="1" customWidth="1"/>
    <col min="101" max="101" width="2.42578125" style="4" hidden="1" customWidth="1"/>
    <col min="102" max="102" width="7.140625" style="4" hidden="1" customWidth="1"/>
    <col min="103" max="103" width="5.7109375" style="4" hidden="1" customWidth="1"/>
    <col min="104" max="104" width="7.140625" style="4" hidden="1" customWidth="1"/>
    <col min="105" max="105" width="5.85546875" style="18" hidden="1" customWidth="1"/>
    <col min="106" max="106" width="7" style="4" hidden="1" customWidth="1"/>
    <col min="107" max="107" width="2.42578125" style="4" hidden="1" customWidth="1"/>
    <col min="108" max="108" width="7.140625" style="4" hidden="1" customWidth="1"/>
    <col min="109" max="109" width="5.7109375" style="4" hidden="1" customWidth="1"/>
    <col min="110" max="110" width="7.140625" style="4" hidden="1" customWidth="1"/>
    <col min="111" max="111" width="5.85546875" style="18" hidden="1" customWidth="1"/>
    <col min="112" max="112" width="7" style="4" hidden="1" customWidth="1"/>
    <col min="113" max="113" width="2.42578125" style="4" hidden="1" customWidth="1"/>
    <col min="114" max="114" width="7.140625" style="4" hidden="1" customWidth="1"/>
    <col min="115" max="115" width="5.7109375" style="4" hidden="1" customWidth="1"/>
    <col min="116" max="116" width="7.140625" style="4" hidden="1" customWidth="1"/>
    <col min="117" max="117" width="5.85546875" style="18" hidden="1" customWidth="1"/>
    <col min="118" max="118" width="7" style="4" hidden="1" customWidth="1"/>
    <col min="119" max="119" width="2.42578125" style="4" hidden="1" customWidth="1"/>
    <col min="120" max="120" width="7.140625" style="4" hidden="1" customWidth="1"/>
    <col min="121" max="121" width="5.7109375" style="4" hidden="1" customWidth="1"/>
    <col min="122" max="122" width="7.140625" style="4" hidden="1" customWidth="1"/>
    <col min="123" max="123" width="5.85546875" style="18" hidden="1" customWidth="1"/>
    <col min="124" max="124" width="7" style="4" hidden="1" customWidth="1"/>
    <col min="125" max="125" width="2.42578125" style="4" hidden="1" customWidth="1"/>
    <col min="126" max="126" width="7.140625" style="4" hidden="1" customWidth="1"/>
    <col min="127" max="127" width="5.7109375" style="4" hidden="1" customWidth="1"/>
    <col min="128" max="128" width="7.140625" style="4" hidden="1" customWidth="1"/>
    <col min="129" max="129" width="5.85546875" style="18" hidden="1" customWidth="1"/>
    <col min="130" max="130" width="7" style="4" hidden="1" customWidth="1"/>
    <col min="131" max="131" width="2.42578125" style="4" hidden="1" customWidth="1"/>
    <col min="132" max="132" width="7.140625" style="4" hidden="1" customWidth="1"/>
    <col min="133" max="133" width="5.7109375" style="4" hidden="1" customWidth="1"/>
    <col min="134" max="134" width="7.140625" style="4" hidden="1" customWidth="1"/>
    <col min="135" max="135" width="5.85546875" style="18" hidden="1" customWidth="1"/>
    <col min="136" max="136" width="7" style="4" hidden="1" customWidth="1"/>
    <col min="137" max="137" width="2.42578125" style="4" hidden="1" customWidth="1"/>
    <col min="138" max="138" width="7.140625" style="4" hidden="1" customWidth="1"/>
    <col min="139" max="139" width="5.7109375" style="4" hidden="1" customWidth="1"/>
    <col min="140" max="140" width="7.140625" style="4" hidden="1" customWidth="1"/>
    <col min="141" max="141" width="5.85546875" style="18" hidden="1" customWidth="1"/>
    <col min="142" max="142" width="7" style="4" hidden="1" customWidth="1"/>
    <col min="143" max="143" width="2.42578125" style="4" hidden="1" customWidth="1"/>
    <col min="144" max="144" width="7.140625" style="4" hidden="1" customWidth="1"/>
    <col min="145" max="145" width="5.7109375" style="4" hidden="1" customWidth="1"/>
    <col min="146" max="146" width="7.140625" style="4" hidden="1" customWidth="1"/>
    <col min="147" max="147" width="5.85546875" style="18" hidden="1" customWidth="1"/>
    <col min="148" max="148" width="7" style="4" hidden="1" customWidth="1"/>
    <col min="149" max="149" width="2.42578125" style="4" hidden="1" customWidth="1"/>
    <col min="150" max="150" width="7.140625" style="4" hidden="1" customWidth="1"/>
    <col min="151" max="151" width="5.7109375" style="4" hidden="1" customWidth="1"/>
    <col min="152" max="152" width="7.140625" style="4" hidden="1" customWidth="1"/>
    <col min="153" max="153" width="5.85546875" style="18" hidden="1" customWidth="1"/>
    <col min="154" max="154" width="7" style="4" hidden="1" customWidth="1"/>
    <col min="155" max="155" width="2.42578125" style="4" hidden="1" customWidth="1"/>
    <col min="156" max="156" width="7.140625" style="4" hidden="1" customWidth="1"/>
    <col min="157" max="157" width="5.7109375" style="4" hidden="1" customWidth="1"/>
    <col min="158" max="158" width="7.140625" style="4" hidden="1" customWidth="1"/>
    <col min="159" max="159" width="5.85546875" style="18" hidden="1" customWidth="1"/>
    <col min="160" max="160" width="7" style="4" hidden="1" customWidth="1"/>
    <col min="161" max="161" width="2.42578125" style="4" hidden="1" customWidth="1"/>
    <col min="162" max="162" width="7.140625" style="4" hidden="1" customWidth="1"/>
    <col min="163" max="163" width="5.7109375" style="4" hidden="1" customWidth="1"/>
    <col min="164" max="164" width="7.140625" style="4" hidden="1" customWidth="1"/>
    <col min="165" max="165" width="5.85546875" style="18" hidden="1" customWidth="1"/>
    <col min="166" max="166" width="7" style="4" hidden="1" customWidth="1"/>
    <col min="167" max="167" width="2.42578125" style="4" hidden="1" customWidth="1"/>
    <col min="168" max="168" width="7.140625" style="4" hidden="1" customWidth="1"/>
    <col min="169" max="169" width="5.7109375" style="4" hidden="1" customWidth="1"/>
    <col min="170" max="170" width="7.140625" style="4" hidden="1" customWidth="1"/>
    <col min="171" max="171" width="5.85546875" style="18" hidden="1" customWidth="1"/>
    <col min="172" max="172" width="7" style="4" hidden="1" customWidth="1"/>
    <col min="173" max="173" width="2.42578125" style="4" hidden="1" customWidth="1"/>
    <col min="174" max="174" width="7.140625" style="4" hidden="1" customWidth="1"/>
    <col min="175" max="175" width="5.7109375" style="4" hidden="1" customWidth="1"/>
    <col min="176" max="176" width="7.140625" style="4" hidden="1" customWidth="1"/>
    <col min="177" max="177" width="5.85546875" style="18" hidden="1" customWidth="1"/>
    <col min="178" max="178" width="7" style="4" hidden="1" customWidth="1"/>
    <col min="179" max="179" width="2.42578125" style="4" hidden="1" customWidth="1"/>
    <col min="180" max="180" width="7.140625" style="4" hidden="1" customWidth="1"/>
    <col min="181" max="181" width="5.7109375" style="4" hidden="1" customWidth="1"/>
    <col min="182" max="182" width="7.140625" style="4" hidden="1" customWidth="1"/>
    <col min="183" max="183" width="5.85546875" style="18" hidden="1" customWidth="1"/>
    <col min="184" max="184" width="7" style="4" hidden="1" customWidth="1"/>
    <col min="185" max="185" width="2.42578125" style="4" hidden="1" customWidth="1"/>
    <col min="186" max="186" width="7.140625" style="4" hidden="1" customWidth="1"/>
    <col min="187" max="187" width="5.7109375" style="4" hidden="1" customWidth="1"/>
    <col min="188" max="188" width="7.140625" style="4" hidden="1" customWidth="1"/>
    <col min="189" max="189" width="5.85546875" style="18" hidden="1" customWidth="1"/>
    <col min="190" max="190" width="7" style="4" hidden="1" customWidth="1"/>
    <col min="191" max="191" width="2.42578125" style="4" hidden="1" customWidth="1"/>
    <col min="192" max="192" width="7.140625" style="4" hidden="1" customWidth="1"/>
    <col min="193" max="193" width="5.7109375" style="4" hidden="1" customWidth="1"/>
    <col min="194" max="194" width="7.140625" style="4" hidden="1" customWidth="1"/>
    <col min="195" max="195" width="5.85546875" style="18" hidden="1" customWidth="1"/>
    <col min="196" max="196" width="7" style="4" hidden="1" customWidth="1"/>
    <col min="197" max="197" width="2.42578125" style="4" hidden="1" customWidth="1"/>
    <col min="198" max="198" width="7.140625" style="4" hidden="1" customWidth="1"/>
    <col min="199" max="199" width="5.7109375" style="4" hidden="1" customWidth="1"/>
    <col min="200" max="200" width="7.140625" style="4" hidden="1" customWidth="1"/>
    <col min="201" max="201" width="5.85546875" style="18" hidden="1" customWidth="1"/>
    <col min="202" max="202" width="7" style="4" hidden="1" customWidth="1"/>
    <col min="203" max="203" width="2.42578125" style="4" hidden="1" customWidth="1"/>
    <col min="204" max="204" width="7.140625" style="4" hidden="1" customWidth="1"/>
    <col min="205" max="205" width="5.7109375" style="4" hidden="1" customWidth="1"/>
    <col min="206" max="206" width="7.140625" style="4" hidden="1" customWidth="1"/>
    <col min="207" max="207" width="5.85546875" style="18" hidden="1" customWidth="1"/>
    <col min="208" max="208" width="7" style="4" hidden="1" customWidth="1"/>
    <col min="209" max="209" width="2.42578125" style="4" hidden="1" customWidth="1"/>
    <col min="210" max="210" width="7.140625" style="4" hidden="1" customWidth="1"/>
    <col min="211" max="211" width="5.7109375" style="4" hidden="1" customWidth="1"/>
    <col min="212" max="212" width="7.140625" style="4" hidden="1" customWidth="1"/>
    <col min="213" max="213" width="5.85546875" style="18" hidden="1" customWidth="1"/>
    <col min="214" max="214" width="7" style="4" hidden="1" customWidth="1"/>
    <col min="215" max="215" width="2.42578125" style="4" hidden="1" customWidth="1"/>
    <col min="216" max="216" width="7.140625" style="4" hidden="1" customWidth="1"/>
    <col min="217" max="217" width="5.7109375" style="4" hidden="1" customWidth="1"/>
    <col min="218" max="218" width="7.140625" style="4" hidden="1" customWidth="1"/>
    <col min="219" max="219" width="5.85546875" style="18" hidden="1" customWidth="1"/>
    <col min="220" max="220" width="7" style="4" hidden="1" customWidth="1"/>
    <col min="221" max="221" width="2.42578125" style="4" hidden="1" customWidth="1"/>
    <col min="222" max="222" width="7.140625" style="4" hidden="1" customWidth="1"/>
    <col min="223" max="223" width="5.7109375" style="4" hidden="1" customWidth="1"/>
    <col min="224" max="224" width="7.140625" style="4" hidden="1" customWidth="1"/>
    <col min="225" max="225" width="5.85546875" style="18" hidden="1" customWidth="1"/>
    <col min="226" max="226" width="7" style="4" hidden="1" customWidth="1"/>
    <col min="227" max="227" width="2.42578125" style="4" hidden="1" customWidth="1"/>
    <col min="228" max="228" width="7.140625" style="4" hidden="1" customWidth="1"/>
    <col min="229" max="229" width="5.7109375" style="4" hidden="1" customWidth="1"/>
    <col min="230" max="230" width="7.140625" style="4" hidden="1" customWidth="1"/>
    <col min="231" max="231" width="5.85546875" style="18" hidden="1" customWidth="1"/>
    <col min="232" max="232" width="7" style="4" hidden="1" customWidth="1"/>
    <col min="233" max="233" width="2.42578125" style="4" hidden="1" customWidth="1"/>
    <col min="234" max="234" width="7.140625" style="4" hidden="1" customWidth="1"/>
    <col min="235" max="235" width="5.7109375" style="4" hidden="1" customWidth="1"/>
    <col min="236" max="236" width="7.140625" style="4" hidden="1" customWidth="1"/>
    <col min="237" max="237" width="5.85546875" style="18" hidden="1" customWidth="1"/>
    <col min="238" max="238" width="7" style="4" hidden="1" customWidth="1"/>
    <col min="239" max="239" width="2.42578125" style="4" hidden="1" customWidth="1"/>
    <col min="240" max="240" width="7.140625" style="4" hidden="1" customWidth="1"/>
    <col min="241" max="241" width="5.7109375" style="4" hidden="1" customWidth="1"/>
    <col min="242" max="242" width="7.140625" style="4" hidden="1" customWidth="1"/>
    <col min="243" max="243" width="5.85546875" style="18" hidden="1" customWidth="1"/>
    <col min="244" max="244" width="7" style="4" hidden="1" customWidth="1"/>
    <col min="245" max="245" width="2.42578125" style="4" hidden="1" customWidth="1"/>
    <col min="246" max="246" width="7.140625" style="4" hidden="1" customWidth="1"/>
    <col min="247" max="247" width="5.7109375" style="4" hidden="1" customWidth="1"/>
    <col min="248" max="248" width="7.140625" style="4" hidden="1" customWidth="1"/>
    <col min="249" max="249" width="5.85546875" style="18" hidden="1" customWidth="1"/>
    <col min="250" max="250" width="7" style="4" hidden="1" customWidth="1"/>
    <col min="251" max="251" width="2.42578125" style="4" hidden="1" customWidth="1"/>
    <col min="252" max="252" width="7.140625" style="4" hidden="1" customWidth="1"/>
    <col min="253" max="253" width="5.7109375" style="4" hidden="1" customWidth="1"/>
    <col min="254" max="254" width="7.140625" style="4" hidden="1" customWidth="1"/>
    <col min="255" max="255" width="5.85546875" style="18" hidden="1" customWidth="1"/>
    <col min="256" max="256" width="7" style="4" hidden="1" customWidth="1"/>
    <col min="257" max="257" width="2.42578125" style="4" hidden="1" customWidth="1"/>
    <col min="258" max="258" width="7.140625" style="4" hidden="1" customWidth="1"/>
    <col min="259" max="259" width="5.7109375" style="4" hidden="1" customWidth="1"/>
    <col min="260" max="260" width="7.140625" style="4" hidden="1" customWidth="1"/>
    <col min="261" max="261" width="5.85546875" style="18" hidden="1" customWidth="1"/>
    <col min="262" max="262" width="7" style="4" hidden="1" customWidth="1"/>
    <col min="263" max="263" width="2.42578125" style="4" hidden="1" customWidth="1"/>
    <col min="264" max="264" width="7.140625" style="4" hidden="1" customWidth="1"/>
    <col min="265" max="265" width="5.7109375" style="4" hidden="1" customWidth="1"/>
    <col min="266" max="266" width="7.140625" style="4" hidden="1" customWidth="1"/>
    <col min="267" max="267" width="5.85546875" style="18" hidden="1" customWidth="1"/>
    <col min="268" max="268" width="7" style="4" hidden="1" customWidth="1"/>
    <col min="269" max="269" width="2.42578125" style="4" hidden="1" customWidth="1"/>
    <col min="270" max="270" width="7.140625" style="4" hidden="1" customWidth="1"/>
    <col min="271" max="271" width="5.7109375" style="4" hidden="1" customWidth="1"/>
    <col min="272" max="272" width="7.140625" style="4" hidden="1" customWidth="1"/>
    <col min="273" max="273" width="5.85546875" style="18" hidden="1" customWidth="1"/>
    <col min="274" max="274" width="7" style="4" hidden="1" customWidth="1"/>
    <col min="275" max="275" width="2.42578125" style="4" hidden="1" customWidth="1"/>
    <col min="276" max="276" width="7.140625" style="4" hidden="1" customWidth="1"/>
    <col min="277" max="277" width="5.7109375" style="4" hidden="1" customWidth="1"/>
    <col min="278" max="278" width="7.140625" style="4" hidden="1" customWidth="1"/>
    <col min="279" max="279" width="5.85546875" style="18" hidden="1" customWidth="1"/>
    <col min="280" max="280" width="7" style="4" hidden="1" customWidth="1"/>
    <col min="281" max="281" width="2.42578125" style="4" hidden="1" customWidth="1"/>
    <col min="282" max="282" width="7.42578125" style="4" hidden="1" customWidth="1"/>
    <col min="283" max="283" width="5.7109375" style="4" hidden="1" customWidth="1"/>
    <col min="284" max="284" width="7.140625" style="4" hidden="1" customWidth="1"/>
    <col min="285" max="285" width="5.85546875" style="18" hidden="1" customWidth="1"/>
    <col min="286" max="286" width="7" style="4" hidden="1" customWidth="1"/>
    <col min="287" max="287" width="2.42578125" style="4" hidden="1" customWidth="1"/>
    <col min="288" max="288" width="7.42578125" style="4" hidden="1" customWidth="1"/>
    <col min="289" max="289" width="5.7109375" style="4" hidden="1" customWidth="1"/>
    <col min="290" max="290" width="7.140625" style="4" hidden="1" customWidth="1"/>
    <col min="291" max="291" width="5.85546875" style="18" hidden="1" customWidth="1"/>
    <col min="292" max="292" width="7" style="4" hidden="1" customWidth="1"/>
    <col min="293" max="293" width="2.42578125" style="4" hidden="1" customWidth="1"/>
    <col min="294" max="294" width="7.42578125" style="4" hidden="1" customWidth="1"/>
    <col min="295" max="295" width="5.7109375" style="4" hidden="1" customWidth="1"/>
    <col min="296" max="296" width="7.140625" style="4" hidden="1" customWidth="1"/>
    <col min="297" max="297" width="5.85546875" style="18" hidden="1" customWidth="1"/>
    <col min="298" max="298" width="7" style="4" hidden="1" customWidth="1"/>
    <col min="299" max="299" width="2.42578125" style="4" hidden="1" customWidth="1"/>
    <col min="300" max="300" width="7.42578125" style="4" hidden="1" customWidth="1"/>
    <col min="301" max="301" width="5.7109375" style="4" hidden="1" customWidth="1"/>
    <col min="302" max="302" width="7.140625" style="4" hidden="1" customWidth="1"/>
    <col min="303" max="303" width="5.85546875" style="18" hidden="1" customWidth="1"/>
    <col min="304" max="304" width="7" style="4" hidden="1" customWidth="1"/>
    <col min="305" max="305" width="2.42578125" style="4" hidden="1" customWidth="1"/>
    <col min="306" max="306" width="7.42578125" style="4" hidden="1" customWidth="1"/>
    <col min="307" max="307" width="5.7109375" style="4" hidden="1" customWidth="1"/>
    <col min="308" max="308" width="7.140625" style="4" hidden="1" customWidth="1"/>
    <col min="309" max="309" width="5.85546875" style="18" hidden="1" customWidth="1"/>
    <col min="310" max="310" width="7" style="4" hidden="1" customWidth="1"/>
    <col min="311" max="311" width="2.42578125" style="4" hidden="1" customWidth="1"/>
    <col min="312" max="312" width="7.42578125" style="4" hidden="1" customWidth="1"/>
    <col min="313" max="313" width="5.7109375" style="4" hidden="1" customWidth="1"/>
    <col min="314" max="314" width="7.140625" style="4" hidden="1" customWidth="1"/>
    <col min="315" max="315" width="5.85546875" style="18" hidden="1" customWidth="1"/>
    <col min="316" max="316" width="7" style="4" hidden="1" customWidth="1"/>
    <col min="317" max="317" width="2.42578125" style="4" hidden="1" customWidth="1"/>
    <col min="318" max="318" width="7.42578125" style="4" hidden="1" customWidth="1"/>
    <col min="319" max="319" width="5.7109375" style="4" hidden="1" customWidth="1"/>
    <col min="320" max="320" width="7.140625" style="4" hidden="1" customWidth="1"/>
    <col min="321" max="321" width="5.85546875" style="18" hidden="1" customWidth="1"/>
    <col min="322" max="322" width="7" style="4" hidden="1" customWidth="1"/>
    <col min="323" max="323" width="2.42578125" style="4" hidden="1" customWidth="1"/>
    <col min="324" max="324" width="7.42578125" style="4" hidden="1" customWidth="1"/>
    <col min="325" max="325" width="5.7109375" style="4" hidden="1" customWidth="1"/>
    <col min="326" max="326" width="7.140625" style="4" hidden="1" customWidth="1"/>
    <col min="327" max="327" width="5.85546875" style="18" hidden="1" customWidth="1"/>
    <col min="328" max="328" width="7" style="4" hidden="1" customWidth="1"/>
    <col min="329" max="329" width="2.42578125" style="4" hidden="1" customWidth="1"/>
    <col min="330" max="330" width="7.42578125" style="4" hidden="1" customWidth="1"/>
    <col min="331" max="331" width="5.7109375" style="4" hidden="1" customWidth="1"/>
    <col min="332" max="332" width="7.140625" style="4" hidden="1" customWidth="1"/>
    <col min="333" max="333" width="5.85546875" style="18" hidden="1" customWidth="1"/>
    <col min="334" max="334" width="7" style="4" hidden="1" customWidth="1"/>
    <col min="335" max="335" width="2.42578125" style="4" hidden="1" customWidth="1"/>
    <col min="336" max="336" width="7.42578125" style="4" hidden="1" customWidth="1"/>
    <col min="337" max="337" width="5.7109375" style="4" hidden="1" customWidth="1"/>
    <col min="338" max="338" width="7.140625" style="4" hidden="1" customWidth="1"/>
    <col min="339" max="339" width="5.85546875" style="18" hidden="1" customWidth="1"/>
    <col min="340" max="340" width="7" style="4" hidden="1" customWidth="1"/>
    <col min="341" max="341" width="2.42578125" style="4" hidden="1" customWidth="1"/>
    <col min="342" max="342" width="7.42578125" style="4" hidden="1" customWidth="1"/>
    <col min="343" max="343" width="5.7109375" style="4" hidden="1" customWidth="1"/>
    <col min="344" max="344" width="7.140625" style="4" hidden="1" customWidth="1"/>
    <col min="345" max="345" width="5.85546875" style="18" hidden="1" customWidth="1"/>
    <col min="346" max="346" width="7" style="4" hidden="1" customWidth="1"/>
    <col min="347" max="347" width="2.42578125" style="4" hidden="1" customWidth="1"/>
    <col min="348" max="348" width="7.42578125" style="4" hidden="1" customWidth="1"/>
    <col min="349" max="349" width="5.7109375" style="4" hidden="1" customWidth="1"/>
    <col min="350" max="350" width="7.140625" style="4" hidden="1" customWidth="1"/>
    <col min="351" max="351" width="5.85546875" style="18" hidden="1" customWidth="1"/>
    <col min="352" max="352" width="7" style="4" hidden="1" customWidth="1"/>
    <col min="353" max="353" width="2.42578125" style="4" hidden="1" customWidth="1"/>
    <col min="354" max="354" width="7.42578125" style="4" hidden="1" customWidth="1"/>
    <col min="355" max="355" width="5.7109375" style="4" hidden="1" customWidth="1"/>
    <col min="356" max="356" width="7.140625" style="4" hidden="1" customWidth="1"/>
    <col min="357" max="357" width="5.85546875" style="18" hidden="1" customWidth="1"/>
    <col min="358" max="358" width="7" style="4" hidden="1" customWidth="1"/>
    <col min="359" max="359" width="2.42578125" style="4" hidden="1" customWidth="1"/>
    <col min="360" max="360" width="7.42578125" style="4" hidden="1" customWidth="1"/>
    <col min="361" max="361" width="5.7109375" style="4" hidden="1" customWidth="1"/>
    <col min="362" max="362" width="7.140625" style="4" hidden="1" customWidth="1"/>
    <col min="363" max="363" width="5.85546875" style="18" hidden="1" customWidth="1"/>
    <col min="364" max="364" width="7" style="4" hidden="1" customWidth="1"/>
    <col min="365" max="365" width="2.42578125" style="4" hidden="1" customWidth="1"/>
    <col min="366" max="366" width="7.42578125" style="4" hidden="1" customWidth="1"/>
    <col min="367" max="367" width="5.7109375" style="4" hidden="1" customWidth="1"/>
    <col min="368" max="368" width="7.140625" style="4" hidden="1" customWidth="1"/>
    <col min="369" max="369" width="5.85546875" style="18" hidden="1" customWidth="1"/>
    <col min="370" max="370" width="7" style="4" hidden="1" customWidth="1"/>
    <col min="371" max="371" width="2.42578125" style="4" hidden="1" customWidth="1"/>
    <col min="372" max="372" width="7.42578125" style="4" hidden="1" customWidth="1"/>
    <col min="373" max="373" width="5.7109375" style="4" hidden="1" customWidth="1"/>
    <col min="374" max="374" width="7.140625" style="4" hidden="1" customWidth="1"/>
    <col min="375" max="375" width="5.85546875" style="18" hidden="1" customWidth="1"/>
    <col min="376" max="376" width="7" style="4" hidden="1" customWidth="1"/>
    <col min="377" max="377" width="2.42578125" style="4" hidden="1" customWidth="1"/>
    <col min="378" max="378" width="7.42578125" style="4" hidden="1" customWidth="1"/>
    <col min="379" max="379" width="5.7109375" style="4" hidden="1" customWidth="1"/>
    <col min="380" max="380" width="7.140625" style="4" hidden="1" customWidth="1"/>
    <col min="381" max="381" width="5.85546875" style="18" hidden="1" customWidth="1"/>
    <col min="382" max="382" width="7" style="4" hidden="1" customWidth="1"/>
    <col min="383" max="383" width="2.42578125" style="4" hidden="1" customWidth="1"/>
    <col min="384" max="384" width="7.42578125" style="4" hidden="1" customWidth="1"/>
    <col min="385" max="385" width="5.7109375" style="4" hidden="1" customWidth="1"/>
    <col min="386" max="386" width="7.140625" style="4" hidden="1" customWidth="1"/>
    <col min="387" max="387" width="5.85546875" style="18" hidden="1" customWidth="1"/>
    <col min="388" max="388" width="7" style="4" hidden="1" customWidth="1"/>
    <col min="389" max="389" width="2.42578125" style="4" hidden="1" customWidth="1"/>
    <col min="390" max="390" width="7.42578125" style="4" hidden="1" customWidth="1"/>
    <col min="391" max="391" width="5.7109375" style="4" hidden="1" customWidth="1"/>
    <col min="392" max="392" width="7.140625" style="4" hidden="1" customWidth="1"/>
    <col min="393" max="393" width="5.85546875" style="18" hidden="1" customWidth="1"/>
    <col min="394" max="394" width="7" style="4" hidden="1" customWidth="1"/>
    <col min="395" max="395" width="2.42578125" style="4" hidden="1" customWidth="1"/>
    <col min="396" max="396" width="7.42578125" style="4" hidden="1" customWidth="1"/>
    <col min="397" max="397" width="5.7109375" style="4" hidden="1" customWidth="1"/>
    <col min="398" max="398" width="7.140625" style="4" hidden="1" customWidth="1"/>
    <col min="399" max="399" width="5.85546875" style="18" hidden="1" customWidth="1"/>
    <col min="400" max="400" width="7" style="4" hidden="1" customWidth="1"/>
    <col min="401" max="401" width="2.42578125" style="4" hidden="1" customWidth="1"/>
    <col min="402" max="402" width="7.42578125" style="4" hidden="1" customWidth="1"/>
    <col min="403" max="403" width="5.7109375" style="4" hidden="1" customWidth="1"/>
    <col min="404" max="404" width="7.140625" style="4" hidden="1" customWidth="1"/>
    <col min="405" max="405" width="5.85546875" style="18" hidden="1" customWidth="1"/>
    <col min="406" max="406" width="7" style="4" hidden="1" customWidth="1"/>
    <col min="407" max="407" width="2.42578125" style="4" hidden="1" customWidth="1"/>
    <col min="408" max="408" width="7.42578125" style="4" hidden="1" customWidth="1"/>
    <col min="409" max="409" width="5.7109375" style="4" hidden="1" customWidth="1"/>
    <col min="410" max="410" width="7.140625" style="4" hidden="1" customWidth="1"/>
    <col min="411" max="411" width="5.85546875" style="18" hidden="1" customWidth="1"/>
    <col min="412" max="412" width="7" style="4" hidden="1" customWidth="1"/>
    <col min="413" max="413" width="2.42578125" style="4" hidden="1" customWidth="1"/>
    <col min="414" max="414" width="7.42578125" style="4" hidden="1" customWidth="1"/>
    <col min="415" max="415" width="5.7109375" style="4" hidden="1" customWidth="1"/>
    <col min="416" max="416" width="7.140625" style="4" hidden="1" customWidth="1"/>
    <col min="417" max="417" width="5.85546875" style="18" hidden="1" customWidth="1"/>
    <col min="418" max="418" width="7" style="4" hidden="1" customWidth="1"/>
    <col min="419" max="419" width="2.42578125" style="4" hidden="1" customWidth="1"/>
    <col min="420" max="420" width="7.42578125" style="4" hidden="1" customWidth="1"/>
    <col min="421" max="421" width="5.7109375" style="4" hidden="1" customWidth="1"/>
    <col min="422" max="422" width="7.140625" style="4" hidden="1" customWidth="1"/>
    <col min="423" max="423" width="5.85546875" style="18" hidden="1" customWidth="1"/>
    <col min="424" max="424" width="7" style="4" hidden="1" customWidth="1"/>
    <col min="425" max="425" width="2.42578125" style="4" hidden="1" customWidth="1"/>
    <col min="426" max="426" width="7.42578125" style="4" hidden="1" customWidth="1"/>
    <col min="427" max="427" width="5.7109375" style="4" hidden="1" customWidth="1"/>
    <col min="428" max="428" width="7.140625" style="4" hidden="1" customWidth="1"/>
    <col min="429" max="429" width="5.85546875" style="18" hidden="1" customWidth="1"/>
    <col min="430" max="430" width="7" style="4" hidden="1" customWidth="1"/>
    <col min="431" max="431" width="2.42578125" style="4" hidden="1" customWidth="1"/>
    <col min="432" max="432" width="7.42578125" style="4" hidden="1" customWidth="1"/>
    <col min="433" max="433" width="5.7109375" style="4" hidden="1" customWidth="1"/>
    <col min="434" max="434" width="7.140625" style="4" hidden="1" customWidth="1"/>
    <col min="435" max="435" width="5.85546875" style="18" hidden="1" customWidth="1"/>
    <col min="436" max="436" width="7" style="4" hidden="1" customWidth="1"/>
    <col min="437" max="437" width="2.42578125" style="4" hidden="1" customWidth="1"/>
    <col min="438" max="438" width="7.42578125" style="4" hidden="1" customWidth="1"/>
    <col min="439" max="439" width="5.7109375" style="4" hidden="1" customWidth="1"/>
    <col min="440" max="440" width="7.140625" style="4" hidden="1" customWidth="1"/>
    <col min="441" max="441" width="5.85546875" style="18" hidden="1" customWidth="1"/>
    <col min="442" max="442" width="7" style="4" hidden="1" customWidth="1"/>
    <col min="443" max="443" width="2.42578125" style="4" hidden="1" customWidth="1"/>
    <col min="444" max="444" width="7.42578125" style="4" hidden="1" customWidth="1"/>
    <col min="445" max="445" width="5.7109375" style="4" hidden="1" customWidth="1"/>
    <col min="446" max="446" width="7.140625" style="4" hidden="1" customWidth="1"/>
    <col min="447" max="447" width="5.85546875" style="18" hidden="1" customWidth="1"/>
    <col min="448" max="448" width="7" style="4" hidden="1" customWidth="1"/>
    <col min="449" max="449" width="2.42578125" style="4" hidden="1" customWidth="1"/>
    <col min="450" max="450" width="7.42578125" style="4" hidden="1" customWidth="1"/>
    <col min="451" max="451" width="5.7109375" style="4" hidden="1" customWidth="1"/>
    <col min="452" max="452" width="7.140625" style="4" hidden="1" customWidth="1"/>
    <col min="453" max="453" width="5.85546875" style="18" hidden="1" customWidth="1"/>
    <col min="454" max="454" width="7" style="4" hidden="1" customWidth="1"/>
    <col min="455" max="455" width="2.42578125" style="4" hidden="1" customWidth="1"/>
    <col min="456" max="456" width="7.42578125" style="4" hidden="1" customWidth="1"/>
    <col min="457" max="457" width="5.7109375" style="4" hidden="1" customWidth="1"/>
    <col min="458" max="458" width="7.140625" style="4" hidden="1" customWidth="1"/>
    <col min="459" max="459" width="5.85546875" style="18" hidden="1" customWidth="1"/>
    <col min="460" max="460" width="7" style="4" hidden="1" customWidth="1"/>
    <col min="461" max="461" width="2.42578125" style="4" hidden="1" customWidth="1"/>
    <col min="462" max="462" width="7.42578125" style="4" hidden="1" customWidth="1"/>
    <col min="463" max="463" width="5.7109375" style="4" hidden="1" customWidth="1"/>
    <col min="464" max="464" width="7.140625" style="4" hidden="1" customWidth="1"/>
    <col min="465" max="465" width="5.85546875" style="18" hidden="1" customWidth="1"/>
    <col min="466" max="466" width="7" style="4" hidden="1" customWidth="1"/>
    <col min="467" max="467" width="2.42578125" style="4" hidden="1" customWidth="1"/>
    <col min="468" max="468" width="7.42578125" style="4" hidden="1" customWidth="1"/>
    <col min="469" max="469" width="5.7109375" style="4" hidden="1" customWidth="1"/>
    <col min="470" max="470" width="7.140625" style="4" hidden="1" customWidth="1"/>
    <col min="471" max="471" width="5.85546875" style="18" hidden="1" customWidth="1"/>
    <col min="472" max="472" width="7" style="4" hidden="1" customWidth="1"/>
    <col min="473" max="473" width="2.42578125" style="4" hidden="1" customWidth="1"/>
    <col min="474" max="474" width="7.42578125" style="4" hidden="1" customWidth="1"/>
    <col min="475" max="475" width="5.7109375" style="4" hidden="1" customWidth="1"/>
    <col min="476" max="476" width="7.140625" style="4" hidden="1" customWidth="1"/>
    <col min="477" max="477" width="5.85546875" style="18" hidden="1" customWidth="1"/>
    <col min="478" max="478" width="7" style="4" hidden="1" customWidth="1"/>
    <col min="479" max="479" width="2.42578125" style="4" hidden="1" customWidth="1"/>
    <col min="480" max="480" width="7.42578125" style="4" hidden="1" customWidth="1"/>
    <col min="481" max="481" width="5.7109375" style="4" hidden="1" customWidth="1"/>
    <col min="482" max="482" width="7.140625" style="4" hidden="1" customWidth="1"/>
    <col min="483" max="483" width="5.85546875" style="18" hidden="1" customWidth="1"/>
    <col min="484" max="484" width="7" style="4" hidden="1" customWidth="1"/>
    <col min="485" max="485" width="2.42578125" style="4" hidden="1" customWidth="1"/>
    <col min="486" max="486" width="7.42578125" style="4" hidden="1" customWidth="1"/>
    <col min="487" max="487" width="5.7109375" style="4" hidden="1" customWidth="1"/>
    <col min="488" max="488" width="7.140625" style="4" hidden="1" customWidth="1"/>
    <col min="489" max="489" width="5.85546875" style="18" hidden="1" customWidth="1"/>
    <col min="490" max="490" width="7" style="4" hidden="1" customWidth="1"/>
    <col min="491" max="491" width="2.42578125" style="4" hidden="1" customWidth="1"/>
    <col min="492" max="492" width="7.42578125" style="4" hidden="1" customWidth="1"/>
    <col min="493" max="493" width="5.7109375" style="4" hidden="1" customWidth="1"/>
    <col min="494" max="494" width="7.140625" style="4" hidden="1" customWidth="1"/>
    <col min="495" max="495" width="5.85546875" style="18" hidden="1" customWidth="1"/>
    <col min="496" max="496" width="7" style="4" hidden="1" customWidth="1"/>
    <col min="497" max="497" width="2.42578125" style="4" hidden="1" customWidth="1"/>
    <col min="498" max="498" width="7.42578125" style="4" hidden="1" customWidth="1"/>
    <col min="499" max="499" width="5.7109375" style="4" hidden="1" customWidth="1"/>
    <col min="500" max="500" width="7.140625" style="4" hidden="1" customWidth="1"/>
    <col min="501" max="501" width="5.85546875" style="18" hidden="1" customWidth="1"/>
    <col min="502" max="502" width="7" style="4" hidden="1" customWidth="1"/>
    <col min="503" max="503" width="2.42578125" style="4" hidden="1" customWidth="1"/>
    <col min="504" max="504" width="7.42578125" style="4" hidden="1" customWidth="1"/>
    <col min="505" max="505" width="5.7109375" style="4" hidden="1" customWidth="1"/>
    <col min="506" max="506" width="7.140625" style="4" hidden="1" customWidth="1"/>
    <col min="507" max="507" width="5.85546875" style="18" hidden="1" customWidth="1"/>
    <col min="508" max="508" width="7" style="4" hidden="1" customWidth="1"/>
    <col min="509" max="509" width="2.42578125" style="4" hidden="1" customWidth="1"/>
    <col min="510" max="510" width="7.42578125" style="4" hidden="1" customWidth="1"/>
    <col min="511" max="511" width="5.7109375" style="4" hidden="1" customWidth="1"/>
    <col min="512" max="512" width="7.140625" style="4" hidden="1" customWidth="1"/>
    <col min="513" max="513" width="5.85546875" style="18" hidden="1" customWidth="1"/>
    <col min="514" max="514" width="7" style="4" hidden="1" customWidth="1"/>
    <col min="515" max="515" width="2.42578125" style="4" hidden="1" customWidth="1"/>
    <col min="516" max="516" width="7.42578125" style="4" hidden="1" customWidth="1"/>
    <col min="517" max="517" width="5.7109375" style="4" hidden="1" customWidth="1"/>
    <col min="518" max="518" width="7.140625" style="4" hidden="1" customWidth="1"/>
    <col min="519" max="519" width="5.85546875" style="18" hidden="1" customWidth="1"/>
    <col min="520" max="520" width="7" style="4" hidden="1" customWidth="1"/>
    <col min="521" max="521" width="2.42578125" style="4" hidden="1" customWidth="1"/>
    <col min="522" max="522" width="7.42578125" style="4" hidden="1" customWidth="1"/>
    <col min="523" max="523" width="5.7109375" style="4" hidden="1" customWidth="1"/>
    <col min="524" max="524" width="7.140625" style="4" hidden="1" customWidth="1"/>
    <col min="525" max="525" width="5.85546875" style="18" hidden="1" customWidth="1"/>
    <col min="526" max="526" width="7" style="4" hidden="1" customWidth="1"/>
    <col min="527" max="527" width="2.42578125" style="4" hidden="1" customWidth="1"/>
    <col min="528" max="528" width="7.42578125" style="4" hidden="1" customWidth="1"/>
    <col min="529" max="529" width="5.7109375" style="4" hidden="1" customWidth="1"/>
    <col min="530" max="530" width="7.140625" style="4" hidden="1" customWidth="1"/>
    <col min="531" max="531" width="5.85546875" style="18" hidden="1" customWidth="1"/>
    <col min="532" max="532" width="7" style="4" hidden="1" customWidth="1"/>
    <col min="533" max="533" width="2.42578125" style="4" hidden="1" customWidth="1"/>
    <col min="534" max="534" width="7.42578125" style="4" hidden="1" customWidth="1"/>
    <col min="535" max="535" width="5.7109375" style="4" hidden="1" customWidth="1"/>
    <col min="536" max="536" width="7.140625" style="4" hidden="1" customWidth="1"/>
    <col min="537" max="537" width="5.85546875" style="18" hidden="1" customWidth="1"/>
    <col min="538" max="538" width="7" style="4" hidden="1" customWidth="1"/>
    <col min="539" max="539" width="2.42578125" style="4" hidden="1" customWidth="1"/>
    <col min="540" max="540" width="7.42578125" style="4" hidden="1" customWidth="1"/>
    <col min="541" max="541" width="5.7109375" style="4" hidden="1" customWidth="1"/>
    <col min="542" max="542" width="7.140625" style="4" hidden="1" customWidth="1"/>
    <col min="543" max="543" width="5.85546875" style="18" hidden="1" customWidth="1"/>
    <col min="544" max="544" width="7" style="4" hidden="1" customWidth="1"/>
    <col min="545" max="545" width="2.42578125" style="4" hidden="1" customWidth="1"/>
    <col min="546" max="546" width="7.42578125" style="4" hidden="1" customWidth="1"/>
    <col min="547" max="547" width="5.7109375" style="4" hidden="1" customWidth="1"/>
    <col min="548" max="548" width="7.140625" style="4" hidden="1" customWidth="1"/>
    <col min="549" max="549" width="5.85546875" style="18" hidden="1" customWidth="1"/>
    <col min="550" max="550" width="7" style="4" hidden="1" customWidth="1"/>
    <col min="551" max="551" width="2.42578125" style="4" hidden="1" customWidth="1"/>
    <col min="552" max="552" width="7.42578125" style="4" hidden="1" customWidth="1"/>
    <col min="553" max="553" width="5.7109375" style="4" hidden="1" customWidth="1"/>
    <col min="554" max="554" width="7.140625" style="4" hidden="1" customWidth="1"/>
    <col min="555" max="555" width="5.85546875" style="18" hidden="1" customWidth="1"/>
    <col min="556" max="556" width="7" style="4" hidden="1" customWidth="1"/>
    <col min="557" max="557" width="2.42578125" style="4" hidden="1" customWidth="1"/>
    <col min="558" max="558" width="7.42578125" style="4" hidden="1" customWidth="1"/>
    <col min="559" max="559" width="5.7109375" style="4" hidden="1" customWidth="1"/>
    <col min="560" max="560" width="7.140625" style="4" hidden="1" customWidth="1"/>
    <col min="561" max="561" width="5.85546875" style="18" hidden="1" customWidth="1"/>
    <col min="562" max="562" width="7" style="4" hidden="1" customWidth="1"/>
    <col min="563" max="563" width="2.42578125" style="4" hidden="1" customWidth="1"/>
    <col min="564" max="564" width="7.42578125" style="4" hidden="1" customWidth="1"/>
    <col min="565" max="565" width="5.7109375" style="4" hidden="1" customWidth="1"/>
    <col min="566" max="566" width="7.140625" style="4" hidden="1" customWidth="1"/>
    <col min="567" max="567" width="5.85546875" style="18" hidden="1" customWidth="1"/>
    <col min="568" max="568" width="7" style="4" hidden="1" customWidth="1"/>
    <col min="569" max="569" width="2.42578125" style="4" hidden="1" customWidth="1"/>
    <col min="570" max="570" width="7.42578125" style="4" hidden="1" customWidth="1"/>
    <col min="571" max="571" width="5.7109375" style="4" hidden="1" customWidth="1"/>
    <col min="572" max="572" width="7.140625" style="4" hidden="1" customWidth="1"/>
    <col min="573" max="573" width="5.85546875" style="18" hidden="1" customWidth="1"/>
    <col min="574" max="574" width="7" style="4" hidden="1" customWidth="1"/>
    <col min="575" max="575" width="2.42578125" style="4" hidden="1" customWidth="1"/>
    <col min="576" max="576" width="7.42578125" style="4" hidden="1" customWidth="1"/>
    <col min="577" max="577" width="5.7109375" style="4" hidden="1" customWidth="1"/>
    <col min="578" max="578" width="7.140625" style="4" hidden="1" customWidth="1"/>
    <col min="579" max="579" width="5.85546875" style="18" hidden="1" customWidth="1"/>
    <col min="580" max="580" width="7" style="4" hidden="1" customWidth="1"/>
    <col min="581" max="581" width="2.42578125" style="4" hidden="1" customWidth="1"/>
    <col min="582" max="582" width="7.42578125" style="4" hidden="1" customWidth="1"/>
    <col min="583" max="583" width="5.7109375" style="4" hidden="1" customWidth="1"/>
    <col min="584" max="584" width="7.140625" style="4" hidden="1" customWidth="1"/>
    <col min="585" max="585" width="5.85546875" style="18" hidden="1" customWidth="1"/>
    <col min="586" max="586" width="7" style="4" hidden="1" customWidth="1"/>
    <col min="587" max="587" width="2.42578125" style="4" hidden="1" customWidth="1"/>
    <col min="588" max="588" width="7.42578125" style="4" hidden="1" customWidth="1"/>
    <col min="589" max="589" width="5.7109375" style="4" hidden="1" customWidth="1"/>
    <col min="590" max="590" width="7.140625" style="4" hidden="1" customWidth="1"/>
    <col min="591" max="591" width="5.85546875" style="18" hidden="1" customWidth="1"/>
    <col min="592" max="592" width="7" style="4" hidden="1" customWidth="1"/>
    <col min="593" max="593" width="2.42578125" style="4" hidden="1" customWidth="1"/>
    <col min="594" max="594" width="7.42578125" style="4" hidden="1" customWidth="1"/>
    <col min="595" max="595" width="5.7109375" style="4" hidden="1" customWidth="1"/>
    <col min="596" max="596" width="7.140625" style="4" hidden="1" customWidth="1"/>
    <col min="597" max="597" width="5.85546875" style="18" hidden="1" customWidth="1"/>
    <col min="598" max="598" width="7" style="4" hidden="1" customWidth="1"/>
    <col min="599" max="599" width="2.42578125" style="4" hidden="1" customWidth="1"/>
    <col min="600" max="600" width="7.42578125" style="4" hidden="1" customWidth="1"/>
    <col min="601" max="601" width="5.7109375" style="4" hidden="1" customWidth="1"/>
    <col min="602" max="602" width="7.140625" style="4" hidden="1" customWidth="1"/>
    <col min="603" max="603" width="5.85546875" style="18" hidden="1" customWidth="1"/>
    <col min="604" max="604" width="7" style="4" hidden="1" customWidth="1"/>
    <col min="605" max="605" width="2.42578125" style="4" hidden="1" customWidth="1"/>
    <col min="606" max="606" width="7.42578125" style="4" hidden="1" customWidth="1"/>
    <col min="607" max="607" width="5.7109375" style="4" hidden="1" customWidth="1"/>
    <col min="608" max="608" width="7.140625" style="4" hidden="1" customWidth="1"/>
    <col min="609" max="609" width="5.85546875" style="18" hidden="1" customWidth="1"/>
    <col min="610" max="610" width="7" style="4" hidden="1" customWidth="1"/>
    <col min="611" max="611" width="2.42578125" style="4" hidden="1" customWidth="1"/>
    <col min="612" max="612" width="7.42578125" style="4" hidden="1" customWidth="1"/>
    <col min="613" max="613" width="5.7109375" style="4" hidden="1" customWidth="1"/>
    <col min="614" max="614" width="7.140625" style="4" hidden="1" customWidth="1"/>
    <col min="615" max="615" width="5.85546875" style="18" hidden="1" customWidth="1"/>
    <col min="616" max="616" width="7" style="4" hidden="1" customWidth="1"/>
    <col min="617" max="617" width="2.42578125" style="4" hidden="1" customWidth="1"/>
    <col min="618" max="618" width="7.42578125" style="4" hidden="1" customWidth="1"/>
    <col min="619" max="619" width="5.7109375" style="4" hidden="1" customWidth="1"/>
    <col min="620" max="620" width="7.140625" style="4" hidden="1" customWidth="1"/>
    <col min="621" max="621" width="5.85546875" style="18" hidden="1" customWidth="1"/>
    <col min="622" max="622" width="7" style="4" hidden="1" customWidth="1"/>
    <col min="623" max="623" width="2.42578125" style="4" hidden="1" customWidth="1"/>
    <col min="624" max="624" width="7.42578125" style="4" hidden="1" customWidth="1"/>
    <col min="625" max="625" width="5.7109375" style="4" hidden="1" customWidth="1"/>
    <col min="626" max="626" width="7.140625" style="4" hidden="1" customWidth="1"/>
    <col min="627" max="627" width="5.85546875" style="18" hidden="1" customWidth="1"/>
    <col min="628" max="628" width="7" style="4" hidden="1" customWidth="1"/>
    <col min="629" max="629" width="2.42578125" style="4" hidden="1" customWidth="1"/>
    <col min="630" max="630" width="7.42578125" style="4" hidden="1" customWidth="1"/>
    <col min="631" max="631" width="5.7109375" style="4" hidden="1" customWidth="1"/>
    <col min="632" max="632" width="7.140625" style="4" hidden="1" customWidth="1"/>
    <col min="633" max="633" width="5.85546875" style="18" hidden="1" customWidth="1"/>
    <col min="634" max="634" width="7" style="4" hidden="1" customWidth="1"/>
    <col min="635" max="635" width="2.42578125" style="4" hidden="1" customWidth="1"/>
    <col min="636" max="636" width="7.42578125" style="4" hidden="1" customWidth="1"/>
    <col min="637" max="637" width="5.7109375" style="4" hidden="1" customWidth="1"/>
    <col min="638" max="638" width="7.140625" style="4" hidden="1" customWidth="1"/>
    <col min="639" max="639" width="5.85546875" style="18" hidden="1" customWidth="1"/>
    <col min="640" max="640" width="7" style="4" hidden="1" customWidth="1"/>
    <col min="641" max="641" width="2.42578125" style="4" hidden="1" customWidth="1"/>
    <col min="642" max="642" width="7.42578125" style="4" hidden="1" customWidth="1"/>
    <col min="643" max="643" width="5.7109375" style="4" hidden="1" customWidth="1"/>
    <col min="644" max="644" width="7.140625" style="4" hidden="1" customWidth="1"/>
    <col min="645" max="645" width="5.85546875" style="18" hidden="1" customWidth="1"/>
    <col min="646" max="646" width="7" style="4" hidden="1" customWidth="1"/>
    <col min="647" max="647" width="2.42578125" style="4" hidden="1" customWidth="1"/>
    <col min="648" max="648" width="7.42578125" style="4" hidden="1" customWidth="1"/>
    <col min="649" max="649" width="5.7109375" style="4" hidden="1" customWidth="1"/>
    <col min="650" max="650" width="7.140625" style="4" hidden="1" customWidth="1"/>
    <col min="651" max="651" width="5.85546875" style="18" hidden="1" customWidth="1"/>
    <col min="652" max="652" width="7" style="4" hidden="1" customWidth="1"/>
    <col min="653" max="653" width="2.42578125" style="4" hidden="1" customWidth="1"/>
    <col min="654" max="654" width="7.42578125" style="4" hidden="1" customWidth="1"/>
    <col min="655" max="655" width="5.7109375" style="4" hidden="1" customWidth="1"/>
    <col min="656" max="656" width="7.140625" style="4" hidden="1" customWidth="1"/>
    <col min="657" max="657" width="5.85546875" style="18" hidden="1" customWidth="1"/>
    <col min="658" max="658" width="7" style="4" hidden="1" customWidth="1"/>
    <col min="659" max="659" width="2.42578125" style="4" hidden="1" customWidth="1"/>
    <col min="660" max="660" width="7.42578125" style="4" hidden="1" customWidth="1"/>
    <col min="661" max="661" width="5.7109375" style="4" hidden="1" customWidth="1"/>
    <col min="662" max="662" width="7.140625" style="4" hidden="1" customWidth="1"/>
    <col min="663" max="663" width="5.85546875" style="18" hidden="1" customWidth="1"/>
    <col min="664" max="664" width="7" style="4" hidden="1" customWidth="1"/>
    <col min="665" max="665" width="2.42578125" style="4" hidden="1" customWidth="1"/>
    <col min="666" max="666" width="7.42578125" style="4" hidden="1" customWidth="1"/>
    <col min="667" max="667" width="5.7109375" style="4" hidden="1" customWidth="1"/>
    <col min="668" max="668" width="7.140625" style="4" hidden="1" customWidth="1"/>
    <col min="669" max="669" width="5.85546875" style="18" hidden="1" customWidth="1"/>
    <col min="670" max="670" width="7" style="4" hidden="1" customWidth="1"/>
    <col min="671" max="671" width="2.42578125" style="4" hidden="1" customWidth="1"/>
    <col min="672" max="672" width="7.42578125" style="4" hidden="1" customWidth="1"/>
    <col min="673" max="673" width="5.7109375" style="4" hidden="1" customWidth="1"/>
    <col min="674" max="674" width="7.140625" style="4" hidden="1" customWidth="1"/>
    <col min="675" max="675" width="5.85546875" style="18" hidden="1" customWidth="1"/>
    <col min="676" max="676" width="7" style="4" hidden="1" customWidth="1"/>
    <col min="677" max="677" width="2.42578125" style="4" hidden="1" customWidth="1"/>
    <col min="678" max="678" width="7.42578125" style="4" hidden="1" customWidth="1"/>
    <col min="679" max="679" width="5.7109375" style="4" hidden="1" customWidth="1"/>
    <col min="680" max="680" width="7.140625" style="4" hidden="1" customWidth="1"/>
    <col min="681" max="681" width="5.85546875" style="18" hidden="1" customWidth="1"/>
    <col min="682" max="682" width="7" style="4" hidden="1" customWidth="1"/>
    <col min="683" max="683" width="2.42578125" style="4" hidden="1" customWidth="1"/>
    <col min="684" max="684" width="7.42578125" style="4" hidden="1" customWidth="1"/>
    <col min="685" max="685" width="5.7109375" style="4" hidden="1" customWidth="1"/>
    <col min="686" max="686" width="7.140625" style="4" hidden="1" customWidth="1"/>
    <col min="687" max="687" width="5.85546875" style="18" hidden="1" customWidth="1"/>
    <col min="688" max="688" width="7" style="4" hidden="1" customWidth="1"/>
    <col min="689" max="689" width="2.42578125" style="4" hidden="1" customWidth="1"/>
    <col min="690" max="690" width="7.42578125" style="4" hidden="1" customWidth="1"/>
    <col min="691" max="691" width="5.7109375" style="4" hidden="1" customWidth="1"/>
    <col min="692" max="692" width="7.140625" style="4" hidden="1" customWidth="1"/>
    <col min="693" max="693" width="5.85546875" style="18" hidden="1" customWidth="1"/>
    <col min="694" max="694" width="7" style="4" hidden="1" customWidth="1"/>
    <col min="695" max="695" width="2.42578125" style="4" hidden="1" customWidth="1"/>
    <col min="696" max="696" width="7.42578125" style="4" hidden="1" customWidth="1"/>
    <col min="697" max="697" width="5.7109375" style="4" hidden="1" customWidth="1"/>
    <col min="698" max="698" width="7.140625" style="4" hidden="1" customWidth="1"/>
    <col min="699" max="699" width="5.85546875" style="18" hidden="1" customWidth="1"/>
    <col min="700" max="700" width="7" style="4" hidden="1" customWidth="1"/>
    <col min="701" max="701" width="2.42578125" style="4" hidden="1" customWidth="1"/>
    <col min="702" max="702" width="7.42578125" style="4" hidden="1" customWidth="1"/>
    <col min="703" max="703" width="5.7109375" style="4" hidden="1" customWidth="1"/>
    <col min="704" max="704" width="7.140625" style="4" hidden="1" customWidth="1"/>
    <col min="705" max="705" width="5.85546875" style="18" hidden="1" customWidth="1"/>
    <col min="706" max="706" width="7" style="4" hidden="1" customWidth="1"/>
    <col min="707" max="707" width="2.42578125" style="4" hidden="1" customWidth="1"/>
    <col min="708" max="708" width="7.42578125" style="4" hidden="1" customWidth="1"/>
    <col min="709" max="709" width="5.7109375" style="4" hidden="1" customWidth="1"/>
    <col min="710" max="710" width="7.140625" style="4" hidden="1" customWidth="1"/>
    <col min="711" max="711" width="5.85546875" style="18" hidden="1" customWidth="1"/>
    <col min="712" max="712" width="7" style="4" hidden="1" customWidth="1"/>
    <col min="713" max="713" width="2.42578125" style="4" hidden="1" customWidth="1"/>
    <col min="714" max="714" width="7.42578125" style="4" hidden="1" customWidth="1"/>
    <col min="715" max="715" width="5.7109375" style="4" hidden="1" customWidth="1"/>
    <col min="716" max="716" width="7.140625" style="4" hidden="1" customWidth="1"/>
    <col min="717" max="717" width="5.85546875" style="18" hidden="1" customWidth="1"/>
    <col min="718" max="718" width="7" style="4" hidden="1" customWidth="1"/>
    <col min="719" max="719" width="2.42578125" style="4" hidden="1" customWidth="1"/>
    <col min="720" max="720" width="7.42578125" style="4" hidden="1" customWidth="1"/>
    <col min="721" max="721" width="5.7109375" style="4" hidden="1" customWidth="1"/>
    <col min="722" max="722" width="7.140625" style="4" hidden="1" customWidth="1"/>
    <col min="723" max="723" width="5.85546875" style="18" hidden="1" customWidth="1"/>
    <col min="724" max="724" width="7" style="4" hidden="1" customWidth="1"/>
    <col min="725" max="725" width="2.42578125" style="4" hidden="1" customWidth="1"/>
    <col min="726" max="726" width="7.42578125" style="4" hidden="1" customWidth="1"/>
    <col min="727" max="727" width="5.7109375" style="4" hidden="1" customWidth="1"/>
    <col min="728" max="728" width="7.140625" style="4" hidden="1" customWidth="1"/>
    <col min="729" max="729" width="5.85546875" style="18" hidden="1" customWidth="1"/>
    <col min="730" max="730" width="7" style="4" hidden="1" customWidth="1"/>
    <col min="731" max="731" width="2.42578125" style="4" hidden="1" customWidth="1"/>
    <col min="732" max="732" width="7.42578125" style="4" hidden="1" customWidth="1"/>
    <col min="733" max="733" width="5.7109375" style="4" hidden="1" customWidth="1"/>
    <col min="734" max="734" width="7.140625" style="4" hidden="1" customWidth="1"/>
    <col min="735" max="735" width="5.85546875" style="18" hidden="1" customWidth="1"/>
    <col min="736" max="736" width="7" style="4" hidden="1" customWidth="1"/>
    <col min="737" max="737" width="2.42578125" style="4" hidden="1" customWidth="1"/>
    <col min="738" max="738" width="7.42578125" style="4" hidden="1" customWidth="1"/>
    <col min="739" max="739" width="5.7109375" style="4" hidden="1" customWidth="1"/>
    <col min="740" max="740" width="7.140625" style="4" hidden="1" customWidth="1"/>
    <col min="741" max="741" width="5.85546875" style="18" hidden="1" customWidth="1"/>
    <col min="742" max="742" width="7" style="4" hidden="1" customWidth="1"/>
    <col min="743" max="743" width="2.42578125" style="4" hidden="1" customWidth="1"/>
    <col min="744" max="744" width="7.42578125" style="4" hidden="1" customWidth="1"/>
    <col min="745" max="745" width="5.7109375" style="4" hidden="1" customWidth="1"/>
    <col min="746" max="746" width="7.140625" style="4" hidden="1" customWidth="1"/>
    <col min="747" max="747" width="5.85546875" style="18" hidden="1" customWidth="1"/>
    <col min="748" max="748" width="7" style="4" hidden="1" customWidth="1"/>
    <col min="749" max="749" width="2.42578125" style="4" hidden="1" customWidth="1"/>
    <col min="750" max="750" width="7.42578125" style="4" hidden="1" customWidth="1"/>
    <col min="751" max="751" width="5.7109375" style="4" hidden="1" customWidth="1"/>
    <col min="752" max="752" width="7.140625" style="4" hidden="1" customWidth="1"/>
    <col min="753" max="753" width="5.85546875" style="18" hidden="1" customWidth="1"/>
    <col min="754" max="754" width="7" style="4" hidden="1" customWidth="1"/>
    <col min="755" max="755" width="2.42578125" style="4" hidden="1" customWidth="1"/>
    <col min="756" max="756" width="7.42578125" style="4" hidden="1" customWidth="1"/>
    <col min="757" max="757" width="5.7109375" style="4" hidden="1" customWidth="1"/>
    <col min="758" max="758" width="7.140625" style="4" hidden="1" customWidth="1"/>
    <col min="759" max="759" width="5.85546875" style="18" hidden="1" customWidth="1"/>
    <col min="760" max="760" width="7" style="4" hidden="1" customWidth="1"/>
    <col min="761" max="761" width="2.42578125" style="4" hidden="1" customWidth="1"/>
    <col min="762" max="762" width="7.42578125" style="4" hidden="1" customWidth="1"/>
    <col min="763" max="763" width="5.7109375" style="4" hidden="1" customWidth="1"/>
    <col min="764" max="764" width="7.140625" style="4" hidden="1" customWidth="1"/>
    <col min="765" max="765" width="5.85546875" style="18" hidden="1" customWidth="1"/>
    <col min="766" max="766" width="7" style="4" hidden="1" customWidth="1"/>
    <col min="767" max="767" width="2.42578125" style="4" hidden="1" customWidth="1"/>
    <col min="768" max="768" width="7.42578125" style="4" hidden="1" customWidth="1"/>
    <col min="769" max="769" width="5.7109375" style="4" hidden="1" customWidth="1"/>
    <col min="770" max="770" width="7.140625" style="4" hidden="1" customWidth="1"/>
    <col min="771" max="771" width="5.85546875" style="18" hidden="1" customWidth="1"/>
    <col min="772" max="772" width="7" style="4" hidden="1" customWidth="1"/>
    <col min="773" max="773" width="2.42578125" style="4" hidden="1" customWidth="1"/>
    <col min="774" max="774" width="7.42578125" style="4" hidden="1" customWidth="1"/>
    <col min="775" max="775" width="5.7109375" style="4" hidden="1" customWidth="1"/>
    <col min="776" max="776" width="7.140625" style="4" hidden="1" customWidth="1"/>
    <col min="777" max="777" width="5.85546875" style="18" hidden="1" customWidth="1"/>
    <col min="778" max="778" width="7" style="4" hidden="1" customWidth="1"/>
    <col min="779" max="779" width="2.42578125" style="4" hidden="1" customWidth="1"/>
    <col min="780" max="780" width="7.42578125" style="4" hidden="1" customWidth="1"/>
    <col min="781" max="781" width="5.7109375" style="4" hidden="1" customWidth="1"/>
    <col min="782" max="782" width="7.140625" style="4" hidden="1" customWidth="1"/>
    <col min="783" max="783" width="5.85546875" style="18" hidden="1" customWidth="1"/>
    <col min="784" max="784" width="7" style="4" hidden="1" customWidth="1"/>
    <col min="785" max="785" width="2.42578125" style="4" hidden="1" customWidth="1"/>
    <col min="786" max="786" width="7.42578125" style="4" hidden="1" customWidth="1"/>
    <col min="787" max="787" width="5.7109375" style="4" hidden="1" customWidth="1"/>
    <col min="788" max="788" width="7.140625" style="4" hidden="1" customWidth="1"/>
    <col min="789" max="789" width="5.85546875" style="18" hidden="1" customWidth="1"/>
    <col min="790" max="790" width="7" style="4" hidden="1" customWidth="1"/>
    <col min="791" max="791" width="2.42578125" style="4" hidden="1" customWidth="1"/>
    <col min="792" max="792" width="7.42578125" style="4" hidden="1" customWidth="1"/>
    <col min="793" max="793" width="5.7109375" style="4" hidden="1" customWidth="1"/>
    <col min="794" max="794" width="7.140625" style="4" hidden="1" customWidth="1"/>
    <col min="795" max="795" width="5.85546875" style="18" hidden="1" customWidth="1"/>
    <col min="796" max="796" width="7" style="4" hidden="1" customWidth="1"/>
    <col min="797" max="797" width="2.42578125" style="4" hidden="1" customWidth="1"/>
    <col min="798" max="798" width="7.42578125" style="4" hidden="1" customWidth="1"/>
    <col min="799" max="799" width="5.7109375" style="4" hidden="1" customWidth="1"/>
    <col min="800" max="800" width="7.140625" style="4" hidden="1" customWidth="1"/>
    <col min="801" max="801" width="5.85546875" style="18" hidden="1" customWidth="1"/>
    <col min="802" max="802" width="7" style="4" hidden="1" customWidth="1"/>
    <col min="803" max="803" width="2.42578125" style="4" hidden="1" customWidth="1"/>
    <col min="804" max="804" width="7.42578125" style="4" hidden="1" customWidth="1"/>
    <col min="805" max="805" width="5.7109375" style="4" hidden="1" customWidth="1"/>
    <col min="806" max="806" width="7.140625" style="4" hidden="1" customWidth="1"/>
    <col min="807" max="807" width="5.85546875" style="18" hidden="1" customWidth="1"/>
    <col min="808" max="808" width="7" style="4" hidden="1" customWidth="1"/>
    <col min="809" max="809" width="2.42578125" style="4" hidden="1" customWidth="1"/>
    <col min="810" max="810" width="7.42578125" style="4" hidden="1" customWidth="1"/>
    <col min="811" max="811" width="5.7109375" style="4" hidden="1" customWidth="1"/>
    <col min="812" max="812" width="7.140625" style="4" hidden="1" customWidth="1"/>
    <col min="813" max="813" width="5.85546875" style="18" hidden="1" customWidth="1"/>
    <col min="814" max="814" width="7" style="4" hidden="1" customWidth="1"/>
    <col min="815" max="815" width="2.42578125" style="4" hidden="1" customWidth="1"/>
    <col min="816" max="816" width="7.42578125" style="4" hidden="1" customWidth="1"/>
    <col min="817" max="817" width="5.7109375" style="4" hidden="1" customWidth="1"/>
    <col min="818" max="818" width="7.140625" style="4" hidden="1" customWidth="1"/>
    <col min="819" max="819" width="5.85546875" style="18" hidden="1" customWidth="1"/>
    <col min="820" max="820" width="7" style="4" hidden="1" customWidth="1"/>
    <col min="821" max="821" width="2.42578125" style="4" hidden="1" customWidth="1"/>
    <col min="822" max="822" width="7.42578125" style="4" hidden="1" customWidth="1"/>
    <col min="823" max="823" width="5.7109375" style="4" hidden="1" customWidth="1"/>
    <col min="824" max="824" width="7.140625" style="4" hidden="1" customWidth="1"/>
    <col min="825" max="825" width="5.85546875" style="18" hidden="1" customWidth="1"/>
    <col min="826" max="826" width="7" style="4" hidden="1" customWidth="1"/>
    <col min="827" max="827" width="2.42578125" style="4" hidden="1" customWidth="1"/>
    <col min="828" max="828" width="7.42578125" style="4" hidden="1" customWidth="1"/>
    <col min="829" max="829" width="5.7109375" style="4" hidden="1" customWidth="1"/>
    <col min="830" max="830" width="7.140625" style="4" hidden="1" customWidth="1"/>
    <col min="831" max="831" width="5.85546875" style="18" hidden="1" customWidth="1"/>
    <col min="832" max="832" width="7" style="4" hidden="1" customWidth="1"/>
    <col min="833" max="833" width="2.42578125" style="4" hidden="1" customWidth="1"/>
    <col min="834" max="834" width="7.42578125" style="4" hidden="1" customWidth="1"/>
    <col min="835" max="835" width="5.7109375" style="4" hidden="1" customWidth="1"/>
    <col min="836" max="836" width="7.140625" style="4" hidden="1" customWidth="1"/>
    <col min="837" max="837" width="5.85546875" style="18" hidden="1" customWidth="1"/>
    <col min="838" max="838" width="7" style="4" hidden="1" customWidth="1"/>
    <col min="839" max="839" width="2.42578125" style="4" hidden="1" customWidth="1"/>
    <col min="840" max="840" width="7.42578125" style="4" hidden="1" customWidth="1"/>
    <col min="841" max="841" width="5.7109375" style="4" hidden="1" customWidth="1"/>
    <col min="842" max="842" width="7.140625" style="4" hidden="1" customWidth="1"/>
    <col min="843" max="843" width="5.85546875" style="18" hidden="1" customWidth="1"/>
    <col min="844" max="844" width="7" style="4" hidden="1" customWidth="1"/>
    <col min="845" max="845" width="2.42578125" style="4" hidden="1" customWidth="1"/>
    <col min="846" max="846" width="7.42578125" style="4" hidden="1" customWidth="1"/>
    <col min="847" max="847" width="5.7109375" style="4" hidden="1" customWidth="1"/>
    <col min="848" max="848" width="7.140625" style="4" hidden="1" customWidth="1"/>
    <col min="849" max="849" width="5.85546875" style="18" hidden="1" customWidth="1"/>
    <col min="850" max="850" width="7" style="4" hidden="1" customWidth="1"/>
    <col min="851" max="851" width="2.42578125" style="4" hidden="1" customWidth="1"/>
    <col min="852" max="852" width="7.42578125" style="4" hidden="1" customWidth="1"/>
    <col min="853" max="853" width="5.7109375" style="4" hidden="1" customWidth="1"/>
    <col min="854" max="854" width="7.140625" style="4" hidden="1" customWidth="1"/>
    <col min="855" max="855" width="5.85546875" style="18" hidden="1" customWidth="1"/>
    <col min="856" max="856" width="7" style="4" hidden="1" customWidth="1"/>
    <col min="857" max="857" width="2.42578125" style="4" hidden="1" customWidth="1"/>
    <col min="858" max="858" width="7.42578125" style="4" hidden="1" customWidth="1"/>
    <col min="859" max="859" width="5.7109375" style="4" hidden="1" customWidth="1"/>
    <col min="860" max="860" width="7.140625" style="4" hidden="1" customWidth="1"/>
    <col min="861" max="861" width="5.85546875" style="18" hidden="1" customWidth="1"/>
    <col min="862" max="862" width="7" style="4" hidden="1" customWidth="1"/>
    <col min="863" max="863" width="2.42578125" style="4" hidden="1" customWidth="1"/>
    <col min="864" max="864" width="7.42578125" style="4" hidden="1" customWidth="1"/>
    <col min="865" max="865" width="5.7109375" style="4" hidden="1" customWidth="1"/>
    <col min="866" max="866" width="7.140625" style="4" hidden="1" customWidth="1"/>
    <col min="867" max="867" width="5.85546875" style="18" hidden="1" customWidth="1"/>
    <col min="868" max="868" width="7" style="4" hidden="1" customWidth="1"/>
    <col min="869" max="869" width="2.42578125" style="4" hidden="1" customWidth="1"/>
    <col min="870" max="870" width="7.42578125" style="4" hidden="1" customWidth="1"/>
    <col min="871" max="871" width="5.7109375" style="4" hidden="1" customWidth="1"/>
    <col min="872" max="872" width="7.140625" style="4" hidden="1" customWidth="1"/>
    <col min="873" max="873" width="5.85546875" style="18" hidden="1" customWidth="1"/>
    <col min="874" max="874" width="7" style="4" hidden="1" customWidth="1"/>
    <col min="875" max="875" width="2.42578125" style="4" hidden="1" customWidth="1"/>
    <col min="876" max="876" width="7.42578125" style="4" hidden="1" customWidth="1"/>
    <col min="877" max="877" width="5.7109375" style="4" hidden="1" customWidth="1"/>
    <col min="878" max="878" width="7.140625" style="4" hidden="1" customWidth="1"/>
    <col min="879" max="879" width="5.85546875" style="18" hidden="1" customWidth="1"/>
    <col min="880" max="880" width="7" style="4" hidden="1" customWidth="1"/>
    <col min="881" max="881" width="2.42578125" style="4" hidden="1" customWidth="1"/>
    <col min="882" max="882" width="7.42578125" style="4" hidden="1" customWidth="1"/>
    <col min="883" max="883" width="5.7109375" style="4" hidden="1" customWidth="1"/>
    <col min="884" max="884" width="7.140625" style="4" hidden="1" customWidth="1"/>
    <col min="885" max="885" width="5.85546875" style="18" hidden="1" customWidth="1"/>
    <col min="886" max="886" width="7" style="4" hidden="1" customWidth="1"/>
    <col min="887" max="887" width="2.42578125" style="4" hidden="1" customWidth="1"/>
    <col min="888" max="888" width="7.42578125" style="4" hidden="1" customWidth="1"/>
    <col min="889" max="889" width="5.7109375" style="4" hidden="1" customWidth="1"/>
    <col min="890" max="890" width="7.140625" style="4" hidden="1" customWidth="1"/>
    <col min="891" max="891" width="5.85546875" style="18" hidden="1" customWidth="1"/>
    <col min="892" max="892" width="7" style="4" hidden="1" customWidth="1"/>
    <col min="893" max="893" width="2.42578125" style="4" hidden="1" customWidth="1"/>
    <col min="894" max="894" width="7.42578125" style="4" hidden="1" customWidth="1"/>
    <col min="895" max="895" width="5.7109375" style="4" hidden="1" customWidth="1"/>
    <col min="896" max="896" width="7.140625" style="4" hidden="1" customWidth="1"/>
    <col min="897" max="897" width="5.85546875" style="18" hidden="1" customWidth="1"/>
    <col min="898" max="898" width="7" style="4" hidden="1" customWidth="1"/>
    <col min="899" max="899" width="2.42578125" style="4" hidden="1" customWidth="1"/>
    <col min="900" max="900" width="7.42578125" style="4" hidden="1" customWidth="1"/>
    <col min="901" max="901" width="5.7109375" style="4" hidden="1" customWidth="1"/>
    <col min="902" max="902" width="7.140625" style="4" hidden="1" customWidth="1"/>
    <col min="903" max="903" width="5.85546875" style="18" hidden="1" customWidth="1"/>
    <col min="904" max="904" width="7" style="4" hidden="1" customWidth="1"/>
    <col min="905" max="905" width="2.42578125" style="4" hidden="1" customWidth="1"/>
    <col min="906" max="906" width="7.42578125" style="4" hidden="1" customWidth="1"/>
    <col min="907" max="907" width="5.7109375" style="4" hidden="1" customWidth="1"/>
    <col min="908" max="908" width="7.140625" style="4" hidden="1" customWidth="1"/>
    <col min="909" max="909" width="5.85546875" style="18" hidden="1" customWidth="1"/>
    <col min="910" max="910" width="7" style="4" hidden="1" customWidth="1"/>
    <col min="911" max="911" width="2.42578125" style="4" hidden="1" customWidth="1"/>
    <col min="912" max="912" width="7.42578125" style="4" hidden="1" customWidth="1"/>
    <col min="913" max="913" width="5.7109375" style="4" hidden="1" customWidth="1"/>
    <col min="914" max="914" width="7.140625" style="4" hidden="1" customWidth="1"/>
    <col min="915" max="915" width="5.85546875" style="18" hidden="1" customWidth="1"/>
    <col min="916" max="916" width="7" style="4" hidden="1" customWidth="1"/>
    <col min="917" max="917" width="2.42578125" style="4" hidden="1" customWidth="1"/>
    <col min="918" max="918" width="7.42578125" style="4" hidden="1" customWidth="1"/>
    <col min="919" max="919" width="5.7109375" style="4" hidden="1" customWidth="1"/>
    <col min="920" max="920" width="7.140625" style="4" hidden="1" customWidth="1"/>
    <col min="921" max="921" width="5.85546875" style="18" hidden="1" customWidth="1"/>
    <col min="922" max="922" width="7" style="4" hidden="1" customWidth="1"/>
    <col min="923" max="923" width="2.42578125" style="4" hidden="1" customWidth="1"/>
    <col min="924" max="924" width="7.42578125" style="4" hidden="1" customWidth="1"/>
    <col min="925" max="925" width="5.7109375" style="4" hidden="1" customWidth="1"/>
    <col min="926" max="926" width="7.140625" style="4" hidden="1" customWidth="1"/>
    <col min="927" max="927" width="5.85546875" style="18" hidden="1" customWidth="1"/>
    <col min="928" max="928" width="7" style="4" hidden="1" customWidth="1"/>
    <col min="929" max="929" width="2.42578125" style="4" hidden="1" customWidth="1"/>
    <col min="930" max="930" width="7.42578125" style="4" hidden="1" customWidth="1"/>
    <col min="931" max="931" width="5.7109375" style="4" hidden="1" customWidth="1"/>
    <col min="932" max="932" width="7.140625" style="4" hidden="1" customWidth="1"/>
    <col min="933" max="933" width="5.85546875" style="18" hidden="1" customWidth="1"/>
    <col min="934" max="934" width="7" style="4" hidden="1" customWidth="1"/>
    <col min="935" max="935" width="2.42578125" style="4" hidden="1" customWidth="1"/>
    <col min="936" max="936" width="7.42578125" style="4" hidden="1" customWidth="1"/>
    <col min="937" max="937" width="5.7109375" style="4" hidden="1" customWidth="1"/>
    <col min="938" max="938" width="7.140625" style="4" hidden="1" customWidth="1"/>
    <col min="939" max="939" width="5.85546875" style="18" hidden="1" customWidth="1"/>
    <col min="940" max="940" width="7" style="4" hidden="1" customWidth="1"/>
    <col min="941" max="941" width="2.42578125" style="4" hidden="1" customWidth="1"/>
    <col min="942" max="942" width="7.42578125" style="4" hidden="1" customWidth="1"/>
    <col min="943" max="943" width="5.7109375" style="4" hidden="1" customWidth="1"/>
    <col min="944" max="944" width="7.140625" style="4" hidden="1" customWidth="1"/>
    <col min="945" max="945" width="5.85546875" style="18" hidden="1" customWidth="1"/>
    <col min="946" max="946" width="7" style="4" hidden="1" customWidth="1"/>
    <col min="947" max="947" width="2.42578125" style="4" hidden="1" customWidth="1"/>
    <col min="948" max="948" width="7.42578125" style="4" hidden="1" customWidth="1"/>
    <col min="949" max="949" width="5.7109375" style="4" hidden="1" customWidth="1"/>
    <col min="950" max="950" width="7.140625" style="4" hidden="1" customWidth="1"/>
    <col min="951" max="951" width="5.85546875" style="18" hidden="1" customWidth="1"/>
    <col min="952" max="952" width="7" style="4" hidden="1" customWidth="1"/>
    <col min="953" max="953" width="2.42578125" style="4" hidden="1" customWidth="1"/>
    <col min="954" max="954" width="7.42578125" style="4" hidden="1" customWidth="1"/>
    <col min="955" max="955" width="5.7109375" style="4" hidden="1" customWidth="1"/>
    <col min="956" max="956" width="7.140625" style="4" hidden="1" customWidth="1"/>
    <col min="957" max="957" width="5.85546875" style="18" hidden="1" customWidth="1"/>
    <col min="958" max="958" width="7" style="4" hidden="1" customWidth="1"/>
    <col min="959" max="959" width="2.42578125" style="4" hidden="1" customWidth="1"/>
    <col min="960" max="960" width="7.42578125" style="4" hidden="1" customWidth="1"/>
    <col min="961" max="961" width="5.7109375" style="4" hidden="1" customWidth="1"/>
    <col min="962" max="962" width="7.140625" style="4" hidden="1" customWidth="1"/>
    <col min="963" max="963" width="5.85546875" style="18" hidden="1" customWidth="1"/>
    <col min="964" max="964" width="7" style="4" hidden="1" customWidth="1"/>
    <col min="965" max="965" width="2.42578125" style="4" hidden="1" customWidth="1"/>
    <col min="966" max="966" width="7.42578125" style="4" hidden="1" customWidth="1"/>
    <col min="967" max="967" width="5.7109375" style="4" hidden="1" customWidth="1"/>
    <col min="968" max="968" width="7.140625" style="4" hidden="1" customWidth="1"/>
    <col min="969" max="969" width="5.85546875" style="18" hidden="1" customWidth="1"/>
    <col min="970" max="970" width="7" style="4" hidden="1" customWidth="1"/>
    <col min="971" max="971" width="2.42578125" style="4" hidden="1" customWidth="1"/>
    <col min="972" max="972" width="7.42578125" style="4" hidden="1" customWidth="1"/>
    <col min="973" max="973" width="5.7109375" style="4" hidden="1" customWidth="1"/>
    <col min="974" max="974" width="7.140625" style="4" hidden="1" customWidth="1"/>
    <col min="975" max="975" width="5.85546875" style="18" hidden="1" customWidth="1"/>
    <col min="976" max="976" width="7" style="4" hidden="1" customWidth="1"/>
    <col min="977" max="977" width="2.42578125" style="4" hidden="1" customWidth="1"/>
    <col min="978" max="978" width="7.42578125" style="4" hidden="1" customWidth="1"/>
    <col min="979" max="979" width="5.7109375" style="4" hidden="1" customWidth="1"/>
    <col min="980" max="980" width="7.140625" style="4" hidden="1" customWidth="1"/>
    <col min="981" max="981" width="5.85546875" style="18" hidden="1" customWidth="1"/>
    <col min="982" max="982" width="7" style="4" hidden="1" customWidth="1"/>
    <col min="983" max="983" width="2.42578125" style="4" hidden="1" customWidth="1"/>
    <col min="984" max="984" width="7.42578125" style="4" hidden="1" customWidth="1"/>
    <col min="985" max="985" width="5.7109375" style="4" hidden="1" customWidth="1"/>
    <col min="986" max="986" width="7.140625" style="4" hidden="1" customWidth="1"/>
    <col min="987" max="987" width="5.85546875" style="18" hidden="1" customWidth="1"/>
    <col min="988" max="988" width="7" style="4" hidden="1" customWidth="1"/>
    <col min="989" max="989" width="2.42578125" style="4" hidden="1" customWidth="1"/>
    <col min="990" max="990" width="7.42578125" style="4" hidden="1" customWidth="1"/>
    <col min="991" max="991" width="5.7109375" style="4" hidden="1" customWidth="1"/>
    <col min="992" max="992" width="7.140625" style="4" hidden="1" customWidth="1"/>
    <col min="993" max="993" width="5.85546875" style="18" hidden="1" customWidth="1"/>
    <col min="994" max="994" width="7" style="4" hidden="1" customWidth="1"/>
    <col min="995" max="995" width="2.42578125" style="4" hidden="1" customWidth="1"/>
    <col min="996" max="996" width="7.42578125" style="4" hidden="1" customWidth="1"/>
    <col min="997" max="997" width="5.7109375" style="4" hidden="1" customWidth="1"/>
    <col min="998" max="998" width="7.140625" style="4" hidden="1" customWidth="1"/>
    <col min="999" max="999" width="5.85546875" style="18" hidden="1" customWidth="1"/>
    <col min="1000" max="1000" width="7" style="4" hidden="1" customWidth="1"/>
    <col min="1001" max="1001" width="2.42578125" style="4" hidden="1" customWidth="1"/>
    <col min="1002" max="1002" width="7.42578125" style="4" hidden="1" customWidth="1"/>
    <col min="1003" max="1003" width="5.7109375" style="4" hidden="1" customWidth="1"/>
    <col min="1004" max="1004" width="7.140625" style="4" hidden="1" customWidth="1"/>
    <col min="1005" max="1005" width="5.85546875" style="18" hidden="1" customWidth="1"/>
    <col min="1006" max="1006" width="7" style="4" hidden="1" customWidth="1"/>
    <col min="1007" max="1007" width="2.42578125" style="4" hidden="1" customWidth="1"/>
    <col min="1008" max="1008" width="7.42578125" style="4" hidden="1" customWidth="1"/>
    <col min="1009" max="1009" width="5.7109375" style="4" hidden="1" customWidth="1"/>
    <col min="1010" max="1010" width="7.140625" style="4" hidden="1" customWidth="1"/>
    <col min="1011" max="1011" width="5.85546875" style="18" hidden="1" customWidth="1"/>
    <col min="1012" max="1012" width="7" style="4" hidden="1" customWidth="1"/>
    <col min="1013" max="1013" width="2.42578125" style="4" hidden="1" customWidth="1"/>
    <col min="1014" max="1014" width="7.42578125" style="4" hidden="1" customWidth="1"/>
    <col min="1015" max="1015" width="5.7109375" style="4" hidden="1" customWidth="1"/>
    <col min="1016" max="1016" width="7.140625" style="4" hidden="1" customWidth="1"/>
    <col min="1017" max="1017" width="5.85546875" style="18" hidden="1" customWidth="1"/>
    <col min="1018" max="1018" width="7" style="4" hidden="1" customWidth="1"/>
    <col min="1019" max="1019" width="2.42578125" style="4" hidden="1" customWidth="1"/>
    <col min="1020" max="1020" width="7.42578125" style="4" hidden="1" customWidth="1"/>
    <col min="1021" max="1021" width="5.7109375" style="4" hidden="1" customWidth="1"/>
    <col min="1022" max="1022" width="7.140625" style="4" hidden="1" customWidth="1"/>
    <col min="1023" max="1023" width="5.85546875" style="18" hidden="1" customWidth="1"/>
    <col min="1024" max="1024" width="7" style="4" hidden="1" customWidth="1"/>
    <col min="1025" max="1025" width="2.42578125" style="4" hidden="1" customWidth="1"/>
    <col min="1026" max="1026" width="7.42578125" style="4" hidden="1" customWidth="1"/>
    <col min="1027" max="1027" width="5.7109375" style="4" hidden="1" customWidth="1"/>
    <col min="1028" max="1028" width="7.140625" style="4" hidden="1" customWidth="1"/>
    <col min="1029" max="1029" width="5.85546875" style="18" hidden="1" customWidth="1"/>
    <col min="1030" max="1030" width="7" style="4" hidden="1" customWidth="1"/>
    <col min="1031" max="1031" width="2.42578125" style="4" hidden="1" customWidth="1"/>
    <col min="1032" max="1032" width="7.42578125" style="4" hidden="1" customWidth="1"/>
    <col min="1033" max="1033" width="5.7109375" style="4" hidden="1" customWidth="1"/>
    <col min="1034" max="1034" width="7.140625" style="4" hidden="1" customWidth="1"/>
    <col min="1035" max="1035" width="5.85546875" style="18" hidden="1" customWidth="1"/>
    <col min="1036" max="1036" width="7" style="4" hidden="1" customWidth="1"/>
    <col min="1037" max="1037" width="2.42578125" style="4" hidden="1" customWidth="1"/>
    <col min="1038" max="1038" width="7.42578125" style="4" hidden="1" customWidth="1"/>
    <col min="1039" max="1039" width="5.7109375" style="4" hidden="1" customWidth="1"/>
    <col min="1040" max="1040" width="7.140625" style="4" hidden="1" customWidth="1"/>
    <col min="1041" max="1041" width="5.85546875" style="18" hidden="1" customWidth="1"/>
    <col min="1042" max="1042" width="7" style="4" hidden="1" customWidth="1"/>
    <col min="1043" max="1043" width="2.42578125" style="4" hidden="1" customWidth="1"/>
    <col min="1044" max="1044" width="7.42578125" style="4" hidden="1" customWidth="1"/>
    <col min="1045" max="1045" width="5.7109375" style="4" hidden="1" customWidth="1"/>
    <col min="1046" max="1046" width="7.140625" style="4" hidden="1" customWidth="1"/>
    <col min="1047" max="1047" width="5.85546875" style="18" hidden="1" customWidth="1"/>
    <col min="1048" max="1048" width="7" style="4" hidden="1" customWidth="1"/>
    <col min="1049" max="1049" width="2.42578125" style="4" hidden="1" customWidth="1"/>
    <col min="1050" max="1050" width="7.42578125" style="4" hidden="1" customWidth="1"/>
    <col min="1051" max="1051" width="5.7109375" style="4" hidden="1" customWidth="1"/>
    <col min="1052" max="1052" width="7.140625" style="4" hidden="1" customWidth="1"/>
    <col min="1053" max="1053" width="5.85546875" style="18" hidden="1" customWidth="1"/>
    <col min="1054" max="1054" width="7" style="4" hidden="1" customWidth="1"/>
    <col min="1055" max="1055" width="2.42578125" style="4" hidden="1" customWidth="1"/>
    <col min="1056" max="1056" width="7.42578125" style="4" hidden="1" customWidth="1"/>
    <col min="1057" max="1057" width="5.7109375" style="4" hidden="1" customWidth="1"/>
    <col min="1058" max="1058" width="7.140625" style="4" hidden="1" customWidth="1"/>
    <col min="1059" max="1059" width="5.85546875" style="18" hidden="1" customWidth="1"/>
    <col min="1060" max="1060" width="7" style="4" hidden="1" customWidth="1"/>
    <col min="1061" max="1061" width="2.42578125" style="4" hidden="1" customWidth="1"/>
    <col min="1062" max="1062" width="7.42578125" style="4" hidden="1" customWidth="1"/>
    <col min="1063" max="1063" width="5.7109375" style="4" hidden="1" customWidth="1"/>
    <col min="1064" max="1064" width="7.140625" style="4" hidden="1" customWidth="1"/>
    <col min="1065" max="1065" width="5.85546875" style="18" hidden="1" customWidth="1"/>
    <col min="1066" max="1066" width="7" style="4" hidden="1" customWidth="1"/>
    <col min="1067" max="1067" width="2.42578125" style="4" customWidth="1"/>
    <col min="1068" max="1068" width="7.42578125" style="4" bestFit="1" customWidth="1"/>
    <col min="1069" max="1069" width="5.7109375" style="4" bestFit="1" customWidth="1"/>
    <col min="1070" max="1070" width="7.140625" style="4" bestFit="1" customWidth="1"/>
    <col min="1071" max="1071" width="5.85546875" style="18" customWidth="1"/>
    <col min="1072" max="1072" width="7" style="4" bestFit="1" customWidth="1"/>
    <col min="1073" max="1073" width="2.42578125" style="4" customWidth="1"/>
    <col min="1074" max="1074" width="7.42578125" style="4" bestFit="1" customWidth="1"/>
    <col min="1075" max="1075" width="5.7109375" style="4" bestFit="1" customWidth="1"/>
    <col min="1076" max="1076" width="7.140625" style="4" bestFit="1" customWidth="1"/>
    <col min="1077" max="1077" width="5.85546875" style="18" customWidth="1"/>
    <col min="1078" max="1078" width="7" style="4" bestFit="1" customWidth="1"/>
    <col min="1079" max="1079" width="2.42578125" style="4" customWidth="1"/>
    <col min="1080" max="1080" width="7.42578125" style="4" bestFit="1" customWidth="1"/>
    <col min="1081" max="1081" width="5.7109375" style="4" bestFit="1" customWidth="1"/>
    <col min="1082" max="1082" width="7.140625" style="4" bestFit="1" customWidth="1"/>
    <col min="1083" max="1083" width="5.85546875" style="18" customWidth="1"/>
    <col min="1084" max="1084" width="7" style="4" bestFit="1" customWidth="1"/>
    <col min="1085" max="16384" width="9.140625" style="4"/>
  </cols>
  <sheetData>
    <row r="1" spans="1:1024 1026:1085" x14ac:dyDescent="0.25">
      <c r="A1" s="172" t="s">
        <v>0</v>
      </c>
      <c r="B1" s="172"/>
      <c r="C1" s="172"/>
      <c r="D1" s="172"/>
      <c r="F1" s="25" t="s">
        <v>1</v>
      </c>
      <c r="G1" s="25" t="s">
        <v>2</v>
      </c>
      <c r="H1" s="25"/>
      <c r="I1" s="20" t="s">
        <v>3</v>
      </c>
      <c r="L1" s="25" t="s">
        <v>1</v>
      </c>
      <c r="M1" s="25" t="s">
        <v>2</v>
      </c>
      <c r="N1" s="25"/>
      <c r="O1" s="20" t="s">
        <v>3</v>
      </c>
      <c r="R1" s="25" t="s">
        <v>1</v>
      </c>
      <c r="S1" s="25" t="s">
        <v>2</v>
      </c>
      <c r="T1" s="25"/>
      <c r="U1" s="20" t="s">
        <v>3</v>
      </c>
      <c r="X1" s="25" t="s">
        <v>1</v>
      </c>
      <c r="Y1" s="25" t="s">
        <v>2</v>
      </c>
      <c r="Z1" s="25"/>
      <c r="AA1" s="20" t="s">
        <v>3</v>
      </c>
      <c r="AD1" s="25" t="s">
        <v>1</v>
      </c>
      <c r="AE1" s="25" t="s">
        <v>2</v>
      </c>
      <c r="AF1" s="25"/>
      <c r="AG1" s="20" t="s">
        <v>3</v>
      </c>
      <c r="AJ1" s="25" t="s">
        <v>1</v>
      </c>
      <c r="AK1" s="25" t="s">
        <v>2</v>
      </c>
      <c r="AL1" s="25"/>
      <c r="AM1" s="20" t="s">
        <v>3</v>
      </c>
      <c r="AP1" s="25" t="s">
        <v>1</v>
      </c>
      <c r="AQ1" s="25" t="s">
        <v>2</v>
      </c>
      <c r="AR1" s="25"/>
      <c r="AS1" s="20" t="s">
        <v>3</v>
      </c>
      <c r="AV1" s="25" t="s">
        <v>1</v>
      </c>
      <c r="AW1" s="25" t="s">
        <v>2</v>
      </c>
      <c r="AX1" s="25"/>
      <c r="AY1" s="20" t="s">
        <v>3</v>
      </c>
      <c r="BB1" s="25" t="s">
        <v>1</v>
      </c>
      <c r="BC1" s="25" t="s">
        <v>2</v>
      </c>
      <c r="BD1" s="25"/>
      <c r="BE1" s="20" t="s">
        <v>3</v>
      </c>
      <c r="BH1" s="25" t="s">
        <v>1</v>
      </c>
      <c r="BI1" s="25" t="s">
        <v>2</v>
      </c>
      <c r="BJ1" s="25"/>
      <c r="BK1" s="20" t="s">
        <v>3</v>
      </c>
      <c r="BN1" s="25" t="s">
        <v>1</v>
      </c>
      <c r="BO1" s="25" t="s">
        <v>2</v>
      </c>
      <c r="BP1" s="25"/>
      <c r="BQ1" s="20" t="s">
        <v>3</v>
      </c>
      <c r="BT1" s="25" t="s">
        <v>1</v>
      </c>
      <c r="BU1" s="25" t="s">
        <v>2</v>
      </c>
      <c r="BV1" s="25"/>
      <c r="BW1" s="20" t="s">
        <v>3</v>
      </c>
      <c r="BZ1" s="25" t="s">
        <v>1</v>
      </c>
      <c r="CA1" s="25" t="s">
        <v>2</v>
      </c>
      <c r="CB1" s="25"/>
      <c r="CC1" s="20" t="s">
        <v>3</v>
      </c>
      <c r="CF1" s="25" t="s">
        <v>1</v>
      </c>
      <c r="CG1" s="25" t="s">
        <v>2</v>
      </c>
      <c r="CH1" s="25"/>
      <c r="CI1" s="19" t="s">
        <v>3</v>
      </c>
      <c r="CL1" s="25" t="s">
        <v>1</v>
      </c>
      <c r="CM1" s="25" t="s">
        <v>2</v>
      </c>
      <c r="CN1" s="25"/>
      <c r="CO1" s="19" t="s">
        <v>3</v>
      </c>
      <c r="CR1" s="25" t="s">
        <v>1</v>
      </c>
      <c r="CS1" s="25" t="s">
        <v>2</v>
      </c>
      <c r="CT1" s="25"/>
      <c r="CU1" s="19" t="s">
        <v>3</v>
      </c>
      <c r="CX1" s="25" t="s">
        <v>1</v>
      </c>
      <c r="CY1" s="25" t="s">
        <v>2</v>
      </c>
      <c r="CZ1" s="25"/>
      <c r="DA1" s="19" t="s">
        <v>3</v>
      </c>
      <c r="DD1" s="25" t="s">
        <v>1</v>
      </c>
      <c r="DE1" s="25" t="s">
        <v>2</v>
      </c>
      <c r="DF1" s="25"/>
      <c r="DG1" s="19" t="s">
        <v>3</v>
      </c>
      <c r="DJ1" s="25" t="s">
        <v>1</v>
      </c>
      <c r="DK1" s="25" t="s">
        <v>2</v>
      </c>
      <c r="DL1" s="25"/>
      <c r="DM1" s="19" t="s">
        <v>3</v>
      </c>
      <c r="DP1" s="25" t="s">
        <v>1</v>
      </c>
      <c r="DQ1" s="25" t="s">
        <v>2</v>
      </c>
      <c r="DR1" s="25"/>
      <c r="DS1" s="19" t="s">
        <v>3</v>
      </c>
      <c r="DV1" s="25" t="s">
        <v>1</v>
      </c>
      <c r="DW1" s="25" t="s">
        <v>2</v>
      </c>
      <c r="DX1" s="25"/>
      <c r="DY1" s="19" t="s">
        <v>3</v>
      </c>
      <c r="EB1" s="25" t="s">
        <v>1</v>
      </c>
      <c r="EC1" s="25" t="s">
        <v>2</v>
      </c>
      <c r="ED1" s="25"/>
      <c r="EE1" s="19" t="s">
        <v>3</v>
      </c>
      <c r="EH1" s="25" t="s">
        <v>1</v>
      </c>
      <c r="EI1" s="25" t="s">
        <v>2</v>
      </c>
      <c r="EJ1" s="25"/>
      <c r="EK1" s="19" t="s">
        <v>3</v>
      </c>
      <c r="EN1" s="25" t="s">
        <v>1</v>
      </c>
      <c r="EO1" s="25" t="s">
        <v>2</v>
      </c>
      <c r="EP1" s="25"/>
      <c r="EQ1" s="19" t="s">
        <v>3</v>
      </c>
      <c r="ET1" s="25" t="s">
        <v>1</v>
      </c>
      <c r="EU1" s="25" t="s">
        <v>2</v>
      </c>
      <c r="EV1" s="25"/>
      <c r="EW1" s="19" t="s">
        <v>3</v>
      </c>
      <c r="EZ1" s="25" t="s">
        <v>1</v>
      </c>
      <c r="FA1" s="25" t="s">
        <v>2</v>
      </c>
      <c r="FB1" s="25"/>
      <c r="FC1" s="19" t="s">
        <v>3</v>
      </c>
      <c r="FF1" s="25" t="s">
        <v>1</v>
      </c>
      <c r="FG1" s="25" t="s">
        <v>2</v>
      </c>
      <c r="FH1" s="25"/>
      <c r="FI1" s="19" t="s">
        <v>3</v>
      </c>
      <c r="FL1" s="25" t="s">
        <v>1</v>
      </c>
      <c r="FM1" s="25" t="s">
        <v>2</v>
      </c>
      <c r="FN1" s="25"/>
      <c r="FO1" s="19" t="s">
        <v>3</v>
      </c>
      <c r="FR1" s="25" t="s">
        <v>1</v>
      </c>
      <c r="FS1" s="25" t="s">
        <v>2</v>
      </c>
      <c r="FT1" s="25"/>
      <c r="FU1" s="19" t="s">
        <v>3</v>
      </c>
      <c r="FX1" s="25" t="s">
        <v>1</v>
      </c>
      <c r="FY1" s="25" t="s">
        <v>2</v>
      </c>
      <c r="FZ1" s="25"/>
      <c r="GA1" s="19" t="s">
        <v>3</v>
      </c>
      <c r="GD1" s="25" t="s">
        <v>1</v>
      </c>
      <c r="GE1" s="25" t="s">
        <v>2</v>
      </c>
      <c r="GF1" s="25"/>
      <c r="GG1" s="19" t="s">
        <v>3</v>
      </c>
      <c r="GJ1" s="25" t="s">
        <v>1</v>
      </c>
      <c r="GK1" s="25" t="s">
        <v>2</v>
      </c>
      <c r="GL1" s="25"/>
      <c r="GM1" s="19" t="s">
        <v>3</v>
      </c>
      <c r="GP1" s="25" t="s">
        <v>1</v>
      </c>
      <c r="GQ1" s="25" t="s">
        <v>2</v>
      </c>
      <c r="GR1" s="25"/>
      <c r="GS1" s="19" t="s">
        <v>3</v>
      </c>
      <c r="GV1" s="25" t="s">
        <v>1</v>
      </c>
      <c r="GW1" s="25" t="s">
        <v>2</v>
      </c>
      <c r="GX1" s="25"/>
      <c r="GY1" s="19" t="s">
        <v>3</v>
      </c>
      <c r="HB1" s="25" t="s">
        <v>1</v>
      </c>
      <c r="HC1" s="25" t="s">
        <v>2</v>
      </c>
      <c r="HD1" s="25"/>
      <c r="HE1" s="19" t="s">
        <v>3</v>
      </c>
      <c r="HH1" s="25" t="s">
        <v>1</v>
      </c>
      <c r="HI1" s="25" t="s">
        <v>2</v>
      </c>
      <c r="HJ1" s="25"/>
      <c r="HK1" s="19" t="s">
        <v>3</v>
      </c>
      <c r="HN1" s="25" t="s">
        <v>1</v>
      </c>
      <c r="HO1" s="25" t="s">
        <v>2</v>
      </c>
      <c r="HP1" s="25"/>
      <c r="HQ1" s="19" t="s">
        <v>3</v>
      </c>
      <c r="HT1" s="25" t="s">
        <v>1</v>
      </c>
      <c r="HU1" s="25" t="s">
        <v>2</v>
      </c>
      <c r="HV1" s="25"/>
      <c r="HW1" s="19" t="s">
        <v>3</v>
      </c>
      <c r="HZ1" s="25" t="s">
        <v>1</v>
      </c>
      <c r="IA1" s="25" t="s">
        <v>2</v>
      </c>
      <c r="IB1" s="25"/>
      <c r="IC1" s="19" t="s">
        <v>3</v>
      </c>
      <c r="IF1" s="25" t="s">
        <v>1</v>
      </c>
      <c r="IG1" s="25" t="s">
        <v>2</v>
      </c>
      <c r="IH1" s="25"/>
      <c r="II1" s="19" t="s">
        <v>3</v>
      </c>
      <c r="IL1" s="25" t="s">
        <v>1</v>
      </c>
      <c r="IM1" s="25" t="s">
        <v>2</v>
      </c>
      <c r="IN1" s="25"/>
      <c r="IO1" s="19" t="s">
        <v>3</v>
      </c>
      <c r="IR1" s="25" t="s">
        <v>1</v>
      </c>
      <c r="IS1" s="25" t="s">
        <v>2</v>
      </c>
      <c r="IT1" s="25"/>
      <c r="IU1" s="19" t="s">
        <v>3</v>
      </c>
      <c r="IX1" s="25" t="s">
        <v>1</v>
      </c>
      <c r="IY1" s="25" t="s">
        <v>2</v>
      </c>
      <c r="IZ1" s="25"/>
      <c r="JA1" s="19" t="s">
        <v>3</v>
      </c>
      <c r="JD1" s="25" t="s">
        <v>1</v>
      </c>
      <c r="JE1" s="25" t="s">
        <v>2</v>
      </c>
      <c r="JF1" s="25"/>
      <c r="JG1" s="19" t="s">
        <v>3</v>
      </c>
      <c r="JJ1" s="25" t="s">
        <v>1</v>
      </c>
      <c r="JK1" s="25" t="s">
        <v>2</v>
      </c>
      <c r="JL1" s="25"/>
      <c r="JM1" s="19" t="s">
        <v>3</v>
      </c>
      <c r="JP1" s="25" t="s">
        <v>1</v>
      </c>
      <c r="JQ1" s="25" t="s">
        <v>2</v>
      </c>
      <c r="JR1" s="25"/>
      <c r="JS1" s="19" t="s">
        <v>3</v>
      </c>
      <c r="JV1" s="25" t="s">
        <v>1</v>
      </c>
      <c r="JW1" s="25" t="s">
        <v>2</v>
      </c>
      <c r="JX1" s="25"/>
      <c r="JY1" s="19" t="s">
        <v>3</v>
      </c>
      <c r="KB1" s="25" t="s">
        <v>1</v>
      </c>
      <c r="KC1" s="25" t="s">
        <v>2</v>
      </c>
      <c r="KD1" s="25"/>
      <c r="KE1" s="19" t="s">
        <v>3</v>
      </c>
      <c r="KH1" s="25" t="s">
        <v>1</v>
      </c>
      <c r="KI1" s="25" t="s">
        <v>2</v>
      </c>
      <c r="KJ1" s="25"/>
      <c r="KK1" s="19" t="s">
        <v>3</v>
      </c>
      <c r="KN1" s="25" t="s">
        <v>1</v>
      </c>
      <c r="KO1" s="25" t="s">
        <v>2</v>
      </c>
      <c r="KP1" s="25"/>
      <c r="KQ1" s="19" t="s">
        <v>3</v>
      </c>
      <c r="KT1" s="25" t="s">
        <v>1</v>
      </c>
      <c r="KU1" s="25" t="s">
        <v>2</v>
      </c>
      <c r="KV1" s="25"/>
      <c r="KW1" s="19" t="s">
        <v>3</v>
      </c>
      <c r="KZ1" s="25" t="s">
        <v>1</v>
      </c>
      <c r="LA1" s="25" t="s">
        <v>2</v>
      </c>
      <c r="LB1" s="25"/>
      <c r="LC1" s="19" t="s">
        <v>3</v>
      </c>
      <c r="LF1" s="25" t="s">
        <v>1</v>
      </c>
      <c r="LG1" s="25" t="s">
        <v>2</v>
      </c>
      <c r="LH1" s="25"/>
      <c r="LI1" s="19" t="s">
        <v>3</v>
      </c>
      <c r="LL1" s="25" t="s">
        <v>1</v>
      </c>
      <c r="LM1" s="25" t="s">
        <v>2</v>
      </c>
      <c r="LN1" s="25"/>
      <c r="LO1" s="19" t="s">
        <v>3</v>
      </c>
      <c r="LR1" s="25" t="s">
        <v>1</v>
      </c>
      <c r="LS1" s="25" t="s">
        <v>2</v>
      </c>
      <c r="LT1" s="25"/>
      <c r="LU1" s="19" t="s">
        <v>3</v>
      </c>
      <c r="LX1" s="25" t="s">
        <v>1</v>
      </c>
      <c r="LY1" s="25" t="s">
        <v>2</v>
      </c>
      <c r="LZ1" s="25"/>
      <c r="MA1" s="19" t="s">
        <v>3</v>
      </c>
      <c r="MD1" s="25" t="s">
        <v>1</v>
      </c>
      <c r="ME1" s="25" t="s">
        <v>2</v>
      </c>
      <c r="MF1" s="25"/>
      <c r="MG1" s="19" t="s">
        <v>3</v>
      </c>
      <c r="MJ1" s="25" t="s">
        <v>1</v>
      </c>
      <c r="MK1" s="25" t="s">
        <v>2</v>
      </c>
      <c r="ML1" s="25"/>
      <c r="MM1" s="19" t="s">
        <v>3</v>
      </c>
      <c r="MP1" s="25" t="s">
        <v>1</v>
      </c>
      <c r="MQ1" s="25" t="s">
        <v>2</v>
      </c>
      <c r="MR1" s="25"/>
      <c r="MS1" s="19" t="s">
        <v>3</v>
      </c>
      <c r="MV1" s="25" t="s">
        <v>1</v>
      </c>
      <c r="MW1" s="25" t="s">
        <v>2</v>
      </c>
      <c r="MX1" s="25"/>
      <c r="MY1" s="19" t="s">
        <v>3</v>
      </c>
      <c r="NB1" s="25" t="s">
        <v>1</v>
      </c>
      <c r="NC1" s="25" t="s">
        <v>2</v>
      </c>
      <c r="ND1" s="25"/>
      <c r="NE1" s="19" t="s">
        <v>3</v>
      </c>
      <c r="NH1" s="25" t="s">
        <v>1</v>
      </c>
      <c r="NI1" s="25" t="s">
        <v>2</v>
      </c>
      <c r="NJ1" s="25"/>
      <c r="NK1" s="19" t="s">
        <v>3</v>
      </c>
      <c r="NN1" s="25" t="s">
        <v>1</v>
      </c>
      <c r="NO1" s="25" t="s">
        <v>2</v>
      </c>
      <c r="NP1" s="25"/>
      <c r="NQ1" s="19" t="s">
        <v>3</v>
      </c>
      <c r="NT1" s="25" t="s">
        <v>1</v>
      </c>
      <c r="NU1" s="25" t="s">
        <v>2</v>
      </c>
      <c r="NV1" s="25"/>
      <c r="NW1" s="19" t="s">
        <v>3</v>
      </c>
      <c r="NZ1" s="25" t="s">
        <v>1</v>
      </c>
      <c r="OA1" s="25" t="s">
        <v>2</v>
      </c>
      <c r="OB1" s="25"/>
      <c r="OC1" s="19" t="s">
        <v>3</v>
      </c>
      <c r="OF1" s="25" t="s">
        <v>1</v>
      </c>
      <c r="OG1" s="25" t="s">
        <v>2</v>
      </c>
      <c r="OH1" s="25"/>
      <c r="OI1" s="19" t="s">
        <v>3</v>
      </c>
      <c r="OL1" s="25" t="s">
        <v>1</v>
      </c>
      <c r="OM1" s="25" t="s">
        <v>2</v>
      </c>
      <c r="ON1" s="25"/>
      <c r="OO1" s="19" t="s">
        <v>3</v>
      </c>
      <c r="OR1" s="25" t="s">
        <v>1</v>
      </c>
      <c r="OS1" s="25" t="s">
        <v>2</v>
      </c>
      <c r="OT1" s="25"/>
      <c r="OU1" s="19" t="s">
        <v>3</v>
      </c>
      <c r="OX1" s="25" t="s">
        <v>1</v>
      </c>
      <c r="OY1" s="25" t="s">
        <v>2</v>
      </c>
      <c r="OZ1" s="25"/>
      <c r="PA1" s="19" t="s">
        <v>3</v>
      </c>
      <c r="PD1" s="25" t="s">
        <v>1</v>
      </c>
      <c r="PE1" s="25" t="s">
        <v>2</v>
      </c>
      <c r="PF1" s="25"/>
      <c r="PG1" s="19" t="s">
        <v>3</v>
      </c>
      <c r="PJ1" s="25" t="s">
        <v>1</v>
      </c>
      <c r="PK1" s="25" t="s">
        <v>2</v>
      </c>
      <c r="PL1" s="25"/>
      <c r="PM1" s="19" t="s">
        <v>3</v>
      </c>
      <c r="PP1" s="25" t="s">
        <v>1</v>
      </c>
      <c r="PQ1" s="25" t="s">
        <v>2</v>
      </c>
      <c r="PR1" s="25"/>
      <c r="PS1" s="19" t="s">
        <v>3</v>
      </c>
      <c r="PV1" s="25" t="s">
        <v>1</v>
      </c>
      <c r="PW1" s="25" t="s">
        <v>2</v>
      </c>
      <c r="PX1" s="25"/>
      <c r="PY1" s="19" t="s">
        <v>3</v>
      </c>
      <c r="QB1" s="25" t="s">
        <v>1</v>
      </c>
      <c r="QC1" s="25" t="s">
        <v>2</v>
      </c>
      <c r="QD1" s="25"/>
      <c r="QE1" s="19" t="s">
        <v>3</v>
      </c>
      <c r="QH1" s="25" t="s">
        <v>1</v>
      </c>
      <c r="QI1" s="25" t="s">
        <v>2</v>
      </c>
      <c r="QJ1" s="25"/>
      <c r="QK1" s="19" t="s">
        <v>3</v>
      </c>
      <c r="QN1" s="25" t="s">
        <v>1</v>
      </c>
      <c r="QO1" s="25" t="s">
        <v>2</v>
      </c>
      <c r="QP1" s="25"/>
      <c r="QQ1" s="19" t="s">
        <v>3</v>
      </c>
      <c r="QT1" s="25" t="s">
        <v>1</v>
      </c>
      <c r="QU1" s="25" t="s">
        <v>2</v>
      </c>
      <c r="QV1" s="25"/>
      <c r="QW1" s="19" t="s">
        <v>3</v>
      </c>
      <c r="QZ1" s="25" t="s">
        <v>1</v>
      </c>
      <c r="RA1" s="25" t="s">
        <v>2</v>
      </c>
      <c r="RB1" s="25"/>
      <c r="RC1" s="19" t="s">
        <v>3</v>
      </c>
      <c r="RF1" s="25" t="s">
        <v>1</v>
      </c>
      <c r="RG1" s="25" t="s">
        <v>2</v>
      </c>
      <c r="RH1" s="25"/>
      <c r="RI1" s="19" t="s">
        <v>3</v>
      </c>
      <c r="RL1" s="25" t="s">
        <v>1</v>
      </c>
      <c r="RM1" s="25" t="s">
        <v>2</v>
      </c>
      <c r="RN1" s="25"/>
      <c r="RO1" s="19" t="s">
        <v>3</v>
      </c>
      <c r="RR1" s="25" t="s">
        <v>1</v>
      </c>
      <c r="RS1" s="25" t="s">
        <v>2</v>
      </c>
      <c r="RT1" s="25"/>
      <c r="RU1" s="19" t="s">
        <v>3</v>
      </c>
      <c r="RX1" s="25" t="s">
        <v>1</v>
      </c>
      <c r="RY1" s="25" t="s">
        <v>2</v>
      </c>
      <c r="RZ1" s="25"/>
      <c r="SA1" s="19" t="s">
        <v>3</v>
      </c>
      <c r="SD1" s="25" t="s">
        <v>1</v>
      </c>
      <c r="SE1" s="25" t="s">
        <v>2</v>
      </c>
      <c r="SF1" s="25"/>
      <c r="SG1" s="19" t="s">
        <v>3</v>
      </c>
      <c r="SJ1" s="25" t="s">
        <v>1</v>
      </c>
      <c r="SK1" s="25" t="s">
        <v>2</v>
      </c>
      <c r="SL1" s="25"/>
      <c r="SM1" s="19" t="s">
        <v>3</v>
      </c>
      <c r="SP1" s="25" t="s">
        <v>1</v>
      </c>
      <c r="SQ1" s="25" t="s">
        <v>2</v>
      </c>
      <c r="SR1" s="25"/>
      <c r="SS1" s="19" t="s">
        <v>3</v>
      </c>
      <c r="SV1" s="25" t="s">
        <v>1</v>
      </c>
      <c r="SW1" s="25" t="s">
        <v>2</v>
      </c>
      <c r="SX1" s="25"/>
      <c r="SY1" s="19" t="s">
        <v>3</v>
      </c>
      <c r="TB1" s="25" t="s">
        <v>1</v>
      </c>
      <c r="TC1" s="25" t="s">
        <v>2</v>
      </c>
      <c r="TD1" s="25"/>
      <c r="TE1" s="19" t="s">
        <v>3</v>
      </c>
      <c r="TH1" s="25" t="s">
        <v>1</v>
      </c>
      <c r="TI1" s="25" t="s">
        <v>2</v>
      </c>
      <c r="TJ1" s="25"/>
      <c r="TK1" s="19" t="s">
        <v>3</v>
      </c>
      <c r="TN1" s="25" t="s">
        <v>1</v>
      </c>
      <c r="TO1" s="25" t="s">
        <v>2</v>
      </c>
      <c r="TP1" s="25"/>
      <c r="TQ1" s="19" t="s">
        <v>3</v>
      </c>
      <c r="TT1" s="25" t="s">
        <v>1</v>
      </c>
      <c r="TU1" s="25" t="s">
        <v>2</v>
      </c>
      <c r="TV1" s="25"/>
      <c r="TW1" s="19" t="s">
        <v>3</v>
      </c>
      <c r="TZ1" s="25" t="s">
        <v>1</v>
      </c>
      <c r="UA1" s="25" t="s">
        <v>2</v>
      </c>
      <c r="UB1" s="25"/>
      <c r="UC1" s="19" t="s">
        <v>3</v>
      </c>
      <c r="UF1" s="25" t="s">
        <v>1</v>
      </c>
      <c r="UG1" s="25" t="s">
        <v>2</v>
      </c>
      <c r="UH1" s="25"/>
      <c r="UI1" s="19" t="s">
        <v>3</v>
      </c>
      <c r="UL1" s="25" t="s">
        <v>1</v>
      </c>
      <c r="UM1" s="25" t="s">
        <v>2</v>
      </c>
      <c r="UN1" s="25"/>
      <c r="UO1" s="19" t="s">
        <v>3</v>
      </c>
      <c r="UR1" s="25" t="s">
        <v>1</v>
      </c>
      <c r="US1" s="25" t="s">
        <v>2</v>
      </c>
      <c r="UT1" s="25"/>
      <c r="UU1" s="19" t="s">
        <v>3</v>
      </c>
      <c r="UX1" s="25" t="s">
        <v>1</v>
      </c>
      <c r="UY1" s="25" t="s">
        <v>2</v>
      </c>
      <c r="UZ1" s="25"/>
      <c r="VA1" s="19" t="s">
        <v>3</v>
      </c>
      <c r="VD1" s="25" t="s">
        <v>1</v>
      </c>
      <c r="VE1" s="25" t="s">
        <v>2</v>
      </c>
      <c r="VF1" s="25"/>
      <c r="VG1" s="19" t="s">
        <v>3</v>
      </c>
      <c r="VJ1" s="25" t="s">
        <v>1</v>
      </c>
      <c r="VK1" s="25" t="s">
        <v>2</v>
      </c>
      <c r="VL1" s="25"/>
      <c r="VM1" s="19" t="s">
        <v>3</v>
      </c>
      <c r="VP1" s="25" t="s">
        <v>1</v>
      </c>
      <c r="VQ1" s="25" t="s">
        <v>2</v>
      </c>
      <c r="VR1" s="25"/>
      <c r="VS1" s="19" t="s">
        <v>3</v>
      </c>
      <c r="VV1" s="25" t="s">
        <v>1</v>
      </c>
      <c r="VW1" s="25" t="s">
        <v>2</v>
      </c>
      <c r="VX1" s="25"/>
      <c r="VY1" s="19" t="s">
        <v>3</v>
      </c>
      <c r="WB1" s="25" t="s">
        <v>1</v>
      </c>
      <c r="WC1" s="25" t="s">
        <v>2</v>
      </c>
      <c r="WD1" s="25"/>
      <c r="WE1" s="19" t="s">
        <v>3</v>
      </c>
      <c r="WH1" s="25" t="s">
        <v>1</v>
      </c>
      <c r="WI1" s="25" t="s">
        <v>2</v>
      </c>
      <c r="WJ1" s="25"/>
      <c r="WK1" s="19" t="s">
        <v>3</v>
      </c>
      <c r="WN1" s="25" t="s">
        <v>1</v>
      </c>
      <c r="WO1" s="25" t="s">
        <v>2</v>
      </c>
      <c r="WP1" s="25"/>
      <c r="WQ1" s="19" t="s">
        <v>3</v>
      </c>
      <c r="WT1" s="25" t="s">
        <v>1</v>
      </c>
      <c r="WU1" s="25" t="s">
        <v>2</v>
      </c>
      <c r="WV1" s="25"/>
      <c r="WW1" s="19" t="s">
        <v>3</v>
      </c>
      <c r="WZ1" s="25" t="s">
        <v>1</v>
      </c>
      <c r="XA1" s="25" t="s">
        <v>2</v>
      </c>
      <c r="XB1" s="25"/>
      <c r="XC1" s="19" t="s">
        <v>3</v>
      </c>
      <c r="XF1" s="25" t="s">
        <v>1</v>
      </c>
      <c r="XG1" s="25" t="s">
        <v>2</v>
      </c>
      <c r="XH1" s="25"/>
      <c r="XI1" s="19" t="s">
        <v>3</v>
      </c>
      <c r="XL1" s="25" t="s">
        <v>1</v>
      </c>
      <c r="XM1" s="25" t="s">
        <v>2</v>
      </c>
      <c r="XN1" s="25"/>
      <c r="XO1" s="19" t="s">
        <v>3</v>
      </c>
      <c r="XR1" s="25" t="s">
        <v>1</v>
      </c>
      <c r="XS1" s="25" t="s">
        <v>2</v>
      </c>
      <c r="XT1" s="25"/>
      <c r="XU1" s="19" t="s">
        <v>3</v>
      </c>
      <c r="XX1" s="25" t="s">
        <v>1</v>
      </c>
      <c r="XY1" s="25" t="s">
        <v>2</v>
      </c>
      <c r="XZ1" s="25"/>
      <c r="YA1" s="19" t="s">
        <v>3</v>
      </c>
      <c r="YD1" s="25" t="s">
        <v>1</v>
      </c>
      <c r="YE1" s="25" t="s">
        <v>2</v>
      </c>
      <c r="YF1" s="25"/>
      <c r="YG1" s="19" t="s">
        <v>3</v>
      </c>
      <c r="YJ1" s="25" t="s">
        <v>1</v>
      </c>
      <c r="YK1" s="25" t="s">
        <v>2</v>
      </c>
      <c r="YL1" s="25"/>
      <c r="YM1" s="19" t="s">
        <v>3</v>
      </c>
      <c r="YP1" s="25" t="s">
        <v>1</v>
      </c>
      <c r="YQ1" s="25" t="s">
        <v>2</v>
      </c>
      <c r="YR1" s="25"/>
      <c r="YS1" s="19" t="s">
        <v>3</v>
      </c>
      <c r="YV1" s="25" t="s">
        <v>1</v>
      </c>
      <c r="YW1" s="25" t="s">
        <v>2</v>
      </c>
      <c r="YX1" s="25"/>
      <c r="YY1" s="19" t="s">
        <v>3</v>
      </c>
      <c r="ZB1" s="25" t="s">
        <v>1</v>
      </c>
      <c r="ZC1" s="25" t="s">
        <v>2</v>
      </c>
      <c r="ZD1" s="25"/>
      <c r="ZE1" s="19" t="s">
        <v>3</v>
      </c>
      <c r="ZH1" s="25" t="s">
        <v>1</v>
      </c>
      <c r="ZI1" s="25" t="s">
        <v>2</v>
      </c>
      <c r="ZJ1" s="25"/>
      <c r="ZK1" s="19" t="s">
        <v>3</v>
      </c>
      <c r="ZN1" s="25" t="s">
        <v>1</v>
      </c>
      <c r="ZO1" s="25" t="s">
        <v>2</v>
      </c>
      <c r="ZP1" s="25"/>
      <c r="ZQ1" s="19" t="s">
        <v>3</v>
      </c>
      <c r="ZT1" s="25" t="s">
        <v>1</v>
      </c>
      <c r="ZU1" s="25" t="s">
        <v>2</v>
      </c>
      <c r="ZV1" s="25"/>
      <c r="ZW1" s="19" t="s">
        <v>3</v>
      </c>
      <c r="ZZ1" s="25" t="s">
        <v>1</v>
      </c>
      <c r="AAA1" s="25" t="s">
        <v>2</v>
      </c>
      <c r="AAB1" s="25"/>
      <c r="AAC1" s="19" t="s">
        <v>3</v>
      </c>
      <c r="AAF1" s="25" t="s">
        <v>1</v>
      </c>
      <c r="AAG1" s="25" t="s">
        <v>2</v>
      </c>
      <c r="AAH1" s="25"/>
      <c r="AAI1" s="19" t="s">
        <v>3</v>
      </c>
      <c r="AAL1" s="25" t="s">
        <v>1</v>
      </c>
      <c r="AAM1" s="25" t="s">
        <v>2</v>
      </c>
      <c r="AAN1" s="25"/>
      <c r="AAO1" s="19" t="s">
        <v>3</v>
      </c>
      <c r="AAR1" s="25" t="s">
        <v>1</v>
      </c>
      <c r="AAS1" s="25" t="s">
        <v>2</v>
      </c>
      <c r="AAT1" s="25"/>
      <c r="AAU1" s="19" t="s">
        <v>3</v>
      </c>
      <c r="AAX1" s="25" t="s">
        <v>1</v>
      </c>
      <c r="AAY1" s="25" t="s">
        <v>2</v>
      </c>
      <c r="AAZ1" s="25"/>
      <c r="ABA1" s="19" t="s">
        <v>3</v>
      </c>
      <c r="ABD1" s="25" t="s">
        <v>1</v>
      </c>
      <c r="ABE1" s="25" t="s">
        <v>2</v>
      </c>
      <c r="ABF1" s="25"/>
      <c r="ABG1" s="19" t="s">
        <v>3</v>
      </c>
      <c r="ABJ1" s="25" t="s">
        <v>1</v>
      </c>
      <c r="ABK1" s="25" t="s">
        <v>2</v>
      </c>
      <c r="ABL1" s="25"/>
      <c r="ABM1" s="19" t="s">
        <v>3</v>
      </c>
      <c r="ABP1" s="25" t="s">
        <v>1</v>
      </c>
      <c r="ABQ1" s="25" t="s">
        <v>2</v>
      </c>
      <c r="ABR1" s="25"/>
      <c r="ABS1" s="19" t="s">
        <v>3</v>
      </c>
      <c r="ABV1" s="25" t="s">
        <v>1</v>
      </c>
      <c r="ABW1" s="25" t="s">
        <v>2</v>
      </c>
      <c r="ABX1" s="25"/>
      <c r="ABY1" s="19" t="s">
        <v>3</v>
      </c>
      <c r="ACB1" s="25" t="s">
        <v>1</v>
      </c>
      <c r="ACC1" s="25" t="s">
        <v>2</v>
      </c>
      <c r="ACD1" s="25"/>
      <c r="ACE1" s="19" t="s">
        <v>3</v>
      </c>
      <c r="ACH1" s="25" t="s">
        <v>1</v>
      </c>
      <c r="ACI1" s="25" t="s">
        <v>2</v>
      </c>
      <c r="ACJ1" s="25"/>
      <c r="ACK1" s="19" t="s">
        <v>3</v>
      </c>
      <c r="ACN1" s="25" t="s">
        <v>1</v>
      </c>
      <c r="ACO1" s="25" t="s">
        <v>2</v>
      </c>
      <c r="ACP1" s="25"/>
      <c r="ACQ1" s="19" t="s">
        <v>3</v>
      </c>
      <c r="ACT1" s="25" t="s">
        <v>1</v>
      </c>
      <c r="ACU1" s="25" t="s">
        <v>2</v>
      </c>
      <c r="ACV1" s="25"/>
      <c r="ACW1" s="19" t="s">
        <v>3</v>
      </c>
      <c r="ACZ1" s="25" t="s">
        <v>1</v>
      </c>
      <c r="ADA1" s="25" t="s">
        <v>2</v>
      </c>
      <c r="ADB1" s="25"/>
      <c r="ADC1" s="19" t="s">
        <v>3</v>
      </c>
      <c r="ADF1" s="25" t="s">
        <v>1</v>
      </c>
      <c r="ADG1" s="25" t="s">
        <v>2</v>
      </c>
      <c r="ADH1" s="25"/>
      <c r="ADI1" s="19" t="s">
        <v>3</v>
      </c>
      <c r="ADL1" s="25" t="s">
        <v>1</v>
      </c>
      <c r="ADM1" s="25" t="s">
        <v>2</v>
      </c>
      <c r="ADN1" s="25"/>
      <c r="ADO1" s="19" t="s">
        <v>3</v>
      </c>
      <c r="ADR1" s="25" t="s">
        <v>1</v>
      </c>
      <c r="ADS1" s="25" t="s">
        <v>2</v>
      </c>
      <c r="ADT1" s="25"/>
      <c r="ADU1" s="19" t="s">
        <v>3</v>
      </c>
      <c r="ADX1" s="25" t="s">
        <v>1</v>
      </c>
      <c r="ADY1" s="25" t="s">
        <v>2</v>
      </c>
      <c r="ADZ1" s="25"/>
      <c r="AEA1" s="19" t="s">
        <v>3</v>
      </c>
      <c r="AED1" s="25" t="s">
        <v>1</v>
      </c>
      <c r="AEE1" s="25" t="s">
        <v>2</v>
      </c>
      <c r="AEF1" s="25"/>
      <c r="AEG1" s="19" t="s">
        <v>3</v>
      </c>
      <c r="AEJ1" s="25" t="s">
        <v>1</v>
      </c>
      <c r="AEK1" s="25" t="s">
        <v>2</v>
      </c>
      <c r="AEL1" s="25"/>
      <c r="AEM1" s="19" t="s">
        <v>3</v>
      </c>
      <c r="AEP1" s="25" t="s">
        <v>1</v>
      </c>
      <c r="AEQ1" s="25" t="s">
        <v>2</v>
      </c>
      <c r="AER1" s="25"/>
      <c r="AES1" s="19" t="s">
        <v>3</v>
      </c>
      <c r="AEV1" s="25" t="s">
        <v>1</v>
      </c>
      <c r="AEW1" s="25" t="s">
        <v>2</v>
      </c>
      <c r="AEX1" s="25"/>
      <c r="AEY1" s="19" t="s">
        <v>3</v>
      </c>
      <c r="AFB1" s="25" t="s">
        <v>1</v>
      </c>
      <c r="AFC1" s="25" t="s">
        <v>2</v>
      </c>
      <c r="AFD1" s="25"/>
      <c r="AFE1" s="19" t="s">
        <v>3</v>
      </c>
      <c r="AFH1" s="25" t="s">
        <v>1</v>
      </c>
      <c r="AFI1" s="25" t="s">
        <v>2</v>
      </c>
      <c r="AFJ1" s="25"/>
      <c r="AFK1" s="19" t="s">
        <v>3</v>
      </c>
      <c r="AFN1" s="25" t="s">
        <v>1</v>
      </c>
      <c r="AFO1" s="25" t="s">
        <v>2</v>
      </c>
      <c r="AFP1" s="25"/>
      <c r="AFQ1" s="19" t="s">
        <v>3</v>
      </c>
      <c r="AFT1" s="25" t="s">
        <v>1</v>
      </c>
      <c r="AFU1" s="25" t="s">
        <v>2</v>
      </c>
      <c r="AFV1" s="25"/>
      <c r="AFW1" s="19" t="s">
        <v>3</v>
      </c>
      <c r="AFZ1" s="25" t="s">
        <v>1</v>
      </c>
      <c r="AGA1" s="25" t="s">
        <v>2</v>
      </c>
      <c r="AGB1" s="25"/>
      <c r="AGC1" s="19" t="s">
        <v>3</v>
      </c>
      <c r="AGF1" s="25" t="s">
        <v>1</v>
      </c>
      <c r="AGG1" s="25" t="s">
        <v>2</v>
      </c>
      <c r="AGH1" s="25"/>
      <c r="AGI1" s="19" t="s">
        <v>3</v>
      </c>
      <c r="AGL1" s="25" t="s">
        <v>1</v>
      </c>
      <c r="AGM1" s="25" t="s">
        <v>2</v>
      </c>
      <c r="AGN1" s="25"/>
      <c r="AGO1" s="19" t="s">
        <v>3</v>
      </c>
      <c r="AGR1" s="25" t="s">
        <v>1</v>
      </c>
      <c r="AGS1" s="25" t="s">
        <v>2</v>
      </c>
      <c r="AGT1" s="25"/>
      <c r="AGU1" s="19" t="s">
        <v>3</v>
      </c>
      <c r="AGX1" s="25" t="s">
        <v>1</v>
      </c>
      <c r="AGY1" s="25" t="s">
        <v>2</v>
      </c>
      <c r="AGZ1" s="25"/>
      <c r="AHA1" s="19" t="s">
        <v>3</v>
      </c>
      <c r="AHD1" s="25" t="s">
        <v>1</v>
      </c>
      <c r="AHE1" s="25" t="s">
        <v>2</v>
      </c>
      <c r="AHF1" s="25"/>
      <c r="AHG1" s="19" t="s">
        <v>3</v>
      </c>
      <c r="AHJ1" s="25" t="s">
        <v>1</v>
      </c>
      <c r="AHK1" s="25" t="s">
        <v>2</v>
      </c>
      <c r="AHL1" s="25"/>
      <c r="AHM1" s="19" t="s">
        <v>3</v>
      </c>
      <c r="AHP1" s="25" t="s">
        <v>1</v>
      </c>
      <c r="AHQ1" s="25" t="s">
        <v>2</v>
      </c>
      <c r="AHR1" s="25"/>
      <c r="AHS1" s="19" t="s">
        <v>3</v>
      </c>
      <c r="AHV1" s="25" t="s">
        <v>1</v>
      </c>
      <c r="AHW1" s="25" t="s">
        <v>2</v>
      </c>
      <c r="AHX1" s="25"/>
      <c r="AHY1" s="19" t="s">
        <v>3</v>
      </c>
      <c r="AIB1" s="25" t="s">
        <v>1</v>
      </c>
      <c r="AIC1" s="25" t="s">
        <v>2</v>
      </c>
      <c r="AID1" s="25"/>
      <c r="AIE1" s="19" t="s">
        <v>3</v>
      </c>
      <c r="AIH1" s="25" t="s">
        <v>1</v>
      </c>
      <c r="AII1" s="25" t="s">
        <v>2</v>
      </c>
      <c r="AIJ1" s="25"/>
      <c r="AIK1" s="19" t="s">
        <v>3</v>
      </c>
      <c r="AIN1" s="25" t="s">
        <v>1</v>
      </c>
      <c r="AIO1" s="25" t="s">
        <v>2</v>
      </c>
      <c r="AIP1" s="25"/>
      <c r="AIQ1" s="19" t="s">
        <v>3</v>
      </c>
      <c r="AIT1" s="25" t="s">
        <v>1</v>
      </c>
      <c r="AIU1" s="25" t="s">
        <v>2</v>
      </c>
      <c r="AIV1" s="25"/>
      <c r="AIW1" s="19" t="s">
        <v>3</v>
      </c>
      <c r="AIZ1" s="25" t="s">
        <v>1</v>
      </c>
      <c r="AJA1" s="25" t="s">
        <v>2</v>
      </c>
      <c r="AJB1" s="25"/>
      <c r="AJC1" s="19" t="s">
        <v>3</v>
      </c>
      <c r="AJF1" s="25" t="s">
        <v>1</v>
      </c>
      <c r="AJG1" s="25" t="s">
        <v>2</v>
      </c>
      <c r="AJH1" s="25"/>
      <c r="AJI1" s="19" t="s">
        <v>3</v>
      </c>
      <c r="AJL1" s="25" t="s">
        <v>1</v>
      </c>
      <c r="AJM1" s="25" t="s">
        <v>2</v>
      </c>
      <c r="AJN1" s="25"/>
      <c r="AJO1" s="19" t="s">
        <v>3</v>
      </c>
      <c r="AJR1" s="25" t="s">
        <v>1</v>
      </c>
      <c r="AJS1" s="25" t="s">
        <v>2</v>
      </c>
      <c r="AJT1" s="25"/>
      <c r="AJU1" s="19" t="s">
        <v>3</v>
      </c>
      <c r="AJX1" s="25" t="s">
        <v>1</v>
      </c>
      <c r="AJY1" s="25" t="s">
        <v>2</v>
      </c>
      <c r="AJZ1" s="25"/>
      <c r="AKA1" s="19" t="s">
        <v>3</v>
      </c>
      <c r="AKD1" s="25" t="s">
        <v>1</v>
      </c>
      <c r="AKE1" s="25" t="s">
        <v>2</v>
      </c>
      <c r="AKF1" s="25"/>
      <c r="AKG1" s="19" t="s">
        <v>3</v>
      </c>
      <c r="AKJ1" s="25" t="s">
        <v>1</v>
      </c>
      <c r="AKK1" s="25" t="s">
        <v>2</v>
      </c>
      <c r="AKL1" s="25"/>
      <c r="AKM1" s="19" t="s">
        <v>3</v>
      </c>
      <c r="AKP1" s="25" t="s">
        <v>1</v>
      </c>
      <c r="AKQ1" s="25" t="s">
        <v>2</v>
      </c>
      <c r="AKR1" s="25"/>
      <c r="AKS1" s="19" t="s">
        <v>3</v>
      </c>
      <c r="AKV1" s="25" t="s">
        <v>1</v>
      </c>
      <c r="AKW1" s="25" t="s">
        <v>2</v>
      </c>
      <c r="AKX1" s="25"/>
      <c r="AKY1" s="19" t="s">
        <v>3</v>
      </c>
      <c r="ALB1" s="25" t="s">
        <v>1</v>
      </c>
      <c r="ALC1" s="25" t="s">
        <v>2</v>
      </c>
      <c r="ALD1" s="25"/>
      <c r="ALE1" s="19" t="s">
        <v>3</v>
      </c>
      <c r="ALH1" s="25" t="s">
        <v>1</v>
      </c>
      <c r="ALI1" s="25" t="s">
        <v>2</v>
      </c>
      <c r="ALJ1" s="25"/>
      <c r="ALK1" s="19" t="s">
        <v>3</v>
      </c>
      <c r="ALN1" s="25" t="s">
        <v>1</v>
      </c>
      <c r="ALO1" s="25" t="s">
        <v>2</v>
      </c>
      <c r="ALP1" s="25"/>
      <c r="ALQ1" s="19" t="s">
        <v>3</v>
      </c>
      <c r="ALT1" s="25" t="s">
        <v>1</v>
      </c>
      <c r="ALU1" s="25" t="s">
        <v>2</v>
      </c>
      <c r="ALV1" s="25"/>
      <c r="ALW1" s="19" t="s">
        <v>3</v>
      </c>
      <c r="ALZ1" s="25" t="s">
        <v>1</v>
      </c>
      <c r="AMA1" s="25" t="s">
        <v>2</v>
      </c>
      <c r="AMB1" s="25"/>
      <c r="AMC1" s="19" t="s">
        <v>3</v>
      </c>
      <c r="AMF1" s="25" t="s">
        <v>1</v>
      </c>
      <c r="AMG1" s="25" t="s">
        <v>2</v>
      </c>
      <c r="AMH1" s="25"/>
      <c r="AMI1" s="19" t="s">
        <v>3</v>
      </c>
      <c r="AML1" s="25" t="s">
        <v>1</v>
      </c>
      <c r="AMM1" s="25" t="s">
        <v>2</v>
      </c>
      <c r="AMN1" s="25"/>
      <c r="AMO1" s="19" t="s">
        <v>3</v>
      </c>
      <c r="AMR1" s="25" t="s">
        <v>1</v>
      </c>
      <c r="AMS1" s="25" t="s">
        <v>2</v>
      </c>
      <c r="AMT1" s="25"/>
      <c r="AMU1" s="19" t="s">
        <v>3</v>
      </c>
      <c r="AMX1" s="25" t="s">
        <v>1</v>
      </c>
      <c r="AMY1" s="25" t="s">
        <v>2</v>
      </c>
      <c r="AMZ1" s="25"/>
      <c r="ANA1" s="19" t="s">
        <v>3</v>
      </c>
      <c r="AND1" s="25" t="s">
        <v>1</v>
      </c>
      <c r="ANE1" s="25" t="s">
        <v>2</v>
      </c>
      <c r="ANF1" s="25"/>
      <c r="ANG1" s="19" t="s">
        <v>3</v>
      </c>
      <c r="ANJ1" s="25" t="s">
        <v>1</v>
      </c>
      <c r="ANK1" s="25" t="s">
        <v>2</v>
      </c>
      <c r="ANL1" s="25"/>
      <c r="ANM1" s="19" t="s">
        <v>3</v>
      </c>
      <c r="ANP1" s="25" t="s">
        <v>1</v>
      </c>
      <c r="ANQ1" s="25" t="s">
        <v>2</v>
      </c>
      <c r="ANR1" s="25"/>
      <c r="ANS1" s="19" t="s">
        <v>3</v>
      </c>
      <c r="ANV1" s="25" t="s">
        <v>1</v>
      </c>
      <c r="ANW1" s="25" t="s">
        <v>2</v>
      </c>
      <c r="ANX1" s="25"/>
      <c r="ANY1" s="19" t="s">
        <v>3</v>
      </c>
      <c r="AOB1" s="25" t="s">
        <v>1</v>
      </c>
      <c r="AOC1" s="25" t="s">
        <v>2</v>
      </c>
      <c r="AOD1" s="25"/>
      <c r="AOE1" s="19" t="s">
        <v>3</v>
      </c>
      <c r="AOH1" s="25" t="s">
        <v>1</v>
      </c>
      <c r="AOI1" s="25" t="s">
        <v>2</v>
      </c>
      <c r="AOJ1" s="25"/>
      <c r="AOK1" s="19" t="s">
        <v>3</v>
      </c>
      <c r="AON1" s="25" t="s">
        <v>1</v>
      </c>
      <c r="AOO1" s="25" t="s">
        <v>2</v>
      </c>
      <c r="AOP1" s="25"/>
      <c r="AOQ1" s="19" t="s">
        <v>3</v>
      </c>
    </row>
    <row r="2" spans="1:1024 1026:1085" x14ac:dyDescent="0.25">
      <c r="A2" s="172"/>
      <c r="B2" s="172"/>
      <c r="C2" s="172"/>
      <c r="D2" s="172"/>
      <c r="F2" s="26">
        <v>44010</v>
      </c>
      <c r="G2" s="171"/>
      <c r="H2" s="170"/>
      <c r="I2" s="173"/>
      <c r="J2" s="174"/>
      <c r="L2" s="26">
        <v>44014</v>
      </c>
      <c r="M2" s="171"/>
      <c r="N2" s="170"/>
      <c r="O2" s="173"/>
      <c r="P2" s="174"/>
      <c r="R2" s="26">
        <v>44021</v>
      </c>
      <c r="S2" s="171" t="s">
        <v>4</v>
      </c>
      <c r="T2" s="170"/>
      <c r="U2" s="169">
        <v>0.85416666666666663</v>
      </c>
      <c r="V2" s="170"/>
      <c r="X2" s="26">
        <v>44028</v>
      </c>
      <c r="Y2" s="171" t="s">
        <v>5</v>
      </c>
      <c r="Z2" s="170"/>
      <c r="AA2" s="169"/>
      <c r="AB2" s="170"/>
      <c r="AD2" s="26">
        <v>44035</v>
      </c>
      <c r="AE2" s="171" t="s">
        <v>4</v>
      </c>
      <c r="AF2" s="170"/>
      <c r="AG2" s="169"/>
      <c r="AH2" s="170"/>
      <c r="AJ2" s="26">
        <v>44042</v>
      </c>
      <c r="AK2" s="171" t="s">
        <v>6</v>
      </c>
      <c r="AL2" s="170"/>
      <c r="AM2" s="169"/>
      <c r="AN2" s="170"/>
      <c r="AP2" s="26">
        <v>44049</v>
      </c>
      <c r="AQ2" s="171" t="s">
        <v>6</v>
      </c>
      <c r="AR2" s="170"/>
      <c r="AS2" s="169">
        <v>0.875</v>
      </c>
      <c r="AT2" s="170"/>
      <c r="AV2" s="26">
        <v>44056</v>
      </c>
      <c r="AW2" s="171" t="s">
        <v>6</v>
      </c>
      <c r="AX2" s="170"/>
      <c r="AY2" s="169">
        <v>0.875</v>
      </c>
      <c r="AZ2" s="170"/>
      <c r="BB2" s="26">
        <v>44056</v>
      </c>
      <c r="BC2" s="171" t="s">
        <v>6</v>
      </c>
      <c r="BD2" s="170"/>
      <c r="BE2" s="169">
        <v>0.875</v>
      </c>
      <c r="BF2" s="170"/>
      <c r="BH2" s="26">
        <v>44056</v>
      </c>
      <c r="BI2" s="171" t="s">
        <v>6</v>
      </c>
      <c r="BJ2" s="170"/>
      <c r="BK2" s="169">
        <v>0.875</v>
      </c>
      <c r="BL2" s="170"/>
      <c r="BN2" s="26">
        <v>44077</v>
      </c>
      <c r="BO2" s="171" t="s">
        <v>6</v>
      </c>
      <c r="BP2" s="170"/>
      <c r="BQ2" s="169">
        <v>0.875</v>
      </c>
      <c r="BR2" s="170"/>
      <c r="BT2" s="26">
        <v>44084</v>
      </c>
      <c r="BU2" s="171" t="s">
        <v>6</v>
      </c>
      <c r="BV2" s="170"/>
      <c r="BW2" s="169">
        <v>0.85416666666666663</v>
      </c>
      <c r="BX2" s="170"/>
      <c r="BZ2" s="26">
        <v>44091</v>
      </c>
      <c r="CA2" s="171" t="s">
        <v>6</v>
      </c>
      <c r="CB2" s="170"/>
      <c r="CC2" s="169">
        <v>0.85416666666666663</v>
      </c>
      <c r="CD2" s="170"/>
      <c r="CF2" s="26">
        <v>44098</v>
      </c>
      <c r="CG2" s="171" t="s">
        <v>7</v>
      </c>
      <c r="CH2" s="170"/>
      <c r="CI2" s="169">
        <v>0.85416666666666663</v>
      </c>
      <c r="CJ2" s="170"/>
      <c r="CL2" s="26">
        <v>44105</v>
      </c>
      <c r="CM2" s="171" t="s">
        <v>7</v>
      </c>
      <c r="CN2" s="170"/>
      <c r="CO2" s="169"/>
      <c r="CP2" s="170"/>
      <c r="CR2" s="26">
        <v>44112</v>
      </c>
      <c r="CS2" s="171" t="s">
        <v>4</v>
      </c>
      <c r="CT2" s="170"/>
      <c r="CU2" s="169"/>
      <c r="CV2" s="170"/>
      <c r="CX2" s="26">
        <v>44119</v>
      </c>
      <c r="CY2" s="171" t="s">
        <v>5</v>
      </c>
      <c r="CZ2" s="170"/>
      <c r="DA2" s="169" t="s">
        <v>8</v>
      </c>
      <c r="DB2" s="170"/>
      <c r="DD2" s="26">
        <v>44126</v>
      </c>
      <c r="DE2" s="171" t="s">
        <v>6</v>
      </c>
      <c r="DF2" s="170"/>
      <c r="DG2" s="169"/>
      <c r="DH2" s="170"/>
      <c r="DJ2" s="26">
        <v>44133</v>
      </c>
      <c r="DK2" s="171" t="s">
        <v>6</v>
      </c>
      <c r="DL2" s="170"/>
      <c r="DM2" s="169"/>
      <c r="DN2" s="170"/>
      <c r="DP2" s="26">
        <v>44140</v>
      </c>
      <c r="DQ2" s="171" t="s">
        <v>6</v>
      </c>
      <c r="DR2" s="170"/>
      <c r="DS2" s="169"/>
      <c r="DT2" s="170"/>
      <c r="DV2" s="26">
        <v>44147</v>
      </c>
      <c r="DW2" s="171" t="s">
        <v>6</v>
      </c>
      <c r="DX2" s="170"/>
      <c r="DY2" s="169"/>
      <c r="DZ2" s="170"/>
      <c r="EB2" s="26">
        <v>44154</v>
      </c>
      <c r="EC2" s="171" t="s">
        <v>9</v>
      </c>
      <c r="ED2" s="170"/>
      <c r="EE2" s="169"/>
      <c r="EF2" s="170"/>
      <c r="EH2" s="26">
        <v>44161</v>
      </c>
      <c r="EI2" s="171" t="s">
        <v>5</v>
      </c>
      <c r="EJ2" s="170"/>
      <c r="EK2" s="169"/>
      <c r="EL2" s="170"/>
      <c r="EN2" s="26">
        <v>44168</v>
      </c>
      <c r="EO2" s="171" t="s">
        <v>5</v>
      </c>
      <c r="EP2" s="170"/>
      <c r="EQ2" s="169"/>
      <c r="ER2" s="170"/>
      <c r="ET2" s="26">
        <v>44175</v>
      </c>
      <c r="EU2" s="171" t="s">
        <v>7</v>
      </c>
      <c r="EV2" s="170"/>
      <c r="EW2" s="169"/>
      <c r="EX2" s="170"/>
      <c r="EZ2" s="26">
        <v>44182</v>
      </c>
      <c r="FA2" s="171" t="s">
        <v>7</v>
      </c>
      <c r="FB2" s="170"/>
      <c r="FC2" s="169">
        <v>0.85416666666666663</v>
      </c>
      <c r="FD2" s="170"/>
      <c r="FF2" s="26">
        <v>44189</v>
      </c>
      <c r="FG2" s="171" t="s">
        <v>7</v>
      </c>
      <c r="FH2" s="170"/>
      <c r="FI2" s="169">
        <v>0.85416666666666663</v>
      </c>
      <c r="FJ2" s="170"/>
      <c r="FL2" s="26">
        <v>44194</v>
      </c>
      <c r="FM2" s="171" t="s">
        <v>7</v>
      </c>
      <c r="FN2" s="170"/>
      <c r="FO2" s="169">
        <v>0.85416666666666663</v>
      </c>
      <c r="FP2" s="170"/>
      <c r="FR2" s="26">
        <v>44203</v>
      </c>
      <c r="FS2" s="171" t="s">
        <v>7</v>
      </c>
      <c r="FT2" s="170"/>
      <c r="FU2" s="169">
        <v>0.85416666666666663</v>
      </c>
      <c r="FV2" s="170"/>
      <c r="FX2" s="26">
        <v>44210</v>
      </c>
      <c r="FY2" s="171" t="s">
        <v>7</v>
      </c>
      <c r="FZ2" s="170"/>
      <c r="GA2" s="169">
        <v>0.85416666666666663</v>
      </c>
      <c r="GB2" s="170"/>
      <c r="GD2" s="26">
        <v>44217</v>
      </c>
      <c r="GE2" s="171" t="s">
        <v>7</v>
      </c>
      <c r="GF2" s="170"/>
      <c r="GG2" s="169">
        <v>0.85416666666666663</v>
      </c>
      <c r="GH2" s="170"/>
      <c r="GJ2" s="26">
        <v>44224</v>
      </c>
      <c r="GK2" s="171" t="s">
        <v>7</v>
      </c>
      <c r="GL2" s="170"/>
      <c r="GM2" s="169">
        <v>0.85416666666666663</v>
      </c>
      <c r="GN2" s="170"/>
      <c r="GP2" s="26">
        <v>44231</v>
      </c>
      <c r="GQ2" s="171" t="s">
        <v>7</v>
      </c>
      <c r="GR2" s="170"/>
      <c r="GS2" s="169">
        <v>0.85416666666666663</v>
      </c>
      <c r="GT2" s="170"/>
      <c r="GV2" s="26">
        <v>44238</v>
      </c>
      <c r="GW2" s="171" t="s">
        <v>7</v>
      </c>
      <c r="GX2" s="170"/>
      <c r="GY2" s="169">
        <v>0.85416666666666663</v>
      </c>
      <c r="GZ2" s="170"/>
      <c r="HB2" s="26">
        <v>44245</v>
      </c>
      <c r="HC2" s="171" t="s">
        <v>7</v>
      </c>
      <c r="HD2" s="170"/>
      <c r="HE2" s="169">
        <v>0.85416666666666663</v>
      </c>
      <c r="HF2" s="170"/>
      <c r="HH2" s="26">
        <v>44252</v>
      </c>
      <c r="HI2" s="171" t="s">
        <v>7</v>
      </c>
      <c r="HJ2" s="170"/>
      <c r="HK2" s="169">
        <v>0.85416666666666663</v>
      </c>
      <c r="HL2" s="170"/>
      <c r="HN2" s="26">
        <v>44259</v>
      </c>
      <c r="HO2" s="171" t="s">
        <v>7</v>
      </c>
      <c r="HP2" s="170"/>
      <c r="HQ2" s="169">
        <v>0.85416666666666663</v>
      </c>
      <c r="HR2" s="170"/>
      <c r="HT2" s="26">
        <v>44266</v>
      </c>
      <c r="HU2" s="171" t="s">
        <v>7</v>
      </c>
      <c r="HV2" s="170"/>
      <c r="HW2" s="169">
        <v>0.85416666666666663</v>
      </c>
      <c r="HX2" s="170"/>
      <c r="HZ2" s="26">
        <v>44276</v>
      </c>
      <c r="IA2" s="171" t="s">
        <v>7</v>
      </c>
      <c r="IB2" s="170"/>
      <c r="IC2" s="169">
        <v>0.85416666666666663</v>
      </c>
      <c r="ID2" s="170"/>
      <c r="IF2" s="26">
        <v>44280</v>
      </c>
      <c r="IG2" s="171" t="s">
        <v>7</v>
      </c>
      <c r="IH2" s="170"/>
      <c r="II2" s="169">
        <v>0.85416666666666663</v>
      </c>
      <c r="IJ2" s="170"/>
      <c r="IL2" s="26">
        <v>44287</v>
      </c>
      <c r="IM2" s="171" t="s">
        <v>7</v>
      </c>
      <c r="IN2" s="170"/>
      <c r="IO2" s="169">
        <v>0.85416666666666663</v>
      </c>
      <c r="IP2" s="170"/>
      <c r="IR2" s="26">
        <v>44294</v>
      </c>
      <c r="IS2" s="171" t="s">
        <v>7</v>
      </c>
      <c r="IT2" s="170"/>
      <c r="IU2" s="169">
        <v>0.85416666666666663</v>
      </c>
      <c r="IV2" s="170"/>
      <c r="IX2" s="26">
        <v>44301</v>
      </c>
      <c r="IY2" s="171" t="s">
        <v>7</v>
      </c>
      <c r="IZ2" s="170"/>
      <c r="JA2" s="169">
        <v>0.85416666666666663</v>
      </c>
      <c r="JB2" s="170"/>
      <c r="JD2" s="26">
        <v>44306</v>
      </c>
      <c r="JE2" s="171" t="s">
        <v>7</v>
      </c>
      <c r="JF2" s="170"/>
      <c r="JG2" s="169">
        <v>0.85416666666666663</v>
      </c>
      <c r="JH2" s="170"/>
      <c r="JJ2" s="26">
        <v>44313</v>
      </c>
      <c r="JK2" s="171" t="s">
        <v>7</v>
      </c>
      <c r="JL2" s="170"/>
      <c r="JM2" s="169">
        <v>0.85416666666666663</v>
      </c>
      <c r="JN2" s="170"/>
      <c r="JP2" s="26">
        <v>44320</v>
      </c>
      <c r="JQ2" s="171" t="s">
        <v>7</v>
      </c>
      <c r="JR2" s="170"/>
      <c r="JS2" s="169">
        <v>0.85416666666666663</v>
      </c>
      <c r="JT2" s="170"/>
      <c r="JV2" s="26">
        <v>44327</v>
      </c>
      <c r="JW2" s="171" t="s">
        <v>7</v>
      </c>
      <c r="JX2" s="170"/>
      <c r="JY2" s="169">
        <v>0.85416666666666663</v>
      </c>
      <c r="JZ2" s="170"/>
      <c r="KB2" s="26">
        <v>44334</v>
      </c>
      <c r="KC2" s="171" t="s">
        <v>7</v>
      </c>
      <c r="KD2" s="170"/>
      <c r="KE2" s="169">
        <v>0.85416666666666663</v>
      </c>
      <c r="KF2" s="170"/>
      <c r="KH2" s="26">
        <v>44341</v>
      </c>
      <c r="KI2" s="171" t="s">
        <v>7</v>
      </c>
      <c r="KJ2" s="170"/>
      <c r="KK2" s="169">
        <v>0.85416666666666663</v>
      </c>
      <c r="KL2" s="170"/>
      <c r="KN2" s="26">
        <v>44348</v>
      </c>
      <c r="KO2" s="171" t="s">
        <v>7</v>
      </c>
      <c r="KP2" s="170"/>
      <c r="KQ2" s="169">
        <v>0.85416666666666663</v>
      </c>
      <c r="KR2" s="170"/>
      <c r="KT2" s="26">
        <v>44355</v>
      </c>
      <c r="KU2" s="171" t="s">
        <v>7</v>
      </c>
      <c r="KV2" s="170"/>
      <c r="KW2" s="169">
        <v>0.85416666666666663</v>
      </c>
      <c r="KX2" s="170"/>
      <c r="KZ2" s="26">
        <v>44362</v>
      </c>
      <c r="LA2" s="171" t="s">
        <v>7</v>
      </c>
      <c r="LB2" s="170"/>
      <c r="LC2" s="169">
        <v>0.85416666666666663</v>
      </c>
      <c r="LD2" s="170"/>
      <c r="LF2" s="26">
        <v>44369</v>
      </c>
      <c r="LG2" s="171" t="s">
        <v>7</v>
      </c>
      <c r="LH2" s="170"/>
      <c r="LI2" s="169">
        <v>0.85416666666666663</v>
      </c>
      <c r="LJ2" s="170"/>
      <c r="LL2" s="26">
        <v>44376</v>
      </c>
      <c r="LM2" s="171" t="s">
        <v>7</v>
      </c>
      <c r="LN2" s="170"/>
      <c r="LO2" s="169">
        <v>0.85416666666666663</v>
      </c>
      <c r="LP2" s="170"/>
      <c r="LR2" s="26">
        <v>44383</v>
      </c>
      <c r="LS2" s="171" t="s">
        <v>7</v>
      </c>
      <c r="LT2" s="170"/>
      <c r="LU2" s="169">
        <v>0.85416666666666663</v>
      </c>
      <c r="LV2" s="170"/>
      <c r="LX2" s="26">
        <v>44389</v>
      </c>
      <c r="LY2" s="171" t="s">
        <v>7</v>
      </c>
      <c r="LZ2" s="170"/>
      <c r="MA2" s="169">
        <v>0.85416666666666663</v>
      </c>
      <c r="MB2" s="170"/>
      <c r="MD2" s="26">
        <v>44398</v>
      </c>
      <c r="ME2" s="171" t="s">
        <v>7</v>
      </c>
      <c r="MF2" s="170"/>
      <c r="MG2" s="169">
        <v>0.85416666666666663</v>
      </c>
      <c r="MH2" s="170"/>
      <c r="MJ2" s="26">
        <v>44404</v>
      </c>
      <c r="MK2" s="171" t="s">
        <v>7</v>
      </c>
      <c r="ML2" s="170"/>
      <c r="MM2" s="169">
        <v>0.85416666666666663</v>
      </c>
      <c r="MN2" s="170"/>
      <c r="MP2" s="26">
        <v>44418</v>
      </c>
      <c r="MQ2" s="171" t="s">
        <v>7</v>
      </c>
      <c r="MR2" s="170"/>
      <c r="MS2" s="169">
        <v>0.85416666666666663</v>
      </c>
      <c r="MT2" s="170"/>
      <c r="MV2" s="26">
        <v>44425</v>
      </c>
      <c r="MW2" s="171" t="s">
        <v>7</v>
      </c>
      <c r="MX2" s="170"/>
      <c r="MY2" s="169">
        <v>0.85416666666666663</v>
      </c>
      <c r="MZ2" s="170"/>
      <c r="NB2" s="26">
        <v>44432</v>
      </c>
      <c r="NC2" s="171" t="s">
        <v>7</v>
      </c>
      <c r="ND2" s="170"/>
      <c r="NE2" s="169">
        <v>0.85416666666666663</v>
      </c>
      <c r="NF2" s="170"/>
      <c r="NH2" s="26">
        <v>44439</v>
      </c>
      <c r="NI2" s="171" t="s">
        <v>7</v>
      </c>
      <c r="NJ2" s="170"/>
      <c r="NK2" s="169">
        <v>0.85416666666666663</v>
      </c>
      <c r="NL2" s="170"/>
      <c r="NN2" s="26">
        <v>44446</v>
      </c>
      <c r="NO2" s="171" t="s">
        <v>7</v>
      </c>
      <c r="NP2" s="170"/>
      <c r="NQ2" s="169">
        <v>0.85416666666666663</v>
      </c>
      <c r="NR2" s="170"/>
      <c r="NT2" s="26">
        <v>44453</v>
      </c>
      <c r="NU2" s="171" t="s">
        <v>7</v>
      </c>
      <c r="NV2" s="170"/>
      <c r="NW2" s="169">
        <v>0.85416666666666663</v>
      </c>
      <c r="NX2" s="170"/>
      <c r="NZ2" s="26">
        <v>44460</v>
      </c>
      <c r="OA2" s="171" t="s">
        <v>7</v>
      </c>
      <c r="OB2" s="170"/>
      <c r="OC2" s="169">
        <v>0.85416666666666663</v>
      </c>
      <c r="OD2" s="170"/>
      <c r="OF2" s="26">
        <v>44468</v>
      </c>
      <c r="OG2" s="171" t="s">
        <v>7</v>
      </c>
      <c r="OH2" s="170"/>
      <c r="OI2" s="169">
        <v>0.85416666666666663</v>
      </c>
      <c r="OJ2" s="170"/>
      <c r="OL2" s="26">
        <v>44474</v>
      </c>
      <c r="OM2" s="171" t="s">
        <v>7</v>
      </c>
      <c r="ON2" s="170"/>
      <c r="OO2" s="169">
        <v>0.85416666666666663</v>
      </c>
      <c r="OP2" s="170"/>
      <c r="OR2" s="26">
        <v>44481</v>
      </c>
      <c r="OS2" s="171" t="s">
        <v>7</v>
      </c>
      <c r="OT2" s="170"/>
      <c r="OU2" s="169">
        <v>0.85416666666666663</v>
      </c>
      <c r="OV2" s="170"/>
      <c r="OX2" s="26">
        <v>44488</v>
      </c>
      <c r="OY2" s="171" t="s">
        <v>7</v>
      </c>
      <c r="OZ2" s="170"/>
      <c r="PA2" s="169">
        <v>0.85416666666666663</v>
      </c>
      <c r="PB2" s="170"/>
      <c r="PD2" s="26">
        <v>44495</v>
      </c>
      <c r="PE2" s="171" t="s">
        <v>7</v>
      </c>
      <c r="PF2" s="170"/>
      <c r="PG2" s="169">
        <v>0.85416666666666663</v>
      </c>
      <c r="PH2" s="170"/>
      <c r="PJ2" s="26">
        <v>44509</v>
      </c>
      <c r="PK2" s="171" t="s">
        <v>7</v>
      </c>
      <c r="PL2" s="170"/>
      <c r="PM2" s="169">
        <v>0.85416666666666663</v>
      </c>
      <c r="PN2" s="170"/>
      <c r="PP2" s="26">
        <v>44516</v>
      </c>
      <c r="PQ2" s="171" t="s">
        <v>7</v>
      </c>
      <c r="PR2" s="170"/>
      <c r="PS2" s="169">
        <v>0.85416666666666663</v>
      </c>
      <c r="PT2" s="170"/>
      <c r="PV2" s="26">
        <v>44516</v>
      </c>
      <c r="PW2" s="171" t="s">
        <v>7</v>
      </c>
      <c r="PX2" s="170"/>
      <c r="PY2" s="169">
        <v>0.85416666666666663</v>
      </c>
      <c r="PZ2" s="170"/>
      <c r="QB2" s="26">
        <v>44530</v>
      </c>
      <c r="QC2" s="171" t="s">
        <v>7</v>
      </c>
      <c r="QD2" s="170"/>
      <c r="QE2" s="169">
        <v>0.85416666666666663</v>
      </c>
      <c r="QF2" s="170"/>
      <c r="QH2" s="26">
        <v>44530</v>
      </c>
      <c r="QI2" s="171" t="s">
        <v>7</v>
      </c>
      <c r="QJ2" s="170"/>
      <c r="QK2" s="169">
        <v>0.85416666666666663</v>
      </c>
      <c r="QL2" s="170"/>
      <c r="QN2" s="26">
        <v>44544</v>
      </c>
      <c r="QO2" s="171" t="s">
        <v>7</v>
      </c>
      <c r="QP2" s="170"/>
      <c r="QQ2" s="169">
        <v>0.85416666666666663</v>
      </c>
      <c r="QR2" s="170"/>
      <c r="QT2" s="26">
        <v>44551</v>
      </c>
      <c r="QU2" s="171" t="s">
        <v>7</v>
      </c>
      <c r="QV2" s="170"/>
      <c r="QW2" s="169">
        <v>0.85416666666666663</v>
      </c>
      <c r="QX2" s="170"/>
      <c r="QZ2" s="26">
        <v>44558</v>
      </c>
      <c r="RA2" s="171" t="s">
        <v>7</v>
      </c>
      <c r="RB2" s="170"/>
      <c r="RC2" s="169">
        <v>0.85416666666666663</v>
      </c>
      <c r="RD2" s="170"/>
      <c r="RF2" s="26">
        <v>44565</v>
      </c>
      <c r="RG2" s="171" t="s">
        <v>7</v>
      </c>
      <c r="RH2" s="170"/>
      <c r="RI2" s="169">
        <v>0.85416666666666663</v>
      </c>
      <c r="RJ2" s="170"/>
      <c r="RL2" s="26">
        <v>44572</v>
      </c>
      <c r="RM2" s="171" t="s">
        <v>7</v>
      </c>
      <c r="RN2" s="170"/>
      <c r="RO2" s="169">
        <v>0.85416666666666663</v>
      </c>
      <c r="RP2" s="170"/>
      <c r="RR2" s="26">
        <v>44579</v>
      </c>
      <c r="RS2" s="171" t="s">
        <v>7</v>
      </c>
      <c r="RT2" s="170"/>
      <c r="RU2" s="169">
        <v>0.85416666666666663</v>
      </c>
      <c r="RV2" s="170"/>
      <c r="RX2" s="26">
        <v>44586</v>
      </c>
      <c r="RY2" s="171" t="s">
        <v>7</v>
      </c>
      <c r="RZ2" s="170"/>
      <c r="SA2" s="169">
        <v>0.85416666666666663</v>
      </c>
      <c r="SB2" s="170"/>
      <c r="SD2" s="26">
        <v>44593</v>
      </c>
      <c r="SE2" s="171" t="s">
        <v>7</v>
      </c>
      <c r="SF2" s="170"/>
      <c r="SG2" s="169">
        <v>0.85416666666666663</v>
      </c>
      <c r="SH2" s="170"/>
      <c r="SJ2" s="26">
        <v>44600</v>
      </c>
      <c r="SK2" s="171" t="s">
        <v>7</v>
      </c>
      <c r="SL2" s="170"/>
      <c r="SM2" s="169">
        <v>0.85416666666666663</v>
      </c>
      <c r="SN2" s="170"/>
      <c r="SP2" s="26">
        <v>44607</v>
      </c>
      <c r="SQ2" s="171" t="s">
        <v>7</v>
      </c>
      <c r="SR2" s="170"/>
      <c r="SS2" s="169">
        <v>0.85416666666666663</v>
      </c>
      <c r="ST2" s="170"/>
      <c r="SV2" s="26">
        <v>44621</v>
      </c>
      <c r="SW2" s="171" t="s">
        <v>7</v>
      </c>
      <c r="SX2" s="170"/>
      <c r="SY2" s="169">
        <v>0.85416666666666663</v>
      </c>
      <c r="SZ2" s="170"/>
      <c r="TB2" s="26">
        <v>44628</v>
      </c>
      <c r="TC2" s="171" t="s">
        <v>7</v>
      </c>
      <c r="TD2" s="170"/>
      <c r="TE2" s="169">
        <v>0.85416666666666663</v>
      </c>
      <c r="TF2" s="170"/>
      <c r="TH2" s="26">
        <v>44635</v>
      </c>
      <c r="TI2" s="171" t="s">
        <v>7</v>
      </c>
      <c r="TJ2" s="170"/>
      <c r="TK2" s="169">
        <v>0.85416666666666663</v>
      </c>
      <c r="TL2" s="170"/>
      <c r="TN2" s="26">
        <v>44642</v>
      </c>
      <c r="TO2" s="171" t="s">
        <v>7</v>
      </c>
      <c r="TP2" s="170"/>
      <c r="TQ2" s="169">
        <v>0.85416666666666663</v>
      </c>
      <c r="TR2" s="170"/>
      <c r="TT2" s="26">
        <v>44649</v>
      </c>
      <c r="TU2" s="171" t="s">
        <v>7</v>
      </c>
      <c r="TV2" s="170"/>
      <c r="TW2" s="169">
        <v>0.85416666666666663</v>
      </c>
      <c r="TX2" s="170"/>
      <c r="TZ2" s="26">
        <v>44656</v>
      </c>
      <c r="UA2" s="171" t="s">
        <v>7</v>
      </c>
      <c r="UB2" s="170"/>
      <c r="UC2" s="169">
        <v>0.85416666666666663</v>
      </c>
      <c r="UD2" s="170"/>
      <c r="UF2" s="26">
        <v>44663</v>
      </c>
      <c r="UG2" s="171" t="s">
        <v>7</v>
      </c>
      <c r="UH2" s="170"/>
      <c r="UI2" s="169">
        <v>0.85416666666666663</v>
      </c>
      <c r="UJ2" s="170"/>
      <c r="UL2" s="26">
        <v>44670</v>
      </c>
      <c r="UM2" s="171" t="s">
        <v>7</v>
      </c>
      <c r="UN2" s="170"/>
      <c r="UO2" s="169">
        <v>0.85416666666666663</v>
      </c>
      <c r="UP2" s="170"/>
      <c r="UR2" s="26">
        <v>44677</v>
      </c>
      <c r="US2" s="171" t="s">
        <v>7</v>
      </c>
      <c r="UT2" s="170"/>
      <c r="UU2" s="169">
        <v>0.85416666666666663</v>
      </c>
      <c r="UV2" s="170"/>
      <c r="UX2" s="26">
        <v>44684</v>
      </c>
      <c r="UY2" s="171" t="s">
        <v>7</v>
      </c>
      <c r="UZ2" s="170"/>
      <c r="VA2" s="169">
        <v>0.85416666666666663</v>
      </c>
      <c r="VB2" s="170"/>
      <c r="VD2" s="26">
        <v>44691</v>
      </c>
      <c r="VE2" s="171" t="s">
        <v>7</v>
      </c>
      <c r="VF2" s="170"/>
      <c r="VG2" s="169">
        <v>0.85416666666666663</v>
      </c>
      <c r="VH2" s="170"/>
      <c r="VJ2" s="26">
        <v>44698</v>
      </c>
      <c r="VK2" s="171" t="s">
        <v>7</v>
      </c>
      <c r="VL2" s="170"/>
      <c r="VM2" s="169">
        <v>0.85416666666666663</v>
      </c>
      <c r="VN2" s="170"/>
      <c r="VP2" s="26">
        <v>44705</v>
      </c>
      <c r="VQ2" s="171" t="s">
        <v>7</v>
      </c>
      <c r="VR2" s="170"/>
      <c r="VS2" s="169">
        <v>0.85416666666666663</v>
      </c>
      <c r="VT2" s="170"/>
      <c r="VV2" s="26">
        <v>44712</v>
      </c>
      <c r="VW2" s="171" t="s">
        <v>7</v>
      </c>
      <c r="VX2" s="170"/>
      <c r="VY2" s="169">
        <v>0.85416666666666663</v>
      </c>
      <c r="VZ2" s="170"/>
      <c r="WB2" s="26">
        <v>44719</v>
      </c>
      <c r="WC2" s="171" t="s">
        <v>7</v>
      </c>
      <c r="WD2" s="170"/>
      <c r="WE2" s="169">
        <v>0.85416666666666663</v>
      </c>
      <c r="WF2" s="170"/>
      <c r="WH2" s="26">
        <v>44726</v>
      </c>
      <c r="WI2" s="171" t="s">
        <v>7</v>
      </c>
      <c r="WJ2" s="170"/>
      <c r="WK2" s="169">
        <v>0.85416666666666663</v>
      </c>
      <c r="WL2" s="170"/>
      <c r="WN2" s="26">
        <v>44734</v>
      </c>
      <c r="WO2" s="171" t="s">
        <v>7</v>
      </c>
      <c r="WP2" s="170"/>
      <c r="WQ2" s="169">
        <v>0.85416666666666663</v>
      </c>
      <c r="WR2" s="170"/>
      <c r="WT2" s="26">
        <v>44740</v>
      </c>
      <c r="WU2" s="171" t="s">
        <v>7</v>
      </c>
      <c r="WV2" s="170"/>
      <c r="WW2" s="169">
        <v>0.85416666666666663</v>
      </c>
      <c r="WX2" s="170"/>
      <c r="WZ2" s="26">
        <v>44747</v>
      </c>
      <c r="XA2" s="171" t="s">
        <v>7</v>
      </c>
      <c r="XB2" s="170"/>
      <c r="XC2" s="169">
        <v>0.85416666666666663</v>
      </c>
      <c r="XD2" s="170"/>
      <c r="XF2" s="26">
        <v>44754</v>
      </c>
      <c r="XG2" s="171" t="s">
        <v>7</v>
      </c>
      <c r="XH2" s="170"/>
      <c r="XI2" s="169">
        <v>0.85416666666666663</v>
      </c>
      <c r="XJ2" s="170"/>
      <c r="XL2" s="26">
        <v>44761</v>
      </c>
      <c r="XM2" s="171" t="s">
        <v>7</v>
      </c>
      <c r="XN2" s="170"/>
      <c r="XO2" s="169">
        <v>0.85416666666666663</v>
      </c>
      <c r="XP2" s="170"/>
      <c r="XR2" s="26">
        <v>44768</v>
      </c>
      <c r="XS2" s="171" t="s">
        <v>7</v>
      </c>
      <c r="XT2" s="170"/>
      <c r="XU2" s="169">
        <v>0.85416666666666663</v>
      </c>
      <c r="XV2" s="170"/>
      <c r="XX2" s="26">
        <v>44775</v>
      </c>
      <c r="XY2" s="171" t="s">
        <v>7</v>
      </c>
      <c r="XZ2" s="170"/>
      <c r="YA2" s="169">
        <v>0.85416666666666663</v>
      </c>
      <c r="YB2" s="170"/>
      <c r="YD2" s="26">
        <v>44789</v>
      </c>
      <c r="YE2" s="171" t="s">
        <v>7</v>
      </c>
      <c r="YF2" s="170"/>
      <c r="YG2" s="169">
        <v>0.85416666666666663</v>
      </c>
      <c r="YH2" s="170"/>
      <c r="YJ2" s="26">
        <v>44796</v>
      </c>
      <c r="YK2" s="171" t="s">
        <v>7</v>
      </c>
      <c r="YL2" s="170"/>
      <c r="YM2" s="169">
        <v>0.85416666666666663</v>
      </c>
      <c r="YN2" s="170"/>
      <c r="YP2" s="26">
        <v>44803</v>
      </c>
      <c r="YQ2" s="171"/>
      <c r="YR2" s="170"/>
      <c r="YS2" s="169">
        <v>0.85416666666666663</v>
      </c>
      <c r="YT2" s="170"/>
      <c r="YV2" s="26">
        <v>44810</v>
      </c>
      <c r="YW2" s="171"/>
      <c r="YX2" s="170"/>
      <c r="YY2" s="169">
        <v>0.85416666666666663</v>
      </c>
      <c r="YZ2" s="170"/>
      <c r="ZB2" s="26">
        <v>44817</v>
      </c>
      <c r="ZC2" s="171"/>
      <c r="ZD2" s="170"/>
      <c r="ZE2" s="169">
        <v>0.85416666666666663</v>
      </c>
      <c r="ZF2" s="170"/>
      <c r="ZH2" s="26">
        <v>44824</v>
      </c>
      <c r="ZI2" s="171"/>
      <c r="ZJ2" s="170"/>
      <c r="ZK2" s="169">
        <v>0.85416666666666663</v>
      </c>
      <c r="ZL2" s="170"/>
      <c r="ZN2" s="26">
        <v>44831</v>
      </c>
      <c r="ZO2" s="171"/>
      <c r="ZP2" s="170"/>
      <c r="ZQ2" s="169">
        <v>0.85416666666666663</v>
      </c>
      <c r="ZR2" s="170"/>
      <c r="ZT2" s="26">
        <v>44838</v>
      </c>
      <c r="ZU2" s="171"/>
      <c r="ZV2" s="170"/>
      <c r="ZW2" s="169">
        <v>0.85416666666666663</v>
      </c>
      <c r="ZX2" s="170"/>
      <c r="ZZ2" s="26">
        <v>44845</v>
      </c>
      <c r="AAA2" s="171"/>
      <c r="AAB2" s="170"/>
      <c r="AAC2" s="169">
        <v>0.85416666666666663</v>
      </c>
      <c r="AAD2" s="170"/>
      <c r="AAF2" s="26">
        <v>44852</v>
      </c>
      <c r="AAG2" s="171"/>
      <c r="AAH2" s="170"/>
      <c r="AAI2" s="169">
        <v>0.85416666666666663</v>
      </c>
      <c r="AAJ2" s="170"/>
      <c r="AAL2" s="26">
        <v>44860</v>
      </c>
      <c r="AAM2" s="171"/>
      <c r="AAN2" s="170"/>
      <c r="AAO2" s="169">
        <v>0.85416666666666663</v>
      </c>
      <c r="AAP2" s="170"/>
      <c r="AAR2" s="26">
        <v>44860</v>
      </c>
      <c r="AAS2" s="171"/>
      <c r="AAT2" s="170"/>
      <c r="AAU2" s="169">
        <v>0.85416666666666663</v>
      </c>
      <c r="AAV2" s="170"/>
      <c r="AAX2" s="26">
        <v>44873</v>
      </c>
      <c r="AAY2" s="171"/>
      <c r="AAZ2" s="170"/>
      <c r="ABA2" s="169">
        <v>0.85416666666666663</v>
      </c>
      <c r="ABB2" s="170"/>
      <c r="ABD2" s="26">
        <v>44880</v>
      </c>
      <c r="ABE2" s="171"/>
      <c r="ABF2" s="170"/>
      <c r="ABG2" s="169">
        <v>0.85416666666666663</v>
      </c>
      <c r="ABH2" s="170"/>
      <c r="ABJ2" s="26">
        <v>44886</v>
      </c>
      <c r="ABK2" s="171"/>
      <c r="ABL2" s="170"/>
      <c r="ABM2" s="169">
        <v>0.85416666666666663</v>
      </c>
      <c r="ABN2" s="170"/>
      <c r="ABP2" s="26">
        <v>44894</v>
      </c>
      <c r="ABQ2" s="171"/>
      <c r="ABR2" s="170"/>
      <c r="ABS2" s="169">
        <v>0.85416666666666663</v>
      </c>
      <c r="ABT2" s="170"/>
      <c r="ABV2" s="26">
        <v>44901</v>
      </c>
      <c r="ABW2" s="171"/>
      <c r="ABX2" s="170"/>
      <c r="ABY2" s="169">
        <v>0.85416666666666663</v>
      </c>
      <c r="ABZ2" s="170"/>
      <c r="ACB2" s="26">
        <v>44908</v>
      </c>
      <c r="ACC2" s="171"/>
      <c r="ACD2" s="170"/>
      <c r="ACE2" s="169">
        <v>0.85416666666666663</v>
      </c>
      <c r="ACF2" s="170"/>
      <c r="ACH2" s="26">
        <v>44915</v>
      </c>
      <c r="ACI2" s="171"/>
      <c r="ACJ2" s="170"/>
      <c r="ACK2" s="169">
        <v>0.85416666666666663</v>
      </c>
      <c r="ACL2" s="170"/>
      <c r="ACN2" s="26">
        <v>44915</v>
      </c>
      <c r="ACO2" s="171"/>
      <c r="ACP2" s="170"/>
      <c r="ACQ2" s="169">
        <v>0.85416666666666663</v>
      </c>
      <c r="ACR2" s="170"/>
      <c r="ACT2" s="26">
        <v>44929</v>
      </c>
      <c r="ACU2" s="171"/>
      <c r="ACV2" s="170"/>
      <c r="ACW2" s="169">
        <v>0.85416666666666663</v>
      </c>
      <c r="ACX2" s="170"/>
      <c r="ACZ2" s="26">
        <v>44936</v>
      </c>
      <c r="ADA2" s="171"/>
      <c r="ADB2" s="170"/>
      <c r="ADC2" s="169">
        <v>0.85416666666666663</v>
      </c>
      <c r="ADD2" s="170"/>
      <c r="ADF2" s="26">
        <v>44943</v>
      </c>
      <c r="ADG2" s="171"/>
      <c r="ADH2" s="170"/>
      <c r="ADI2" s="169">
        <v>0.85416666666666663</v>
      </c>
      <c r="ADJ2" s="170"/>
      <c r="ADL2" s="26">
        <v>44950</v>
      </c>
      <c r="ADM2" s="171"/>
      <c r="ADN2" s="170"/>
      <c r="ADO2" s="169">
        <v>0.85416666666666663</v>
      </c>
      <c r="ADP2" s="170"/>
      <c r="ADR2" s="26">
        <v>44957</v>
      </c>
      <c r="ADS2" s="171"/>
      <c r="ADT2" s="170"/>
      <c r="ADU2" s="169">
        <v>0.85416666666666663</v>
      </c>
      <c r="ADV2" s="170"/>
      <c r="ADX2" s="26">
        <v>44964</v>
      </c>
      <c r="ADY2" s="171"/>
      <c r="ADZ2" s="170"/>
      <c r="AEA2" s="169">
        <v>0.85416666666666663</v>
      </c>
      <c r="AEB2" s="170"/>
      <c r="AED2" s="26">
        <v>44971</v>
      </c>
      <c r="AEE2" s="171"/>
      <c r="AEF2" s="170"/>
      <c r="AEG2" s="169">
        <v>0.85416666666666663</v>
      </c>
      <c r="AEH2" s="170"/>
      <c r="AEJ2" s="26">
        <v>44985</v>
      </c>
      <c r="AEK2" s="171"/>
      <c r="AEL2" s="170"/>
      <c r="AEM2" s="169">
        <v>0.85416666666666663</v>
      </c>
      <c r="AEN2" s="170"/>
      <c r="AEP2" s="26">
        <v>44992</v>
      </c>
      <c r="AEQ2" s="171"/>
      <c r="AER2" s="170"/>
      <c r="AES2" s="169">
        <v>0.85416666666666663</v>
      </c>
      <c r="AET2" s="170"/>
      <c r="AEV2" s="26">
        <v>44999</v>
      </c>
      <c r="AEW2" s="171"/>
      <c r="AEX2" s="170"/>
      <c r="AEY2" s="169">
        <v>0.85416666666666663</v>
      </c>
      <c r="AEZ2" s="170"/>
      <c r="AFB2" s="26">
        <v>45006</v>
      </c>
      <c r="AFC2" s="171"/>
      <c r="AFD2" s="170"/>
      <c r="AFE2" s="169">
        <v>0.85416666666666663</v>
      </c>
      <c r="AFF2" s="170"/>
      <c r="AFH2" s="26">
        <v>45014</v>
      </c>
      <c r="AFI2" s="171"/>
      <c r="AFJ2" s="170"/>
      <c r="AFK2" s="169">
        <v>0.85416666666666663</v>
      </c>
      <c r="AFL2" s="170"/>
      <c r="AFN2" s="26">
        <v>44990</v>
      </c>
      <c r="AFO2" s="171"/>
      <c r="AFP2" s="170"/>
      <c r="AFQ2" s="169">
        <v>0.85416666666666663</v>
      </c>
      <c r="AFR2" s="170"/>
      <c r="AFT2" s="26">
        <v>45028</v>
      </c>
      <c r="AFU2" s="171"/>
      <c r="AFV2" s="170"/>
      <c r="AFW2" s="169">
        <v>0.85416666666666663</v>
      </c>
      <c r="AFX2" s="170"/>
      <c r="AFZ2" s="26">
        <v>45034</v>
      </c>
      <c r="AGA2" s="171"/>
      <c r="AGB2" s="170"/>
      <c r="AGC2" s="169">
        <v>0.85416666666666663</v>
      </c>
      <c r="AGD2" s="170"/>
      <c r="AGF2" s="26">
        <v>45041</v>
      </c>
      <c r="AGG2" s="171"/>
      <c r="AGH2" s="170"/>
      <c r="AGI2" s="169">
        <v>0.85416666666666663</v>
      </c>
      <c r="AGJ2" s="170"/>
      <c r="AGL2" s="26">
        <v>45048</v>
      </c>
      <c r="AGM2" s="171"/>
      <c r="AGN2" s="170"/>
      <c r="AGO2" s="169">
        <v>0.85416666666666663</v>
      </c>
      <c r="AGP2" s="170"/>
      <c r="AGR2" s="26">
        <v>45055</v>
      </c>
      <c r="AGS2" s="171"/>
      <c r="AGT2" s="170"/>
      <c r="AGU2" s="169">
        <v>0.85416666666666663</v>
      </c>
      <c r="AGV2" s="170"/>
      <c r="AGX2" s="26">
        <v>45062</v>
      </c>
      <c r="AGY2" s="171"/>
      <c r="AGZ2" s="170"/>
      <c r="AHA2" s="169">
        <v>0.85416666666666663</v>
      </c>
      <c r="AHB2" s="170"/>
      <c r="AHD2" s="26">
        <v>45069</v>
      </c>
      <c r="AHE2" s="171"/>
      <c r="AHF2" s="170"/>
      <c r="AHG2" s="169">
        <v>0.85416666666666663</v>
      </c>
      <c r="AHH2" s="170"/>
      <c r="AHJ2" s="26">
        <v>45076</v>
      </c>
      <c r="AHK2" s="171"/>
      <c r="AHL2" s="170"/>
      <c r="AHM2" s="169">
        <v>0.85416666666666663</v>
      </c>
      <c r="AHN2" s="170"/>
      <c r="AHP2" s="26">
        <v>45083</v>
      </c>
      <c r="AHQ2" s="171"/>
      <c r="AHR2" s="170"/>
      <c r="AHS2" s="169">
        <v>0.85416666666666663</v>
      </c>
      <c r="AHT2" s="170"/>
      <c r="AHV2" s="26">
        <v>45090</v>
      </c>
      <c r="AHW2" s="171"/>
      <c r="AHX2" s="170"/>
      <c r="AHY2" s="169">
        <v>0.85416666666666663</v>
      </c>
      <c r="AHZ2" s="170"/>
      <c r="AIB2" s="26">
        <v>45097</v>
      </c>
      <c r="AIC2" s="171"/>
      <c r="AID2" s="170"/>
      <c r="AIE2" s="169">
        <v>0.85416666666666663</v>
      </c>
      <c r="AIF2" s="170"/>
      <c r="AIH2" s="26">
        <v>45104</v>
      </c>
      <c r="AII2" s="171"/>
      <c r="AIJ2" s="170"/>
      <c r="AIK2" s="169">
        <v>0.85416666666666663</v>
      </c>
      <c r="AIL2" s="170"/>
      <c r="AIN2" s="26">
        <v>45111</v>
      </c>
      <c r="AIO2" s="171"/>
      <c r="AIP2" s="170"/>
      <c r="AIQ2" s="169">
        <v>0.85416666666666663</v>
      </c>
      <c r="AIR2" s="170"/>
      <c r="AIT2" s="26">
        <v>45118</v>
      </c>
      <c r="AIU2" s="171"/>
      <c r="AIV2" s="170"/>
      <c r="AIW2" s="169">
        <v>0.85416666666666663</v>
      </c>
      <c r="AIX2" s="170"/>
      <c r="AIZ2" s="26">
        <v>45125</v>
      </c>
      <c r="AJA2" s="171"/>
      <c r="AJB2" s="170"/>
      <c r="AJC2" s="169">
        <v>0.85416666666666663</v>
      </c>
      <c r="AJD2" s="170"/>
      <c r="AJF2" s="26">
        <v>45132</v>
      </c>
      <c r="AJG2" s="171"/>
      <c r="AJH2" s="170"/>
      <c r="AJI2" s="169">
        <v>0.85416666666666663</v>
      </c>
      <c r="AJJ2" s="170"/>
      <c r="AJL2" s="26">
        <v>45139</v>
      </c>
      <c r="AJM2" s="171"/>
      <c r="AJN2" s="170"/>
      <c r="AJO2" s="169">
        <v>0.85416666666666663</v>
      </c>
      <c r="AJP2" s="170"/>
      <c r="AJR2" s="26">
        <v>45146</v>
      </c>
      <c r="AJS2" s="171"/>
      <c r="AJT2" s="170"/>
      <c r="AJU2" s="169">
        <v>0.85416666666666663</v>
      </c>
      <c r="AJV2" s="170"/>
      <c r="AJX2" s="26">
        <v>45146</v>
      </c>
      <c r="AJY2" s="171"/>
      <c r="AJZ2" s="170"/>
      <c r="AKA2" s="169">
        <v>0.85416666666666663</v>
      </c>
      <c r="AKB2" s="170"/>
      <c r="AKD2" s="26">
        <v>45160</v>
      </c>
      <c r="AKE2" s="171"/>
      <c r="AKF2" s="170"/>
      <c r="AKG2" s="169">
        <v>0.85416666666666663</v>
      </c>
      <c r="AKH2" s="170"/>
      <c r="AKJ2" s="26">
        <v>45167</v>
      </c>
      <c r="AKK2" s="171"/>
      <c r="AKL2" s="170"/>
      <c r="AKM2" s="169">
        <v>0.85416666666666663</v>
      </c>
      <c r="AKN2" s="170"/>
      <c r="AKP2" s="26">
        <v>45174</v>
      </c>
      <c r="AKQ2" s="171"/>
      <c r="AKR2" s="170"/>
      <c r="AKS2" s="169">
        <v>0.85416666666666663</v>
      </c>
      <c r="AKT2" s="170"/>
      <c r="AKV2" s="26">
        <v>45181</v>
      </c>
      <c r="AKW2" s="171"/>
      <c r="AKX2" s="170"/>
      <c r="AKY2" s="169">
        <v>0.85416666666666663</v>
      </c>
      <c r="AKZ2" s="170"/>
      <c r="ALB2" s="26">
        <v>45181</v>
      </c>
      <c r="ALC2" s="171"/>
      <c r="ALD2" s="170"/>
      <c r="ALE2" s="169">
        <v>0.85416666666666663</v>
      </c>
      <c r="ALF2" s="170"/>
      <c r="ALH2" s="26">
        <v>45195</v>
      </c>
      <c r="ALI2" s="171"/>
      <c r="ALJ2" s="170"/>
      <c r="ALK2" s="169">
        <v>0.85416666666666663</v>
      </c>
      <c r="ALL2" s="170"/>
      <c r="ALN2" s="26">
        <v>45202</v>
      </c>
      <c r="ALO2" s="171"/>
      <c r="ALP2" s="170"/>
      <c r="ALQ2" s="169">
        <v>0.85416666666666663</v>
      </c>
      <c r="ALR2" s="170"/>
      <c r="ALT2" s="26">
        <v>45209</v>
      </c>
      <c r="ALU2" s="171"/>
      <c r="ALV2" s="170"/>
      <c r="ALW2" s="169">
        <v>0.85416666666666663</v>
      </c>
      <c r="ALX2" s="170"/>
      <c r="ALZ2" s="26">
        <v>45217</v>
      </c>
      <c r="AMA2" s="171"/>
      <c r="AMB2" s="170"/>
      <c r="AMC2" s="169">
        <v>0.85416666666666663</v>
      </c>
      <c r="AMD2" s="170"/>
      <c r="AMF2" s="26">
        <v>45223</v>
      </c>
      <c r="AMG2" s="171"/>
      <c r="AMH2" s="170"/>
      <c r="AMI2" s="169">
        <v>0.85416666666666663</v>
      </c>
      <c r="AMJ2" s="170"/>
      <c r="AML2" s="26">
        <v>45230</v>
      </c>
      <c r="AMM2" s="171"/>
      <c r="AMN2" s="170"/>
      <c r="AMO2" s="169">
        <v>0.85416666666666663</v>
      </c>
      <c r="AMP2" s="170"/>
      <c r="AMR2" s="26">
        <v>45237</v>
      </c>
      <c r="AMS2" s="171"/>
      <c r="AMT2" s="170"/>
      <c r="AMU2" s="169">
        <v>0.85416666666666663</v>
      </c>
      <c r="AMV2" s="170"/>
      <c r="AMX2" s="26">
        <v>45244</v>
      </c>
      <c r="AMY2" s="171"/>
      <c r="AMZ2" s="170"/>
      <c r="ANA2" s="169">
        <v>0.85416666666666663</v>
      </c>
      <c r="ANB2" s="170"/>
      <c r="AND2" s="26">
        <v>45251</v>
      </c>
      <c r="ANE2" s="171"/>
      <c r="ANF2" s="170"/>
      <c r="ANG2" s="169">
        <v>0.85416666666666663</v>
      </c>
      <c r="ANH2" s="170"/>
      <c r="ANJ2" s="26">
        <v>45258</v>
      </c>
      <c r="ANK2" s="171"/>
      <c r="ANL2" s="170"/>
      <c r="ANM2" s="169">
        <v>0.85416666666666663</v>
      </c>
      <c r="ANN2" s="170"/>
      <c r="ANP2" s="26">
        <v>45265</v>
      </c>
      <c r="ANQ2" s="171"/>
      <c r="ANR2" s="170"/>
      <c r="ANS2" s="169">
        <v>0.85416666666666663</v>
      </c>
      <c r="ANT2" s="170"/>
      <c r="ANV2" s="26">
        <v>45272</v>
      </c>
      <c r="ANW2" s="171"/>
      <c r="ANX2" s="170"/>
      <c r="ANY2" s="169">
        <v>0.85416666666666663</v>
      </c>
      <c r="ANZ2" s="170"/>
      <c r="AOB2" s="26">
        <v>45298</v>
      </c>
      <c r="AOC2" s="171"/>
      <c r="AOD2" s="170"/>
      <c r="AOE2" s="169">
        <v>0.85416666666666663</v>
      </c>
      <c r="AOF2" s="170"/>
      <c r="AOH2" s="26">
        <v>45305</v>
      </c>
      <c r="AOI2" s="171" t="s">
        <v>10</v>
      </c>
      <c r="AOJ2" s="170"/>
      <c r="AOK2" s="169">
        <v>0.85416666666666663</v>
      </c>
      <c r="AOL2" s="170"/>
      <c r="AON2" s="26">
        <v>45312</v>
      </c>
      <c r="AOO2" s="171" t="s">
        <v>10</v>
      </c>
      <c r="AOP2" s="170"/>
      <c r="AOQ2" s="169">
        <v>0.85416666666666663</v>
      </c>
      <c r="AOR2" s="170"/>
    </row>
    <row r="3" spans="1:1024 1026:1085" x14ac:dyDescent="0.25">
      <c r="A3" s="6" t="s">
        <v>11</v>
      </c>
      <c r="B3" s="6"/>
      <c r="C3" s="2" t="s">
        <v>12</v>
      </c>
      <c r="D3" s="8" t="s">
        <v>13</v>
      </c>
      <c r="F3" s="10" t="s">
        <v>14</v>
      </c>
      <c r="G3" s="12" t="s">
        <v>15</v>
      </c>
      <c r="H3" s="9" t="s">
        <v>16</v>
      </c>
      <c r="I3" s="8" t="s">
        <v>17</v>
      </c>
      <c r="J3" s="8" t="s">
        <v>18</v>
      </c>
      <c r="L3" s="10" t="s">
        <v>14</v>
      </c>
      <c r="M3" s="12" t="s">
        <v>15</v>
      </c>
      <c r="N3" s="9" t="s">
        <v>16</v>
      </c>
      <c r="O3" s="8" t="s">
        <v>17</v>
      </c>
      <c r="P3" s="8" t="s">
        <v>18</v>
      </c>
      <c r="R3" s="10" t="s">
        <v>14</v>
      </c>
      <c r="S3" s="12" t="s">
        <v>15</v>
      </c>
      <c r="T3" s="9" t="s">
        <v>16</v>
      </c>
      <c r="U3" s="8" t="s">
        <v>17</v>
      </c>
      <c r="V3" s="8" t="s">
        <v>18</v>
      </c>
      <c r="X3" s="10" t="s">
        <v>14</v>
      </c>
      <c r="Y3" s="12" t="s">
        <v>15</v>
      </c>
      <c r="Z3" s="9" t="s">
        <v>16</v>
      </c>
      <c r="AA3" s="8" t="s">
        <v>17</v>
      </c>
      <c r="AB3" s="8" t="s">
        <v>18</v>
      </c>
      <c r="AD3" s="10" t="s">
        <v>14</v>
      </c>
      <c r="AE3" s="12" t="s">
        <v>15</v>
      </c>
      <c r="AF3" s="9" t="s">
        <v>16</v>
      </c>
      <c r="AG3" s="8" t="s">
        <v>17</v>
      </c>
      <c r="AH3" s="8" t="s">
        <v>18</v>
      </c>
      <c r="AJ3" s="10" t="s">
        <v>14</v>
      </c>
      <c r="AK3" s="12" t="s">
        <v>15</v>
      </c>
      <c r="AL3" s="9" t="s">
        <v>16</v>
      </c>
      <c r="AM3" s="8" t="s">
        <v>17</v>
      </c>
      <c r="AN3" s="8" t="s">
        <v>18</v>
      </c>
      <c r="AP3" s="10" t="s">
        <v>14</v>
      </c>
      <c r="AQ3" s="12" t="s">
        <v>15</v>
      </c>
      <c r="AR3" s="9" t="s">
        <v>16</v>
      </c>
      <c r="AS3" s="8" t="s">
        <v>17</v>
      </c>
      <c r="AT3" s="8" t="s">
        <v>18</v>
      </c>
      <c r="AV3" s="10" t="s">
        <v>14</v>
      </c>
      <c r="AW3" s="12" t="s">
        <v>15</v>
      </c>
      <c r="AX3" s="9" t="s">
        <v>16</v>
      </c>
      <c r="AY3" s="8" t="s">
        <v>17</v>
      </c>
      <c r="AZ3" s="8" t="s">
        <v>18</v>
      </c>
      <c r="BB3" s="10" t="s">
        <v>14</v>
      </c>
      <c r="BC3" s="12" t="s">
        <v>15</v>
      </c>
      <c r="BD3" s="9" t="s">
        <v>16</v>
      </c>
      <c r="BE3" s="8" t="s">
        <v>17</v>
      </c>
      <c r="BF3" s="8" t="s">
        <v>18</v>
      </c>
      <c r="BH3" s="10" t="s">
        <v>14</v>
      </c>
      <c r="BI3" s="12" t="s">
        <v>15</v>
      </c>
      <c r="BJ3" s="9" t="s">
        <v>16</v>
      </c>
      <c r="BK3" s="8" t="s">
        <v>17</v>
      </c>
      <c r="BL3" s="8" t="s">
        <v>18</v>
      </c>
      <c r="BN3" s="10" t="s">
        <v>14</v>
      </c>
      <c r="BO3" s="12" t="s">
        <v>15</v>
      </c>
      <c r="BP3" s="9" t="s">
        <v>16</v>
      </c>
      <c r="BQ3" s="8" t="s">
        <v>17</v>
      </c>
      <c r="BR3" s="8" t="s">
        <v>18</v>
      </c>
      <c r="BT3" s="10" t="s">
        <v>14</v>
      </c>
      <c r="BU3" s="12" t="s">
        <v>15</v>
      </c>
      <c r="BV3" s="9" t="s">
        <v>16</v>
      </c>
      <c r="BW3" s="8" t="s">
        <v>17</v>
      </c>
      <c r="BX3" s="8" t="s">
        <v>18</v>
      </c>
      <c r="BZ3" s="10" t="s">
        <v>14</v>
      </c>
      <c r="CA3" s="12" t="s">
        <v>15</v>
      </c>
      <c r="CB3" s="9" t="s">
        <v>16</v>
      </c>
      <c r="CC3" s="8" t="s">
        <v>17</v>
      </c>
      <c r="CD3" s="8" t="s">
        <v>18</v>
      </c>
      <c r="CF3" s="10" t="s">
        <v>14</v>
      </c>
      <c r="CG3" s="12" t="s">
        <v>15</v>
      </c>
      <c r="CH3" s="9" t="s">
        <v>16</v>
      </c>
      <c r="CI3" s="8" t="s">
        <v>17</v>
      </c>
      <c r="CJ3" s="8" t="s">
        <v>18</v>
      </c>
      <c r="CL3" s="10" t="s">
        <v>14</v>
      </c>
      <c r="CM3" s="12" t="s">
        <v>15</v>
      </c>
      <c r="CN3" s="9" t="s">
        <v>16</v>
      </c>
      <c r="CO3" s="8" t="s">
        <v>17</v>
      </c>
      <c r="CP3" s="8" t="s">
        <v>18</v>
      </c>
      <c r="CR3" s="10" t="s">
        <v>14</v>
      </c>
      <c r="CS3" s="12" t="s">
        <v>15</v>
      </c>
      <c r="CT3" s="9" t="s">
        <v>16</v>
      </c>
      <c r="CU3" s="8" t="s">
        <v>17</v>
      </c>
      <c r="CV3" s="8" t="s">
        <v>18</v>
      </c>
      <c r="CX3" s="10" t="s">
        <v>14</v>
      </c>
      <c r="CY3" s="12" t="s">
        <v>15</v>
      </c>
      <c r="CZ3" s="9" t="s">
        <v>16</v>
      </c>
      <c r="DA3" s="8" t="s">
        <v>17</v>
      </c>
      <c r="DB3" s="8" t="s">
        <v>18</v>
      </c>
      <c r="DD3" s="10" t="s">
        <v>14</v>
      </c>
      <c r="DE3" s="12" t="s">
        <v>15</v>
      </c>
      <c r="DF3" s="9" t="s">
        <v>16</v>
      </c>
      <c r="DG3" s="8" t="s">
        <v>17</v>
      </c>
      <c r="DH3" s="8" t="s">
        <v>18</v>
      </c>
      <c r="DJ3" s="10" t="s">
        <v>14</v>
      </c>
      <c r="DK3" s="12" t="s">
        <v>15</v>
      </c>
      <c r="DL3" s="9" t="s">
        <v>16</v>
      </c>
      <c r="DM3" s="8" t="s">
        <v>17</v>
      </c>
      <c r="DN3" s="8" t="s">
        <v>18</v>
      </c>
      <c r="DP3" s="10" t="s">
        <v>14</v>
      </c>
      <c r="DQ3" s="12" t="s">
        <v>15</v>
      </c>
      <c r="DR3" s="9" t="s">
        <v>16</v>
      </c>
      <c r="DS3" s="8" t="s">
        <v>17</v>
      </c>
      <c r="DT3" s="8" t="s">
        <v>18</v>
      </c>
      <c r="DV3" s="10" t="s">
        <v>14</v>
      </c>
      <c r="DW3" s="12" t="s">
        <v>15</v>
      </c>
      <c r="DX3" s="9" t="s">
        <v>16</v>
      </c>
      <c r="DY3" s="8" t="s">
        <v>17</v>
      </c>
      <c r="DZ3" s="8" t="s">
        <v>18</v>
      </c>
      <c r="EB3" s="10" t="s">
        <v>14</v>
      </c>
      <c r="EC3" s="12" t="s">
        <v>15</v>
      </c>
      <c r="ED3" s="9" t="s">
        <v>16</v>
      </c>
      <c r="EE3" s="8" t="s">
        <v>17</v>
      </c>
      <c r="EF3" s="8" t="s">
        <v>18</v>
      </c>
      <c r="EH3" s="10" t="s">
        <v>14</v>
      </c>
      <c r="EI3" s="12" t="s">
        <v>15</v>
      </c>
      <c r="EJ3" s="9" t="s">
        <v>16</v>
      </c>
      <c r="EK3" s="8" t="s">
        <v>17</v>
      </c>
      <c r="EL3" s="8" t="s">
        <v>18</v>
      </c>
      <c r="EN3" s="10" t="s">
        <v>14</v>
      </c>
      <c r="EO3" s="12" t="s">
        <v>15</v>
      </c>
      <c r="EP3" s="9" t="s">
        <v>16</v>
      </c>
      <c r="EQ3" s="8" t="s">
        <v>17</v>
      </c>
      <c r="ER3" s="8" t="s">
        <v>18</v>
      </c>
      <c r="ET3" s="10" t="s">
        <v>14</v>
      </c>
      <c r="EU3" s="12" t="s">
        <v>15</v>
      </c>
      <c r="EV3" s="9" t="s">
        <v>16</v>
      </c>
      <c r="EW3" s="8" t="s">
        <v>17</v>
      </c>
      <c r="EX3" s="8" t="s">
        <v>18</v>
      </c>
      <c r="EZ3" s="10" t="s">
        <v>14</v>
      </c>
      <c r="FA3" s="12" t="s">
        <v>15</v>
      </c>
      <c r="FB3" s="9" t="s">
        <v>16</v>
      </c>
      <c r="FC3" s="8" t="s">
        <v>17</v>
      </c>
      <c r="FD3" s="8" t="s">
        <v>18</v>
      </c>
      <c r="FF3" s="10" t="s">
        <v>14</v>
      </c>
      <c r="FG3" s="12" t="s">
        <v>15</v>
      </c>
      <c r="FH3" s="9" t="s">
        <v>16</v>
      </c>
      <c r="FI3" s="8" t="s">
        <v>17</v>
      </c>
      <c r="FJ3" s="8" t="s">
        <v>18</v>
      </c>
      <c r="FL3" s="10" t="s">
        <v>14</v>
      </c>
      <c r="FM3" s="12" t="s">
        <v>15</v>
      </c>
      <c r="FN3" s="9" t="s">
        <v>16</v>
      </c>
      <c r="FO3" s="8" t="s">
        <v>17</v>
      </c>
      <c r="FP3" s="8" t="s">
        <v>18</v>
      </c>
      <c r="FR3" s="10" t="s">
        <v>14</v>
      </c>
      <c r="FS3" s="12" t="s">
        <v>15</v>
      </c>
      <c r="FT3" s="9" t="s">
        <v>16</v>
      </c>
      <c r="FU3" s="8" t="s">
        <v>17</v>
      </c>
      <c r="FV3" s="8" t="s">
        <v>18</v>
      </c>
      <c r="FX3" s="10" t="s">
        <v>14</v>
      </c>
      <c r="FY3" s="12" t="s">
        <v>15</v>
      </c>
      <c r="FZ3" s="9" t="s">
        <v>16</v>
      </c>
      <c r="GA3" s="8" t="s">
        <v>17</v>
      </c>
      <c r="GB3" s="8" t="s">
        <v>18</v>
      </c>
      <c r="GD3" s="10" t="s">
        <v>14</v>
      </c>
      <c r="GE3" s="12" t="s">
        <v>15</v>
      </c>
      <c r="GF3" s="9" t="s">
        <v>16</v>
      </c>
      <c r="GG3" s="8" t="s">
        <v>17</v>
      </c>
      <c r="GH3" s="8" t="s">
        <v>18</v>
      </c>
      <c r="GJ3" s="10" t="s">
        <v>14</v>
      </c>
      <c r="GK3" s="12" t="s">
        <v>15</v>
      </c>
      <c r="GL3" s="9" t="s">
        <v>16</v>
      </c>
      <c r="GM3" s="8" t="s">
        <v>17</v>
      </c>
      <c r="GN3" s="8" t="s">
        <v>18</v>
      </c>
      <c r="GP3" s="10" t="s">
        <v>14</v>
      </c>
      <c r="GQ3" s="12" t="s">
        <v>15</v>
      </c>
      <c r="GR3" s="9" t="s">
        <v>16</v>
      </c>
      <c r="GS3" s="8" t="s">
        <v>17</v>
      </c>
      <c r="GT3" s="8" t="s">
        <v>18</v>
      </c>
      <c r="GV3" s="10" t="s">
        <v>14</v>
      </c>
      <c r="GW3" s="12" t="s">
        <v>15</v>
      </c>
      <c r="GX3" s="9" t="s">
        <v>16</v>
      </c>
      <c r="GY3" s="8" t="s">
        <v>17</v>
      </c>
      <c r="GZ3" s="8" t="s">
        <v>18</v>
      </c>
      <c r="HB3" s="10" t="s">
        <v>14</v>
      </c>
      <c r="HC3" s="12" t="s">
        <v>15</v>
      </c>
      <c r="HD3" s="9" t="s">
        <v>16</v>
      </c>
      <c r="HE3" s="8" t="s">
        <v>17</v>
      </c>
      <c r="HF3" s="8" t="s">
        <v>18</v>
      </c>
      <c r="HH3" s="10" t="s">
        <v>14</v>
      </c>
      <c r="HI3" s="12" t="s">
        <v>15</v>
      </c>
      <c r="HJ3" s="9" t="s">
        <v>16</v>
      </c>
      <c r="HK3" s="8" t="s">
        <v>17</v>
      </c>
      <c r="HL3" s="8" t="s">
        <v>18</v>
      </c>
      <c r="HN3" s="10" t="s">
        <v>14</v>
      </c>
      <c r="HO3" s="12" t="s">
        <v>15</v>
      </c>
      <c r="HP3" s="9" t="s">
        <v>16</v>
      </c>
      <c r="HQ3" s="8" t="s">
        <v>17</v>
      </c>
      <c r="HR3" s="8" t="s">
        <v>18</v>
      </c>
      <c r="HT3" s="10" t="s">
        <v>14</v>
      </c>
      <c r="HU3" s="12" t="s">
        <v>15</v>
      </c>
      <c r="HV3" s="9" t="s">
        <v>16</v>
      </c>
      <c r="HW3" s="8" t="s">
        <v>17</v>
      </c>
      <c r="HX3" s="8" t="s">
        <v>18</v>
      </c>
      <c r="HZ3" s="10" t="s">
        <v>14</v>
      </c>
      <c r="IA3" s="12" t="s">
        <v>15</v>
      </c>
      <c r="IB3" s="9" t="s">
        <v>16</v>
      </c>
      <c r="IC3" s="8" t="s">
        <v>17</v>
      </c>
      <c r="ID3" s="8" t="s">
        <v>18</v>
      </c>
      <c r="IF3" s="10" t="s">
        <v>14</v>
      </c>
      <c r="IG3" s="12" t="s">
        <v>15</v>
      </c>
      <c r="IH3" s="9" t="s">
        <v>16</v>
      </c>
      <c r="II3" s="8" t="s">
        <v>17</v>
      </c>
      <c r="IJ3" s="8" t="s">
        <v>18</v>
      </c>
      <c r="IL3" s="10" t="s">
        <v>14</v>
      </c>
      <c r="IM3" s="12" t="s">
        <v>15</v>
      </c>
      <c r="IN3" s="9" t="s">
        <v>16</v>
      </c>
      <c r="IO3" s="8" t="s">
        <v>17</v>
      </c>
      <c r="IP3" s="8" t="s">
        <v>18</v>
      </c>
      <c r="IR3" s="10" t="s">
        <v>14</v>
      </c>
      <c r="IS3" s="12" t="s">
        <v>15</v>
      </c>
      <c r="IT3" s="9" t="s">
        <v>16</v>
      </c>
      <c r="IU3" s="8" t="s">
        <v>17</v>
      </c>
      <c r="IV3" s="8" t="s">
        <v>18</v>
      </c>
      <c r="IX3" s="10" t="s">
        <v>14</v>
      </c>
      <c r="IY3" s="12" t="s">
        <v>15</v>
      </c>
      <c r="IZ3" s="9" t="s">
        <v>16</v>
      </c>
      <c r="JA3" s="8" t="s">
        <v>17</v>
      </c>
      <c r="JB3" s="8" t="s">
        <v>18</v>
      </c>
      <c r="JD3" s="10" t="s">
        <v>14</v>
      </c>
      <c r="JE3" s="12" t="s">
        <v>15</v>
      </c>
      <c r="JF3" s="9" t="s">
        <v>16</v>
      </c>
      <c r="JG3" s="8" t="s">
        <v>17</v>
      </c>
      <c r="JH3" s="8" t="s">
        <v>18</v>
      </c>
      <c r="JJ3" s="10" t="s">
        <v>14</v>
      </c>
      <c r="JK3" s="12" t="s">
        <v>15</v>
      </c>
      <c r="JL3" s="9" t="s">
        <v>16</v>
      </c>
      <c r="JM3" s="8" t="s">
        <v>17</v>
      </c>
      <c r="JN3" s="8" t="s">
        <v>18</v>
      </c>
      <c r="JP3" s="10" t="s">
        <v>14</v>
      </c>
      <c r="JQ3" s="12" t="s">
        <v>15</v>
      </c>
      <c r="JR3" s="9" t="s">
        <v>16</v>
      </c>
      <c r="JS3" s="8" t="s">
        <v>17</v>
      </c>
      <c r="JT3" s="8" t="s">
        <v>18</v>
      </c>
      <c r="JV3" s="10" t="s">
        <v>14</v>
      </c>
      <c r="JW3" s="12" t="s">
        <v>15</v>
      </c>
      <c r="JX3" s="9" t="s">
        <v>16</v>
      </c>
      <c r="JY3" s="8" t="s">
        <v>17</v>
      </c>
      <c r="JZ3" s="8" t="s">
        <v>18</v>
      </c>
      <c r="KB3" s="10" t="s">
        <v>14</v>
      </c>
      <c r="KC3" s="12" t="s">
        <v>15</v>
      </c>
      <c r="KD3" s="9" t="s">
        <v>16</v>
      </c>
      <c r="KE3" s="8" t="s">
        <v>17</v>
      </c>
      <c r="KF3" s="8" t="s">
        <v>18</v>
      </c>
      <c r="KH3" s="10" t="s">
        <v>14</v>
      </c>
      <c r="KI3" s="12" t="s">
        <v>15</v>
      </c>
      <c r="KJ3" s="9" t="s">
        <v>16</v>
      </c>
      <c r="KK3" s="8" t="s">
        <v>17</v>
      </c>
      <c r="KL3" s="8" t="s">
        <v>18</v>
      </c>
      <c r="KN3" s="10" t="s">
        <v>14</v>
      </c>
      <c r="KO3" s="12" t="s">
        <v>15</v>
      </c>
      <c r="KP3" s="9" t="s">
        <v>16</v>
      </c>
      <c r="KQ3" s="8" t="s">
        <v>17</v>
      </c>
      <c r="KR3" s="8" t="s">
        <v>18</v>
      </c>
      <c r="KT3" s="10" t="s">
        <v>14</v>
      </c>
      <c r="KU3" s="12" t="s">
        <v>15</v>
      </c>
      <c r="KV3" s="9" t="s">
        <v>16</v>
      </c>
      <c r="KW3" s="8" t="s">
        <v>17</v>
      </c>
      <c r="KX3" s="8" t="s">
        <v>18</v>
      </c>
      <c r="KZ3" s="10" t="s">
        <v>14</v>
      </c>
      <c r="LA3" s="12" t="s">
        <v>15</v>
      </c>
      <c r="LB3" s="9" t="s">
        <v>16</v>
      </c>
      <c r="LC3" s="8" t="s">
        <v>17</v>
      </c>
      <c r="LD3" s="8" t="s">
        <v>18</v>
      </c>
      <c r="LF3" s="10" t="s">
        <v>14</v>
      </c>
      <c r="LG3" s="12" t="s">
        <v>15</v>
      </c>
      <c r="LH3" s="9" t="s">
        <v>16</v>
      </c>
      <c r="LI3" s="8" t="s">
        <v>17</v>
      </c>
      <c r="LJ3" s="8" t="s">
        <v>18</v>
      </c>
      <c r="LL3" s="10" t="s">
        <v>14</v>
      </c>
      <c r="LM3" s="12" t="s">
        <v>15</v>
      </c>
      <c r="LN3" s="9" t="s">
        <v>16</v>
      </c>
      <c r="LO3" s="8" t="s">
        <v>17</v>
      </c>
      <c r="LP3" s="8" t="s">
        <v>18</v>
      </c>
      <c r="LR3" s="10" t="s">
        <v>14</v>
      </c>
      <c r="LS3" s="12" t="s">
        <v>15</v>
      </c>
      <c r="LT3" s="9" t="s">
        <v>16</v>
      </c>
      <c r="LU3" s="8" t="s">
        <v>17</v>
      </c>
      <c r="LV3" s="8" t="s">
        <v>18</v>
      </c>
      <c r="LX3" s="10" t="s">
        <v>14</v>
      </c>
      <c r="LY3" s="12" t="s">
        <v>15</v>
      </c>
      <c r="LZ3" s="9" t="s">
        <v>16</v>
      </c>
      <c r="MA3" s="8" t="s">
        <v>17</v>
      </c>
      <c r="MB3" s="8" t="s">
        <v>18</v>
      </c>
      <c r="MD3" s="10" t="s">
        <v>14</v>
      </c>
      <c r="ME3" s="12" t="s">
        <v>15</v>
      </c>
      <c r="MF3" s="9" t="s">
        <v>16</v>
      </c>
      <c r="MG3" s="8" t="s">
        <v>17</v>
      </c>
      <c r="MH3" s="8" t="s">
        <v>18</v>
      </c>
      <c r="MJ3" s="10" t="s">
        <v>14</v>
      </c>
      <c r="MK3" s="12" t="s">
        <v>15</v>
      </c>
      <c r="ML3" s="9" t="s">
        <v>16</v>
      </c>
      <c r="MM3" s="8" t="s">
        <v>17</v>
      </c>
      <c r="MN3" s="8" t="s">
        <v>18</v>
      </c>
      <c r="MP3" s="10" t="s">
        <v>14</v>
      </c>
      <c r="MQ3" s="12" t="s">
        <v>15</v>
      </c>
      <c r="MR3" s="9" t="s">
        <v>16</v>
      </c>
      <c r="MS3" s="8" t="s">
        <v>17</v>
      </c>
      <c r="MT3" s="8" t="s">
        <v>18</v>
      </c>
      <c r="MV3" s="10" t="s">
        <v>14</v>
      </c>
      <c r="MW3" s="12" t="s">
        <v>15</v>
      </c>
      <c r="MX3" s="9" t="s">
        <v>16</v>
      </c>
      <c r="MY3" s="8" t="s">
        <v>17</v>
      </c>
      <c r="MZ3" s="8" t="s">
        <v>18</v>
      </c>
      <c r="NB3" s="10" t="s">
        <v>14</v>
      </c>
      <c r="NC3" s="12" t="s">
        <v>15</v>
      </c>
      <c r="ND3" s="9" t="s">
        <v>16</v>
      </c>
      <c r="NE3" s="8" t="s">
        <v>17</v>
      </c>
      <c r="NF3" s="8" t="s">
        <v>18</v>
      </c>
      <c r="NH3" s="10" t="s">
        <v>14</v>
      </c>
      <c r="NI3" s="12" t="s">
        <v>15</v>
      </c>
      <c r="NJ3" s="9" t="s">
        <v>16</v>
      </c>
      <c r="NK3" s="8" t="s">
        <v>17</v>
      </c>
      <c r="NL3" s="8" t="s">
        <v>18</v>
      </c>
      <c r="NN3" s="10" t="s">
        <v>14</v>
      </c>
      <c r="NO3" s="12" t="s">
        <v>15</v>
      </c>
      <c r="NP3" s="9" t="s">
        <v>16</v>
      </c>
      <c r="NQ3" s="8" t="s">
        <v>17</v>
      </c>
      <c r="NR3" s="8" t="s">
        <v>18</v>
      </c>
      <c r="NT3" s="10" t="s">
        <v>14</v>
      </c>
      <c r="NU3" s="12" t="s">
        <v>15</v>
      </c>
      <c r="NV3" s="9" t="s">
        <v>16</v>
      </c>
      <c r="NW3" s="8" t="s">
        <v>17</v>
      </c>
      <c r="NX3" s="8" t="s">
        <v>18</v>
      </c>
      <c r="NZ3" s="10" t="s">
        <v>14</v>
      </c>
      <c r="OA3" s="12" t="s">
        <v>15</v>
      </c>
      <c r="OB3" s="9" t="s">
        <v>16</v>
      </c>
      <c r="OC3" s="8" t="s">
        <v>17</v>
      </c>
      <c r="OD3" s="8" t="s">
        <v>18</v>
      </c>
      <c r="OF3" s="10" t="s">
        <v>14</v>
      </c>
      <c r="OG3" s="12" t="s">
        <v>15</v>
      </c>
      <c r="OH3" s="9" t="s">
        <v>16</v>
      </c>
      <c r="OI3" s="8" t="s">
        <v>17</v>
      </c>
      <c r="OJ3" s="8" t="s">
        <v>18</v>
      </c>
      <c r="OL3" s="10" t="s">
        <v>14</v>
      </c>
      <c r="OM3" s="12" t="s">
        <v>15</v>
      </c>
      <c r="ON3" s="9" t="s">
        <v>16</v>
      </c>
      <c r="OO3" s="8" t="s">
        <v>17</v>
      </c>
      <c r="OP3" s="8" t="s">
        <v>18</v>
      </c>
      <c r="OR3" s="10" t="s">
        <v>14</v>
      </c>
      <c r="OS3" s="12" t="s">
        <v>15</v>
      </c>
      <c r="OT3" s="9" t="s">
        <v>16</v>
      </c>
      <c r="OU3" s="8" t="s">
        <v>17</v>
      </c>
      <c r="OV3" s="8" t="s">
        <v>18</v>
      </c>
      <c r="OX3" s="10" t="s">
        <v>14</v>
      </c>
      <c r="OY3" s="12" t="s">
        <v>15</v>
      </c>
      <c r="OZ3" s="9" t="s">
        <v>16</v>
      </c>
      <c r="PA3" s="8" t="s">
        <v>17</v>
      </c>
      <c r="PB3" s="8" t="s">
        <v>18</v>
      </c>
      <c r="PD3" s="10" t="s">
        <v>14</v>
      </c>
      <c r="PE3" s="12" t="s">
        <v>15</v>
      </c>
      <c r="PF3" s="9" t="s">
        <v>16</v>
      </c>
      <c r="PG3" s="8" t="s">
        <v>17</v>
      </c>
      <c r="PH3" s="8" t="s">
        <v>18</v>
      </c>
      <c r="PJ3" s="10" t="s">
        <v>14</v>
      </c>
      <c r="PK3" s="12" t="s">
        <v>15</v>
      </c>
      <c r="PL3" s="9" t="s">
        <v>16</v>
      </c>
      <c r="PM3" s="8" t="s">
        <v>17</v>
      </c>
      <c r="PN3" s="8" t="s">
        <v>18</v>
      </c>
      <c r="PP3" s="10" t="s">
        <v>14</v>
      </c>
      <c r="PQ3" s="12" t="s">
        <v>15</v>
      </c>
      <c r="PR3" s="9" t="s">
        <v>16</v>
      </c>
      <c r="PS3" s="8" t="s">
        <v>17</v>
      </c>
      <c r="PT3" s="8" t="s">
        <v>18</v>
      </c>
      <c r="PV3" s="10" t="s">
        <v>14</v>
      </c>
      <c r="PW3" s="12" t="s">
        <v>15</v>
      </c>
      <c r="PX3" s="9" t="s">
        <v>16</v>
      </c>
      <c r="PY3" s="8" t="s">
        <v>17</v>
      </c>
      <c r="PZ3" s="8" t="s">
        <v>18</v>
      </c>
      <c r="QB3" s="10" t="s">
        <v>14</v>
      </c>
      <c r="QC3" s="12" t="s">
        <v>15</v>
      </c>
      <c r="QD3" s="9" t="s">
        <v>16</v>
      </c>
      <c r="QE3" s="8" t="s">
        <v>17</v>
      </c>
      <c r="QF3" s="8" t="s">
        <v>18</v>
      </c>
      <c r="QH3" s="10" t="s">
        <v>14</v>
      </c>
      <c r="QI3" s="12" t="s">
        <v>15</v>
      </c>
      <c r="QJ3" s="9" t="s">
        <v>16</v>
      </c>
      <c r="QK3" s="8" t="s">
        <v>17</v>
      </c>
      <c r="QL3" s="8" t="s">
        <v>18</v>
      </c>
      <c r="QN3" s="10" t="s">
        <v>14</v>
      </c>
      <c r="QO3" s="12" t="s">
        <v>15</v>
      </c>
      <c r="QP3" s="9" t="s">
        <v>16</v>
      </c>
      <c r="QQ3" s="8" t="s">
        <v>17</v>
      </c>
      <c r="QR3" s="8" t="s">
        <v>18</v>
      </c>
      <c r="QT3" s="10" t="s">
        <v>14</v>
      </c>
      <c r="QU3" s="12" t="s">
        <v>15</v>
      </c>
      <c r="QV3" s="9" t="s">
        <v>16</v>
      </c>
      <c r="QW3" s="8" t="s">
        <v>17</v>
      </c>
      <c r="QX3" s="8" t="s">
        <v>18</v>
      </c>
      <c r="QZ3" s="10" t="s">
        <v>14</v>
      </c>
      <c r="RA3" s="12" t="s">
        <v>15</v>
      </c>
      <c r="RB3" s="9" t="s">
        <v>16</v>
      </c>
      <c r="RC3" s="8" t="s">
        <v>17</v>
      </c>
      <c r="RD3" s="8" t="s">
        <v>18</v>
      </c>
      <c r="RF3" s="10" t="s">
        <v>14</v>
      </c>
      <c r="RG3" s="12" t="s">
        <v>15</v>
      </c>
      <c r="RH3" s="9" t="s">
        <v>16</v>
      </c>
      <c r="RI3" s="8" t="s">
        <v>17</v>
      </c>
      <c r="RJ3" s="8" t="s">
        <v>18</v>
      </c>
      <c r="RL3" s="10" t="s">
        <v>14</v>
      </c>
      <c r="RM3" s="12" t="s">
        <v>15</v>
      </c>
      <c r="RN3" s="9" t="s">
        <v>16</v>
      </c>
      <c r="RO3" s="8" t="s">
        <v>17</v>
      </c>
      <c r="RP3" s="8" t="s">
        <v>18</v>
      </c>
      <c r="RR3" s="10" t="s">
        <v>14</v>
      </c>
      <c r="RS3" s="12" t="s">
        <v>15</v>
      </c>
      <c r="RT3" s="9" t="s">
        <v>16</v>
      </c>
      <c r="RU3" s="8" t="s">
        <v>17</v>
      </c>
      <c r="RV3" s="8" t="s">
        <v>18</v>
      </c>
      <c r="RX3" s="10" t="s">
        <v>14</v>
      </c>
      <c r="RY3" s="12" t="s">
        <v>15</v>
      </c>
      <c r="RZ3" s="9" t="s">
        <v>16</v>
      </c>
      <c r="SA3" s="8" t="s">
        <v>17</v>
      </c>
      <c r="SB3" s="8" t="s">
        <v>18</v>
      </c>
      <c r="SD3" s="10" t="s">
        <v>14</v>
      </c>
      <c r="SE3" s="12" t="s">
        <v>15</v>
      </c>
      <c r="SF3" s="9" t="s">
        <v>16</v>
      </c>
      <c r="SG3" s="8" t="s">
        <v>17</v>
      </c>
      <c r="SH3" s="8" t="s">
        <v>18</v>
      </c>
      <c r="SJ3" s="10" t="s">
        <v>14</v>
      </c>
      <c r="SK3" s="12" t="s">
        <v>15</v>
      </c>
      <c r="SL3" s="9" t="s">
        <v>16</v>
      </c>
      <c r="SM3" s="8" t="s">
        <v>17</v>
      </c>
      <c r="SN3" s="8" t="s">
        <v>18</v>
      </c>
      <c r="SP3" s="10" t="s">
        <v>14</v>
      </c>
      <c r="SQ3" s="12" t="s">
        <v>15</v>
      </c>
      <c r="SR3" s="9" t="s">
        <v>16</v>
      </c>
      <c r="SS3" s="8" t="s">
        <v>17</v>
      </c>
      <c r="ST3" s="8" t="s">
        <v>18</v>
      </c>
      <c r="SV3" s="10" t="s">
        <v>14</v>
      </c>
      <c r="SW3" s="12" t="s">
        <v>15</v>
      </c>
      <c r="SX3" s="9" t="s">
        <v>16</v>
      </c>
      <c r="SY3" s="8" t="s">
        <v>17</v>
      </c>
      <c r="SZ3" s="8" t="s">
        <v>18</v>
      </c>
      <c r="TB3" s="10" t="s">
        <v>14</v>
      </c>
      <c r="TC3" s="12" t="s">
        <v>15</v>
      </c>
      <c r="TD3" s="9" t="s">
        <v>16</v>
      </c>
      <c r="TE3" s="8" t="s">
        <v>17</v>
      </c>
      <c r="TF3" s="8" t="s">
        <v>18</v>
      </c>
      <c r="TH3" s="10" t="s">
        <v>14</v>
      </c>
      <c r="TI3" s="12" t="s">
        <v>15</v>
      </c>
      <c r="TJ3" s="9" t="s">
        <v>16</v>
      </c>
      <c r="TK3" s="8" t="s">
        <v>17</v>
      </c>
      <c r="TL3" s="8" t="s">
        <v>18</v>
      </c>
      <c r="TN3" s="10" t="s">
        <v>14</v>
      </c>
      <c r="TO3" s="12" t="s">
        <v>15</v>
      </c>
      <c r="TP3" s="9" t="s">
        <v>16</v>
      </c>
      <c r="TQ3" s="8" t="s">
        <v>17</v>
      </c>
      <c r="TR3" s="8" t="s">
        <v>18</v>
      </c>
      <c r="TT3" s="10" t="s">
        <v>14</v>
      </c>
      <c r="TU3" s="12" t="s">
        <v>15</v>
      </c>
      <c r="TV3" s="9" t="s">
        <v>16</v>
      </c>
      <c r="TW3" s="8" t="s">
        <v>17</v>
      </c>
      <c r="TX3" s="8" t="s">
        <v>18</v>
      </c>
      <c r="TZ3" s="10" t="s">
        <v>14</v>
      </c>
      <c r="UA3" s="12" t="s">
        <v>15</v>
      </c>
      <c r="UB3" s="9" t="s">
        <v>16</v>
      </c>
      <c r="UC3" s="8" t="s">
        <v>17</v>
      </c>
      <c r="UD3" s="8" t="s">
        <v>18</v>
      </c>
      <c r="UF3" s="10" t="s">
        <v>14</v>
      </c>
      <c r="UG3" s="12" t="s">
        <v>15</v>
      </c>
      <c r="UH3" s="9" t="s">
        <v>16</v>
      </c>
      <c r="UI3" s="8" t="s">
        <v>17</v>
      </c>
      <c r="UJ3" s="8" t="s">
        <v>18</v>
      </c>
      <c r="UL3" s="10" t="s">
        <v>14</v>
      </c>
      <c r="UM3" s="12" t="s">
        <v>15</v>
      </c>
      <c r="UN3" s="9" t="s">
        <v>16</v>
      </c>
      <c r="UO3" s="8" t="s">
        <v>17</v>
      </c>
      <c r="UP3" s="8" t="s">
        <v>18</v>
      </c>
      <c r="UR3" s="10" t="s">
        <v>14</v>
      </c>
      <c r="US3" s="12" t="s">
        <v>15</v>
      </c>
      <c r="UT3" s="9" t="s">
        <v>16</v>
      </c>
      <c r="UU3" s="8" t="s">
        <v>17</v>
      </c>
      <c r="UV3" s="8" t="s">
        <v>18</v>
      </c>
      <c r="UX3" s="10" t="s">
        <v>14</v>
      </c>
      <c r="UY3" s="12" t="s">
        <v>15</v>
      </c>
      <c r="UZ3" s="9" t="s">
        <v>16</v>
      </c>
      <c r="VA3" s="8" t="s">
        <v>17</v>
      </c>
      <c r="VB3" s="8" t="s">
        <v>18</v>
      </c>
      <c r="VD3" s="10" t="s">
        <v>14</v>
      </c>
      <c r="VE3" s="12" t="s">
        <v>15</v>
      </c>
      <c r="VF3" s="9" t="s">
        <v>16</v>
      </c>
      <c r="VG3" s="8" t="s">
        <v>17</v>
      </c>
      <c r="VH3" s="8" t="s">
        <v>18</v>
      </c>
      <c r="VJ3" s="10" t="s">
        <v>14</v>
      </c>
      <c r="VK3" s="12" t="s">
        <v>15</v>
      </c>
      <c r="VL3" s="9" t="s">
        <v>16</v>
      </c>
      <c r="VM3" s="8" t="s">
        <v>17</v>
      </c>
      <c r="VN3" s="8" t="s">
        <v>18</v>
      </c>
      <c r="VP3" s="10" t="s">
        <v>14</v>
      </c>
      <c r="VQ3" s="12" t="s">
        <v>15</v>
      </c>
      <c r="VR3" s="9" t="s">
        <v>16</v>
      </c>
      <c r="VS3" s="8" t="s">
        <v>17</v>
      </c>
      <c r="VT3" s="8" t="s">
        <v>18</v>
      </c>
      <c r="VV3" s="10" t="s">
        <v>14</v>
      </c>
      <c r="VW3" s="12" t="s">
        <v>15</v>
      </c>
      <c r="VX3" s="9" t="s">
        <v>16</v>
      </c>
      <c r="VY3" s="8" t="s">
        <v>17</v>
      </c>
      <c r="VZ3" s="8" t="s">
        <v>18</v>
      </c>
      <c r="WB3" s="10" t="s">
        <v>14</v>
      </c>
      <c r="WC3" s="12" t="s">
        <v>15</v>
      </c>
      <c r="WD3" s="9" t="s">
        <v>16</v>
      </c>
      <c r="WE3" s="8" t="s">
        <v>17</v>
      </c>
      <c r="WF3" s="8" t="s">
        <v>18</v>
      </c>
      <c r="WH3" s="10" t="s">
        <v>14</v>
      </c>
      <c r="WI3" s="12" t="s">
        <v>15</v>
      </c>
      <c r="WJ3" s="9" t="s">
        <v>16</v>
      </c>
      <c r="WK3" s="8" t="s">
        <v>17</v>
      </c>
      <c r="WL3" s="8" t="s">
        <v>18</v>
      </c>
      <c r="WN3" s="10" t="s">
        <v>14</v>
      </c>
      <c r="WO3" s="12" t="s">
        <v>15</v>
      </c>
      <c r="WP3" s="9" t="s">
        <v>16</v>
      </c>
      <c r="WQ3" s="8" t="s">
        <v>17</v>
      </c>
      <c r="WR3" s="8" t="s">
        <v>18</v>
      </c>
      <c r="WT3" s="10" t="s">
        <v>14</v>
      </c>
      <c r="WU3" s="12" t="s">
        <v>15</v>
      </c>
      <c r="WV3" s="9" t="s">
        <v>16</v>
      </c>
      <c r="WW3" s="8" t="s">
        <v>17</v>
      </c>
      <c r="WX3" s="8" t="s">
        <v>18</v>
      </c>
      <c r="WZ3" s="10" t="s">
        <v>14</v>
      </c>
      <c r="XA3" s="12" t="s">
        <v>15</v>
      </c>
      <c r="XB3" s="9" t="s">
        <v>16</v>
      </c>
      <c r="XC3" s="8" t="s">
        <v>17</v>
      </c>
      <c r="XD3" s="8" t="s">
        <v>18</v>
      </c>
      <c r="XF3" s="10" t="s">
        <v>14</v>
      </c>
      <c r="XG3" s="12" t="s">
        <v>15</v>
      </c>
      <c r="XH3" s="9" t="s">
        <v>16</v>
      </c>
      <c r="XI3" s="8" t="s">
        <v>17</v>
      </c>
      <c r="XJ3" s="8" t="s">
        <v>18</v>
      </c>
      <c r="XL3" s="10" t="s">
        <v>14</v>
      </c>
      <c r="XM3" s="12" t="s">
        <v>15</v>
      </c>
      <c r="XN3" s="9" t="s">
        <v>16</v>
      </c>
      <c r="XO3" s="8" t="s">
        <v>17</v>
      </c>
      <c r="XP3" s="8" t="s">
        <v>18</v>
      </c>
      <c r="XR3" s="10" t="s">
        <v>14</v>
      </c>
      <c r="XS3" s="12" t="s">
        <v>15</v>
      </c>
      <c r="XT3" s="9" t="s">
        <v>16</v>
      </c>
      <c r="XU3" s="8" t="s">
        <v>17</v>
      </c>
      <c r="XV3" s="8" t="s">
        <v>18</v>
      </c>
      <c r="XX3" s="10" t="s">
        <v>14</v>
      </c>
      <c r="XY3" s="12" t="s">
        <v>15</v>
      </c>
      <c r="XZ3" s="9" t="s">
        <v>16</v>
      </c>
      <c r="YA3" s="8" t="s">
        <v>17</v>
      </c>
      <c r="YB3" s="8" t="s">
        <v>18</v>
      </c>
      <c r="YD3" s="10" t="s">
        <v>14</v>
      </c>
      <c r="YE3" s="12" t="s">
        <v>15</v>
      </c>
      <c r="YF3" s="9" t="s">
        <v>16</v>
      </c>
      <c r="YG3" s="8" t="s">
        <v>17</v>
      </c>
      <c r="YH3" s="8" t="s">
        <v>18</v>
      </c>
      <c r="YJ3" s="10" t="s">
        <v>14</v>
      </c>
      <c r="YK3" s="12" t="s">
        <v>15</v>
      </c>
      <c r="YL3" s="9" t="s">
        <v>16</v>
      </c>
      <c r="YM3" s="8" t="s">
        <v>17</v>
      </c>
      <c r="YN3" s="8" t="s">
        <v>18</v>
      </c>
      <c r="YP3" s="10" t="s">
        <v>14</v>
      </c>
      <c r="YQ3" s="12" t="s">
        <v>15</v>
      </c>
      <c r="YR3" s="9" t="s">
        <v>16</v>
      </c>
      <c r="YS3" s="8" t="s">
        <v>17</v>
      </c>
      <c r="YT3" s="8" t="s">
        <v>18</v>
      </c>
      <c r="YV3" s="10" t="s">
        <v>14</v>
      </c>
      <c r="YW3" s="12" t="s">
        <v>15</v>
      </c>
      <c r="YX3" s="9" t="s">
        <v>16</v>
      </c>
      <c r="YY3" s="8" t="s">
        <v>17</v>
      </c>
      <c r="YZ3" s="8" t="s">
        <v>18</v>
      </c>
      <c r="ZB3" s="10" t="s">
        <v>14</v>
      </c>
      <c r="ZC3" s="12" t="s">
        <v>15</v>
      </c>
      <c r="ZD3" s="9" t="s">
        <v>16</v>
      </c>
      <c r="ZE3" s="8" t="s">
        <v>17</v>
      </c>
      <c r="ZF3" s="8" t="s">
        <v>18</v>
      </c>
      <c r="ZH3" s="10" t="s">
        <v>14</v>
      </c>
      <c r="ZI3" s="12" t="s">
        <v>15</v>
      </c>
      <c r="ZJ3" s="9" t="s">
        <v>16</v>
      </c>
      <c r="ZK3" s="8" t="s">
        <v>17</v>
      </c>
      <c r="ZL3" s="8" t="s">
        <v>18</v>
      </c>
      <c r="ZN3" s="10" t="s">
        <v>14</v>
      </c>
      <c r="ZO3" s="12" t="s">
        <v>15</v>
      </c>
      <c r="ZP3" s="9" t="s">
        <v>16</v>
      </c>
      <c r="ZQ3" s="8" t="s">
        <v>17</v>
      </c>
      <c r="ZR3" s="8" t="s">
        <v>18</v>
      </c>
      <c r="ZT3" s="10" t="s">
        <v>14</v>
      </c>
      <c r="ZU3" s="12" t="s">
        <v>15</v>
      </c>
      <c r="ZV3" s="9" t="s">
        <v>16</v>
      </c>
      <c r="ZW3" s="8" t="s">
        <v>17</v>
      </c>
      <c r="ZX3" s="8" t="s">
        <v>18</v>
      </c>
      <c r="ZZ3" s="10" t="s">
        <v>14</v>
      </c>
      <c r="AAA3" s="12" t="s">
        <v>15</v>
      </c>
      <c r="AAB3" s="9" t="s">
        <v>16</v>
      </c>
      <c r="AAC3" s="8" t="s">
        <v>17</v>
      </c>
      <c r="AAD3" s="8" t="s">
        <v>18</v>
      </c>
      <c r="AAF3" s="10" t="s">
        <v>14</v>
      </c>
      <c r="AAG3" s="12" t="s">
        <v>15</v>
      </c>
      <c r="AAH3" s="9" t="s">
        <v>16</v>
      </c>
      <c r="AAI3" s="8" t="s">
        <v>17</v>
      </c>
      <c r="AAJ3" s="8" t="s">
        <v>18</v>
      </c>
      <c r="AAL3" s="10" t="s">
        <v>14</v>
      </c>
      <c r="AAM3" s="12" t="s">
        <v>15</v>
      </c>
      <c r="AAN3" s="9" t="s">
        <v>16</v>
      </c>
      <c r="AAO3" s="8" t="s">
        <v>17</v>
      </c>
      <c r="AAP3" s="8" t="s">
        <v>18</v>
      </c>
      <c r="AAR3" s="10" t="s">
        <v>14</v>
      </c>
      <c r="AAS3" s="12" t="s">
        <v>15</v>
      </c>
      <c r="AAT3" s="9" t="s">
        <v>16</v>
      </c>
      <c r="AAU3" s="8" t="s">
        <v>17</v>
      </c>
      <c r="AAV3" s="8" t="s">
        <v>18</v>
      </c>
      <c r="AAX3" s="10" t="s">
        <v>14</v>
      </c>
      <c r="AAY3" s="12" t="s">
        <v>15</v>
      </c>
      <c r="AAZ3" s="9" t="s">
        <v>16</v>
      </c>
      <c r="ABA3" s="8" t="s">
        <v>17</v>
      </c>
      <c r="ABB3" s="8" t="s">
        <v>18</v>
      </c>
      <c r="ABD3" s="10" t="s">
        <v>14</v>
      </c>
      <c r="ABE3" s="12" t="s">
        <v>15</v>
      </c>
      <c r="ABF3" s="9" t="s">
        <v>16</v>
      </c>
      <c r="ABG3" s="8" t="s">
        <v>17</v>
      </c>
      <c r="ABH3" s="8" t="s">
        <v>18</v>
      </c>
      <c r="ABJ3" s="10" t="s">
        <v>14</v>
      </c>
      <c r="ABK3" s="12" t="s">
        <v>15</v>
      </c>
      <c r="ABL3" s="9" t="s">
        <v>16</v>
      </c>
      <c r="ABM3" s="8" t="s">
        <v>17</v>
      </c>
      <c r="ABN3" s="8" t="s">
        <v>18</v>
      </c>
      <c r="ABP3" s="10" t="s">
        <v>14</v>
      </c>
      <c r="ABQ3" s="12" t="s">
        <v>15</v>
      </c>
      <c r="ABR3" s="9" t="s">
        <v>16</v>
      </c>
      <c r="ABS3" s="8" t="s">
        <v>17</v>
      </c>
      <c r="ABT3" s="8" t="s">
        <v>18</v>
      </c>
      <c r="ABV3" s="10" t="s">
        <v>14</v>
      </c>
      <c r="ABW3" s="12" t="s">
        <v>15</v>
      </c>
      <c r="ABX3" s="9" t="s">
        <v>16</v>
      </c>
      <c r="ABY3" s="8" t="s">
        <v>17</v>
      </c>
      <c r="ABZ3" s="8" t="s">
        <v>18</v>
      </c>
      <c r="ACB3" s="10" t="s">
        <v>14</v>
      </c>
      <c r="ACC3" s="12" t="s">
        <v>15</v>
      </c>
      <c r="ACD3" s="9" t="s">
        <v>16</v>
      </c>
      <c r="ACE3" s="8" t="s">
        <v>17</v>
      </c>
      <c r="ACF3" s="8" t="s">
        <v>18</v>
      </c>
      <c r="ACH3" s="10" t="s">
        <v>14</v>
      </c>
      <c r="ACI3" s="12" t="s">
        <v>15</v>
      </c>
      <c r="ACJ3" s="9" t="s">
        <v>16</v>
      </c>
      <c r="ACK3" s="8" t="s">
        <v>17</v>
      </c>
      <c r="ACL3" s="8" t="s">
        <v>18</v>
      </c>
      <c r="ACN3" s="10" t="s">
        <v>14</v>
      </c>
      <c r="ACO3" s="12" t="s">
        <v>15</v>
      </c>
      <c r="ACP3" s="9" t="s">
        <v>16</v>
      </c>
      <c r="ACQ3" s="8" t="s">
        <v>17</v>
      </c>
      <c r="ACR3" s="8" t="s">
        <v>18</v>
      </c>
      <c r="ACT3" s="10" t="s">
        <v>14</v>
      </c>
      <c r="ACU3" s="12" t="s">
        <v>15</v>
      </c>
      <c r="ACV3" s="9" t="s">
        <v>16</v>
      </c>
      <c r="ACW3" s="8" t="s">
        <v>17</v>
      </c>
      <c r="ACX3" s="8" t="s">
        <v>18</v>
      </c>
      <c r="ACZ3" s="10" t="s">
        <v>14</v>
      </c>
      <c r="ADA3" s="12" t="s">
        <v>15</v>
      </c>
      <c r="ADB3" s="9" t="s">
        <v>16</v>
      </c>
      <c r="ADC3" s="8" t="s">
        <v>17</v>
      </c>
      <c r="ADD3" s="8" t="s">
        <v>18</v>
      </c>
      <c r="ADF3" s="10" t="s">
        <v>14</v>
      </c>
      <c r="ADG3" s="12" t="s">
        <v>15</v>
      </c>
      <c r="ADH3" s="9" t="s">
        <v>16</v>
      </c>
      <c r="ADI3" s="8" t="s">
        <v>17</v>
      </c>
      <c r="ADJ3" s="8" t="s">
        <v>18</v>
      </c>
      <c r="ADL3" s="10" t="s">
        <v>14</v>
      </c>
      <c r="ADM3" s="12" t="s">
        <v>15</v>
      </c>
      <c r="ADN3" s="9" t="s">
        <v>16</v>
      </c>
      <c r="ADO3" s="8" t="s">
        <v>17</v>
      </c>
      <c r="ADP3" s="8" t="s">
        <v>18</v>
      </c>
      <c r="ADR3" s="10" t="s">
        <v>14</v>
      </c>
      <c r="ADS3" s="12" t="s">
        <v>15</v>
      </c>
      <c r="ADT3" s="9" t="s">
        <v>16</v>
      </c>
      <c r="ADU3" s="8" t="s">
        <v>17</v>
      </c>
      <c r="ADV3" s="8" t="s">
        <v>18</v>
      </c>
      <c r="ADX3" s="10" t="s">
        <v>14</v>
      </c>
      <c r="ADY3" s="12" t="s">
        <v>15</v>
      </c>
      <c r="ADZ3" s="9" t="s">
        <v>16</v>
      </c>
      <c r="AEA3" s="8" t="s">
        <v>17</v>
      </c>
      <c r="AEB3" s="8" t="s">
        <v>18</v>
      </c>
      <c r="AED3" s="10" t="s">
        <v>14</v>
      </c>
      <c r="AEE3" s="12" t="s">
        <v>15</v>
      </c>
      <c r="AEF3" s="9" t="s">
        <v>16</v>
      </c>
      <c r="AEG3" s="8" t="s">
        <v>17</v>
      </c>
      <c r="AEH3" s="8" t="s">
        <v>18</v>
      </c>
      <c r="AEJ3" s="10" t="s">
        <v>14</v>
      </c>
      <c r="AEK3" s="12" t="s">
        <v>15</v>
      </c>
      <c r="AEL3" s="9" t="s">
        <v>16</v>
      </c>
      <c r="AEM3" s="8" t="s">
        <v>17</v>
      </c>
      <c r="AEN3" s="8" t="s">
        <v>18</v>
      </c>
      <c r="AEP3" s="10" t="s">
        <v>14</v>
      </c>
      <c r="AEQ3" s="12" t="s">
        <v>15</v>
      </c>
      <c r="AER3" s="9" t="s">
        <v>16</v>
      </c>
      <c r="AES3" s="8" t="s">
        <v>17</v>
      </c>
      <c r="AET3" s="8" t="s">
        <v>18</v>
      </c>
      <c r="AEV3" s="10" t="s">
        <v>14</v>
      </c>
      <c r="AEW3" s="12" t="s">
        <v>15</v>
      </c>
      <c r="AEX3" s="9" t="s">
        <v>16</v>
      </c>
      <c r="AEY3" s="8" t="s">
        <v>17</v>
      </c>
      <c r="AEZ3" s="8" t="s">
        <v>18</v>
      </c>
      <c r="AFB3" s="10" t="s">
        <v>14</v>
      </c>
      <c r="AFC3" s="12" t="s">
        <v>15</v>
      </c>
      <c r="AFD3" s="9" t="s">
        <v>16</v>
      </c>
      <c r="AFE3" s="8" t="s">
        <v>17</v>
      </c>
      <c r="AFF3" s="8" t="s">
        <v>18</v>
      </c>
      <c r="AFH3" s="10" t="s">
        <v>14</v>
      </c>
      <c r="AFI3" s="12" t="s">
        <v>15</v>
      </c>
      <c r="AFJ3" s="9" t="s">
        <v>16</v>
      </c>
      <c r="AFK3" s="8" t="s">
        <v>17</v>
      </c>
      <c r="AFL3" s="8" t="s">
        <v>18</v>
      </c>
      <c r="AFN3" s="10" t="s">
        <v>14</v>
      </c>
      <c r="AFO3" s="12" t="s">
        <v>15</v>
      </c>
      <c r="AFP3" s="9" t="s">
        <v>16</v>
      </c>
      <c r="AFQ3" s="8" t="s">
        <v>17</v>
      </c>
      <c r="AFR3" s="8" t="s">
        <v>18</v>
      </c>
      <c r="AFT3" s="10" t="s">
        <v>14</v>
      </c>
      <c r="AFU3" s="12" t="s">
        <v>15</v>
      </c>
      <c r="AFV3" s="9" t="s">
        <v>16</v>
      </c>
      <c r="AFW3" s="8" t="s">
        <v>17</v>
      </c>
      <c r="AFX3" s="8" t="s">
        <v>18</v>
      </c>
      <c r="AFZ3" s="10" t="s">
        <v>14</v>
      </c>
      <c r="AGA3" s="12" t="s">
        <v>15</v>
      </c>
      <c r="AGB3" s="9" t="s">
        <v>16</v>
      </c>
      <c r="AGC3" s="8" t="s">
        <v>17</v>
      </c>
      <c r="AGD3" s="8" t="s">
        <v>18</v>
      </c>
      <c r="AGF3" s="10" t="s">
        <v>14</v>
      </c>
      <c r="AGG3" s="12" t="s">
        <v>15</v>
      </c>
      <c r="AGH3" s="9" t="s">
        <v>16</v>
      </c>
      <c r="AGI3" s="8" t="s">
        <v>17</v>
      </c>
      <c r="AGJ3" s="8" t="s">
        <v>18</v>
      </c>
      <c r="AGL3" s="10" t="s">
        <v>14</v>
      </c>
      <c r="AGM3" s="12" t="s">
        <v>15</v>
      </c>
      <c r="AGN3" s="9" t="s">
        <v>16</v>
      </c>
      <c r="AGO3" s="8" t="s">
        <v>17</v>
      </c>
      <c r="AGP3" s="8" t="s">
        <v>18</v>
      </c>
      <c r="AGR3" s="10" t="s">
        <v>14</v>
      </c>
      <c r="AGS3" s="12" t="s">
        <v>15</v>
      </c>
      <c r="AGT3" s="9" t="s">
        <v>16</v>
      </c>
      <c r="AGU3" s="8" t="s">
        <v>17</v>
      </c>
      <c r="AGV3" s="8" t="s">
        <v>18</v>
      </c>
      <c r="AGX3" s="10" t="s">
        <v>14</v>
      </c>
      <c r="AGY3" s="12" t="s">
        <v>15</v>
      </c>
      <c r="AGZ3" s="9" t="s">
        <v>16</v>
      </c>
      <c r="AHA3" s="8" t="s">
        <v>17</v>
      </c>
      <c r="AHB3" s="8" t="s">
        <v>18</v>
      </c>
      <c r="AHD3" s="10" t="s">
        <v>14</v>
      </c>
      <c r="AHE3" s="12" t="s">
        <v>15</v>
      </c>
      <c r="AHF3" s="9" t="s">
        <v>16</v>
      </c>
      <c r="AHG3" s="8" t="s">
        <v>17</v>
      </c>
      <c r="AHH3" s="8" t="s">
        <v>18</v>
      </c>
      <c r="AHJ3" s="10" t="s">
        <v>14</v>
      </c>
      <c r="AHK3" s="12" t="s">
        <v>15</v>
      </c>
      <c r="AHL3" s="9" t="s">
        <v>16</v>
      </c>
      <c r="AHM3" s="8" t="s">
        <v>17</v>
      </c>
      <c r="AHN3" s="8" t="s">
        <v>18</v>
      </c>
      <c r="AHP3" s="10" t="s">
        <v>14</v>
      </c>
      <c r="AHQ3" s="12" t="s">
        <v>15</v>
      </c>
      <c r="AHR3" s="9" t="s">
        <v>16</v>
      </c>
      <c r="AHS3" s="8" t="s">
        <v>17</v>
      </c>
      <c r="AHT3" s="8" t="s">
        <v>18</v>
      </c>
      <c r="AHV3" s="10" t="s">
        <v>14</v>
      </c>
      <c r="AHW3" s="12" t="s">
        <v>15</v>
      </c>
      <c r="AHX3" s="9" t="s">
        <v>16</v>
      </c>
      <c r="AHY3" s="8" t="s">
        <v>17</v>
      </c>
      <c r="AHZ3" s="8" t="s">
        <v>18</v>
      </c>
      <c r="AIB3" s="10" t="s">
        <v>14</v>
      </c>
      <c r="AIC3" s="12" t="s">
        <v>15</v>
      </c>
      <c r="AID3" s="9" t="s">
        <v>16</v>
      </c>
      <c r="AIE3" s="8" t="s">
        <v>17</v>
      </c>
      <c r="AIF3" s="8" t="s">
        <v>18</v>
      </c>
      <c r="AIH3" s="10" t="s">
        <v>14</v>
      </c>
      <c r="AII3" s="12" t="s">
        <v>15</v>
      </c>
      <c r="AIJ3" s="9" t="s">
        <v>16</v>
      </c>
      <c r="AIK3" s="8" t="s">
        <v>17</v>
      </c>
      <c r="AIL3" s="8" t="s">
        <v>18</v>
      </c>
      <c r="AIN3" s="10" t="s">
        <v>14</v>
      </c>
      <c r="AIO3" s="12" t="s">
        <v>15</v>
      </c>
      <c r="AIP3" s="9" t="s">
        <v>16</v>
      </c>
      <c r="AIQ3" s="8" t="s">
        <v>17</v>
      </c>
      <c r="AIR3" s="8" t="s">
        <v>18</v>
      </c>
      <c r="AIT3" s="10" t="s">
        <v>14</v>
      </c>
      <c r="AIU3" s="12" t="s">
        <v>15</v>
      </c>
      <c r="AIV3" s="9" t="s">
        <v>16</v>
      </c>
      <c r="AIW3" s="8" t="s">
        <v>17</v>
      </c>
      <c r="AIX3" s="8" t="s">
        <v>18</v>
      </c>
      <c r="AIZ3" s="10" t="s">
        <v>14</v>
      </c>
      <c r="AJA3" s="12" t="s">
        <v>15</v>
      </c>
      <c r="AJB3" s="9" t="s">
        <v>16</v>
      </c>
      <c r="AJC3" s="8" t="s">
        <v>17</v>
      </c>
      <c r="AJD3" s="8" t="s">
        <v>18</v>
      </c>
      <c r="AJF3" s="10" t="s">
        <v>14</v>
      </c>
      <c r="AJG3" s="12" t="s">
        <v>15</v>
      </c>
      <c r="AJH3" s="9" t="s">
        <v>16</v>
      </c>
      <c r="AJI3" s="8" t="s">
        <v>17</v>
      </c>
      <c r="AJJ3" s="8" t="s">
        <v>18</v>
      </c>
      <c r="AJL3" s="10" t="s">
        <v>14</v>
      </c>
      <c r="AJM3" s="12" t="s">
        <v>15</v>
      </c>
      <c r="AJN3" s="9" t="s">
        <v>16</v>
      </c>
      <c r="AJO3" s="8" t="s">
        <v>17</v>
      </c>
      <c r="AJP3" s="8" t="s">
        <v>18</v>
      </c>
      <c r="AJR3" s="10" t="s">
        <v>14</v>
      </c>
      <c r="AJS3" s="12" t="s">
        <v>15</v>
      </c>
      <c r="AJT3" s="9" t="s">
        <v>16</v>
      </c>
      <c r="AJU3" s="8" t="s">
        <v>17</v>
      </c>
      <c r="AJV3" s="8" t="s">
        <v>18</v>
      </c>
      <c r="AJX3" s="10" t="s">
        <v>14</v>
      </c>
      <c r="AJY3" s="12" t="s">
        <v>15</v>
      </c>
      <c r="AJZ3" s="9" t="s">
        <v>16</v>
      </c>
      <c r="AKA3" s="8" t="s">
        <v>17</v>
      </c>
      <c r="AKB3" s="8" t="s">
        <v>18</v>
      </c>
      <c r="AKD3" s="10" t="s">
        <v>14</v>
      </c>
      <c r="AKE3" s="12" t="s">
        <v>15</v>
      </c>
      <c r="AKF3" s="9" t="s">
        <v>16</v>
      </c>
      <c r="AKG3" s="8" t="s">
        <v>17</v>
      </c>
      <c r="AKH3" s="8" t="s">
        <v>18</v>
      </c>
      <c r="AKJ3" s="10" t="s">
        <v>14</v>
      </c>
      <c r="AKK3" s="12" t="s">
        <v>15</v>
      </c>
      <c r="AKL3" s="9" t="s">
        <v>16</v>
      </c>
      <c r="AKM3" s="8" t="s">
        <v>17</v>
      </c>
      <c r="AKN3" s="8" t="s">
        <v>18</v>
      </c>
      <c r="AKP3" s="10" t="s">
        <v>14</v>
      </c>
      <c r="AKQ3" s="12" t="s">
        <v>15</v>
      </c>
      <c r="AKR3" s="9" t="s">
        <v>16</v>
      </c>
      <c r="AKS3" s="8" t="s">
        <v>17</v>
      </c>
      <c r="AKT3" s="8" t="s">
        <v>18</v>
      </c>
      <c r="AKV3" s="10" t="s">
        <v>14</v>
      </c>
      <c r="AKW3" s="12" t="s">
        <v>15</v>
      </c>
      <c r="AKX3" s="9" t="s">
        <v>16</v>
      </c>
      <c r="AKY3" s="8" t="s">
        <v>17</v>
      </c>
      <c r="AKZ3" s="8" t="s">
        <v>18</v>
      </c>
      <c r="ALB3" s="10" t="s">
        <v>14</v>
      </c>
      <c r="ALC3" s="12" t="s">
        <v>15</v>
      </c>
      <c r="ALD3" s="9" t="s">
        <v>16</v>
      </c>
      <c r="ALE3" s="8" t="s">
        <v>17</v>
      </c>
      <c r="ALF3" s="8" t="s">
        <v>18</v>
      </c>
      <c r="ALH3" s="10" t="s">
        <v>14</v>
      </c>
      <c r="ALI3" s="12" t="s">
        <v>15</v>
      </c>
      <c r="ALJ3" s="9" t="s">
        <v>16</v>
      </c>
      <c r="ALK3" s="8" t="s">
        <v>17</v>
      </c>
      <c r="ALL3" s="8" t="s">
        <v>18</v>
      </c>
      <c r="ALN3" s="10" t="s">
        <v>14</v>
      </c>
      <c r="ALO3" s="12" t="s">
        <v>15</v>
      </c>
      <c r="ALP3" s="9" t="s">
        <v>16</v>
      </c>
      <c r="ALQ3" s="8" t="s">
        <v>17</v>
      </c>
      <c r="ALR3" s="8" t="s">
        <v>18</v>
      </c>
      <c r="ALT3" s="10" t="s">
        <v>14</v>
      </c>
      <c r="ALU3" s="12" t="s">
        <v>15</v>
      </c>
      <c r="ALV3" s="9" t="s">
        <v>16</v>
      </c>
      <c r="ALW3" s="8" t="s">
        <v>17</v>
      </c>
      <c r="ALX3" s="8" t="s">
        <v>18</v>
      </c>
      <c r="ALZ3" s="10" t="s">
        <v>14</v>
      </c>
      <c r="AMA3" s="12" t="s">
        <v>15</v>
      </c>
      <c r="AMB3" s="9" t="s">
        <v>16</v>
      </c>
      <c r="AMC3" s="8" t="s">
        <v>17</v>
      </c>
      <c r="AMD3" s="8" t="s">
        <v>18</v>
      </c>
      <c r="AMF3" s="10" t="s">
        <v>14</v>
      </c>
      <c r="AMG3" s="12" t="s">
        <v>15</v>
      </c>
      <c r="AMH3" s="9" t="s">
        <v>16</v>
      </c>
      <c r="AMI3" s="8" t="s">
        <v>17</v>
      </c>
      <c r="AMJ3" s="8" t="s">
        <v>18</v>
      </c>
      <c r="AML3" s="10" t="s">
        <v>14</v>
      </c>
      <c r="AMM3" s="12" t="s">
        <v>15</v>
      </c>
      <c r="AMN3" s="9" t="s">
        <v>16</v>
      </c>
      <c r="AMO3" s="8" t="s">
        <v>17</v>
      </c>
      <c r="AMP3" s="8" t="s">
        <v>18</v>
      </c>
      <c r="AMR3" s="10" t="s">
        <v>14</v>
      </c>
      <c r="AMS3" s="12" t="s">
        <v>15</v>
      </c>
      <c r="AMT3" s="9" t="s">
        <v>16</v>
      </c>
      <c r="AMU3" s="8" t="s">
        <v>17</v>
      </c>
      <c r="AMV3" s="8" t="s">
        <v>18</v>
      </c>
      <c r="AMX3" s="10" t="s">
        <v>14</v>
      </c>
      <c r="AMY3" s="12" t="s">
        <v>15</v>
      </c>
      <c r="AMZ3" s="9" t="s">
        <v>16</v>
      </c>
      <c r="ANA3" s="8" t="s">
        <v>17</v>
      </c>
      <c r="ANB3" s="8" t="s">
        <v>18</v>
      </c>
      <c r="AND3" s="10" t="s">
        <v>14</v>
      </c>
      <c r="ANE3" s="12" t="s">
        <v>15</v>
      </c>
      <c r="ANF3" s="9" t="s">
        <v>16</v>
      </c>
      <c r="ANG3" s="8" t="s">
        <v>17</v>
      </c>
      <c r="ANH3" s="8" t="s">
        <v>18</v>
      </c>
      <c r="ANJ3" s="10" t="s">
        <v>14</v>
      </c>
      <c r="ANK3" s="12" t="s">
        <v>15</v>
      </c>
      <c r="ANL3" s="9" t="s">
        <v>16</v>
      </c>
      <c r="ANM3" s="8" t="s">
        <v>17</v>
      </c>
      <c r="ANN3" s="8" t="s">
        <v>18</v>
      </c>
      <c r="ANP3" s="10" t="s">
        <v>14</v>
      </c>
      <c r="ANQ3" s="12" t="s">
        <v>15</v>
      </c>
      <c r="ANR3" s="9" t="s">
        <v>16</v>
      </c>
      <c r="ANS3" s="8" t="s">
        <v>17</v>
      </c>
      <c r="ANT3" s="8" t="s">
        <v>18</v>
      </c>
      <c r="ANV3" s="10" t="s">
        <v>14</v>
      </c>
      <c r="ANW3" s="12" t="s">
        <v>15</v>
      </c>
      <c r="ANX3" s="9" t="s">
        <v>16</v>
      </c>
      <c r="ANY3" s="8" t="s">
        <v>17</v>
      </c>
      <c r="ANZ3" s="8" t="s">
        <v>18</v>
      </c>
      <c r="AOB3" s="10" t="s">
        <v>14</v>
      </c>
      <c r="AOC3" s="12" t="s">
        <v>15</v>
      </c>
      <c r="AOD3" s="9" t="s">
        <v>16</v>
      </c>
      <c r="AOE3" s="8" t="s">
        <v>17</v>
      </c>
      <c r="AOF3" s="8" t="s">
        <v>18</v>
      </c>
      <c r="AOH3" s="10" t="s">
        <v>14</v>
      </c>
      <c r="AOI3" s="12" t="s">
        <v>15</v>
      </c>
      <c r="AOJ3" s="9" t="s">
        <v>16</v>
      </c>
      <c r="AOK3" s="8" t="s">
        <v>17</v>
      </c>
      <c r="AOL3" s="8" t="s">
        <v>18</v>
      </c>
      <c r="AON3" s="10" t="s">
        <v>14</v>
      </c>
      <c r="AOO3" s="12" t="s">
        <v>15</v>
      </c>
      <c r="AOP3" s="9" t="s">
        <v>16</v>
      </c>
      <c r="AOQ3" s="8" t="s">
        <v>17</v>
      </c>
      <c r="AOR3" s="8" t="s">
        <v>18</v>
      </c>
    </row>
    <row r="4" spans="1:1024 1026:1085" x14ac:dyDescent="0.25">
      <c r="A4" s="3" t="s">
        <v>19</v>
      </c>
      <c r="B4" s="3">
        <v>10640</v>
      </c>
      <c r="C4" s="5" t="s">
        <v>20</v>
      </c>
      <c r="D4" s="27">
        <v>84</v>
      </c>
      <c r="F4" s="16">
        <v>48</v>
      </c>
      <c r="G4" s="15"/>
      <c r="H4" s="11"/>
      <c r="I4" s="15"/>
      <c r="J4" s="15"/>
      <c r="L4" s="16">
        <v>31</v>
      </c>
      <c r="M4" s="15">
        <v>4</v>
      </c>
      <c r="N4" s="13">
        <f>(G4*12)+F4-L4</f>
        <v>17</v>
      </c>
      <c r="O4" s="15"/>
      <c r="P4" s="21">
        <f>(O4-N4)</f>
        <v>-17</v>
      </c>
      <c r="R4" s="16">
        <v>53</v>
      </c>
      <c r="S4" s="15"/>
      <c r="T4" s="13">
        <f>(M4*12)+L4-R4</f>
        <v>26</v>
      </c>
      <c r="U4" s="15">
        <v>25</v>
      </c>
      <c r="V4" s="21">
        <f>(U4-T4)</f>
        <v>-1</v>
      </c>
      <c r="X4" s="16">
        <v>16</v>
      </c>
      <c r="Y4" s="15">
        <v>3</v>
      </c>
      <c r="Z4" s="13">
        <f>(S4*12)+R4-X4</f>
        <v>37</v>
      </c>
      <c r="AA4" s="15">
        <v>37</v>
      </c>
      <c r="AB4" s="21">
        <f>(AA4-Z4)</f>
        <v>0</v>
      </c>
      <c r="AD4" s="16">
        <v>21</v>
      </c>
      <c r="AE4" s="15">
        <v>3</v>
      </c>
      <c r="AF4" s="13">
        <f>(Y4*12)+X4-AD4</f>
        <v>31</v>
      </c>
      <c r="AG4" s="15">
        <v>34</v>
      </c>
      <c r="AH4" s="21">
        <f>(AG4-AF4)</f>
        <v>3</v>
      </c>
      <c r="AJ4" s="16">
        <v>35</v>
      </c>
      <c r="AK4" s="15">
        <v>2</v>
      </c>
      <c r="AL4" s="13">
        <f>(AE4*12)+AD4-AJ4</f>
        <v>22</v>
      </c>
      <c r="AM4" s="15">
        <v>21</v>
      </c>
      <c r="AN4" s="21">
        <f>(AM4-AL4)</f>
        <v>-1</v>
      </c>
      <c r="AP4" s="16">
        <v>10</v>
      </c>
      <c r="AQ4" s="15">
        <v>6</v>
      </c>
      <c r="AR4" s="13">
        <f>(AK4*12)+AJ4-AP4</f>
        <v>49</v>
      </c>
      <c r="AS4" s="15">
        <v>48</v>
      </c>
      <c r="AT4" s="21">
        <f>(AS4-AR4)</f>
        <v>-1</v>
      </c>
      <c r="AV4" s="16">
        <v>47</v>
      </c>
      <c r="AW4" s="15">
        <v>1</v>
      </c>
      <c r="AX4" s="13">
        <f>(AQ4*12)+AP4-AV4</f>
        <v>35</v>
      </c>
      <c r="AY4" s="15">
        <v>34</v>
      </c>
      <c r="AZ4" s="21">
        <f>(AY4-AX4)</f>
        <v>-1</v>
      </c>
      <c r="BB4" s="16">
        <v>27</v>
      </c>
      <c r="BC4" s="15">
        <v>3</v>
      </c>
      <c r="BD4" s="13">
        <f>(AW4*12)+AV4-BB4</f>
        <v>32</v>
      </c>
      <c r="BE4" s="15">
        <v>33</v>
      </c>
      <c r="BF4" s="21">
        <f>(BE4-BD4)</f>
        <v>1</v>
      </c>
      <c r="BH4" s="16">
        <v>35</v>
      </c>
      <c r="BI4" s="15">
        <v>3</v>
      </c>
      <c r="BJ4" s="13">
        <f>(BC4*12)+BB4-BH4</f>
        <v>28</v>
      </c>
      <c r="BK4" s="15">
        <v>27</v>
      </c>
      <c r="BL4" s="21">
        <f>(BK4-BJ4)</f>
        <v>-1</v>
      </c>
      <c r="BN4" s="16">
        <v>50</v>
      </c>
      <c r="BO4" s="15">
        <v>1</v>
      </c>
      <c r="BP4" s="13">
        <f>(BI4*12)+BH4-BN4</f>
        <v>21</v>
      </c>
      <c r="BQ4" s="15">
        <v>21</v>
      </c>
      <c r="BR4" s="21">
        <f>(BQ4-BP4)</f>
        <v>0</v>
      </c>
      <c r="BT4" s="16">
        <v>33</v>
      </c>
      <c r="BU4" s="15">
        <v>2</v>
      </c>
      <c r="BV4" s="13">
        <f>(BO4*12)+BN4-BT4</f>
        <v>29</v>
      </c>
      <c r="BW4" s="15">
        <v>26</v>
      </c>
      <c r="BX4" s="21">
        <f>(BW4-BV4)</f>
        <v>-3</v>
      </c>
      <c r="BZ4" s="16">
        <v>30</v>
      </c>
      <c r="CA4" s="15">
        <v>2</v>
      </c>
      <c r="CB4" s="13">
        <f>(BU4*12)+BT4-BZ4</f>
        <v>27</v>
      </c>
      <c r="CC4" s="15">
        <v>27</v>
      </c>
      <c r="CD4" s="21">
        <f>(CC4-CB4)</f>
        <v>0</v>
      </c>
      <c r="CF4" s="16">
        <v>24</v>
      </c>
      <c r="CG4" s="15">
        <v>3</v>
      </c>
      <c r="CH4" s="13">
        <f>(CA4*12)+BZ4-CF4</f>
        <v>30</v>
      </c>
      <c r="CI4" s="5">
        <v>33</v>
      </c>
      <c r="CJ4" s="21">
        <f>(CI4-CH4)</f>
        <v>3</v>
      </c>
      <c r="CL4" s="16">
        <v>27</v>
      </c>
      <c r="CM4" s="15">
        <v>3</v>
      </c>
      <c r="CN4" s="13">
        <f>(CG4*12)+CF4-CL4</f>
        <v>33</v>
      </c>
      <c r="CO4" s="5">
        <v>31</v>
      </c>
      <c r="CP4" s="21">
        <f>(CO4-CN4)</f>
        <v>-2</v>
      </c>
      <c r="CR4" s="16">
        <v>31</v>
      </c>
      <c r="CS4" s="15">
        <v>3</v>
      </c>
      <c r="CT4" s="13">
        <f>(CM4*12)+CL4-CR4</f>
        <v>32</v>
      </c>
      <c r="CU4" s="5">
        <v>35</v>
      </c>
      <c r="CV4" s="21">
        <f>(CU4-CT4)</f>
        <v>3</v>
      </c>
      <c r="CX4" s="16">
        <v>25</v>
      </c>
      <c r="CY4" s="33">
        <v>4</v>
      </c>
      <c r="CZ4" s="39">
        <f>(CS4*12)+CR4-CX4</f>
        <v>42</v>
      </c>
      <c r="DA4" s="5"/>
      <c r="DB4" s="40">
        <f>(DA4-CZ4)</f>
        <v>-42</v>
      </c>
      <c r="DD4" s="16">
        <v>44</v>
      </c>
      <c r="DE4" s="33">
        <v>1</v>
      </c>
      <c r="DF4" s="39">
        <f>(CY4*12)+CX4-DD4</f>
        <v>29</v>
      </c>
      <c r="DG4" s="5"/>
      <c r="DH4" s="40">
        <f>(DG4-DF4)</f>
        <v>-29</v>
      </c>
      <c r="DJ4" s="16">
        <v>16</v>
      </c>
      <c r="DK4" s="33">
        <v>5</v>
      </c>
      <c r="DL4" s="39">
        <f>(DE4*12)+DD4-DJ4</f>
        <v>40</v>
      </c>
      <c r="DM4" s="5">
        <v>39</v>
      </c>
      <c r="DN4" s="40">
        <f>(DM4-DL4)</f>
        <v>-1</v>
      </c>
      <c r="DP4" s="16">
        <v>27</v>
      </c>
      <c r="DQ4" s="33">
        <v>4</v>
      </c>
      <c r="DR4" s="39">
        <f>(DK4*12)+DJ4-DP4</f>
        <v>49</v>
      </c>
      <c r="DS4" s="5">
        <v>43</v>
      </c>
      <c r="DT4" s="40">
        <f>(DS4-DR4)</f>
        <v>-6</v>
      </c>
      <c r="DV4" s="16">
        <v>32</v>
      </c>
      <c r="DW4" s="33">
        <v>3</v>
      </c>
      <c r="DX4" s="39">
        <f>(DQ4*12)+DP4-DV4</f>
        <v>43</v>
      </c>
      <c r="DY4" s="5">
        <v>43</v>
      </c>
      <c r="DZ4" s="40">
        <f>(DY4-DX4)</f>
        <v>0</v>
      </c>
      <c r="EB4" s="16">
        <v>35</v>
      </c>
      <c r="EC4" s="33">
        <v>2</v>
      </c>
      <c r="ED4" s="39">
        <f>(DW4*12)+DV4-EB4</f>
        <v>33</v>
      </c>
      <c r="EE4" s="5">
        <v>33</v>
      </c>
      <c r="EF4" s="40">
        <f>(EE4-ED4)</f>
        <v>0</v>
      </c>
      <c r="EH4" s="16">
        <v>17</v>
      </c>
      <c r="EI4" s="33">
        <v>4</v>
      </c>
      <c r="EJ4" s="39">
        <f>(EC4*12)+EB4-EH4</f>
        <v>42</v>
      </c>
      <c r="EK4" s="5">
        <v>41</v>
      </c>
      <c r="EL4" s="40">
        <f>(EK4-EJ4)</f>
        <v>-1</v>
      </c>
      <c r="EN4" s="16">
        <v>38</v>
      </c>
      <c r="EO4" s="33">
        <v>2</v>
      </c>
      <c r="EP4" s="39">
        <f>(EI4*12)+EH4-EN4</f>
        <v>27</v>
      </c>
      <c r="EQ4" s="5">
        <v>28</v>
      </c>
      <c r="ER4" s="40">
        <f>(EQ4-EP4)</f>
        <v>1</v>
      </c>
      <c r="ET4" s="16">
        <v>36</v>
      </c>
      <c r="EU4" s="33">
        <v>2</v>
      </c>
      <c r="EV4" s="39">
        <f>(EO4*12)+EN4-ET4</f>
        <v>26</v>
      </c>
      <c r="EW4" s="5">
        <v>23</v>
      </c>
      <c r="EX4" s="40">
        <f>(EW4-EV4)</f>
        <v>-3</v>
      </c>
      <c r="EZ4" s="16">
        <v>38</v>
      </c>
      <c r="FA4" s="33">
        <v>1</v>
      </c>
      <c r="FB4" s="39">
        <f>(EU4*12)+ET4-EZ4</f>
        <v>22</v>
      </c>
      <c r="FC4" s="5">
        <v>22</v>
      </c>
      <c r="FD4" s="40">
        <f>(FC4-FB4)</f>
        <v>0</v>
      </c>
      <c r="FF4" s="16">
        <v>10</v>
      </c>
      <c r="FG4" s="33">
        <v>4</v>
      </c>
      <c r="FH4" s="39">
        <f>(FA4*12)+EZ4-FF4</f>
        <v>40</v>
      </c>
      <c r="FI4" s="5">
        <v>38</v>
      </c>
      <c r="FJ4" s="40">
        <f>(FI4-FH4)</f>
        <v>-2</v>
      </c>
      <c r="FL4" s="16">
        <v>47</v>
      </c>
      <c r="FM4" s="33">
        <v>3</v>
      </c>
      <c r="FN4" s="39">
        <f>(FG4*12)+FF4-FL4</f>
        <v>11</v>
      </c>
      <c r="FO4" s="5">
        <v>11</v>
      </c>
      <c r="FP4" s="40">
        <f>(FO4-FN4)</f>
        <v>0</v>
      </c>
      <c r="FR4" s="16">
        <v>69</v>
      </c>
      <c r="FS4" s="33"/>
      <c r="FT4" s="39">
        <f>(FM4*12)+FL4-FR4</f>
        <v>14</v>
      </c>
      <c r="FU4" s="5"/>
      <c r="FV4" s="40">
        <f>(FU4-FT4)</f>
        <v>-14</v>
      </c>
      <c r="FX4" s="16">
        <v>47</v>
      </c>
      <c r="FY4" s="33">
        <v>2</v>
      </c>
      <c r="FZ4" s="39">
        <f>(FS4*12)+FR4-FX4</f>
        <v>22</v>
      </c>
      <c r="GA4" s="5">
        <v>24</v>
      </c>
      <c r="GB4" s="40">
        <f>(GA4-FZ4)</f>
        <v>2</v>
      </c>
      <c r="GD4" s="16">
        <v>39</v>
      </c>
      <c r="GE4" s="33">
        <v>2</v>
      </c>
      <c r="GF4" s="39">
        <f>(FY4*12)+FX4-GD4</f>
        <v>32</v>
      </c>
      <c r="GG4" s="5">
        <v>31</v>
      </c>
      <c r="GH4" s="40">
        <f>(GG4-GF4)</f>
        <v>-1</v>
      </c>
      <c r="GJ4" s="16">
        <v>50</v>
      </c>
      <c r="GK4" s="33">
        <v>1</v>
      </c>
      <c r="GL4" s="39">
        <f>(GE4*12)+GD4-GJ4</f>
        <v>13</v>
      </c>
      <c r="GM4" s="5">
        <v>12</v>
      </c>
      <c r="GN4" s="40">
        <f>(GM4-GL4)</f>
        <v>-1</v>
      </c>
      <c r="GP4" s="16">
        <v>33</v>
      </c>
      <c r="GQ4" s="33">
        <v>2</v>
      </c>
      <c r="GR4" s="39">
        <f>(GK4*12)+GJ4-GP4</f>
        <v>29</v>
      </c>
      <c r="GS4" s="5">
        <v>26</v>
      </c>
      <c r="GT4" s="40">
        <f>(GS4-GR4)</f>
        <v>-3</v>
      </c>
      <c r="GV4" s="16">
        <v>46</v>
      </c>
      <c r="GW4" s="33">
        <v>1</v>
      </c>
      <c r="GX4" s="39">
        <f>(GQ4*12)+GP4-GV4</f>
        <v>11</v>
      </c>
      <c r="GY4" s="5">
        <v>11</v>
      </c>
      <c r="GZ4" s="40">
        <f>(GY4-GX4)</f>
        <v>0</v>
      </c>
      <c r="HB4" s="16">
        <v>35</v>
      </c>
      <c r="HC4" s="33">
        <v>3</v>
      </c>
      <c r="HD4" s="39">
        <f>(GW4*12)+GV4-HB4</f>
        <v>23</v>
      </c>
      <c r="HE4" s="5">
        <v>20</v>
      </c>
      <c r="HF4" s="40">
        <f>(HE4-HD4)</f>
        <v>-3</v>
      </c>
      <c r="HH4" s="16">
        <v>50</v>
      </c>
      <c r="HI4" s="33"/>
      <c r="HJ4" s="39">
        <f>(HC4*12)+HB4-HH4</f>
        <v>21</v>
      </c>
      <c r="HK4" s="5">
        <v>21</v>
      </c>
      <c r="HL4" s="40">
        <f>(HK4-HJ4)</f>
        <v>0</v>
      </c>
      <c r="HN4" s="16">
        <v>26</v>
      </c>
      <c r="HO4" s="33">
        <v>3</v>
      </c>
      <c r="HP4" s="39">
        <f>(HI4*12)+HH4-HN4</f>
        <v>24</v>
      </c>
      <c r="HQ4" s="5">
        <v>24</v>
      </c>
      <c r="HR4" s="40">
        <f>(HQ4-HP4)</f>
        <v>0</v>
      </c>
      <c r="HT4" s="16">
        <v>34</v>
      </c>
      <c r="HU4" s="33">
        <v>3</v>
      </c>
      <c r="HV4" s="39">
        <f>(HO4*12)+HN4-HT4</f>
        <v>28</v>
      </c>
      <c r="HW4" s="5">
        <v>28</v>
      </c>
      <c r="HX4" s="40">
        <f>(HW4-HV4)</f>
        <v>0</v>
      </c>
      <c r="HZ4" s="16">
        <v>38</v>
      </c>
      <c r="IA4" s="33">
        <v>2</v>
      </c>
      <c r="IB4" s="39">
        <f>(HU4*12)+HT4-HZ4</f>
        <v>32</v>
      </c>
      <c r="IC4" s="5">
        <v>33</v>
      </c>
      <c r="ID4" s="40">
        <f>(IC4-IB4)</f>
        <v>1</v>
      </c>
      <c r="IF4" s="16">
        <v>24</v>
      </c>
      <c r="IG4" s="33">
        <v>3</v>
      </c>
      <c r="IH4" s="39">
        <f>(IA4*12)+HZ4-IF4</f>
        <v>38</v>
      </c>
      <c r="II4" s="5">
        <v>39</v>
      </c>
      <c r="IJ4" s="40">
        <f>(II4-IH4)</f>
        <v>1</v>
      </c>
      <c r="IL4" s="16">
        <v>42</v>
      </c>
      <c r="IM4" s="33">
        <v>3</v>
      </c>
      <c r="IN4" s="39">
        <f>(IG4*12)+IF4-IL4</f>
        <v>18</v>
      </c>
      <c r="IO4" s="5">
        <v>19</v>
      </c>
      <c r="IP4" s="40">
        <f>(IO4-IN4)</f>
        <v>1</v>
      </c>
      <c r="IR4" s="16">
        <v>52</v>
      </c>
      <c r="IS4" s="33">
        <v>3</v>
      </c>
      <c r="IT4" s="39">
        <f>(IM4*12)+IL4-IR4</f>
        <v>26</v>
      </c>
      <c r="IU4" s="5">
        <v>26</v>
      </c>
      <c r="IV4" s="40">
        <f>(IU4-IT4)</f>
        <v>0</v>
      </c>
      <c r="IX4" s="16">
        <v>66</v>
      </c>
      <c r="IY4" s="33">
        <v>2</v>
      </c>
      <c r="IZ4" s="39">
        <f>(IS4*12)+IR4-IX4</f>
        <v>22</v>
      </c>
      <c r="JA4" s="5">
        <v>21</v>
      </c>
      <c r="JB4" s="40">
        <f>(JA4-IZ4)</f>
        <v>-1</v>
      </c>
      <c r="JD4" s="16">
        <v>80</v>
      </c>
      <c r="JE4" s="33">
        <v>2</v>
      </c>
      <c r="JF4" s="39">
        <f>(IY4*12)+IX4-JD4</f>
        <v>10</v>
      </c>
      <c r="JG4" s="5">
        <v>13</v>
      </c>
      <c r="JH4" s="40">
        <f>(JG4-JF4)</f>
        <v>3</v>
      </c>
      <c r="JJ4" s="16">
        <v>82</v>
      </c>
      <c r="JK4" s="33"/>
      <c r="JL4" s="39">
        <f>(JE4*12)+JD4-JJ4</f>
        <v>22</v>
      </c>
      <c r="JM4" s="5">
        <v>22</v>
      </c>
      <c r="JN4" s="40">
        <f>(JM4-JL4)</f>
        <v>0</v>
      </c>
      <c r="JP4" s="16">
        <v>59</v>
      </c>
      <c r="JQ4" s="33">
        <v>3</v>
      </c>
      <c r="JR4" s="39">
        <f>(JK4*12)+JJ4-JP4</f>
        <v>23</v>
      </c>
      <c r="JS4" s="5">
        <v>24</v>
      </c>
      <c r="JT4" s="40">
        <f>(JS4-JR4)</f>
        <v>1</v>
      </c>
      <c r="JV4" s="16">
        <v>60</v>
      </c>
      <c r="JW4" s="33"/>
      <c r="JX4" s="39">
        <f>(JQ4*12)+JP4-JV4</f>
        <v>35</v>
      </c>
      <c r="JY4" s="5">
        <v>32</v>
      </c>
      <c r="JZ4" s="40">
        <f>(JY4-JX4)</f>
        <v>-3</v>
      </c>
      <c r="KB4" s="16">
        <v>9</v>
      </c>
      <c r="KC4" s="33"/>
      <c r="KD4" s="39">
        <f>(JW4*12)+JV4-KB4</f>
        <v>51</v>
      </c>
      <c r="KE4" s="5">
        <v>50</v>
      </c>
      <c r="KF4" s="40">
        <f>(KE4-KD4)</f>
        <v>-1</v>
      </c>
      <c r="KH4" s="16">
        <v>0</v>
      </c>
      <c r="KI4" s="33">
        <v>8</v>
      </c>
      <c r="KJ4" s="39">
        <f>(KC4*12)+KB4-KH4</f>
        <v>9</v>
      </c>
      <c r="KK4" s="5">
        <v>11</v>
      </c>
      <c r="KL4" s="40">
        <f>(KK4-KJ4)</f>
        <v>2</v>
      </c>
      <c r="KN4" s="16">
        <v>78</v>
      </c>
      <c r="KO4" s="33">
        <v>4</v>
      </c>
      <c r="KP4" s="39">
        <f>(KI4*12)+KH4-KN4</f>
        <v>18</v>
      </c>
      <c r="KQ4" s="5">
        <v>14</v>
      </c>
      <c r="KR4" s="40">
        <f>(KQ4-KP4)</f>
        <v>-4</v>
      </c>
      <c r="KT4" s="16">
        <v>67</v>
      </c>
      <c r="KU4" s="33"/>
      <c r="KV4" s="39">
        <f>(KO4*12)+KN4-KT4</f>
        <v>59</v>
      </c>
      <c r="KW4" s="5">
        <v>23</v>
      </c>
      <c r="KX4" s="40">
        <f>(KW4-KV4)</f>
        <v>-36</v>
      </c>
      <c r="KZ4" s="16">
        <v>44</v>
      </c>
      <c r="LA4" s="33">
        <v>3</v>
      </c>
      <c r="LB4" s="39">
        <f>(KU4*12)+KT4-KZ4</f>
        <v>23</v>
      </c>
      <c r="LC4" s="5">
        <v>21</v>
      </c>
      <c r="LD4" s="40">
        <f>(LC4-LB4)</f>
        <v>-2</v>
      </c>
      <c r="LF4" s="16">
        <v>43</v>
      </c>
      <c r="LG4" s="33"/>
      <c r="LH4" s="39">
        <f>(LA4*12)+KZ4-LF4</f>
        <v>37</v>
      </c>
      <c r="LI4" s="5"/>
      <c r="LJ4" s="40">
        <f>(LI4-LH4)</f>
        <v>-37</v>
      </c>
      <c r="LL4" s="16">
        <v>57</v>
      </c>
      <c r="LM4" s="33">
        <v>7</v>
      </c>
      <c r="LN4" s="39">
        <f>(LG4*12)+LF4-LL4</f>
        <v>-14</v>
      </c>
      <c r="LO4" s="5"/>
      <c r="LP4" s="40">
        <f>(LO4-LN4)</f>
        <v>14</v>
      </c>
      <c r="LR4" s="16">
        <v>78</v>
      </c>
      <c r="LS4" s="33"/>
      <c r="LT4" s="39">
        <f>(LM4*12)+LL4-LR4</f>
        <v>63</v>
      </c>
      <c r="LU4" s="5">
        <v>30</v>
      </c>
      <c r="LV4" s="40">
        <f>(LU4-LT4)</f>
        <v>-33</v>
      </c>
      <c r="LX4" s="16">
        <v>98</v>
      </c>
      <c r="LY4" s="33">
        <v>1</v>
      </c>
      <c r="LZ4" s="39">
        <f>(LS4*12)+LR4-LX4</f>
        <v>-20</v>
      </c>
      <c r="MA4" s="5">
        <v>21</v>
      </c>
      <c r="MB4" s="40">
        <f>(MA4-LZ4)</f>
        <v>41</v>
      </c>
      <c r="MD4" s="16">
        <v>66</v>
      </c>
      <c r="ME4" s="33"/>
      <c r="MF4" s="39">
        <f>(LY4*12)+LX4-MD4</f>
        <v>44</v>
      </c>
      <c r="MG4" s="5"/>
      <c r="MH4" s="40">
        <f>(MG4-MF4)</f>
        <v>-44</v>
      </c>
      <c r="MJ4" s="16">
        <v>21</v>
      </c>
      <c r="MK4" s="33">
        <v>8</v>
      </c>
      <c r="ML4" s="39">
        <f>(ME4*12)+MD4-MJ4</f>
        <v>45</v>
      </c>
      <c r="MM4" s="5"/>
      <c r="MN4" s="40">
        <f>(MM4-ML4)</f>
        <v>-45</v>
      </c>
      <c r="MP4" s="16">
        <v>68</v>
      </c>
      <c r="MQ4" s="33">
        <v>4</v>
      </c>
      <c r="MR4" s="39">
        <f>(MK4*12)+MJ4-MP4</f>
        <v>49</v>
      </c>
      <c r="MS4" s="5"/>
      <c r="MT4" s="40">
        <f>(MS4-MR4)</f>
        <v>-49</v>
      </c>
      <c r="MV4" s="16">
        <v>82</v>
      </c>
      <c r="MW4" s="33">
        <v>1</v>
      </c>
      <c r="MX4" s="39">
        <f>(MQ4*12)+MP4-MV4</f>
        <v>34</v>
      </c>
      <c r="MY4" s="5"/>
      <c r="MZ4" s="40">
        <f>(MY4-MX4)</f>
        <v>-34</v>
      </c>
      <c r="NB4" s="16">
        <v>63</v>
      </c>
      <c r="NC4" s="33">
        <v>6</v>
      </c>
      <c r="ND4" s="39">
        <f>(MW4*12)+MV4-NB4</f>
        <v>31</v>
      </c>
      <c r="NE4" s="5"/>
      <c r="NF4" s="40">
        <f>(NE4-ND4)</f>
        <v>-31</v>
      </c>
      <c r="NH4" s="16">
        <v>104</v>
      </c>
      <c r="NI4" s="33"/>
      <c r="NJ4" s="39">
        <f>(NC4*12)+NB4-NH4</f>
        <v>31</v>
      </c>
      <c r="NK4" s="5"/>
      <c r="NL4" s="40">
        <f>(NK4-NJ4)</f>
        <v>-31</v>
      </c>
      <c r="NN4" s="16">
        <v>48</v>
      </c>
      <c r="NO4" s="33"/>
      <c r="NP4" s="39">
        <f>(NI4*12)+NH4-NN4</f>
        <v>56</v>
      </c>
      <c r="NQ4" s="5"/>
      <c r="NR4" s="40">
        <f>(NQ4-NP4)</f>
        <v>-56</v>
      </c>
      <c r="NT4" s="16">
        <v>48</v>
      </c>
      <c r="NU4" s="33">
        <v>4</v>
      </c>
      <c r="NV4" s="39">
        <f>(NO4*12)+NN4-NT4</f>
        <v>0</v>
      </c>
      <c r="NW4" s="5"/>
      <c r="NX4" s="40">
        <f>(NW4-NV4)</f>
        <v>0</v>
      </c>
      <c r="NZ4" s="16">
        <v>68</v>
      </c>
      <c r="OA4" s="33"/>
      <c r="OB4" s="39">
        <f>(NU4*12)+NT4-NZ4</f>
        <v>28</v>
      </c>
      <c r="OC4" s="5"/>
      <c r="OD4" s="40">
        <f>(OC4-OB4)</f>
        <v>-28</v>
      </c>
      <c r="OF4" s="16">
        <v>48</v>
      </c>
      <c r="OG4" s="33">
        <v>6</v>
      </c>
      <c r="OH4" s="39">
        <f>(OA4*12)+NZ4-OF4</f>
        <v>20</v>
      </c>
      <c r="OI4" s="5"/>
      <c r="OJ4" s="40">
        <f>(OI4-OH4)</f>
        <v>-20</v>
      </c>
      <c r="OL4" s="16">
        <v>87</v>
      </c>
      <c r="OM4" s="33"/>
      <c r="ON4" s="39">
        <f>(OG4*12)+OF4-OL4</f>
        <v>33</v>
      </c>
      <c r="OO4" s="5"/>
      <c r="OP4" s="40">
        <f>(OO4-ON4)</f>
        <v>-33</v>
      </c>
      <c r="OR4" s="16">
        <v>49</v>
      </c>
      <c r="OS4" s="33">
        <v>4</v>
      </c>
      <c r="OT4" s="39">
        <f>(OM4*12)+OL4-OR4</f>
        <v>38</v>
      </c>
      <c r="OU4" s="5"/>
      <c r="OV4" s="40">
        <f>(OU4-OT4)</f>
        <v>-38</v>
      </c>
      <c r="OX4" s="16">
        <v>18</v>
      </c>
      <c r="OY4" s="33">
        <v>8</v>
      </c>
      <c r="OZ4" s="39">
        <f>(OS4*12)+OR4-OX4</f>
        <v>79</v>
      </c>
      <c r="PA4" s="5"/>
      <c r="PB4" s="40">
        <f>(PA4-OZ4)</f>
        <v>-79</v>
      </c>
      <c r="PD4" s="16">
        <v>7</v>
      </c>
      <c r="PE4" s="33">
        <v>10</v>
      </c>
      <c r="PF4" s="39">
        <f>(OY4*12)+OX4-PD4</f>
        <v>107</v>
      </c>
      <c r="PG4" s="5"/>
      <c r="PH4" s="40">
        <f>(PG4-PF4)</f>
        <v>-107</v>
      </c>
      <c r="PJ4" s="16">
        <v>119</v>
      </c>
      <c r="PK4" s="33"/>
      <c r="PL4" s="39">
        <f>(PE4*12)+PD4-PJ4</f>
        <v>8</v>
      </c>
      <c r="PM4" s="5"/>
      <c r="PN4" s="40">
        <f>(PM4-PL4)</f>
        <v>-8</v>
      </c>
      <c r="PP4" s="16">
        <v>90</v>
      </c>
      <c r="PQ4" s="33"/>
      <c r="PR4" s="39">
        <f>(PK4*12)+PJ4-PP4</f>
        <v>29</v>
      </c>
      <c r="PS4" s="5"/>
      <c r="PT4" s="40">
        <f>(PS4-PR4)</f>
        <v>-29</v>
      </c>
      <c r="PV4" s="16">
        <v>42</v>
      </c>
      <c r="PW4" s="33">
        <v>6</v>
      </c>
      <c r="PX4" s="39">
        <f>(PQ4*12)+PP4-PV4</f>
        <v>48</v>
      </c>
      <c r="PY4" s="5"/>
      <c r="PZ4" s="40">
        <f>(PY4-PX4)</f>
        <v>-48</v>
      </c>
      <c r="QB4" s="16">
        <v>9</v>
      </c>
      <c r="QC4" s="33">
        <v>1</v>
      </c>
      <c r="QD4" s="39">
        <f>(PW4*12)+PV4-QB4</f>
        <v>105</v>
      </c>
      <c r="QE4" s="5"/>
      <c r="QF4" s="40">
        <f>(QE4-QD4)</f>
        <v>-105</v>
      </c>
      <c r="QH4" s="16">
        <v>50</v>
      </c>
      <c r="QI4" s="33">
        <v>4</v>
      </c>
      <c r="QJ4" s="39">
        <f>(QC4*12)+QB4-QH4</f>
        <v>-29</v>
      </c>
      <c r="QK4" s="5"/>
      <c r="QL4" s="40">
        <f>(QK4-QJ4)</f>
        <v>29</v>
      </c>
      <c r="QN4" s="16">
        <v>63</v>
      </c>
      <c r="QO4" s="33">
        <v>3</v>
      </c>
      <c r="QP4" s="39">
        <f>(QI4*12)+QH4-QN4</f>
        <v>35</v>
      </c>
      <c r="QQ4" s="5"/>
      <c r="QR4" s="40">
        <f>(QQ4-QP4)</f>
        <v>-35</v>
      </c>
      <c r="QT4" s="16">
        <v>25</v>
      </c>
      <c r="QU4" s="33">
        <v>8</v>
      </c>
      <c r="QV4" s="39">
        <f>(QO4*12)+QN4-QT4</f>
        <v>74</v>
      </c>
      <c r="QW4" s="5"/>
      <c r="QX4" s="40">
        <f>(QW4-QV4)</f>
        <v>-74</v>
      </c>
      <c r="QZ4" s="16">
        <v>96</v>
      </c>
      <c r="RA4" s="33">
        <v>1</v>
      </c>
      <c r="RB4" s="39">
        <f>(QU4*12)+QT4-QZ4</f>
        <v>25</v>
      </c>
      <c r="RC4" s="5"/>
      <c r="RD4" s="40">
        <f>(RC4-RB4)</f>
        <v>-25</v>
      </c>
      <c r="RF4" s="16">
        <v>68</v>
      </c>
      <c r="RG4" s="33">
        <v>2</v>
      </c>
      <c r="RH4" s="39">
        <f>(RA4*12)+QZ4-RF4</f>
        <v>40</v>
      </c>
      <c r="RI4" s="5"/>
      <c r="RJ4" s="40">
        <f>(RI4-RH4)</f>
        <v>-40</v>
      </c>
      <c r="RL4" s="16">
        <v>89</v>
      </c>
      <c r="RM4" s="33">
        <v>1</v>
      </c>
      <c r="RN4" s="39">
        <f>(RG4*12)+RF4-RL4</f>
        <v>3</v>
      </c>
      <c r="RO4" s="5"/>
      <c r="RP4" s="40">
        <f>(RO4-RN4)</f>
        <v>-3</v>
      </c>
      <c r="RR4" s="16">
        <v>87</v>
      </c>
      <c r="RS4" s="33"/>
      <c r="RT4" s="39">
        <f>(RM4*12)+RL4-RR4</f>
        <v>14</v>
      </c>
      <c r="RU4" s="5"/>
      <c r="RV4" s="40">
        <f>(RU4-RT4)</f>
        <v>-14</v>
      </c>
      <c r="RX4" s="16">
        <v>62</v>
      </c>
      <c r="RY4" s="33"/>
      <c r="RZ4" s="39">
        <f>(RS4*12)+RR4-RX4</f>
        <v>25</v>
      </c>
      <c r="SA4" s="5"/>
      <c r="SB4" s="40">
        <f>(SA4-RZ4)</f>
        <v>-25</v>
      </c>
      <c r="SD4" s="16">
        <v>16</v>
      </c>
      <c r="SE4" s="33">
        <v>6</v>
      </c>
      <c r="SF4" s="39">
        <f>(RY4*12)+RX4-SD4</f>
        <v>46</v>
      </c>
      <c r="SG4" s="5"/>
      <c r="SH4" s="40">
        <f>(SG4-SF4)</f>
        <v>-46</v>
      </c>
      <c r="SJ4" s="16">
        <v>58</v>
      </c>
      <c r="SK4" s="33">
        <v>3</v>
      </c>
      <c r="SL4" s="39">
        <f>(SE4*12)+SD4-SJ4</f>
        <v>30</v>
      </c>
      <c r="SM4" s="5"/>
      <c r="SN4" s="40">
        <f>(SM4-SL4)</f>
        <v>-30</v>
      </c>
      <c r="SP4" s="16">
        <v>45</v>
      </c>
      <c r="SQ4" s="33">
        <v>3</v>
      </c>
      <c r="SR4" s="39">
        <f>(SK4*12)+SJ4-SP4</f>
        <v>49</v>
      </c>
      <c r="SS4" s="5"/>
      <c r="ST4" s="40">
        <f>(SS4-SR4)</f>
        <v>-49</v>
      </c>
      <c r="SV4" s="16">
        <v>23</v>
      </c>
      <c r="SW4" s="33">
        <v>4</v>
      </c>
      <c r="SX4" s="39">
        <f>(SQ4*12)+SP4-SV4</f>
        <v>58</v>
      </c>
      <c r="SY4" s="5"/>
      <c r="SZ4" s="40">
        <f>(SY4-SX4)</f>
        <v>-58</v>
      </c>
      <c r="TB4" s="16">
        <v>23</v>
      </c>
      <c r="TC4" s="33"/>
      <c r="TD4" s="39">
        <f>(SW4*12)+SV4-TB4</f>
        <v>48</v>
      </c>
      <c r="TE4" s="5"/>
      <c r="TF4" s="40">
        <f>(TE4-TD4)</f>
        <v>-48</v>
      </c>
      <c r="TH4" s="16">
        <v>42</v>
      </c>
      <c r="TI4" s="38"/>
      <c r="TJ4" s="39">
        <f>(TC4*12)+TB4-TH4</f>
        <v>-19</v>
      </c>
      <c r="TK4" s="5"/>
      <c r="TL4" s="40">
        <f>(TK4-TJ4)</f>
        <v>19</v>
      </c>
      <c r="TN4" s="16">
        <v>36</v>
      </c>
      <c r="TO4" s="38"/>
      <c r="TP4" s="39">
        <f>(TI4*12)+TH4-TN4</f>
        <v>6</v>
      </c>
      <c r="TQ4" s="5"/>
      <c r="TR4" s="40">
        <f>(TQ4-TP4)</f>
        <v>-6</v>
      </c>
      <c r="TT4" s="16">
        <v>64</v>
      </c>
      <c r="TU4" s="38"/>
      <c r="TV4" s="39">
        <f>(TO4*12)+TN4-TT4</f>
        <v>-28</v>
      </c>
      <c r="TW4" s="5"/>
      <c r="TX4" s="40">
        <f>(TW4-TV4)</f>
        <v>28</v>
      </c>
      <c r="TZ4" s="16">
        <v>31</v>
      </c>
      <c r="UA4" s="38"/>
      <c r="UB4" s="39">
        <f>(TU4*12)+TT4-TZ4</f>
        <v>33</v>
      </c>
      <c r="UC4" s="5"/>
      <c r="UD4" s="40">
        <f>(UC4-UB4)</f>
        <v>-33</v>
      </c>
      <c r="UF4" s="16">
        <v>9</v>
      </c>
      <c r="UG4" s="38">
        <v>1</v>
      </c>
      <c r="UH4" s="39">
        <f>(UA4*12)+TZ4-UF4</f>
        <v>22</v>
      </c>
      <c r="UI4" s="5"/>
      <c r="UJ4" s="40">
        <f>(UI4-UH4)</f>
        <v>-22</v>
      </c>
      <c r="UL4" s="16">
        <v>60</v>
      </c>
      <c r="UM4" s="38"/>
      <c r="UN4" s="39">
        <f>(UG4*12)+UF4-UL4</f>
        <v>-39</v>
      </c>
      <c r="UO4" s="5"/>
      <c r="UP4" s="40">
        <f>(UO4-UN4)</f>
        <v>39</v>
      </c>
      <c r="UR4" s="16">
        <v>38</v>
      </c>
      <c r="US4" s="38"/>
      <c r="UT4" s="39">
        <f>(UM4*12)+UL4-UR4</f>
        <v>22</v>
      </c>
      <c r="UU4" s="5"/>
      <c r="UV4" s="40">
        <f>(UU4-UT4)</f>
        <v>-22</v>
      </c>
      <c r="UX4" s="16">
        <v>78</v>
      </c>
      <c r="UY4" s="38"/>
      <c r="UZ4" s="39">
        <f>(US4*12)+UR4-UX4</f>
        <v>-40</v>
      </c>
      <c r="VA4" s="5"/>
      <c r="VB4" s="40">
        <f>(VA4-UZ4)</f>
        <v>40</v>
      </c>
      <c r="VD4" s="16">
        <v>180</v>
      </c>
      <c r="VE4" s="38"/>
      <c r="VF4" s="39">
        <f>(UY4*12)+UX4-VD4</f>
        <v>-102</v>
      </c>
      <c r="VG4" s="5"/>
      <c r="VH4" s="40">
        <f>(VG4-VF4)</f>
        <v>102</v>
      </c>
      <c r="VJ4" s="16">
        <v>156</v>
      </c>
      <c r="VK4" s="38"/>
      <c r="VL4" s="39">
        <f>(VE4*12)+VD4-VJ4</f>
        <v>24</v>
      </c>
      <c r="VM4" s="5"/>
      <c r="VN4" s="40">
        <f>(VM4-VL4)</f>
        <v>-24</v>
      </c>
      <c r="VP4" s="16">
        <v>148</v>
      </c>
      <c r="VQ4" s="38"/>
      <c r="VR4" s="39">
        <f>(VK4*12)+VJ4-VP4</f>
        <v>8</v>
      </c>
      <c r="VS4" s="5"/>
      <c r="VT4" s="40">
        <f>(VS4-VR4)</f>
        <v>-8</v>
      </c>
      <c r="VV4" s="16">
        <v>119</v>
      </c>
      <c r="VW4" s="38"/>
      <c r="VX4" s="39">
        <f>(VQ4*12)+VP4-VV4</f>
        <v>29</v>
      </c>
      <c r="VY4" s="5"/>
      <c r="VZ4" s="40">
        <f>(VY4-VX4)</f>
        <v>-29</v>
      </c>
      <c r="WB4" s="16">
        <v>71</v>
      </c>
      <c r="WC4" s="38"/>
      <c r="WD4" s="39">
        <f>(VW4*12)+VV4-WB4</f>
        <v>48</v>
      </c>
      <c r="WE4" s="5"/>
      <c r="WF4" s="40">
        <f>SUM(WD4-WE4)</f>
        <v>48</v>
      </c>
      <c r="WH4" s="16">
        <v>74</v>
      </c>
      <c r="WI4" s="38"/>
      <c r="WJ4" s="39">
        <f>(WC4*12)+WB4-WH4</f>
        <v>-3</v>
      </c>
      <c r="WK4" s="5"/>
      <c r="WL4" s="40">
        <f>(WK4-WJ4)</f>
        <v>3</v>
      </c>
      <c r="WN4" s="16">
        <v>75</v>
      </c>
      <c r="WO4" s="38"/>
      <c r="WP4" s="39">
        <f>(WI4*12)+WH4-WN4</f>
        <v>-1</v>
      </c>
      <c r="WQ4" s="5"/>
      <c r="WR4" s="40">
        <f>(WQ4-WP4)</f>
        <v>1</v>
      </c>
      <c r="WT4" s="16">
        <v>51</v>
      </c>
      <c r="WU4" s="38">
        <v>5</v>
      </c>
      <c r="WV4" s="39">
        <f>(WO4*12)+WN4-WT4</f>
        <v>24</v>
      </c>
      <c r="WW4" s="5"/>
      <c r="WX4" s="40">
        <f>(WV4-WW4)</f>
        <v>24</v>
      </c>
      <c r="WZ4" s="16">
        <v>93</v>
      </c>
      <c r="XA4" s="38"/>
      <c r="XB4" s="39">
        <f>(WU4*12)+WT4-WZ4</f>
        <v>18</v>
      </c>
      <c r="XC4" s="5"/>
      <c r="XD4" s="40">
        <f>(XB4-XC4)</f>
        <v>18</v>
      </c>
      <c r="XF4" s="16">
        <v>72</v>
      </c>
      <c r="XG4" s="38"/>
      <c r="XH4" s="39">
        <f>(XA4*12)+WZ4-XF4</f>
        <v>21</v>
      </c>
      <c r="XI4" s="5"/>
      <c r="XJ4" s="40">
        <f>(XH4-XI4)</f>
        <v>21</v>
      </c>
      <c r="XL4" s="16">
        <v>35</v>
      </c>
      <c r="XM4" s="38"/>
      <c r="XN4" s="39">
        <f>(XG4*12)+XF4-XL4</f>
        <v>37</v>
      </c>
      <c r="XO4" s="5"/>
      <c r="XP4" s="40">
        <f>(XN4-XO4)</f>
        <v>37</v>
      </c>
      <c r="XR4" s="16">
        <v>157</v>
      </c>
      <c r="XS4" s="38"/>
      <c r="XT4" s="39">
        <f>(XM4*12)+XL4-XR4</f>
        <v>-122</v>
      </c>
      <c r="XU4" s="5"/>
      <c r="XV4" s="40">
        <f>(XT4-XU4)</f>
        <v>-122</v>
      </c>
      <c r="XX4" s="16">
        <v>152</v>
      </c>
      <c r="XY4" s="38"/>
      <c r="XZ4" s="39">
        <f>(XS4*12)+XR4-XX4</f>
        <v>5</v>
      </c>
      <c r="YA4" s="5"/>
      <c r="YB4" s="40">
        <f>(XZ4-YA4)</f>
        <v>5</v>
      </c>
      <c r="YD4" s="16">
        <v>86</v>
      </c>
      <c r="YE4" s="38"/>
      <c r="YF4" s="39">
        <f>(XY4*12)+XX4-YD4</f>
        <v>66</v>
      </c>
      <c r="YG4" s="5"/>
      <c r="YH4" s="40">
        <f>(YF4-YG4)</f>
        <v>66</v>
      </c>
      <c r="YJ4" s="16">
        <v>50</v>
      </c>
      <c r="YK4" s="38"/>
      <c r="YL4" s="39">
        <f>(YE4*12)+YD4-YJ4</f>
        <v>36</v>
      </c>
      <c r="YM4" s="5"/>
      <c r="YN4" s="40">
        <f>(YL4-YM4)</f>
        <v>36</v>
      </c>
      <c r="YP4" s="16">
        <v>64</v>
      </c>
      <c r="YQ4" s="38"/>
      <c r="YR4" s="39">
        <f>(YK4*12)+YJ4-YP4</f>
        <v>-14</v>
      </c>
      <c r="YS4" s="5"/>
      <c r="YT4" s="40">
        <f>(YR4-YS4)</f>
        <v>-14</v>
      </c>
      <c r="YV4" s="16">
        <v>30</v>
      </c>
      <c r="YW4" s="38"/>
      <c r="YX4" s="39">
        <f>(YQ4*12)+YP4-YV4</f>
        <v>34</v>
      </c>
      <c r="YY4" s="5"/>
      <c r="YZ4" s="40">
        <f>(YX4-YY4)</f>
        <v>34</v>
      </c>
      <c r="ZB4" s="16">
        <v>46</v>
      </c>
      <c r="ZC4" s="38"/>
      <c r="ZD4" s="39">
        <f>(YW4*12)+YV4-ZB4</f>
        <v>-16</v>
      </c>
      <c r="ZE4" s="5"/>
      <c r="ZF4" s="40">
        <f>(ZD4-ZE4)</f>
        <v>-16</v>
      </c>
      <c r="ZH4" s="16">
        <v>24</v>
      </c>
      <c r="ZI4" s="38"/>
      <c r="ZJ4" s="39">
        <f>(ZC4*12)+ZB4-ZH4</f>
        <v>22</v>
      </c>
      <c r="ZK4" s="5"/>
      <c r="ZL4" s="40">
        <f>(ZJ4-ZK4)</f>
        <v>22</v>
      </c>
      <c r="ZN4" s="16">
        <v>19</v>
      </c>
      <c r="ZO4" s="38"/>
      <c r="ZP4" s="39">
        <f>(ZI4*12)+ZH4-ZN4</f>
        <v>5</v>
      </c>
      <c r="ZQ4" s="5"/>
      <c r="ZR4" s="40">
        <f>(ZP4-ZQ4)</f>
        <v>5</v>
      </c>
      <c r="ZT4" s="16">
        <v>49</v>
      </c>
      <c r="ZU4" s="38"/>
      <c r="ZV4" s="39">
        <f>(ZO4*12)+ZN4-ZT4</f>
        <v>-30</v>
      </c>
      <c r="ZW4" s="5"/>
      <c r="ZX4" s="40">
        <f>(ZV4-ZW4)</f>
        <v>-30</v>
      </c>
      <c r="ZZ4" s="16">
        <v>22</v>
      </c>
      <c r="AAA4" s="38"/>
      <c r="AAB4" s="39">
        <f>(ZU4*12)+ZT4-ZZ4</f>
        <v>27</v>
      </c>
      <c r="AAC4" s="5"/>
      <c r="AAD4" s="40">
        <f>(AAB4-AAC4)</f>
        <v>27</v>
      </c>
      <c r="AAF4" s="16">
        <v>51</v>
      </c>
      <c r="AAG4" s="38"/>
      <c r="AAH4" s="39">
        <f>(AAA4*12)+ZZ4-AAF4</f>
        <v>-29</v>
      </c>
      <c r="AAI4" s="5"/>
      <c r="AAJ4" s="40">
        <f>(AAH4-AAI4)</f>
        <v>-29</v>
      </c>
      <c r="AAL4" s="16">
        <v>15</v>
      </c>
      <c r="AAM4" s="38"/>
      <c r="AAN4" s="39">
        <f>(AAG4*12)+AAF4-AAL4</f>
        <v>36</v>
      </c>
      <c r="AAO4" s="5"/>
      <c r="AAP4" s="40">
        <f>(AAN4-AAO4)</f>
        <v>36</v>
      </c>
      <c r="AAR4" s="16">
        <v>0</v>
      </c>
      <c r="AAS4" s="38"/>
      <c r="AAT4" s="39">
        <f>(AAM4*12)+AAL4-AAR4</f>
        <v>15</v>
      </c>
      <c r="AAU4" s="5"/>
      <c r="AAV4" s="40">
        <f>(AAT4-AAU4)</f>
        <v>15</v>
      </c>
      <c r="AAX4" s="16">
        <v>23</v>
      </c>
      <c r="AAY4" s="38"/>
      <c r="AAZ4" s="39">
        <f>(AAS4*12)+AAR4-AAX4</f>
        <v>-23</v>
      </c>
      <c r="ABA4" s="5"/>
      <c r="ABB4" s="40">
        <f>(AAZ4-ABA4)</f>
        <v>-23</v>
      </c>
      <c r="ABD4" s="16">
        <v>38</v>
      </c>
      <c r="ABE4" s="38"/>
      <c r="ABF4" s="39">
        <f>(AAY4*12)+AAX4-ABD4</f>
        <v>-15</v>
      </c>
      <c r="ABG4" s="5"/>
      <c r="ABH4" s="40">
        <f>(ABF4-ABG4)</f>
        <v>-15</v>
      </c>
      <c r="ABJ4" s="16">
        <v>49</v>
      </c>
      <c r="ABK4" s="38"/>
      <c r="ABL4" s="39">
        <f>(ABE4*12)+ABD4-ABJ4</f>
        <v>-11</v>
      </c>
      <c r="ABM4" s="5"/>
      <c r="ABN4" s="40">
        <f>(ABL4-ABM4)</f>
        <v>-11</v>
      </c>
      <c r="ABP4" s="16">
        <v>16</v>
      </c>
      <c r="ABQ4" s="38"/>
      <c r="ABR4" s="39">
        <f>(ABK4*12)+ABJ4-ABP4</f>
        <v>33</v>
      </c>
      <c r="ABS4" s="5"/>
      <c r="ABT4" s="40">
        <f>(ABR4-ABS4)</f>
        <v>33</v>
      </c>
      <c r="ABV4" s="16">
        <v>50</v>
      </c>
      <c r="ABW4" s="38"/>
      <c r="ABX4" s="39">
        <f>(ABQ4*12)+ABP4-ABV4</f>
        <v>-34</v>
      </c>
      <c r="ABY4" s="5"/>
      <c r="ABZ4" s="40">
        <f>(ABX4-ABY4)</f>
        <v>-34</v>
      </c>
      <c r="ACB4" s="16">
        <v>25</v>
      </c>
      <c r="ACC4" s="38"/>
      <c r="ACD4" s="39">
        <f>(ABW4*12)+ABV4-ACB4</f>
        <v>25</v>
      </c>
      <c r="ACE4" s="5"/>
      <c r="ACF4" s="40">
        <f>(ACD4-ACE4)</f>
        <v>25</v>
      </c>
      <c r="ACH4" s="16">
        <v>43</v>
      </c>
      <c r="ACI4" s="38"/>
      <c r="ACJ4" s="39">
        <f>(ACC4*12)+ACB4-ACH4</f>
        <v>-18</v>
      </c>
      <c r="ACK4" s="5"/>
      <c r="ACL4" s="40">
        <f>(ACJ4-ACK4)</f>
        <v>-18</v>
      </c>
      <c r="ACN4" s="16">
        <v>47</v>
      </c>
      <c r="ACO4" s="38"/>
      <c r="ACP4" s="39">
        <f>(ACI4*12)+ACH4-ACN4</f>
        <v>-4</v>
      </c>
      <c r="ACQ4" s="5"/>
      <c r="ACR4" s="40">
        <f>(ACP4-ACQ4)</f>
        <v>-4</v>
      </c>
      <c r="ACT4" s="16">
        <v>50</v>
      </c>
      <c r="ACU4" s="38"/>
      <c r="ACV4" s="39">
        <f>(ACO4*12)+ACN4-ACT4</f>
        <v>-3</v>
      </c>
      <c r="ACW4" s="5"/>
      <c r="ACX4" s="40">
        <f>(ACV4-ACW4)</f>
        <v>-3</v>
      </c>
      <c r="ACZ4" s="16">
        <v>39</v>
      </c>
      <c r="ADA4" s="38"/>
      <c r="ADB4" s="39">
        <f>(ACU4*12)+ACT4-ACZ4</f>
        <v>11</v>
      </c>
      <c r="ADC4" s="5"/>
      <c r="ADD4" s="40">
        <f>(ADB4-ADC4)</f>
        <v>11</v>
      </c>
      <c r="ADF4" s="16">
        <v>14</v>
      </c>
      <c r="ADG4" s="38"/>
      <c r="ADH4" s="39">
        <f>(ADA4*12)+ACZ4-ADF4</f>
        <v>25</v>
      </c>
      <c r="ADI4" s="5"/>
      <c r="ADJ4" s="40">
        <f>(ADH4-ADI4)</f>
        <v>25</v>
      </c>
      <c r="ADL4" s="16">
        <v>30</v>
      </c>
      <c r="ADM4" s="38"/>
      <c r="ADN4" s="39">
        <f>(ADG4*12)+ADF4-ADL4</f>
        <v>-16</v>
      </c>
      <c r="ADO4" s="5"/>
      <c r="ADP4" s="40">
        <f>(ADN4-ADO4)</f>
        <v>-16</v>
      </c>
      <c r="ADR4" s="16">
        <v>26</v>
      </c>
      <c r="ADS4" s="38"/>
      <c r="ADT4" s="39">
        <f>(ADM4*12)+ADL4-ADR4</f>
        <v>4</v>
      </c>
      <c r="ADU4" s="5"/>
      <c r="ADV4" s="40">
        <f>(ADT4-ADU4)</f>
        <v>4</v>
      </c>
      <c r="ADX4" s="16">
        <v>34</v>
      </c>
      <c r="ADY4" s="38"/>
      <c r="ADZ4" s="39">
        <f>(ADS4*12)+ADR4-ADX4</f>
        <v>-8</v>
      </c>
      <c r="AEA4" s="5"/>
      <c r="AEB4" s="40">
        <f>(ADZ4-AEA4)</f>
        <v>-8</v>
      </c>
      <c r="AED4" s="16">
        <v>64</v>
      </c>
      <c r="AEE4" s="38"/>
      <c r="AEF4" s="39">
        <f>(ADY4*12)+ADX4-AED4</f>
        <v>-30</v>
      </c>
      <c r="AEG4" s="5"/>
      <c r="AEH4" s="40">
        <f>(AEF4-AEG4)</f>
        <v>-30</v>
      </c>
      <c r="AEJ4" s="16">
        <v>48</v>
      </c>
      <c r="AEK4" s="38"/>
      <c r="AEL4" s="39">
        <f>(AEE4*12)+AED4-AEJ4</f>
        <v>16</v>
      </c>
      <c r="AEM4" s="5"/>
      <c r="AEN4" s="40">
        <f>(AEL4-AEM4)</f>
        <v>16</v>
      </c>
      <c r="AEP4" s="16">
        <v>53</v>
      </c>
      <c r="AEQ4" s="38"/>
      <c r="AER4" s="39">
        <f>(AEK4*12)+AEJ4-AEP4</f>
        <v>-5</v>
      </c>
      <c r="AES4" s="5"/>
      <c r="AET4" s="40">
        <f>(AER4-AES4)</f>
        <v>-5</v>
      </c>
      <c r="AEV4" s="16">
        <v>35</v>
      </c>
      <c r="AEW4" s="38"/>
      <c r="AEX4" s="39">
        <f>(AEQ4*12)+AEP4-AEV4</f>
        <v>18</v>
      </c>
      <c r="AEY4" s="5"/>
      <c r="AEZ4" s="40">
        <f>(AEX4-AEY4)</f>
        <v>18</v>
      </c>
      <c r="AFB4" s="16">
        <v>50</v>
      </c>
      <c r="AFC4" s="38"/>
      <c r="AFD4" s="39">
        <f>(AEW4*12)+AEV4-AFB4</f>
        <v>-15</v>
      </c>
      <c r="AFE4" s="5"/>
      <c r="AFF4" s="40">
        <f>(AFD4-AFE4)</f>
        <v>-15</v>
      </c>
      <c r="AFH4" s="16">
        <v>35</v>
      </c>
      <c r="AFI4" s="38"/>
      <c r="AFJ4" s="39">
        <f>(AFC4*12)+AFB4-AFH4</f>
        <v>15</v>
      </c>
      <c r="AFK4" s="5"/>
      <c r="AFL4" s="40">
        <f>(AFJ4-AFK4)</f>
        <v>15</v>
      </c>
      <c r="AFN4" s="16">
        <v>36</v>
      </c>
      <c r="AFO4" s="38"/>
      <c r="AFP4" s="39">
        <f>(AFI4*12)+AFH4-AFN4</f>
        <v>-1</v>
      </c>
      <c r="AFQ4" s="5"/>
      <c r="AFR4" s="40">
        <f>(AFP4-AFQ4)</f>
        <v>-1</v>
      </c>
      <c r="AFT4" s="16">
        <v>23</v>
      </c>
      <c r="AFU4" s="38"/>
      <c r="AFV4" s="39">
        <f>(AFO4*12)+AFN4-AFT4</f>
        <v>13</v>
      </c>
      <c r="AFW4" s="5"/>
      <c r="AFX4" s="40">
        <f>(AFV4-AFW4)</f>
        <v>13</v>
      </c>
      <c r="AFZ4" s="16">
        <v>54</v>
      </c>
      <c r="AGA4" s="38"/>
      <c r="AGB4" s="39">
        <f>(AFU4*12)+AFT4-AFZ4</f>
        <v>-31</v>
      </c>
      <c r="AGC4" s="5"/>
      <c r="AGD4" s="40">
        <f>(AGB4-AGC4)</f>
        <v>-31</v>
      </c>
      <c r="AGF4" s="16">
        <v>37</v>
      </c>
      <c r="AGG4" s="38"/>
      <c r="AGH4" s="39">
        <f>(AGA4*12)+AFZ4-AGF4</f>
        <v>17</v>
      </c>
      <c r="AGI4" s="5"/>
      <c r="AGJ4" s="40">
        <f>(AGH4-AGI4)</f>
        <v>17</v>
      </c>
      <c r="AGL4" s="16">
        <v>20</v>
      </c>
      <c r="AGM4" s="38"/>
      <c r="AGN4" s="39">
        <f>(AGG4*12)+AGF4-AGL4</f>
        <v>17</v>
      </c>
      <c r="AGO4" s="5"/>
      <c r="AGP4" s="40">
        <f>(AGN4-AGO4)</f>
        <v>17</v>
      </c>
      <c r="AGR4" s="16">
        <v>56</v>
      </c>
      <c r="AGS4" s="38"/>
      <c r="AGT4" s="39">
        <f>(AGM4*12)+AGL4-AGR4</f>
        <v>-36</v>
      </c>
      <c r="AGU4" s="5"/>
      <c r="AGV4" s="40">
        <f>(AGT4-AGU4)</f>
        <v>-36</v>
      </c>
      <c r="AGX4" s="16">
        <v>22</v>
      </c>
      <c r="AGY4" s="38"/>
      <c r="AGZ4" s="39">
        <f>(AGS4*12)+AGR4-AGX4</f>
        <v>34</v>
      </c>
      <c r="AHA4" s="5"/>
      <c r="AHB4" s="40">
        <f>(AGZ4-AHA4)</f>
        <v>34</v>
      </c>
      <c r="AHD4" s="16">
        <v>24</v>
      </c>
      <c r="AHE4" s="38"/>
      <c r="AHF4" s="39">
        <f>(AGY4*12)+AGX4-AHD4</f>
        <v>-2</v>
      </c>
      <c r="AHG4" s="5"/>
      <c r="AHH4" s="40">
        <f>(AHF4-AHG4)</f>
        <v>-2</v>
      </c>
      <c r="AHJ4" s="16">
        <v>36</v>
      </c>
      <c r="AHK4" s="38"/>
      <c r="AHL4" s="39">
        <f>(AHE4*12)+AHD4-AHJ4</f>
        <v>-12</v>
      </c>
      <c r="AHM4" s="5"/>
      <c r="AHN4" s="40">
        <f>(AHL4-AHM4)</f>
        <v>-12</v>
      </c>
      <c r="AHP4" s="16">
        <v>24</v>
      </c>
      <c r="AHQ4" s="38"/>
      <c r="AHR4" s="39">
        <f>(AHK4*12)+AHJ4-AHP4</f>
        <v>12</v>
      </c>
      <c r="AHS4" s="5"/>
      <c r="AHT4" s="40">
        <f>(AHR4-AHS4)</f>
        <v>12</v>
      </c>
      <c r="AHV4" s="16">
        <v>0</v>
      </c>
      <c r="AHW4" s="38"/>
      <c r="AHX4" s="39">
        <f>(AHQ4*12)+AHP4-AHV4</f>
        <v>24</v>
      </c>
      <c r="AHY4" s="5"/>
      <c r="AHZ4" s="40">
        <f>(AHX4-AHY4)</f>
        <v>24</v>
      </c>
      <c r="AIB4" s="16">
        <v>47</v>
      </c>
      <c r="AIC4" s="38"/>
      <c r="AID4" s="39">
        <f>(AHW4*12)+AHV4-AIB4</f>
        <v>-47</v>
      </c>
      <c r="AIE4" s="5"/>
      <c r="AIF4" s="40">
        <f>(AID4-AIE4)</f>
        <v>-47</v>
      </c>
      <c r="AIH4" s="16">
        <v>37</v>
      </c>
      <c r="AII4" s="38"/>
      <c r="AIJ4" s="39">
        <f>(AIC4*12)+AIB4-AIH4</f>
        <v>10</v>
      </c>
      <c r="AIK4" s="5"/>
      <c r="AIL4" s="40">
        <f>(AIJ4-AIK4)</f>
        <v>10</v>
      </c>
      <c r="AIN4" s="16">
        <v>37</v>
      </c>
      <c r="AIO4" s="38"/>
      <c r="AIP4" s="39">
        <f>(AII4*12)+AIH4-AIN4</f>
        <v>0</v>
      </c>
      <c r="AIQ4" s="5"/>
      <c r="AIR4" s="40">
        <f>(AIP4-AIQ4)</f>
        <v>0</v>
      </c>
      <c r="AIT4" s="16">
        <v>22</v>
      </c>
      <c r="AIU4" s="38"/>
      <c r="AIV4" s="39">
        <f>(AIO4*12)+AIN4-AIT4</f>
        <v>15</v>
      </c>
      <c r="AIW4" s="5"/>
      <c r="AIX4" s="40">
        <f>(AIV4-AIW4)</f>
        <v>15</v>
      </c>
      <c r="AIZ4" s="16">
        <v>45</v>
      </c>
      <c r="AJA4" s="38"/>
      <c r="AJB4" s="39">
        <f>(AIU4*12)+AIT4-AIZ4</f>
        <v>-23</v>
      </c>
      <c r="AJC4" s="5"/>
      <c r="AJD4" s="40">
        <f>(AJB4-AJC4)</f>
        <v>-23</v>
      </c>
      <c r="AJF4" s="16">
        <v>58</v>
      </c>
      <c r="AJG4" s="38"/>
      <c r="AJH4" s="39">
        <f>(AJA4*12)+AIZ4-AJF4</f>
        <v>-13</v>
      </c>
      <c r="AJI4" s="5"/>
      <c r="AJJ4" s="40">
        <f>(AJH4-AJI4)</f>
        <v>-13</v>
      </c>
      <c r="AJL4" s="16">
        <v>39</v>
      </c>
      <c r="AJM4" s="38"/>
      <c r="AJN4" s="39">
        <f>(AJG4*12)+AJF4-AJL4</f>
        <v>19</v>
      </c>
      <c r="AJO4" s="5"/>
      <c r="AJP4" s="40">
        <f>(AJN4-AJO4)</f>
        <v>19</v>
      </c>
      <c r="AJR4" s="16">
        <v>29</v>
      </c>
      <c r="AJS4" s="38"/>
      <c r="AJT4" s="39">
        <f>(AJM4*12)+AJL4-AJR4</f>
        <v>10</v>
      </c>
      <c r="AJU4" s="5"/>
      <c r="AJV4" s="40">
        <f>(AJT4-AJU4)</f>
        <v>10</v>
      </c>
      <c r="AJX4" s="16">
        <v>16</v>
      </c>
      <c r="AJY4" s="38"/>
      <c r="AJZ4" s="39">
        <f>(AJS4*12)+AJR4-AJX4</f>
        <v>13</v>
      </c>
      <c r="AKA4" s="5"/>
      <c r="AKB4" s="40">
        <f>(AJZ4-AKA4)</f>
        <v>13</v>
      </c>
      <c r="AKD4" s="16">
        <v>60</v>
      </c>
      <c r="AKE4" s="38"/>
      <c r="AKF4" s="39">
        <f>(AJY4*12)+AJX4-AKD4</f>
        <v>-44</v>
      </c>
      <c r="AKG4" s="5"/>
      <c r="AKH4" s="40">
        <f>(AKF4-AKG4)</f>
        <v>-44</v>
      </c>
      <c r="AKJ4" s="16">
        <v>48</v>
      </c>
      <c r="AKK4" s="38"/>
      <c r="AKL4" s="39">
        <f>(AKE4*12)+AKD4-AKJ4</f>
        <v>12</v>
      </c>
      <c r="AKM4" s="5"/>
      <c r="AKN4" s="40">
        <f>(AKL4-AKM4)</f>
        <v>12</v>
      </c>
      <c r="AKP4" s="16">
        <v>36</v>
      </c>
      <c r="AKQ4" s="38"/>
      <c r="AKR4" s="39">
        <f>(AKK4*12)+AKJ4-AKP4</f>
        <v>12</v>
      </c>
      <c r="AKS4" s="5"/>
      <c r="AKT4" s="40">
        <f>(AKR4-AKS4)</f>
        <v>12</v>
      </c>
      <c r="AKV4" s="16">
        <v>41</v>
      </c>
      <c r="AKW4" s="38"/>
      <c r="AKX4" s="39">
        <f>(AKQ4*12)+AKP4-AKV4</f>
        <v>-5</v>
      </c>
      <c r="AKY4" s="5"/>
      <c r="AKZ4" s="40">
        <f>(AKX4-AKY4)</f>
        <v>-5</v>
      </c>
      <c r="ALB4" s="16">
        <v>27</v>
      </c>
      <c r="ALC4" s="38"/>
      <c r="ALD4" s="39">
        <f>(AKW4*12)+AKV4-ALB4</f>
        <v>14</v>
      </c>
      <c r="ALE4" s="5"/>
      <c r="ALF4" s="40">
        <f>(ALD4-ALE4)</f>
        <v>14</v>
      </c>
      <c r="ALH4" s="16">
        <v>27</v>
      </c>
      <c r="ALI4" s="38"/>
      <c r="ALJ4" s="39">
        <f>(ALC4*12)+ALB4-ALH4</f>
        <v>0</v>
      </c>
      <c r="ALK4" s="5"/>
      <c r="ALL4" s="40">
        <f>(ALJ4-ALK4)</f>
        <v>0</v>
      </c>
      <c r="ALN4" s="16">
        <v>9</v>
      </c>
      <c r="ALO4" s="38"/>
      <c r="ALP4" s="39">
        <f>(ALI4*12)+ALH4-ALN4</f>
        <v>18</v>
      </c>
      <c r="ALQ4" s="5"/>
      <c r="ALR4" s="40">
        <f>(ALP4-ALQ4)</f>
        <v>18</v>
      </c>
      <c r="ALT4" s="16">
        <v>0</v>
      </c>
      <c r="ALU4" s="38"/>
      <c r="ALV4" s="39">
        <f>(ALO4*12)+ALN4-ALT4</f>
        <v>9</v>
      </c>
      <c r="ALW4" s="5"/>
      <c r="ALX4" s="40">
        <f>(ALV4-ALW4)</f>
        <v>9</v>
      </c>
      <c r="ALZ4" s="16">
        <v>23</v>
      </c>
      <c r="AMA4" s="38"/>
      <c r="AMB4" s="39">
        <f>(ALU4*12)+ALT4-ALZ4</f>
        <v>-23</v>
      </c>
      <c r="AMC4" s="5"/>
      <c r="AMD4" s="40">
        <f>(AMB4-AMC4)</f>
        <v>-23</v>
      </c>
      <c r="AMF4" s="16">
        <v>14</v>
      </c>
      <c r="AMG4" s="38"/>
      <c r="AMH4" s="39">
        <f>(AMA4*12)+ALZ4-AMF4</f>
        <v>9</v>
      </c>
      <c r="AMI4" s="5"/>
      <c r="AMJ4" s="40">
        <f>(AMH4-AMI4)</f>
        <v>9</v>
      </c>
      <c r="AML4" s="16">
        <v>10</v>
      </c>
      <c r="AMM4" s="38"/>
      <c r="AMN4" s="39">
        <f>(AMG4*12)+AMF4-AML4</f>
        <v>4</v>
      </c>
      <c r="AMO4" s="5"/>
      <c r="AMP4" s="40">
        <f>(AMN4-AMO4)</f>
        <v>4</v>
      </c>
      <c r="AMR4" s="16">
        <v>61</v>
      </c>
      <c r="AMS4" s="38"/>
      <c r="AMT4" s="39">
        <f>(AMM4*12)+AML4-AMR4</f>
        <v>-51</v>
      </c>
      <c r="AMU4" s="5"/>
      <c r="AMV4" s="40">
        <f>(AMT4-AMU4)</f>
        <v>-51</v>
      </c>
      <c r="AMX4" s="16">
        <v>31</v>
      </c>
      <c r="AMY4" s="38"/>
      <c r="AMZ4" s="39">
        <f>(AMS4*12)+AMR4-AMX4</f>
        <v>30</v>
      </c>
      <c r="ANA4" s="5"/>
      <c r="ANB4" s="40">
        <f>(AMZ4-ANA4)</f>
        <v>30</v>
      </c>
      <c r="AND4" s="16">
        <v>53</v>
      </c>
      <c r="ANE4" s="38"/>
      <c r="ANF4" s="39">
        <f>(AMY4*12)+AMX4-AND4</f>
        <v>-22</v>
      </c>
      <c r="ANG4" s="5"/>
      <c r="ANH4" s="40">
        <f>(ANF4-ANG4)</f>
        <v>-22</v>
      </c>
      <c r="ANJ4" s="16">
        <v>32</v>
      </c>
      <c r="ANK4" s="38"/>
      <c r="ANL4" s="39">
        <f>(ANE4*12)+AND4-ANJ4</f>
        <v>21</v>
      </c>
      <c r="ANM4" s="5"/>
      <c r="ANN4" s="40">
        <f>(ANL4-ANM4)</f>
        <v>21</v>
      </c>
      <c r="ANP4" s="16">
        <v>46</v>
      </c>
      <c r="ANQ4" s="38"/>
      <c r="ANR4" s="39">
        <f>(ANK4*12)+ANJ4-ANP4</f>
        <v>-14</v>
      </c>
      <c r="ANS4" s="5"/>
      <c r="ANT4" s="40">
        <f>(ANR4-ANS4)</f>
        <v>-14</v>
      </c>
      <c r="ANV4" s="16">
        <v>21</v>
      </c>
      <c r="ANW4" s="38"/>
      <c r="ANX4" s="39">
        <f>(ANQ4*12)+ANP4-ANV4</f>
        <v>25</v>
      </c>
      <c r="ANY4" s="5"/>
      <c r="ANZ4" s="40">
        <f>(ANX4-ANY4)</f>
        <v>25</v>
      </c>
      <c r="AOB4" s="16">
        <v>41</v>
      </c>
      <c r="AOC4" s="38">
        <v>0</v>
      </c>
      <c r="AOD4" s="39">
        <f>(ANW4*12)+ANV4-AOB4</f>
        <v>-20</v>
      </c>
      <c r="AOE4" s="5"/>
      <c r="AOF4" s="40">
        <f>(AOD4-AOE4)</f>
        <v>-20</v>
      </c>
      <c r="AOH4" s="16">
        <v>13</v>
      </c>
      <c r="AOI4" s="38">
        <v>48</v>
      </c>
      <c r="AOJ4" s="39">
        <f>(AOC4*12)+AOB4-AOH4</f>
        <v>28</v>
      </c>
      <c r="AOK4" s="5"/>
      <c r="AOL4" s="40">
        <f>(AOJ4-AOK4)</f>
        <v>28</v>
      </c>
      <c r="AON4" s="16">
        <v>0</v>
      </c>
      <c r="AOO4" s="38"/>
      <c r="AOP4" s="39">
        <f>(AOI4*12)+AOH4-AON4</f>
        <v>589</v>
      </c>
      <c r="AOQ4" s="5"/>
      <c r="AOR4" s="40">
        <f>(AOP4-AOQ4)</f>
        <v>589</v>
      </c>
    </row>
    <row r="5" spans="1:1024 1026:1085" x14ac:dyDescent="0.25">
      <c r="A5" s="3" t="s">
        <v>21</v>
      </c>
      <c r="B5" s="3">
        <v>10650</v>
      </c>
      <c r="C5" s="5" t="s">
        <v>20</v>
      </c>
      <c r="D5" s="27">
        <v>84</v>
      </c>
      <c r="F5" s="16">
        <v>48</v>
      </c>
      <c r="G5" s="15"/>
      <c r="H5" s="11"/>
      <c r="I5" s="15"/>
      <c r="J5" s="15"/>
      <c r="L5" s="16">
        <v>25</v>
      </c>
      <c r="M5" s="15">
        <v>3</v>
      </c>
      <c r="N5" s="13">
        <f t="shared" ref="N5:N7" si="0">(G5*12)+F5-L5</f>
        <v>23</v>
      </c>
      <c r="O5" s="15"/>
      <c r="P5" s="21">
        <f t="shared" ref="P5:P7" si="1">(O5-N5)</f>
        <v>-23</v>
      </c>
      <c r="R5" s="16">
        <v>25</v>
      </c>
      <c r="S5" s="15">
        <v>2</v>
      </c>
      <c r="T5" s="13">
        <f t="shared" ref="T5:T7" si="2">(M5*12)+L5-R5</f>
        <v>36</v>
      </c>
      <c r="U5" s="15">
        <v>38</v>
      </c>
      <c r="V5" s="21">
        <f t="shared" ref="V5:V7" si="3">(U5-T5)</f>
        <v>2</v>
      </c>
      <c r="X5" s="16">
        <v>10</v>
      </c>
      <c r="Y5" s="15">
        <v>3</v>
      </c>
      <c r="Z5" s="13">
        <f t="shared" ref="Z5:Z7" si="4">(S5*12)+R5-X5</f>
        <v>39</v>
      </c>
      <c r="AA5" s="15">
        <v>39</v>
      </c>
      <c r="AB5" s="21">
        <f t="shared" ref="AB5:AB7" si="5">(AA5-Z5)</f>
        <v>0</v>
      </c>
      <c r="AD5" s="16">
        <v>18</v>
      </c>
      <c r="AE5" s="15">
        <v>2</v>
      </c>
      <c r="AF5" s="13">
        <f t="shared" ref="AF5:AF7" si="6">(Y5*12)+X5-AD5</f>
        <v>28</v>
      </c>
      <c r="AG5" s="15">
        <v>28</v>
      </c>
      <c r="AH5" s="21">
        <f t="shared" ref="AH5:AH7" si="7">(AG5-AF5)</f>
        <v>0</v>
      </c>
      <c r="AJ5" s="16">
        <v>11</v>
      </c>
      <c r="AK5" s="15">
        <v>2</v>
      </c>
      <c r="AL5" s="13">
        <f t="shared" ref="AL5:AL7" si="8">(AE5*12)+AD5-AJ5</f>
        <v>31</v>
      </c>
      <c r="AM5" s="15">
        <v>31</v>
      </c>
      <c r="AN5" s="21">
        <f t="shared" ref="AN5:AN7" si="9">(AM5-AL5)</f>
        <v>0</v>
      </c>
      <c r="AP5" s="16">
        <v>8</v>
      </c>
      <c r="AQ5" s="15">
        <v>3</v>
      </c>
      <c r="AR5" s="13">
        <f t="shared" ref="AR5:AR7" si="10">(AK5*12)+AJ5-AP5</f>
        <v>27</v>
      </c>
      <c r="AS5" s="15">
        <v>28</v>
      </c>
      <c r="AT5" s="21">
        <f t="shared" ref="AT5:AT7" si="11">(AS5-AR5)</f>
        <v>1</v>
      </c>
      <c r="AV5" s="16">
        <v>18</v>
      </c>
      <c r="AW5" s="15">
        <v>3</v>
      </c>
      <c r="AX5" s="13">
        <f t="shared" ref="AX5:AX7" si="12">(AQ5*12)+AP5-AV5</f>
        <v>26</v>
      </c>
      <c r="AY5" s="15">
        <v>26</v>
      </c>
      <c r="AZ5" s="21">
        <f t="shared" ref="AZ5:AZ7" si="13">(AY5-AX5)</f>
        <v>0</v>
      </c>
      <c r="BB5" s="16">
        <v>35</v>
      </c>
      <c r="BC5" s="15">
        <v>1</v>
      </c>
      <c r="BD5" s="13">
        <f t="shared" ref="BD5:BD7" si="14">(AW5*12)+AV5-BB5</f>
        <v>19</v>
      </c>
      <c r="BE5" s="15">
        <v>18</v>
      </c>
      <c r="BF5" s="21">
        <f t="shared" ref="BF5:BF7" si="15">(BE5-BD5)</f>
        <v>-1</v>
      </c>
      <c r="BH5" s="16">
        <v>32</v>
      </c>
      <c r="BI5" s="15">
        <v>1</v>
      </c>
      <c r="BJ5" s="13">
        <f t="shared" ref="BJ5:BJ7" si="16">(BC5*12)+BB5-BH5</f>
        <v>15</v>
      </c>
      <c r="BK5" s="15">
        <v>14</v>
      </c>
      <c r="BL5" s="21">
        <f t="shared" ref="BL5:BL7" si="17">(BK5-BJ5)</f>
        <v>-1</v>
      </c>
      <c r="BN5" s="16">
        <v>17</v>
      </c>
      <c r="BO5" s="15">
        <v>3</v>
      </c>
      <c r="BP5" s="13">
        <f t="shared" ref="BP5:BP7" si="18">(BI5*12)+BH5-BN5</f>
        <v>27</v>
      </c>
      <c r="BQ5" s="15">
        <v>27</v>
      </c>
      <c r="BR5" s="21">
        <f t="shared" ref="BR5:BR7" si="19">(BQ5-BP5)</f>
        <v>0</v>
      </c>
      <c r="BT5" s="16">
        <v>38</v>
      </c>
      <c r="BU5" s="15">
        <v>1</v>
      </c>
      <c r="BV5" s="13">
        <f t="shared" ref="BV5:BV7" si="20">(BO5*12)+BN5-BT5</f>
        <v>15</v>
      </c>
      <c r="BW5" s="15">
        <v>16</v>
      </c>
      <c r="BX5" s="21">
        <f t="shared" ref="BX5:BX7" si="21">(BW5-BV5)</f>
        <v>1</v>
      </c>
      <c r="BZ5" s="16">
        <v>24</v>
      </c>
      <c r="CA5" s="15">
        <v>2</v>
      </c>
      <c r="CB5" s="13">
        <f t="shared" ref="CB5:CB7" si="22">(BU5*12)+BT5-BZ5</f>
        <v>26</v>
      </c>
      <c r="CC5" s="15">
        <v>25</v>
      </c>
      <c r="CD5" s="21">
        <f t="shared" ref="CD5:CD7" si="23">(CC5-CB5)</f>
        <v>-1</v>
      </c>
      <c r="CF5" s="16">
        <v>27</v>
      </c>
      <c r="CG5" s="15">
        <v>2</v>
      </c>
      <c r="CH5" s="13">
        <f t="shared" ref="CH5:CH7" si="24">(CA5*12)+BZ5-CF5</f>
        <v>21</v>
      </c>
      <c r="CI5" s="5">
        <v>21</v>
      </c>
      <c r="CJ5" s="21">
        <f t="shared" ref="CJ5:CJ7" si="25">(CI5-CH5)</f>
        <v>0</v>
      </c>
      <c r="CL5" s="16">
        <v>23</v>
      </c>
      <c r="CM5" s="15">
        <v>2</v>
      </c>
      <c r="CN5" s="13">
        <f t="shared" ref="CN5:CN7" si="26">(CG5*12)+CF5-CL5</f>
        <v>28</v>
      </c>
      <c r="CO5" s="5">
        <v>29</v>
      </c>
      <c r="CP5" s="21">
        <f t="shared" ref="CP5:CP7" si="27">(CO5-CN5)</f>
        <v>1</v>
      </c>
      <c r="CR5" s="16">
        <v>16</v>
      </c>
      <c r="CS5" s="15">
        <v>2</v>
      </c>
      <c r="CT5" s="13">
        <f t="shared" ref="CT5:CT7" si="28">(CM5*12)+CL5-CR5</f>
        <v>31</v>
      </c>
      <c r="CU5" s="5">
        <v>31</v>
      </c>
      <c r="CV5" s="21">
        <f t="shared" ref="CV5:CV7" si="29">(CU5-CT5)</f>
        <v>0</v>
      </c>
      <c r="CX5" s="16">
        <v>17</v>
      </c>
      <c r="CY5" s="33">
        <v>3</v>
      </c>
      <c r="CZ5" s="39">
        <f t="shared" ref="CZ5:CZ7" si="30">(CS5*12)+CR5-CX5</f>
        <v>23</v>
      </c>
      <c r="DA5" s="5"/>
      <c r="DB5" s="40">
        <f t="shared" ref="DB5:DB7" si="31">(DA5-CZ5)</f>
        <v>-23</v>
      </c>
      <c r="DD5" s="16">
        <v>25</v>
      </c>
      <c r="DE5" s="33">
        <v>2</v>
      </c>
      <c r="DF5" s="39">
        <f t="shared" ref="DF5:DF7" si="32">(CY5*12)+CX5-DD5</f>
        <v>28</v>
      </c>
      <c r="DG5" s="5"/>
      <c r="DH5" s="40">
        <f t="shared" ref="DH5:DH7" si="33">(DG5-DF5)</f>
        <v>-28</v>
      </c>
      <c r="DJ5" s="16">
        <v>26</v>
      </c>
      <c r="DK5" s="33">
        <v>2</v>
      </c>
      <c r="DL5" s="39">
        <f t="shared" ref="DL5:DL7" si="34">(DE5*12)+DD5-DJ5</f>
        <v>23</v>
      </c>
      <c r="DM5" s="5">
        <v>23</v>
      </c>
      <c r="DN5" s="40">
        <f t="shared" ref="DN5:DN7" si="35">(DM5-DL5)</f>
        <v>0</v>
      </c>
      <c r="DP5" s="16">
        <v>13</v>
      </c>
      <c r="DQ5" s="33">
        <v>4</v>
      </c>
      <c r="DR5" s="39">
        <f t="shared" ref="DR5:DR7" si="36">(DK5*12)+DJ5-DP5</f>
        <v>37</v>
      </c>
      <c r="DS5" s="5">
        <v>35</v>
      </c>
      <c r="DT5" s="40">
        <f t="shared" ref="DT5:DT7" si="37">(DS5-DR5)</f>
        <v>-2</v>
      </c>
      <c r="DV5" s="16">
        <v>42</v>
      </c>
      <c r="DW5" s="33">
        <v>1</v>
      </c>
      <c r="DX5" s="39">
        <f t="shared" ref="DX5:DX7" si="38">(DQ5*12)+DP5-DV5</f>
        <v>19</v>
      </c>
      <c r="DY5" s="5">
        <v>18</v>
      </c>
      <c r="DZ5" s="40">
        <f t="shared" ref="DZ5:DZ7" si="39">(DY5-DX5)</f>
        <v>-1</v>
      </c>
      <c r="EB5" s="16">
        <v>38</v>
      </c>
      <c r="EC5" s="33">
        <v>1</v>
      </c>
      <c r="ED5" s="39">
        <f t="shared" ref="ED5:ED7" si="40">(DW5*12)+DV5-EB5</f>
        <v>16</v>
      </c>
      <c r="EE5" s="5">
        <v>15</v>
      </c>
      <c r="EF5" s="40">
        <f t="shared" ref="EF5:EF7" si="41">(EE5-ED5)</f>
        <v>-1</v>
      </c>
      <c r="EH5" s="16">
        <v>29</v>
      </c>
      <c r="EI5" s="33">
        <v>2</v>
      </c>
      <c r="EJ5" s="39">
        <f t="shared" ref="EJ5:EJ7" si="42">(EC5*12)+EB5-EH5</f>
        <v>21</v>
      </c>
      <c r="EK5" s="5">
        <v>29</v>
      </c>
      <c r="EL5" s="40">
        <f t="shared" ref="EL5:EL7" si="43">(EK5-EJ5)</f>
        <v>8</v>
      </c>
      <c r="EN5" s="16">
        <v>30</v>
      </c>
      <c r="EO5" s="33">
        <v>1</v>
      </c>
      <c r="EP5" s="39">
        <f t="shared" ref="EP5:EP7" si="44">(EI5*12)+EH5-EN5</f>
        <v>23</v>
      </c>
      <c r="EQ5" s="5">
        <v>19</v>
      </c>
      <c r="ER5" s="40">
        <f t="shared" ref="ER5:ER7" si="45">(EQ5-EP5)</f>
        <v>-4</v>
      </c>
      <c r="ET5" s="16">
        <v>17</v>
      </c>
      <c r="EU5" s="33">
        <v>2</v>
      </c>
      <c r="EV5" s="39">
        <f t="shared" ref="EV5:EV7" si="46">(EO5*12)+EN5-ET5</f>
        <v>25</v>
      </c>
      <c r="EW5" s="5">
        <v>20</v>
      </c>
      <c r="EX5" s="40">
        <f t="shared" ref="EX5:EX7" si="47">(EW5-EV5)</f>
        <v>-5</v>
      </c>
      <c r="EZ5" s="16">
        <v>34</v>
      </c>
      <c r="FA5" s="33">
        <v>1</v>
      </c>
      <c r="FB5" s="39">
        <f t="shared" ref="FB5:FB7" si="48">(EU5*12)+ET5-EZ5</f>
        <v>7</v>
      </c>
      <c r="FC5" s="5">
        <v>9</v>
      </c>
      <c r="FD5" s="40">
        <f t="shared" ref="FD5:FD7" si="49">(FC5-FB5)</f>
        <v>2</v>
      </c>
      <c r="FF5" s="16">
        <v>21</v>
      </c>
      <c r="FG5" s="33">
        <v>2</v>
      </c>
      <c r="FH5" s="39">
        <f>(FA5*12)+EZ5-FF5</f>
        <v>25</v>
      </c>
      <c r="FI5" s="5">
        <v>25</v>
      </c>
      <c r="FJ5" s="40">
        <f t="shared" ref="FJ5:FJ7" si="50">(FI5-FH5)</f>
        <v>0</v>
      </c>
      <c r="FL5" s="16">
        <v>36</v>
      </c>
      <c r="FM5" s="33">
        <v>2</v>
      </c>
      <c r="FN5" s="39">
        <f>(FG5*12)+FF5-FL5</f>
        <v>9</v>
      </c>
      <c r="FO5" s="5">
        <v>9</v>
      </c>
      <c r="FP5" s="40">
        <f t="shared" ref="FP5:FP7" si="51">(FO5-FN5)</f>
        <v>0</v>
      </c>
      <c r="FR5" s="16">
        <v>40</v>
      </c>
      <c r="FS5" s="33"/>
      <c r="FT5" s="39">
        <f>(FM5*12)+FL5-FR5</f>
        <v>20</v>
      </c>
      <c r="FU5" s="5"/>
      <c r="FV5" s="40">
        <f t="shared" ref="FV5:FV7" si="52">(FU5-FT5)</f>
        <v>-20</v>
      </c>
      <c r="FX5" s="16">
        <v>17</v>
      </c>
      <c r="FY5" s="33">
        <v>3</v>
      </c>
      <c r="FZ5" s="39">
        <f>(FS5*12)+FR5-FX5</f>
        <v>23</v>
      </c>
      <c r="GA5" s="5">
        <v>20</v>
      </c>
      <c r="GB5" s="40">
        <f t="shared" ref="GB5:GB7" si="53">(GA5-FZ5)</f>
        <v>-3</v>
      </c>
      <c r="GD5" s="16">
        <v>39</v>
      </c>
      <c r="GE5" s="33">
        <v>1</v>
      </c>
      <c r="GF5" s="39">
        <f>(FY5*12)+FX5-GD5</f>
        <v>14</v>
      </c>
      <c r="GG5" s="5">
        <v>13</v>
      </c>
      <c r="GH5" s="40">
        <f t="shared" ref="GH5:GH7" si="54">(GG5-GF5)</f>
        <v>-1</v>
      </c>
      <c r="GJ5" s="16">
        <v>24</v>
      </c>
      <c r="GK5" s="33">
        <v>2</v>
      </c>
      <c r="GL5" s="39">
        <f>(GE5*12)+GD5-GJ5</f>
        <v>27</v>
      </c>
      <c r="GM5" s="5">
        <v>27</v>
      </c>
      <c r="GN5" s="40">
        <f t="shared" ref="GN5:GN7" si="55">(GM5-GL5)</f>
        <v>0</v>
      </c>
      <c r="GP5" s="16">
        <v>33</v>
      </c>
      <c r="GQ5" s="33">
        <v>1</v>
      </c>
      <c r="GR5" s="39">
        <f>(GK5*12)+GJ5-GP5</f>
        <v>15</v>
      </c>
      <c r="GS5" s="5">
        <v>11</v>
      </c>
      <c r="GT5" s="40">
        <f t="shared" ref="GT5:GT7" si="56">(GS5-GR5)</f>
        <v>-4</v>
      </c>
      <c r="GV5" s="16">
        <v>33</v>
      </c>
      <c r="GW5" s="33">
        <v>1</v>
      </c>
      <c r="GX5" s="39">
        <f>(GQ5*12)+GP5-GV5</f>
        <v>12</v>
      </c>
      <c r="GY5" s="5">
        <v>10</v>
      </c>
      <c r="GZ5" s="40">
        <f t="shared" ref="GZ5:GZ7" si="57">(GY5-GX5)</f>
        <v>-2</v>
      </c>
      <c r="HB5" s="16">
        <v>26</v>
      </c>
      <c r="HC5" s="33">
        <v>2</v>
      </c>
      <c r="HD5" s="39">
        <f>(GW5*12)+GV5-HB5</f>
        <v>19</v>
      </c>
      <c r="HE5" s="5">
        <v>19</v>
      </c>
      <c r="HF5" s="40">
        <f t="shared" ref="HF5:HF7" si="58">(HE5-HD5)</f>
        <v>0</v>
      </c>
      <c r="HH5" s="16">
        <v>30</v>
      </c>
      <c r="HI5" s="33">
        <v>1</v>
      </c>
      <c r="HJ5" s="39">
        <f>(HC5*12)+HB5-HH5</f>
        <v>20</v>
      </c>
      <c r="HK5" s="5">
        <v>20</v>
      </c>
      <c r="HL5" s="40">
        <f t="shared" ref="HL5:HL7" si="59">(HK5-HJ5)</f>
        <v>0</v>
      </c>
      <c r="HN5" s="16">
        <v>19</v>
      </c>
      <c r="HO5" s="33">
        <v>2</v>
      </c>
      <c r="HP5" s="39">
        <f>(HI5*12)+HH5-HN5</f>
        <v>23</v>
      </c>
      <c r="HQ5" s="5">
        <v>23</v>
      </c>
      <c r="HR5" s="40">
        <f t="shared" ref="HR5:HR7" si="60">(HQ5-HP5)</f>
        <v>0</v>
      </c>
      <c r="HT5" s="16">
        <v>16</v>
      </c>
      <c r="HU5" s="33">
        <v>3</v>
      </c>
      <c r="HV5" s="39">
        <f>(HO5*12)+HN5-HT5</f>
        <v>27</v>
      </c>
      <c r="HW5" s="5">
        <v>27</v>
      </c>
      <c r="HX5" s="40">
        <f t="shared" ref="HX5:HX7" si="61">(HW5-HV5)</f>
        <v>0</v>
      </c>
      <c r="HZ5" s="16">
        <v>28</v>
      </c>
      <c r="IA5" s="33">
        <v>2</v>
      </c>
      <c r="IB5" s="39">
        <f>(HU5*12)+HT5-HZ5</f>
        <v>24</v>
      </c>
      <c r="IC5" s="5">
        <v>23</v>
      </c>
      <c r="ID5" s="40">
        <f t="shared" ref="ID5:ID7" si="62">(IC5-IB5)</f>
        <v>-1</v>
      </c>
      <c r="IF5" s="16">
        <v>30</v>
      </c>
      <c r="IG5" s="33">
        <v>1</v>
      </c>
      <c r="IH5" s="39">
        <f>(IA5*12)+HZ5-IF5</f>
        <v>22</v>
      </c>
      <c r="II5" s="5">
        <v>19</v>
      </c>
      <c r="IJ5" s="40">
        <f t="shared" ref="IJ5:IJ7" si="63">(II5-IH5)</f>
        <v>-3</v>
      </c>
      <c r="IL5" s="16">
        <v>18</v>
      </c>
      <c r="IM5" s="33">
        <v>3</v>
      </c>
      <c r="IN5" s="39">
        <f>(IG5*12)+IF5-IL5</f>
        <v>24</v>
      </c>
      <c r="IO5" s="5">
        <v>20</v>
      </c>
      <c r="IP5" s="40">
        <f t="shared" ref="IP5:IP7" si="64">(IO5-IN5)</f>
        <v>-4</v>
      </c>
      <c r="IR5" s="16">
        <v>32</v>
      </c>
      <c r="IS5" s="33">
        <v>3</v>
      </c>
      <c r="IT5" s="39">
        <f>(IM5*12)+IL5-IR5</f>
        <v>22</v>
      </c>
      <c r="IU5" s="5">
        <v>22</v>
      </c>
      <c r="IV5" s="40">
        <f t="shared" ref="IV5:IV7" si="65">(IU5-IT5)</f>
        <v>0</v>
      </c>
      <c r="IX5" s="16">
        <v>42</v>
      </c>
      <c r="IY5" s="33">
        <v>2</v>
      </c>
      <c r="IZ5" s="39">
        <f>(IS5*12)+IR5-IX5</f>
        <v>26</v>
      </c>
      <c r="JA5" s="5">
        <v>23</v>
      </c>
      <c r="JB5" s="40">
        <f t="shared" ref="JB5:JB7" si="66">(JA5-IZ5)</f>
        <v>-3</v>
      </c>
      <c r="JD5" s="16">
        <v>44</v>
      </c>
      <c r="JE5" s="33">
        <v>2</v>
      </c>
      <c r="JF5" s="39">
        <f>(IY5*12)+IX5-JD5</f>
        <v>22</v>
      </c>
      <c r="JG5" s="5">
        <v>20</v>
      </c>
      <c r="JH5" s="40">
        <f t="shared" ref="JH5:JH7" si="67">(JG5-JF5)</f>
        <v>-2</v>
      </c>
      <c r="JJ5" s="16">
        <v>48</v>
      </c>
      <c r="JK5" s="33">
        <v>2</v>
      </c>
      <c r="JL5" s="39">
        <f>(JE5*12)+JD5-JJ5</f>
        <v>20</v>
      </c>
      <c r="JM5" s="5">
        <v>19</v>
      </c>
      <c r="JN5" s="40">
        <f t="shared" ref="JN5:JN7" si="68">(JM5-JL5)</f>
        <v>-1</v>
      </c>
      <c r="JP5" s="16">
        <v>49</v>
      </c>
      <c r="JQ5" s="33"/>
      <c r="JR5" s="39">
        <f>(JK5*12)+JJ5-JP5</f>
        <v>23</v>
      </c>
      <c r="JS5" s="5">
        <v>20</v>
      </c>
      <c r="JT5" s="40">
        <f t="shared" ref="JT5:JT7" si="69">(JS5-JR5)</f>
        <v>-3</v>
      </c>
      <c r="JV5" s="16">
        <v>28</v>
      </c>
      <c r="JW5" s="33"/>
      <c r="JX5" s="39">
        <f>(JQ5*12)+JP5-JV5</f>
        <v>21</v>
      </c>
      <c r="JY5" s="5">
        <v>20</v>
      </c>
      <c r="JZ5" s="40">
        <f t="shared" ref="JZ5:JZ7" si="70">(JY5-JX5)</f>
        <v>-1</v>
      </c>
      <c r="KB5" s="16">
        <v>0</v>
      </c>
      <c r="KC5" s="33"/>
      <c r="KD5" s="39">
        <f>(JW5*12)+JV5-KB5</f>
        <v>28</v>
      </c>
      <c r="KE5" s="5">
        <v>23</v>
      </c>
      <c r="KF5" s="40">
        <f t="shared" ref="KF5:KF7" si="71">(KE5-KD5)</f>
        <v>-5</v>
      </c>
      <c r="KH5" s="16">
        <v>0</v>
      </c>
      <c r="KI5" s="33">
        <v>7</v>
      </c>
      <c r="KJ5" s="39">
        <f>(KC5*12)+KB5-KH5</f>
        <v>0</v>
      </c>
      <c r="KK5" s="5">
        <v>3</v>
      </c>
      <c r="KL5" s="40">
        <f t="shared" ref="KL5:KL7" si="72">(KK5-KJ5)</f>
        <v>3</v>
      </c>
      <c r="KN5" s="16">
        <v>51</v>
      </c>
      <c r="KO5" s="33">
        <v>4</v>
      </c>
      <c r="KP5" s="39">
        <f>(KI5*12)+KH5-KN5</f>
        <v>33</v>
      </c>
      <c r="KQ5" s="5">
        <v>20</v>
      </c>
      <c r="KR5" s="40">
        <f t="shared" ref="KR5:KR7" si="73">(KQ5-KP5)</f>
        <v>-13</v>
      </c>
      <c r="KT5" s="16">
        <v>67</v>
      </c>
      <c r="KU5" s="33"/>
      <c r="KV5" s="39">
        <f>(KO5*12)+KN5-KT5</f>
        <v>32</v>
      </c>
      <c r="KW5" s="5">
        <v>30</v>
      </c>
      <c r="KX5" s="40">
        <f t="shared" ref="KX5:KX7" si="74">(KW5-KV5)</f>
        <v>-2</v>
      </c>
      <c r="KZ5" s="16">
        <v>30</v>
      </c>
      <c r="LA5" s="33">
        <v>2</v>
      </c>
      <c r="LB5" s="39">
        <f>(KU5*12)+KT5-KZ5</f>
        <v>37</v>
      </c>
      <c r="LC5" s="5">
        <v>35</v>
      </c>
      <c r="LD5" s="40">
        <f t="shared" ref="LD5:LD7" si="75">(LC5-LB5)</f>
        <v>-2</v>
      </c>
      <c r="LF5" s="16">
        <v>27</v>
      </c>
      <c r="LG5" s="33"/>
      <c r="LH5" s="39">
        <f>(LA5*12)+KZ5-LF5</f>
        <v>27</v>
      </c>
      <c r="LI5" s="5"/>
      <c r="LJ5" s="40">
        <f t="shared" ref="LJ5:LJ7" si="76">(LI5-LH5)</f>
        <v>-27</v>
      </c>
      <c r="LL5" s="16">
        <v>31</v>
      </c>
      <c r="LM5" s="33">
        <v>7</v>
      </c>
      <c r="LN5" s="39">
        <f>(LG5*12)+LF5-LL5</f>
        <v>-4</v>
      </c>
      <c r="LO5" s="5"/>
      <c r="LP5" s="40">
        <f t="shared" ref="LP5:LP7" si="77">(LO5-LN5)</f>
        <v>4</v>
      </c>
      <c r="LR5" s="16">
        <v>85</v>
      </c>
      <c r="LS5" s="33"/>
      <c r="LT5" s="39">
        <f>(LM5*12)+LL5-LR5</f>
        <v>30</v>
      </c>
      <c r="LU5" s="5">
        <v>30</v>
      </c>
      <c r="LV5" s="40">
        <f t="shared" ref="LV5:LV7" si="78">(LU5-LT5)</f>
        <v>0</v>
      </c>
      <c r="LX5" s="16">
        <v>75</v>
      </c>
      <c r="LY5" s="33">
        <v>1</v>
      </c>
      <c r="LZ5" s="39">
        <f>(LS5*12)+LR5-LX5</f>
        <v>10</v>
      </c>
      <c r="MA5" s="5">
        <v>9</v>
      </c>
      <c r="MB5" s="40">
        <f t="shared" ref="MB5:MB7" si="79">(MA5-LZ5)</f>
        <v>-1</v>
      </c>
      <c r="MD5" s="16">
        <v>49</v>
      </c>
      <c r="ME5" s="33"/>
      <c r="MF5" s="39">
        <f>(LY5*12)+LX5-MD5</f>
        <v>38</v>
      </c>
      <c r="MG5" s="5"/>
      <c r="MH5" s="40">
        <f t="shared" ref="MH5:MH7" si="80">(MG5-MF5)</f>
        <v>-38</v>
      </c>
      <c r="MJ5" s="16">
        <v>9</v>
      </c>
      <c r="MK5" s="33">
        <v>8</v>
      </c>
      <c r="ML5" s="39">
        <f>(ME5*12)+MD5-MJ5</f>
        <v>40</v>
      </c>
      <c r="MM5" s="5"/>
      <c r="MN5" s="40">
        <f t="shared" ref="MN5:MN7" si="81">(MM5-ML5)</f>
        <v>-40</v>
      </c>
      <c r="MP5" s="16">
        <v>54</v>
      </c>
      <c r="MQ5" s="33">
        <v>4</v>
      </c>
      <c r="MR5" s="39">
        <f>(MK5*12)+MJ5-MP5</f>
        <v>51</v>
      </c>
      <c r="MS5" s="5"/>
      <c r="MT5" s="40">
        <f t="shared" ref="MT5:MT7" si="82">(MS5-MR5)</f>
        <v>-51</v>
      </c>
      <c r="MV5" s="16">
        <v>52</v>
      </c>
      <c r="MW5" s="33">
        <v>2</v>
      </c>
      <c r="MX5" s="39">
        <f>(MQ5*12)+MP5-MV5</f>
        <v>50</v>
      </c>
      <c r="MY5" s="5"/>
      <c r="MZ5" s="40">
        <f t="shared" ref="MZ5:MZ7" si="83">(MY5-MX5)</f>
        <v>-50</v>
      </c>
      <c r="NB5" s="16">
        <v>67</v>
      </c>
      <c r="NC5" s="33">
        <v>6</v>
      </c>
      <c r="ND5" s="39">
        <f>(MW5*12)+MV5-NB5</f>
        <v>9</v>
      </c>
      <c r="NE5" s="5"/>
      <c r="NF5" s="40">
        <f t="shared" ref="NF5:NF7" si="84">(NE5-ND5)</f>
        <v>-9</v>
      </c>
      <c r="NH5" s="16">
        <v>105</v>
      </c>
      <c r="NI5" s="33"/>
      <c r="NJ5" s="39">
        <f>(NC5*12)+NB5-NH5</f>
        <v>34</v>
      </c>
      <c r="NK5" s="5"/>
      <c r="NL5" s="40">
        <f t="shared" ref="NL5:NL7" si="85">(NK5-NJ5)</f>
        <v>-34</v>
      </c>
      <c r="NN5" s="16">
        <v>85</v>
      </c>
      <c r="NO5" s="33"/>
      <c r="NP5" s="39">
        <f>(NI5*12)+NH5-NN5</f>
        <v>20</v>
      </c>
      <c r="NQ5" s="5"/>
      <c r="NR5" s="40">
        <f t="shared" ref="NR5:NR7" si="86">(NQ5-NP5)</f>
        <v>-20</v>
      </c>
      <c r="NT5" s="16">
        <v>88</v>
      </c>
      <c r="NU5" s="33"/>
      <c r="NV5" s="39">
        <f>(NO5*12)+NN5-NT5</f>
        <v>-3</v>
      </c>
      <c r="NW5" s="5"/>
      <c r="NX5" s="40">
        <f t="shared" ref="NX5:NX7" si="87">(NW5-NV5)</f>
        <v>3</v>
      </c>
      <c r="NZ5" s="16">
        <v>57</v>
      </c>
      <c r="OA5" s="33"/>
      <c r="OB5" s="39">
        <f>(NU5*12)+NT5-NZ5</f>
        <v>31</v>
      </c>
      <c r="OC5" s="5"/>
      <c r="OD5" s="40">
        <f t="shared" ref="OD5:OD7" si="88">(OC5-OB5)</f>
        <v>-31</v>
      </c>
      <c r="OF5" s="16">
        <v>32</v>
      </c>
      <c r="OG5" s="33">
        <v>4</v>
      </c>
      <c r="OH5" s="39">
        <f>(OA5*12)+NZ5-OF5</f>
        <v>25</v>
      </c>
      <c r="OI5" s="5"/>
      <c r="OJ5" s="40">
        <f t="shared" ref="OJ5:OJ7" si="89">(OI5-OH5)</f>
        <v>-25</v>
      </c>
      <c r="OL5" s="16">
        <v>56</v>
      </c>
      <c r="OM5" s="33"/>
      <c r="ON5" s="39">
        <f>(OG5*12)+OF5-OL5</f>
        <v>24</v>
      </c>
      <c r="OO5" s="5"/>
      <c r="OP5" s="40">
        <f t="shared" ref="OP5:OP7" si="90">(OO5-ON5)</f>
        <v>-24</v>
      </c>
      <c r="OR5" s="16">
        <v>19</v>
      </c>
      <c r="OS5" s="33">
        <v>6</v>
      </c>
      <c r="OT5" s="39">
        <f>(OM5*12)+OL5-OR5</f>
        <v>37</v>
      </c>
      <c r="OU5" s="5"/>
      <c r="OV5" s="40">
        <f t="shared" ref="OV5:OV7" si="91">(OU5-OT5)</f>
        <v>-37</v>
      </c>
      <c r="OX5" s="16">
        <v>7</v>
      </c>
      <c r="OY5" s="33">
        <v>8</v>
      </c>
      <c r="OZ5" s="39">
        <f>(OS5*12)+OR5-OX5</f>
        <v>84</v>
      </c>
      <c r="PA5" s="5"/>
      <c r="PB5" s="40">
        <f t="shared" ref="PB5:PB7" si="92">(PA5-OZ5)</f>
        <v>-84</v>
      </c>
      <c r="PD5" s="16">
        <v>3</v>
      </c>
      <c r="PE5" s="33">
        <v>8</v>
      </c>
      <c r="PF5" s="39">
        <f>(OY5*12)+OX5-PD5</f>
        <v>100</v>
      </c>
      <c r="PG5" s="5"/>
      <c r="PH5" s="40">
        <f t="shared" ref="PH5:PH7" si="93">(PG5-PF5)</f>
        <v>-100</v>
      </c>
      <c r="PJ5" s="16">
        <v>46</v>
      </c>
      <c r="PK5" s="33">
        <v>4</v>
      </c>
      <c r="PL5" s="39">
        <f>(PE5*12)+PD5-PJ5</f>
        <v>53</v>
      </c>
      <c r="PM5" s="5"/>
      <c r="PN5" s="40">
        <f t="shared" ref="PN5:PN7" si="94">(PM5-PL5)</f>
        <v>-53</v>
      </c>
      <c r="PP5" s="16">
        <v>37</v>
      </c>
      <c r="PQ5" s="33">
        <v>4</v>
      </c>
      <c r="PR5" s="39">
        <f>(PK5*12)+PJ5-PP5</f>
        <v>57</v>
      </c>
      <c r="PS5" s="5"/>
      <c r="PT5" s="40">
        <f t="shared" ref="PT5:PT7" si="95">(PS5-PR5)</f>
        <v>-57</v>
      </c>
      <c r="PV5" s="16">
        <v>0</v>
      </c>
      <c r="PW5" s="33">
        <v>8</v>
      </c>
      <c r="PX5" s="39">
        <f>(PQ5*12)+PP5-PV5</f>
        <v>85</v>
      </c>
      <c r="PY5" s="5"/>
      <c r="PZ5" s="40">
        <f t="shared" ref="PZ5:PZ7" si="96">(PY5-PX5)</f>
        <v>-85</v>
      </c>
      <c r="QB5" s="16">
        <v>0</v>
      </c>
      <c r="QC5" s="33">
        <v>8</v>
      </c>
      <c r="QD5" s="39">
        <f>(PW5*12)+PV5-QB5</f>
        <v>96</v>
      </c>
      <c r="QE5" s="5"/>
      <c r="QF5" s="40">
        <f t="shared" ref="QF5:QF7" si="97">(QE5-QD5)</f>
        <v>-96</v>
      </c>
      <c r="QH5" s="16">
        <v>0</v>
      </c>
      <c r="QI5" s="33">
        <v>8</v>
      </c>
      <c r="QJ5" s="39">
        <f>(QC5*12)+QB5-QH5</f>
        <v>96</v>
      </c>
      <c r="QK5" s="5"/>
      <c r="QL5" s="40">
        <f t="shared" ref="QL5:QL7" si="98">(QK5-QJ5)</f>
        <v>-96</v>
      </c>
      <c r="QN5" s="16">
        <v>77</v>
      </c>
      <c r="QO5" s="33">
        <v>3</v>
      </c>
      <c r="QP5" s="39">
        <f>(QI5*12)+QH5-QN5</f>
        <v>19</v>
      </c>
      <c r="QQ5" s="5"/>
      <c r="QR5" s="40">
        <f t="shared" ref="QR5:QR7" si="99">(QQ5-QP5)</f>
        <v>-19</v>
      </c>
      <c r="QT5" s="16">
        <v>66</v>
      </c>
      <c r="QU5" s="33">
        <v>2</v>
      </c>
      <c r="QV5" s="39">
        <f>(QO5*12)+QN5-QT5</f>
        <v>47</v>
      </c>
      <c r="QW5" s="5"/>
      <c r="QX5" s="40">
        <f t="shared" ref="QX5:QX7" si="100">(QW5-QV5)</f>
        <v>-47</v>
      </c>
      <c r="QZ5" s="16">
        <v>50</v>
      </c>
      <c r="RA5" s="33">
        <v>3</v>
      </c>
      <c r="RB5" s="39">
        <f>(QU5*12)+QT5-QZ5</f>
        <v>40</v>
      </c>
      <c r="RC5" s="5"/>
      <c r="RD5" s="40">
        <f t="shared" ref="RD5:RD7" si="101">(RC5-RB5)</f>
        <v>-40</v>
      </c>
      <c r="RF5" s="16">
        <v>80</v>
      </c>
      <c r="RG5" s="33">
        <v>1</v>
      </c>
      <c r="RH5" s="39">
        <f>(RA5*12)+QZ5-RF5</f>
        <v>6</v>
      </c>
      <c r="RI5" s="5"/>
      <c r="RJ5" s="40">
        <f t="shared" ref="RJ5:RJ7" si="102">(RI5-RH5)</f>
        <v>-6</v>
      </c>
      <c r="RL5" s="16">
        <v>47</v>
      </c>
      <c r="RM5" s="33">
        <v>2</v>
      </c>
      <c r="RN5" s="39">
        <f>(RG5*12)+RF5-RL5</f>
        <v>45</v>
      </c>
      <c r="RO5" s="5"/>
      <c r="RP5" s="40">
        <f t="shared" ref="RP5:RP7" si="103">(RO5-RN5)</f>
        <v>-45</v>
      </c>
      <c r="RR5" s="16">
        <v>66</v>
      </c>
      <c r="RS5" s="33">
        <v>1</v>
      </c>
      <c r="RT5" s="39">
        <f>(RM5*12)+RL5-RR5</f>
        <v>5</v>
      </c>
      <c r="RU5" s="5"/>
      <c r="RV5" s="40">
        <f t="shared" ref="RV5:RV7" si="104">(RU5-RT5)</f>
        <v>-5</v>
      </c>
      <c r="RX5" s="16">
        <v>62</v>
      </c>
      <c r="RY5" s="33"/>
      <c r="RZ5" s="39">
        <f>(RS5*12)+RR5-RX5</f>
        <v>16</v>
      </c>
      <c r="SA5" s="5"/>
      <c r="SB5" s="40">
        <f t="shared" ref="SB5:SB7" si="105">(SA5-RZ5)</f>
        <v>-16</v>
      </c>
      <c r="SD5" s="16">
        <v>39</v>
      </c>
      <c r="SE5" s="33">
        <v>3</v>
      </c>
      <c r="SF5" s="39">
        <f>(RY5*12)+RX5-SD5</f>
        <v>23</v>
      </c>
      <c r="SG5" s="5"/>
      <c r="SH5" s="40">
        <f t="shared" ref="SH5:SH7" si="106">(SG5-SF5)</f>
        <v>-23</v>
      </c>
      <c r="SJ5" s="16">
        <v>48</v>
      </c>
      <c r="SK5" s="33">
        <v>4</v>
      </c>
      <c r="SL5" s="39">
        <f>(SE5*12)+SD5-SJ5</f>
        <v>27</v>
      </c>
      <c r="SM5" s="5"/>
      <c r="SN5" s="40">
        <f t="shared" ref="SN5:SN7" si="107">(SM5-SL5)</f>
        <v>-27</v>
      </c>
      <c r="SP5" s="16">
        <v>108</v>
      </c>
      <c r="SQ5" s="33"/>
      <c r="SR5" s="39">
        <f>(SK5*12)+SJ5-SP5</f>
        <v>-12</v>
      </c>
      <c r="SS5" s="5"/>
      <c r="ST5" s="40">
        <f t="shared" ref="ST5:ST7" si="108">(SS5-SR5)</f>
        <v>12</v>
      </c>
      <c r="SV5" s="16">
        <v>80</v>
      </c>
      <c r="SW5" s="33">
        <v>2</v>
      </c>
      <c r="SX5" s="39">
        <f>(SQ5*12)+SP5-SV5</f>
        <v>28</v>
      </c>
      <c r="SY5" s="5"/>
      <c r="SZ5" s="40">
        <f t="shared" ref="SZ5:SZ7" si="109">(SY5-SX5)</f>
        <v>-28</v>
      </c>
      <c r="TB5" s="16">
        <v>57</v>
      </c>
      <c r="TC5" s="33"/>
      <c r="TD5" s="39">
        <f>(SW5*12)+SV5-TB5</f>
        <v>47</v>
      </c>
      <c r="TE5" s="5"/>
      <c r="TF5" s="40">
        <f t="shared" ref="TF5:TF7" si="110">(TE5-TD5)</f>
        <v>-47</v>
      </c>
      <c r="TH5" s="16">
        <v>51</v>
      </c>
      <c r="TI5" s="38"/>
      <c r="TJ5" s="39">
        <f>(TC5*12)+TB5-TH5</f>
        <v>6</v>
      </c>
      <c r="TK5" s="5"/>
      <c r="TL5" s="40">
        <f t="shared" ref="TL5" si="111">(TK5-TJ5)</f>
        <v>-6</v>
      </c>
      <c r="TN5" s="16">
        <v>42</v>
      </c>
      <c r="TO5" s="38"/>
      <c r="TP5" s="39">
        <f>(TI5*12)+TH5-TN5</f>
        <v>9</v>
      </c>
      <c r="TQ5" s="5"/>
      <c r="TR5" s="40">
        <f t="shared" ref="TR5" si="112">(TQ5-TP5)</f>
        <v>-9</v>
      </c>
      <c r="TT5" s="16">
        <v>49</v>
      </c>
      <c r="TU5" s="38"/>
      <c r="TV5" s="39">
        <f>(TO5*12)+TN5-TT5</f>
        <v>-7</v>
      </c>
      <c r="TW5" s="5"/>
      <c r="TX5" s="40">
        <f t="shared" ref="TX5" si="113">(TW5-TV5)</f>
        <v>7</v>
      </c>
      <c r="TZ5" s="16">
        <v>17</v>
      </c>
      <c r="UA5" s="38"/>
      <c r="UB5" s="39">
        <f>(TU5*12)+TT5-TZ5</f>
        <v>32</v>
      </c>
      <c r="UC5" s="5"/>
      <c r="UD5" s="40">
        <f t="shared" ref="UD5" si="114">(UC5-UB5)</f>
        <v>-32</v>
      </c>
      <c r="UF5" s="16">
        <v>11</v>
      </c>
      <c r="UG5" s="38">
        <v>1</v>
      </c>
      <c r="UH5" s="39">
        <f>(UA5*12)+TZ5-UF5</f>
        <v>6</v>
      </c>
      <c r="UI5" s="5"/>
      <c r="UJ5" s="40">
        <f t="shared" ref="UJ5" si="115">(UI5-UH5)</f>
        <v>-6</v>
      </c>
      <c r="UL5" s="16">
        <v>58</v>
      </c>
      <c r="UM5" s="38"/>
      <c r="UN5" s="39">
        <f>(UG5*12)+UF5-UL5</f>
        <v>-35</v>
      </c>
      <c r="UO5" s="5"/>
      <c r="UP5" s="40">
        <f t="shared" ref="UP5" si="116">(UO5-UN5)</f>
        <v>35</v>
      </c>
      <c r="UR5" s="16">
        <v>57</v>
      </c>
      <c r="US5" s="38"/>
      <c r="UT5" s="39">
        <f>(UM5*12)+UL5-UR5</f>
        <v>1</v>
      </c>
      <c r="UU5" s="5"/>
      <c r="UV5" s="40">
        <f t="shared" ref="UV5" si="117">(UU5-UT5)</f>
        <v>-1</v>
      </c>
      <c r="UX5" s="16">
        <v>40</v>
      </c>
      <c r="UY5" s="38"/>
      <c r="UZ5" s="39">
        <f>(US5*12)+UR5-UX5</f>
        <v>17</v>
      </c>
      <c r="VA5" s="5"/>
      <c r="VB5" s="40">
        <f t="shared" ref="VB5" si="118">(VA5-UZ5)</f>
        <v>-17</v>
      </c>
      <c r="VD5" s="16">
        <v>15</v>
      </c>
      <c r="VE5" s="38"/>
      <c r="VF5" s="39">
        <f>(UY5*12)+UX5-VD5</f>
        <v>25</v>
      </c>
      <c r="VG5" s="5"/>
      <c r="VH5" s="40">
        <f t="shared" ref="VH5" si="119">(VG5-VF5)</f>
        <v>-25</v>
      </c>
      <c r="VJ5" s="16">
        <v>0</v>
      </c>
      <c r="VK5" s="38"/>
      <c r="VL5" s="39">
        <f>(VE5*12)+VD5-VJ5</f>
        <v>15</v>
      </c>
      <c r="VM5" s="5"/>
      <c r="VN5" s="40">
        <f t="shared" ref="VN5" si="120">(VM5-VL5)</f>
        <v>-15</v>
      </c>
      <c r="VP5" s="16">
        <v>33</v>
      </c>
      <c r="VQ5" s="38"/>
      <c r="VR5" s="39">
        <f>(VK5*12)+VJ5-VP5</f>
        <v>-33</v>
      </c>
      <c r="VS5" s="5"/>
      <c r="VT5" s="40">
        <f t="shared" ref="VT5" si="121">(VS5-VR5)</f>
        <v>33</v>
      </c>
      <c r="VV5" s="16">
        <v>6</v>
      </c>
      <c r="VW5" s="38"/>
      <c r="VX5" s="39">
        <f>(VQ5*12)+VP5-VV5</f>
        <v>27</v>
      </c>
      <c r="VY5" s="5"/>
      <c r="VZ5" s="40">
        <f t="shared" ref="VZ5" si="122">(VY5-VX5)</f>
        <v>-27</v>
      </c>
      <c r="WB5" s="16"/>
      <c r="WC5" s="38"/>
      <c r="WD5" s="39">
        <f>(VW5*12)+VV5-WB5</f>
        <v>6</v>
      </c>
      <c r="WE5" s="5"/>
      <c r="WF5" s="40">
        <f>SUM(WD5-WE5)</f>
        <v>6</v>
      </c>
      <c r="WH5" s="16">
        <v>85</v>
      </c>
      <c r="WI5" s="38"/>
      <c r="WJ5" s="39">
        <f>(WC5*12)+WB5-WH5</f>
        <v>-85</v>
      </c>
      <c r="WK5" s="5"/>
      <c r="WL5" s="40">
        <f t="shared" ref="WL5" si="123">(WK5-WJ5)</f>
        <v>85</v>
      </c>
      <c r="WN5" s="16">
        <v>80</v>
      </c>
      <c r="WO5" s="38"/>
      <c r="WP5" s="39">
        <f>(WI5*12)+WH5-WN5</f>
        <v>5</v>
      </c>
      <c r="WQ5" s="5"/>
      <c r="WR5" s="40">
        <f>(WP5-WQ5)</f>
        <v>5</v>
      </c>
      <c r="WT5" s="16">
        <v>61</v>
      </c>
      <c r="WU5" s="38">
        <v>4</v>
      </c>
      <c r="WV5" s="39">
        <f>(WO5*12)+WN5-WT5</f>
        <v>19</v>
      </c>
      <c r="WW5" s="5"/>
      <c r="WX5" s="40">
        <f>(WV5-WW5)</f>
        <v>19</v>
      </c>
      <c r="WZ5" s="16">
        <v>79</v>
      </c>
      <c r="XA5" s="38"/>
      <c r="XB5" s="39">
        <f>(WU5*12)+WT5-WZ5</f>
        <v>30</v>
      </c>
      <c r="XC5" s="5"/>
      <c r="XD5" s="40">
        <f>(XB5-XC5)</f>
        <v>30</v>
      </c>
      <c r="XF5" s="16">
        <v>75</v>
      </c>
      <c r="XG5" s="38"/>
      <c r="XH5" s="39">
        <f>(XA5*12)+WZ5-XF5</f>
        <v>4</v>
      </c>
      <c r="XI5" s="5"/>
      <c r="XJ5" s="40">
        <f>(XH5-XI5)</f>
        <v>4</v>
      </c>
      <c r="XL5" s="16">
        <v>52</v>
      </c>
      <c r="XM5" s="38"/>
      <c r="XN5" s="39">
        <f>(XG5*12)+XF5-XL5</f>
        <v>23</v>
      </c>
      <c r="XO5" s="5"/>
      <c r="XP5" s="40">
        <f>(XN5-XO5)</f>
        <v>23</v>
      </c>
      <c r="XR5" s="16">
        <v>165</v>
      </c>
      <c r="XS5" s="38"/>
      <c r="XT5" s="39">
        <f>(XM5*12)+XL5-XR5</f>
        <v>-113</v>
      </c>
      <c r="XU5" s="5"/>
      <c r="XV5" s="40">
        <f>(XT5-XU5)</f>
        <v>-113</v>
      </c>
      <c r="XX5" s="16">
        <v>153</v>
      </c>
      <c r="XY5" s="38"/>
      <c r="XZ5" s="39">
        <f>(XS5*12)+XR5-XX5</f>
        <v>12</v>
      </c>
      <c r="YA5" s="5"/>
      <c r="YB5" s="40">
        <f>(XZ5-YA5)</f>
        <v>12</v>
      </c>
      <c r="YD5" s="16">
        <v>112</v>
      </c>
      <c r="YE5" s="38"/>
      <c r="YF5" s="39">
        <f>(XY5*12)+XX5-YD5</f>
        <v>41</v>
      </c>
      <c r="YG5" s="5"/>
      <c r="YH5" s="40">
        <f>(YF5-YG5)</f>
        <v>41</v>
      </c>
      <c r="YJ5" s="16">
        <v>94</v>
      </c>
      <c r="YK5" s="38"/>
      <c r="YL5" s="39">
        <f>(YE5*12)+YD5-YJ5</f>
        <v>18</v>
      </c>
      <c r="YM5" s="5"/>
      <c r="YN5" s="40">
        <f>(YL5-YM5)</f>
        <v>18</v>
      </c>
      <c r="YP5" s="16">
        <v>59</v>
      </c>
      <c r="YQ5" s="38"/>
      <c r="YR5" s="39">
        <f>(YK5*12)+YJ5-YP5</f>
        <v>35</v>
      </c>
      <c r="YS5" s="5"/>
      <c r="YT5" s="40">
        <f>(YR5-YS5)</f>
        <v>35</v>
      </c>
      <c r="YV5" s="16">
        <v>40</v>
      </c>
      <c r="YW5" s="38"/>
      <c r="YX5" s="39">
        <f>(YQ5*12)+YP5-YV5</f>
        <v>19</v>
      </c>
      <c r="YY5" s="5"/>
      <c r="YZ5" s="40">
        <f>(YX5-YY5)</f>
        <v>19</v>
      </c>
      <c r="ZB5" s="16">
        <v>42</v>
      </c>
      <c r="ZC5" s="38"/>
      <c r="ZD5" s="39">
        <f>(YW5*12)+YV5-ZB5</f>
        <v>-2</v>
      </c>
      <c r="ZE5" s="5"/>
      <c r="ZF5" s="40">
        <f>(ZD5-ZE5)</f>
        <v>-2</v>
      </c>
      <c r="ZH5" s="16">
        <v>20</v>
      </c>
      <c r="ZI5" s="38"/>
      <c r="ZJ5" s="39">
        <f>(ZC5*12)+ZB5-ZH5</f>
        <v>22</v>
      </c>
      <c r="ZK5" s="5"/>
      <c r="ZL5" s="40">
        <f>(ZJ5-ZK5)</f>
        <v>22</v>
      </c>
      <c r="ZN5" s="16">
        <v>13</v>
      </c>
      <c r="ZO5" s="38"/>
      <c r="ZP5" s="39">
        <f>(ZI5*12)+ZH5-ZN5</f>
        <v>7</v>
      </c>
      <c r="ZQ5" s="5"/>
      <c r="ZR5" s="40">
        <f>(ZP5-ZQ5)</f>
        <v>7</v>
      </c>
      <c r="ZT5" s="16">
        <v>45</v>
      </c>
      <c r="ZU5" s="38"/>
      <c r="ZV5" s="39">
        <f>(ZO5*12)+ZN5-ZT5</f>
        <v>-32</v>
      </c>
      <c r="ZW5" s="5"/>
      <c r="ZX5" s="40">
        <f>(ZV5-ZW5)</f>
        <v>-32</v>
      </c>
      <c r="ZZ5" s="16">
        <v>37</v>
      </c>
      <c r="AAA5" s="38"/>
      <c r="AAB5" s="39">
        <f>(ZU5*12)+ZT5-ZZ5</f>
        <v>8</v>
      </c>
      <c r="AAC5" s="5"/>
      <c r="AAD5" s="40">
        <f>(AAB5-AAC5)</f>
        <v>8</v>
      </c>
      <c r="AAF5" s="16">
        <v>51</v>
      </c>
      <c r="AAG5" s="38"/>
      <c r="AAH5" s="39">
        <f>(AAA5*12)+ZZ5-AAF5</f>
        <v>-14</v>
      </c>
      <c r="AAI5" s="5"/>
      <c r="AAJ5" s="40">
        <f>(AAH5-AAI5)</f>
        <v>-14</v>
      </c>
      <c r="AAL5" s="16">
        <v>4</v>
      </c>
      <c r="AAM5" s="38"/>
      <c r="AAN5" s="39">
        <f>(AAG5*12)+AAF5-AAL5</f>
        <v>47</v>
      </c>
      <c r="AAO5" s="5"/>
      <c r="AAP5" s="40">
        <f>(AAN5-AAO5)</f>
        <v>47</v>
      </c>
      <c r="AAR5" s="16">
        <v>16</v>
      </c>
      <c r="AAS5" s="38"/>
      <c r="AAT5" s="39">
        <f>(AAM5*12)+AAL5-AAR5</f>
        <v>-12</v>
      </c>
      <c r="AAU5" s="5"/>
      <c r="AAV5" s="40">
        <f>(AAT5-AAU5)</f>
        <v>-12</v>
      </c>
      <c r="AAX5" s="16">
        <v>13</v>
      </c>
      <c r="AAY5" s="38"/>
      <c r="AAZ5" s="39">
        <f>(AAS5*12)+AAR5-AAX5</f>
        <v>3</v>
      </c>
      <c r="ABA5" s="5"/>
      <c r="ABB5" s="40">
        <f>(AAZ5-ABA5)</f>
        <v>3</v>
      </c>
      <c r="ABD5" s="16">
        <v>55</v>
      </c>
      <c r="ABE5" s="38"/>
      <c r="ABF5" s="39">
        <f>(AAY5*12)+AAX5-ABD5</f>
        <v>-42</v>
      </c>
      <c r="ABG5" s="5"/>
      <c r="ABH5" s="40">
        <f>(ABF5-ABG5)</f>
        <v>-42</v>
      </c>
      <c r="ABJ5" s="16">
        <v>39</v>
      </c>
      <c r="ABK5" s="38"/>
      <c r="ABL5" s="39">
        <f>(ABE5*12)+ABD5-ABJ5</f>
        <v>16</v>
      </c>
      <c r="ABM5" s="5"/>
      <c r="ABN5" s="40">
        <f>(ABL5-ABM5)</f>
        <v>16</v>
      </c>
      <c r="ABP5" s="16">
        <v>17</v>
      </c>
      <c r="ABQ5" s="38"/>
      <c r="ABR5" s="39">
        <f>(ABK5*12)+ABJ5-ABP5</f>
        <v>22</v>
      </c>
      <c r="ABS5" s="5"/>
      <c r="ABT5" s="40">
        <f>(ABR5-ABS5)</f>
        <v>22</v>
      </c>
      <c r="ABV5" s="16">
        <v>48</v>
      </c>
      <c r="ABW5" s="38"/>
      <c r="ABX5" s="39">
        <f>(ABQ5*12)+ABP5-ABV5</f>
        <v>-31</v>
      </c>
      <c r="ABY5" s="5"/>
      <c r="ABZ5" s="40">
        <f>(ABX5-ABY5)</f>
        <v>-31</v>
      </c>
      <c r="ACB5" s="16">
        <v>14</v>
      </c>
      <c r="ACC5" s="38"/>
      <c r="ACD5" s="39">
        <f>(ABW5*12)+ABV5-ACB5</f>
        <v>34</v>
      </c>
      <c r="ACE5" s="5"/>
      <c r="ACF5" s="40">
        <f>(ACD5-ACE5)</f>
        <v>34</v>
      </c>
      <c r="ACH5" s="16">
        <v>38</v>
      </c>
      <c r="ACI5" s="38"/>
      <c r="ACJ5" s="39">
        <f>(ACC5*12)+ACB5-ACH5</f>
        <v>-24</v>
      </c>
      <c r="ACK5" s="5"/>
      <c r="ACL5" s="40">
        <f>(ACJ5-ACK5)</f>
        <v>-24</v>
      </c>
      <c r="ACN5" s="16">
        <v>28</v>
      </c>
      <c r="ACO5" s="38"/>
      <c r="ACP5" s="39">
        <f>(ACI5*12)+ACH5-ACN5</f>
        <v>10</v>
      </c>
      <c r="ACQ5" s="5"/>
      <c r="ACR5" s="40">
        <f>(ACP5-ACQ5)</f>
        <v>10</v>
      </c>
      <c r="ACT5" s="16">
        <v>49</v>
      </c>
      <c r="ACU5" s="38"/>
      <c r="ACV5" s="39">
        <f>(ACO5*12)+ACN5-ACT5</f>
        <v>-21</v>
      </c>
      <c r="ACW5" s="5"/>
      <c r="ACX5" s="40">
        <f>(ACV5-ACW5)</f>
        <v>-21</v>
      </c>
      <c r="ACZ5" s="16">
        <v>50</v>
      </c>
      <c r="ADA5" s="38"/>
      <c r="ADB5" s="39">
        <f>(ACU5*12)+ACT5-ACZ5</f>
        <v>-1</v>
      </c>
      <c r="ADC5" s="5"/>
      <c r="ADD5" s="40">
        <f>(ADB5-ADC5)</f>
        <v>-1</v>
      </c>
      <c r="ADF5" s="16">
        <v>24</v>
      </c>
      <c r="ADG5" s="38"/>
      <c r="ADH5" s="39">
        <f>(ADA5*12)+ACZ5-ADF5</f>
        <v>26</v>
      </c>
      <c r="ADI5" s="5"/>
      <c r="ADJ5" s="40">
        <f>(ADH5-ADI5)</f>
        <v>26</v>
      </c>
      <c r="ADL5" s="16">
        <v>32</v>
      </c>
      <c r="ADM5" s="38"/>
      <c r="ADN5" s="39">
        <f>(ADG5*12)+ADF5-ADL5</f>
        <v>-8</v>
      </c>
      <c r="ADO5" s="5"/>
      <c r="ADP5" s="40">
        <f>(ADN5-ADO5)</f>
        <v>-8</v>
      </c>
      <c r="ADR5" s="16">
        <v>42</v>
      </c>
      <c r="ADS5" s="38"/>
      <c r="ADT5" s="39">
        <f>(ADM5*12)+ADL5-ADR5</f>
        <v>-10</v>
      </c>
      <c r="ADU5" s="5"/>
      <c r="ADV5" s="40">
        <f>(ADT5-ADU5)</f>
        <v>-10</v>
      </c>
      <c r="ADX5" s="16">
        <v>44</v>
      </c>
      <c r="ADY5" s="38"/>
      <c r="ADZ5" s="39">
        <f>(ADS5*12)+ADR5-ADX5</f>
        <v>-2</v>
      </c>
      <c r="AEA5" s="5"/>
      <c r="AEB5" s="40">
        <f>(ADZ5-AEA5)</f>
        <v>-2</v>
      </c>
      <c r="AED5" s="16">
        <v>29</v>
      </c>
      <c r="AEE5" s="38"/>
      <c r="AEF5" s="39">
        <f>(ADY5*12)+ADX5-AED5</f>
        <v>15</v>
      </c>
      <c r="AEG5" s="5"/>
      <c r="AEH5" s="40">
        <f>(AEF5-AEG5)</f>
        <v>15</v>
      </c>
      <c r="AEJ5" s="16">
        <v>35</v>
      </c>
      <c r="AEK5" s="38"/>
      <c r="AEL5" s="39">
        <f>(AEE5*12)+AED5-AEJ5</f>
        <v>-6</v>
      </c>
      <c r="AEM5" s="5"/>
      <c r="AEN5" s="40">
        <f>(AEL5-AEM5)</f>
        <v>-6</v>
      </c>
      <c r="AEP5" s="16">
        <v>20</v>
      </c>
      <c r="AEQ5" s="38"/>
      <c r="AER5" s="39">
        <f>(AEK5*12)+AEJ5-AEP5</f>
        <v>15</v>
      </c>
      <c r="AES5" s="5"/>
      <c r="AET5" s="40">
        <f>(AER5-AES5)</f>
        <v>15</v>
      </c>
      <c r="AEV5" s="16">
        <v>12</v>
      </c>
      <c r="AEW5" s="38"/>
      <c r="AEX5" s="39">
        <f>(AEQ5*12)+AEP5-AEV5</f>
        <v>8</v>
      </c>
      <c r="AEY5" s="5"/>
      <c r="AEZ5" s="40">
        <f>(AEX5-AEY5)</f>
        <v>8</v>
      </c>
      <c r="AFB5" s="16">
        <v>30</v>
      </c>
      <c r="AFC5" s="38"/>
      <c r="AFD5" s="39">
        <f>(AEW5*12)+AEV5-AFB5</f>
        <v>-18</v>
      </c>
      <c r="AFE5" s="5"/>
      <c r="AFF5" s="40">
        <f>(AFD5-AFE5)</f>
        <v>-18</v>
      </c>
      <c r="AFH5" s="16">
        <v>39</v>
      </c>
      <c r="AFI5" s="38"/>
      <c r="AFJ5" s="39">
        <f>(AFC5*12)+AFB5-AFH5</f>
        <v>-9</v>
      </c>
      <c r="AFK5" s="5"/>
      <c r="AFL5" s="40">
        <f>(AFJ5-AFK5)</f>
        <v>-9</v>
      </c>
      <c r="AFN5" s="16">
        <v>41</v>
      </c>
      <c r="AFO5" s="38"/>
      <c r="AFP5" s="39">
        <f>(AFI5*12)+AFH5-AFN5</f>
        <v>-2</v>
      </c>
      <c r="AFQ5" s="5"/>
      <c r="AFR5" s="40">
        <f>(AFP5-AFQ5)</f>
        <v>-2</v>
      </c>
      <c r="AFT5" s="16">
        <v>36</v>
      </c>
      <c r="AFU5" s="38"/>
      <c r="AFV5" s="39">
        <f>(AFO5*12)+AFN5-AFT5</f>
        <v>5</v>
      </c>
      <c r="AFW5" s="5"/>
      <c r="AFX5" s="40">
        <f>(AFV5-AFW5)</f>
        <v>5</v>
      </c>
      <c r="AFZ5" s="16">
        <v>32</v>
      </c>
      <c r="AGA5" s="38"/>
      <c r="AGB5" s="39">
        <f>(AFU5*12)+AFT5-AFZ5</f>
        <v>4</v>
      </c>
      <c r="AGC5" s="5"/>
      <c r="AGD5" s="40">
        <f>(AGB5-AGC5)</f>
        <v>4</v>
      </c>
      <c r="AGF5" s="16">
        <v>47</v>
      </c>
      <c r="AGG5" s="38"/>
      <c r="AGH5" s="39">
        <f>(AGA5*12)+AFZ5-AGF5</f>
        <v>-15</v>
      </c>
      <c r="AGI5" s="5"/>
      <c r="AGJ5" s="40">
        <f>(AGH5-AGI5)</f>
        <v>-15</v>
      </c>
      <c r="AGL5" s="16">
        <v>47</v>
      </c>
      <c r="AGM5" s="38"/>
      <c r="AGN5" s="39">
        <f>(AGG5*12)+AGF5-AGL5</f>
        <v>0</v>
      </c>
      <c r="AGO5" s="5"/>
      <c r="AGP5" s="40">
        <f>(AGN5-AGO5)</f>
        <v>0</v>
      </c>
      <c r="AGR5" s="16">
        <v>29</v>
      </c>
      <c r="AGS5" s="38"/>
      <c r="AGT5" s="39">
        <f>(AGM5*12)+AGL5-AGR5</f>
        <v>18</v>
      </c>
      <c r="AGU5" s="5"/>
      <c r="AGV5" s="40">
        <f>(AGT5-AGU5)</f>
        <v>18</v>
      </c>
      <c r="AGX5" s="16">
        <v>27</v>
      </c>
      <c r="AGY5" s="38"/>
      <c r="AGZ5" s="39">
        <f>(AGS5*12)+AGR5-AGX5</f>
        <v>2</v>
      </c>
      <c r="AHA5" s="5"/>
      <c r="AHB5" s="40">
        <f>(AGZ5-AHA5)</f>
        <v>2</v>
      </c>
      <c r="AHD5" s="16">
        <v>31</v>
      </c>
      <c r="AHE5" s="38"/>
      <c r="AHF5" s="39">
        <f>(AGY5*12)+AGX5-AHD5</f>
        <v>-4</v>
      </c>
      <c r="AHG5" s="5"/>
      <c r="AHH5" s="40">
        <f>(AHF5-AHG5)</f>
        <v>-4</v>
      </c>
      <c r="AHJ5" s="16">
        <v>27</v>
      </c>
      <c r="AHK5" s="38"/>
      <c r="AHL5" s="39">
        <f>(AHE5*12)+AHD5-AHJ5</f>
        <v>4</v>
      </c>
      <c r="AHM5" s="5"/>
      <c r="AHN5" s="40">
        <f>(AHL5-AHM5)</f>
        <v>4</v>
      </c>
      <c r="AHP5" s="16">
        <v>36</v>
      </c>
      <c r="AHQ5" s="38"/>
      <c r="AHR5" s="39">
        <f>(AHK5*12)+AHJ5-AHP5</f>
        <v>-9</v>
      </c>
      <c r="AHS5" s="5"/>
      <c r="AHT5" s="40">
        <f>(AHR5-AHS5)</f>
        <v>-9</v>
      </c>
      <c r="AHV5" s="16">
        <v>0</v>
      </c>
      <c r="AHW5" s="38"/>
      <c r="AHX5" s="39">
        <f>(AHQ5*12)+AHP5-AHV5</f>
        <v>36</v>
      </c>
      <c r="AHY5" s="5"/>
      <c r="AHZ5" s="40">
        <f>(AHX5-AHY5)</f>
        <v>36</v>
      </c>
      <c r="AIB5" s="16">
        <v>50</v>
      </c>
      <c r="AIC5" s="38"/>
      <c r="AID5" s="39">
        <f>(AHW5*12)+AHV5-AIB5</f>
        <v>-50</v>
      </c>
      <c r="AIE5" s="5"/>
      <c r="AIF5" s="40">
        <f>(AID5-AIE5)</f>
        <v>-50</v>
      </c>
      <c r="AIH5" s="16">
        <v>27</v>
      </c>
      <c r="AII5" s="38"/>
      <c r="AIJ5" s="39">
        <f>(AIC5*12)+AIB5-AIH5</f>
        <v>23</v>
      </c>
      <c r="AIK5" s="5"/>
      <c r="AIL5" s="40">
        <f>(AIJ5-AIK5)</f>
        <v>23</v>
      </c>
      <c r="AIN5" s="16">
        <v>28</v>
      </c>
      <c r="AIO5" s="38"/>
      <c r="AIP5" s="39">
        <f>(AII5*12)+AIH5-AIN5</f>
        <v>-1</v>
      </c>
      <c r="AIQ5" s="5"/>
      <c r="AIR5" s="40">
        <f>(AIP5-AIQ5)</f>
        <v>-1</v>
      </c>
      <c r="AIT5" s="16">
        <v>10</v>
      </c>
      <c r="AIU5" s="38"/>
      <c r="AIV5" s="39">
        <f>(AIO5*12)+AIN5-AIT5</f>
        <v>18</v>
      </c>
      <c r="AIW5" s="5"/>
      <c r="AIX5" s="40">
        <f>(AIV5-AIW5)</f>
        <v>18</v>
      </c>
      <c r="AIZ5" s="16">
        <v>28</v>
      </c>
      <c r="AJA5" s="38"/>
      <c r="AJB5" s="39">
        <f>(AIU5*12)+AIT5-AIZ5</f>
        <v>-18</v>
      </c>
      <c r="AJC5" s="5"/>
      <c r="AJD5" s="40">
        <f>(AJB5-AJC5)</f>
        <v>-18</v>
      </c>
      <c r="AJF5" s="16">
        <v>29</v>
      </c>
      <c r="AJG5" s="38"/>
      <c r="AJH5" s="39">
        <f>(AJA5*12)+AIZ5-AJF5</f>
        <v>-1</v>
      </c>
      <c r="AJI5" s="5"/>
      <c r="AJJ5" s="40">
        <f>(AJH5-AJI5)</f>
        <v>-1</v>
      </c>
      <c r="AJL5" s="16">
        <v>45</v>
      </c>
      <c r="AJM5" s="38"/>
      <c r="AJN5" s="39">
        <f>(AJG5*12)+AJF5-AJL5</f>
        <v>-16</v>
      </c>
      <c r="AJO5" s="5"/>
      <c r="AJP5" s="40">
        <f>(AJN5-AJO5)</f>
        <v>-16</v>
      </c>
      <c r="AJR5" s="16">
        <v>26</v>
      </c>
      <c r="AJS5" s="38"/>
      <c r="AJT5" s="39">
        <f>(AJM5*12)+AJL5-AJR5</f>
        <v>19</v>
      </c>
      <c r="AJU5" s="5"/>
      <c r="AJV5" s="40">
        <f>(AJT5-AJU5)</f>
        <v>19</v>
      </c>
      <c r="AJX5" s="16">
        <v>27</v>
      </c>
      <c r="AJY5" s="38"/>
      <c r="AJZ5" s="39">
        <f>(AJS5*12)+AJR5-AJX5</f>
        <v>-1</v>
      </c>
      <c r="AKA5" s="5"/>
      <c r="AKB5" s="40">
        <f>(AJZ5-AKA5)</f>
        <v>-1</v>
      </c>
      <c r="AKD5" s="16">
        <v>51</v>
      </c>
      <c r="AKE5" s="38"/>
      <c r="AKF5" s="39">
        <f>(AJY5*12)+AJX5-AKD5</f>
        <v>-24</v>
      </c>
      <c r="AKG5" s="5"/>
      <c r="AKH5" s="40">
        <f>(AKF5-AKG5)</f>
        <v>-24</v>
      </c>
      <c r="AKJ5" s="16">
        <v>44</v>
      </c>
      <c r="AKK5" s="38"/>
      <c r="AKL5" s="39">
        <f>(AKE5*12)+AKD5-AKJ5</f>
        <v>7</v>
      </c>
      <c r="AKM5" s="5"/>
      <c r="AKN5" s="40">
        <f>(AKL5-AKM5)</f>
        <v>7</v>
      </c>
      <c r="AKP5" s="16">
        <v>39</v>
      </c>
      <c r="AKQ5" s="38"/>
      <c r="AKR5" s="39">
        <f>(AKK5*12)+AKJ5-AKP5</f>
        <v>5</v>
      </c>
      <c r="AKS5" s="5"/>
      <c r="AKT5" s="40">
        <f>(AKR5-AKS5)</f>
        <v>5</v>
      </c>
      <c r="AKV5" s="16">
        <v>50</v>
      </c>
      <c r="AKW5" s="38"/>
      <c r="AKX5" s="39">
        <f>(AKQ5*12)+AKP5-AKV5</f>
        <v>-11</v>
      </c>
      <c r="AKY5" s="5"/>
      <c r="AKZ5" s="40">
        <f>(AKX5-AKY5)</f>
        <v>-11</v>
      </c>
      <c r="ALB5" s="16">
        <v>28</v>
      </c>
      <c r="ALC5" s="38"/>
      <c r="ALD5" s="39">
        <f>(AKW5*12)+AKV5-ALB5</f>
        <v>22</v>
      </c>
      <c r="ALE5" s="5"/>
      <c r="ALF5" s="40">
        <f>(ALD5-ALE5)</f>
        <v>22</v>
      </c>
      <c r="ALH5" s="16">
        <v>3</v>
      </c>
      <c r="ALI5" s="38"/>
      <c r="ALJ5" s="39">
        <f>(ALC5*12)+ALB5-ALH5</f>
        <v>25</v>
      </c>
      <c r="ALK5" s="5"/>
      <c r="ALL5" s="40">
        <f>(ALJ5-ALK5)</f>
        <v>25</v>
      </c>
      <c r="ALN5" s="16">
        <v>16</v>
      </c>
      <c r="ALO5" s="38"/>
      <c r="ALP5" s="39">
        <f>(ALI5*12)+ALH5-ALN5</f>
        <v>-13</v>
      </c>
      <c r="ALQ5" s="5"/>
      <c r="ALR5" s="40">
        <f>(ALP5-ALQ5)</f>
        <v>-13</v>
      </c>
      <c r="ALT5" s="16">
        <v>11</v>
      </c>
      <c r="ALU5" s="38"/>
      <c r="ALV5" s="39">
        <f>(ALO5*12)+ALN5-ALT5</f>
        <v>5</v>
      </c>
      <c r="ALW5" s="5"/>
      <c r="ALX5" s="40">
        <f>(ALV5-ALW5)</f>
        <v>5</v>
      </c>
      <c r="ALZ5" s="16">
        <v>14</v>
      </c>
      <c r="AMA5" s="38"/>
      <c r="AMB5" s="39">
        <f>(ALU5*12)+ALT5-ALZ5</f>
        <v>-3</v>
      </c>
      <c r="AMC5" s="5"/>
      <c r="AMD5" s="40">
        <f>(AMB5-AMC5)</f>
        <v>-3</v>
      </c>
      <c r="AMF5" s="16">
        <v>38</v>
      </c>
      <c r="AMG5" s="38"/>
      <c r="AMH5" s="39">
        <f>(AMA5*12)+ALZ5-AMF5</f>
        <v>-24</v>
      </c>
      <c r="AMI5" s="5"/>
      <c r="AMJ5" s="40">
        <f>(AMH5-AMI5)</f>
        <v>-24</v>
      </c>
      <c r="AML5" s="16">
        <v>10</v>
      </c>
      <c r="AMM5" s="38"/>
      <c r="AMN5" s="39">
        <f>(AMG5*12)+AMF5-AML5</f>
        <v>28</v>
      </c>
      <c r="AMO5" s="5"/>
      <c r="AMP5" s="40">
        <f>(AMN5-AMO5)</f>
        <v>28</v>
      </c>
      <c r="AMR5" s="16">
        <v>36</v>
      </c>
      <c r="AMS5" s="38"/>
      <c r="AMT5" s="39">
        <f>(AMM5*12)+AML5-AMR5</f>
        <v>-26</v>
      </c>
      <c r="AMU5" s="5"/>
      <c r="AMV5" s="40">
        <f>(AMT5-AMU5)</f>
        <v>-26</v>
      </c>
      <c r="AMX5" s="16">
        <v>23</v>
      </c>
      <c r="AMY5" s="38"/>
      <c r="AMZ5" s="39">
        <f>(AMS5*12)+AMR5-AMX5</f>
        <v>13</v>
      </c>
      <c r="ANA5" s="5"/>
      <c r="ANB5" s="40">
        <f>(AMZ5-ANA5)</f>
        <v>13</v>
      </c>
      <c r="AND5" s="16">
        <v>53</v>
      </c>
      <c r="ANE5" s="38"/>
      <c r="ANF5" s="39">
        <f>(AMY5*12)+AMX5-AND5</f>
        <v>-30</v>
      </c>
      <c r="ANG5" s="5"/>
      <c r="ANH5" s="40">
        <f>(ANF5-ANG5)</f>
        <v>-30</v>
      </c>
      <c r="ANJ5" s="16">
        <v>25</v>
      </c>
      <c r="ANK5" s="38"/>
      <c r="ANL5" s="39">
        <f>(ANE5*12)+AND5-ANJ5</f>
        <v>28</v>
      </c>
      <c r="ANM5" s="5"/>
      <c r="ANN5" s="40">
        <f>(ANL5-ANM5)</f>
        <v>28</v>
      </c>
      <c r="ANP5" s="16">
        <v>50</v>
      </c>
      <c r="ANQ5" s="38"/>
      <c r="ANR5" s="39">
        <f>(ANK5*12)+ANJ5-ANP5</f>
        <v>-25</v>
      </c>
      <c r="ANS5" s="5"/>
      <c r="ANT5" s="40">
        <f>(ANR5-ANS5)</f>
        <v>-25</v>
      </c>
      <c r="ANV5" s="16">
        <v>18</v>
      </c>
      <c r="ANW5" s="38"/>
      <c r="ANX5" s="39">
        <f>(ANQ5*12)+ANP5-ANV5</f>
        <v>32</v>
      </c>
      <c r="ANY5" s="5"/>
      <c r="ANZ5" s="40">
        <f>(ANX5-ANY5)</f>
        <v>32</v>
      </c>
      <c r="AOB5" s="16">
        <v>28</v>
      </c>
      <c r="AOC5" s="38">
        <v>12</v>
      </c>
      <c r="AOD5" s="39">
        <f>(ANW5*12)+ANV5-AOB5</f>
        <v>-10</v>
      </c>
      <c r="AOE5" s="5"/>
      <c r="AOF5" s="40">
        <f>(AOD5-AOE5)</f>
        <v>-10</v>
      </c>
      <c r="AOH5" s="16">
        <v>5</v>
      </c>
      <c r="AOI5" s="38">
        <v>48</v>
      </c>
      <c r="AOJ5" s="39">
        <f>(AOC5*12)+AOB5-AOH5</f>
        <v>167</v>
      </c>
      <c r="AOK5" s="5"/>
      <c r="AOL5" s="40">
        <f>(AOJ5-AOK5)</f>
        <v>167</v>
      </c>
      <c r="AON5" s="16">
        <v>0</v>
      </c>
      <c r="AOO5" s="38"/>
      <c r="AOP5" s="39">
        <f>(AOI5*12)+AOH5-AON5</f>
        <v>581</v>
      </c>
      <c r="AOQ5" s="5"/>
      <c r="AOR5" s="40">
        <f>(AOP5-AOQ5)</f>
        <v>581</v>
      </c>
    </row>
    <row r="6" spans="1:1024 1026:1085" x14ac:dyDescent="0.25">
      <c r="A6" s="3" t="s">
        <v>22</v>
      </c>
      <c r="B6" s="3">
        <v>10645</v>
      </c>
      <c r="C6" s="5" t="s">
        <v>20</v>
      </c>
      <c r="D6" s="27">
        <v>36</v>
      </c>
      <c r="F6" s="50"/>
      <c r="G6" s="51"/>
      <c r="H6" s="52"/>
      <c r="I6" s="51"/>
      <c r="J6" s="51"/>
      <c r="L6" s="50"/>
      <c r="M6" s="51"/>
      <c r="N6" s="53"/>
      <c r="O6" s="51"/>
      <c r="P6" s="54"/>
      <c r="R6" s="50"/>
      <c r="S6" s="51"/>
      <c r="T6" s="53"/>
      <c r="U6" s="51"/>
      <c r="V6" s="54"/>
      <c r="X6" s="50"/>
      <c r="Y6" s="51"/>
      <c r="Z6" s="53"/>
      <c r="AA6" s="51"/>
      <c r="AB6" s="54"/>
      <c r="AD6" s="50"/>
      <c r="AE6" s="51"/>
      <c r="AF6" s="53"/>
      <c r="AG6" s="51"/>
      <c r="AH6" s="54"/>
      <c r="AJ6" s="50"/>
      <c r="AK6" s="51"/>
      <c r="AL6" s="53"/>
      <c r="AM6" s="51"/>
      <c r="AN6" s="54"/>
      <c r="AP6" s="50"/>
      <c r="AQ6" s="51"/>
      <c r="AR6" s="53"/>
      <c r="AS6" s="51"/>
      <c r="AT6" s="54"/>
      <c r="AV6" s="50"/>
      <c r="AW6" s="51"/>
      <c r="AX6" s="53"/>
      <c r="AY6" s="51"/>
      <c r="AZ6" s="54"/>
      <c r="BB6" s="50"/>
      <c r="BC6" s="51"/>
      <c r="BD6" s="53"/>
      <c r="BE6" s="51"/>
      <c r="BF6" s="54"/>
      <c r="BH6" s="50"/>
      <c r="BI6" s="51"/>
      <c r="BJ6" s="53"/>
      <c r="BK6" s="51"/>
      <c r="BL6" s="54"/>
      <c r="BN6" s="50"/>
      <c r="BO6" s="51"/>
      <c r="BP6" s="53"/>
      <c r="BQ6" s="51"/>
      <c r="BR6" s="54"/>
      <c r="BT6" s="50"/>
      <c r="BU6" s="51"/>
      <c r="BV6" s="53"/>
      <c r="BW6" s="51"/>
      <c r="BX6" s="54"/>
      <c r="BZ6" s="50"/>
      <c r="CA6" s="51"/>
      <c r="CB6" s="53"/>
      <c r="CC6" s="51"/>
      <c r="CD6" s="54"/>
      <c r="CF6" s="50"/>
      <c r="CG6" s="51"/>
      <c r="CH6" s="53"/>
      <c r="CI6" s="1"/>
      <c r="CJ6" s="54"/>
      <c r="CL6" s="50"/>
      <c r="CM6" s="51"/>
      <c r="CN6" s="53"/>
      <c r="CO6" s="1"/>
      <c r="CP6" s="54"/>
      <c r="CR6" s="50"/>
      <c r="CS6" s="51"/>
      <c r="CT6" s="53"/>
      <c r="CU6" s="1"/>
      <c r="CV6" s="54"/>
      <c r="CX6" s="50"/>
      <c r="CY6" s="55"/>
      <c r="CZ6" s="56"/>
      <c r="DA6" s="1"/>
      <c r="DB6" s="57"/>
      <c r="DD6" s="50"/>
      <c r="DE6" s="55"/>
      <c r="DF6" s="56"/>
      <c r="DG6" s="1"/>
      <c r="DH6" s="57"/>
      <c r="DJ6" s="50"/>
      <c r="DK6" s="55"/>
      <c r="DL6" s="56"/>
      <c r="DM6" s="1"/>
      <c r="DN6" s="57"/>
      <c r="DP6" s="50"/>
      <c r="DQ6" s="55"/>
      <c r="DR6" s="56"/>
      <c r="DS6" s="1"/>
      <c r="DT6" s="57"/>
      <c r="DV6" s="50"/>
      <c r="DW6" s="55"/>
      <c r="DX6" s="56"/>
      <c r="DY6" s="1"/>
      <c r="DZ6" s="57"/>
      <c r="EB6" s="50"/>
      <c r="EC6" s="55"/>
      <c r="ED6" s="56"/>
      <c r="EE6" s="1"/>
      <c r="EF6" s="57"/>
      <c r="EH6" s="50"/>
      <c r="EI6" s="55"/>
      <c r="EJ6" s="56"/>
      <c r="EK6" s="1"/>
      <c r="EL6" s="57"/>
      <c r="EN6" s="50"/>
      <c r="EO6" s="55"/>
      <c r="EP6" s="56"/>
      <c r="EQ6" s="1"/>
      <c r="ER6" s="57"/>
      <c r="ET6" s="50"/>
      <c r="EU6" s="55"/>
      <c r="EV6" s="56"/>
      <c r="EW6" s="1"/>
      <c r="EX6" s="57"/>
      <c r="EZ6" s="50"/>
      <c r="FA6" s="55"/>
      <c r="FB6" s="56"/>
      <c r="FC6" s="1"/>
      <c r="FD6" s="57"/>
      <c r="FF6" s="50"/>
      <c r="FG6" s="55"/>
      <c r="FH6" s="56"/>
      <c r="FI6" s="1"/>
      <c r="FJ6" s="57"/>
      <c r="FL6" s="50"/>
      <c r="FM6" s="55"/>
      <c r="FN6" s="56"/>
      <c r="FO6" s="1"/>
      <c r="FP6" s="57"/>
      <c r="FR6" s="50"/>
      <c r="FS6" s="55"/>
      <c r="FT6" s="56"/>
      <c r="FU6" s="1"/>
      <c r="FV6" s="57"/>
      <c r="FX6" s="50"/>
      <c r="FY6" s="55"/>
      <c r="FZ6" s="56"/>
      <c r="GA6" s="1"/>
      <c r="GB6" s="57"/>
      <c r="GD6" s="50"/>
      <c r="GE6" s="55"/>
      <c r="GF6" s="56"/>
      <c r="GG6" s="1"/>
      <c r="GH6" s="57"/>
      <c r="GJ6" s="50"/>
      <c r="GK6" s="55"/>
      <c r="GL6" s="56"/>
      <c r="GM6" s="1"/>
      <c r="GN6" s="57"/>
      <c r="GP6" s="50"/>
      <c r="GQ6" s="55"/>
      <c r="GR6" s="56"/>
      <c r="GS6" s="1"/>
      <c r="GT6" s="57"/>
      <c r="GV6" s="50"/>
      <c r="GW6" s="55"/>
      <c r="GX6" s="56"/>
      <c r="GY6" s="1"/>
      <c r="GZ6" s="57"/>
      <c r="HB6" s="50"/>
      <c r="HC6" s="55"/>
      <c r="HD6" s="56"/>
      <c r="HE6" s="1"/>
      <c r="HF6" s="57"/>
      <c r="HH6" s="50"/>
      <c r="HI6" s="55"/>
      <c r="HJ6" s="56"/>
      <c r="HK6" s="1"/>
      <c r="HL6" s="57"/>
      <c r="HN6" s="50"/>
      <c r="HO6" s="55"/>
      <c r="HP6" s="56"/>
      <c r="HQ6" s="1"/>
      <c r="HR6" s="57"/>
      <c r="HT6" s="50"/>
      <c r="HU6" s="55"/>
      <c r="HV6" s="56"/>
      <c r="HW6" s="1"/>
      <c r="HX6" s="57"/>
      <c r="HZ6" s="50"/>
      <c r="IA6" s="55"/>
      <c r="IB6" s="56"/>
      <c r="IC6" s="1"/>
      <c r="ID6" s="57"/>
      <c r="IF6" s="50"/>
      <c r="IG6" s="55"/>
      <c r="IH6" s="56"/>
      <c r="II6" s="1"/>
      <c r="IJ6" s="57"/>
      <c r="IL6" s="50"/>
      <c r="IM6" s="55"/>
      <c r="IN6" s="56"/>
      <c r="IO6" s="1"/>
      <c r="IP6" s="57"/>
      <c r="IR6" s="50"/>
      <c r="IS6" s="55"/>
      <c r="IT6" s="56"/>
      <c r="IU6" s="1"/>
      <c r="IV6" s="57"/>
      <c r="IX6" s="50"/>
      <c r="IY6" s="55"/>
      <c r="IZ6" s="56"/>
      <c r="JA6" s="1"/>
      <c r="JB6" s="57"/>
      <c r="JD6" s="50"/>
      <c r="JE6" s="55"/>
      <c r="JF6" s="56"/>
      <c r="JG6" s="1"/>
      <c r="JH6" s="57"/>
      <c r="JJ6" s="50"/>
      <c r="JK6" s="55"/>
      <c r="JL6" s="56"/>
      <c r="JM6" s="1"/>
      <c r="JN6" s="57"/>
      <c r="JP6" s="50"/>
      <c r="JQ6" s="55"/>
      <c r="JR6" s="56"/>
      <c r="JS6" s="1"/>
      <c r="JT6" s="57"/>
      <c r="JV6" s="50"/>
      <c r="JW6" s="55"/>
      <c r="JX6" s="56"/>
      <c r="JY6" s="1"/>
      <c r="JZ6" s="57"/>
      <c r="KB6" s="50"/>
      <c r="KC6" s="55"/>
      <c r="KD6" s="56"/>
      <c r="KE6" s="1"/>
      <c r="KF6" s="57"/>
      <c r="KH6" s="50"/>
      <c r="KI6" s="55"/>
      <c r="KJ6" s="56"/>
      <c r="KK6" s="1"/>
      <c r="KL6" s="57"/>
      <c r="KN6" s="50"/>
      <c r="KO6" s="55"/>
      <c r="KP6" s="56"/>
      <c r="KQ6" s="1"/>
      <c r="KR6" s="57"/>
      <c r="KT6" s="50"/>
      <c r="KU6" s="55"/>
      <c r="KV6" s="56"/>
      <c r="KW6" s="1"/>
      <c r="KX6" s="57"/>
      <c r="KZ6" s="50"/>
      <c r="LA6" s="55"/>
      <c r="LB6" s="56"/>
      <c r="LC6" s="1"/>
      <c r="LD6" s="57"/>
      <c r="LF6" s="50"/>
      <c r="LG6" s="55"/>
      <c r="LH6" s="56"/>
      <c r="LI6" s="1"/>
      <c r="LJ6" s="57"/>
      <c r="LL6" s="50"/>
      <c r="LM6" s="55"/>
      <c r="LN6" s="56"/>
      <c r="LO6" s="1"/>
      <c r="LP6" s="57"/>
      <c r="LR6" s="50"/>
      <c r="LS6" s="55"/>
      <c r="LT6" s="56"/>
      <c r="LU6" s="1"/>
      <c r="LV6" s="57"/>
      <c r="LX6" s="50"/>
      <c r="LY6" s="55"/>
      <c r="LZ6" s="56"/>
      <c r="MA6" s="1"/>
      <c r="MB6" s="57"/>
      <c r="MD6" s="50"/>
      <c r="ME6" s="55"/>
      <c r="MF6" s="56"/>
      <c r="MG6" s="1"/>
      <c r="MH6" s="57"/>
      <c r="MJ6" s="50"/>
      <c r="MK6" s="55"/>
      <c r="ML6" s="56"/>
      <c r="MM6" s="1"/>
      <c r="MN6" s="57"/>
      <c r="MP6" s="50"/>
      <c r="MQ6" s="55"/>
      <c r="MR6" s="56"/>
      <c r="MS6" s="1"/>
      <c r="MT6" s="57"/>
      <c r="MV6" s="50"/>
      <c r="MW6" s="55"/>
      <c r="MX6" s="56"/>
      <c r="MY6" s="1"/>
      <c r="MZ6" s="57"/>
      <c r="NB6" s="50"/>
      <c r="NC6" s="55"/>
      <c r="ND6" s="56"/>
      <c r="NE6" s="1"/>
      <c r="NF6" s="57"/>
      <c r="NH6" s="50"/>
      <c r="NI6" s="55"/>
      <c r="NJ6" s="56"/>
      <c r="NK6" s="1"/>
      <c r="NL6" s="57"/>
      <c r="NN6" s="50"/>
      <c r="NO6" s="55"/>
      <c r="NP6" s="56"/>
      <c r="NQ6" s="1"/>
      <c r="NR6" s="57"/>
      <c r="NT6" s="50"/>
      <c r="NU6" s="55"/>
      <c r="NV6" s="56"/>
      <c r="NW6" s="1"/>
      <c r="NX6" s="57"/>
      <c r="NZ6" s="50"/>
      <c r="OA6" s="55"/>
      <c r="OB6" s="56"/>
      <c r="OC6" s="1"/>
      <c r="OD6" s="57"/>
      <c r="OF6" s="50"/>
      <c r="OG6" s="55"/>
      <c r="OH6" s="56"/>
      <c r="OI6" s="1"/>
      <c r="OJ6" s="57"/>
      <c r="OL6" s="50"/>
      <c r="OM6" s="55"/>
      <c r="ON6" s="56"/>
      <c r="OO6" s="1"/>
      <c r="OP6" s="57"/>
      <c r="OR6" s="50"/>
      <c r="OS6" s="55"/>
      <c r="OT6" s="56"/>
      <c r="OU6" s="1"/>
      <c r="OV6" s="57"/>
      <c r="OX6" s="50"/>
      <c r="OY6" s="55"/>
      <c r="OZ6" s="56"/>
      <c r="PA6" s="1"/>
      <c r="PB6" s="57"/>
      <c r="PD6" s="50"/>
      <c r="PE6" s="55"/>
      <c r="PF6" s="56"/>
      <c r="PG6" s="1"/>
      <c r="PH6" s="57"/>
      <c r="PJ6" s="50"/>
      <c r="PK6" s="55"/>
      <c r="PL6" s="56"/>
      <c r="PM6" s="1"/>
      <c r="PN6" s="57"/>
      <c r="PP6" s="50"/>
      <c r="PQ6" s="55"/>
      <c r="PR6" s="56"/>
      <c r="PS6" s="1"/>
      <c r="PT6" s="57"/>
      <c r="PV6" s="50"/>
      <c r="PW6" s="55"/>
      <c r="PX6" s="56"/>
      <c r="PY6" s="1"/>
      <c r="PZ6" s="57"/>
      <c r="QB6" s="50"/>
      <c r="QC6" s="55"/>
      <c r="QD6" s="56"/>
      <c r="QE6" s="1"/>
      <c r="QF6" s="57"/>
      <c r="QH6" s="50"/>
      <c r="QI6" s="55"/>
      <c r="QJ6" s="56"/>
      <c r="QK6" s="1"/>
      <c r="QL6" s="57"/>
      <c r="QN6" s="50"/>
      <c r="QO6" s="55"/>
      <c r="QP6" s="56"/>
      <c r="QQ6" s="1"/>
      <c r="QR6" s="57"/>
      <c r="QT6" s="50"/>
      <c r="QU6" s="55"/>
      <c r="QV6" s="56"/>
      <c r="QW6" s="1"/>
      <c r="QX6" s="57"/>
      <c r="QZ6" s="50"/>
      <c r="RA6" s="55"/>
      <c r="RB6" s="56"/>
      <c r="RC6" s="1"/>
      <c r="RD6" s="57"/>
      <c r="RF6" s="50"/>
      <c r="RG6" s="55"/>
      <c r="RH6" s="56"/>
      <c r="RI6" s="1"/>
      <c r="RJ6" s="57"/>
      <c r="RL6" s="50"/>
      <c r="RM6" s="55"/>
      <c r="RN6" s="56"/>
      <c r="RO6" s="1"/>
      <c r="RP6" s="57"/>
      <c r="RR6" s="50"/>
      <c r="RS6" s="55"/>
      <c r="RT6" s="56"/>
      <c r="RU6" s="1"/>
      <c r="RV6" s="57"/>
      <c r="RX6" s="50"/>
      <c r="RY6" s="55"/>
      <c r="RZ6" s="56"/>
      <c r="SA6" s="1"/>
      <c r="SB6" s="57"/>
      <c r="SD6" s="50"/>
      <c r="SE6" s="55"/>
      <c r="SF6" s="56"/>
      <c r="SG6" s="1"/>
      <c r="SH6" s="57"/>
      <c r="SJ6" s="50"/>
      <c r="SK6" s="55"/>
      <c r="SL6" s="56"/>
      <c r="SM6" s="1"/>
      <c r="SN6" s="57"/>
      <c r="SP6" s="50"/>
      <c r="SQ6" s="55"/>
      <c r="SR6" s="56"/>
      <c r="SS6" s="1"/>
      <c r="ST6" s="57"/>
      <c r="SV6" s="16"/>
      <c r="SW6" s="33"/>
      <c r="SX6" s="39">
        <f>(SQ6*12)+SP6-SV6</f>
        <v>0</v>
      </c>
      <c r="SY6" s="5"/>
      <c r="SZ6" s="40">
        <f t="shared" ref="SZ6" si="124">(SY6-SX6)</f>
        <v>0</v>
      </c>
      <c r="TB6" s="16"/>
      <c r="TC6" s="33"/>
      <c r="TD6" s="39">
        <f>(SW6*12)+SV6-TB6</f>
        <v>0</v>
      </c>
      <c r="TE6" s="5"/>
      <c r="TF6" s="40">
        <f>(TE6-TD6)</f>
        <v>0</v>
      </c>
      <c r="TH6" s="16">
        <v>0</v>
      </c>
      <c r="TI6" s="38"/>
      <c r="TJ6" s="39">
        <f>(TC6*12)+TB6-TH6</f>
        <v>0</v>
      </c>
      <c r="TK6" s="5"/>
      <c r="TL6" s="40">
        <f>(TK6-TJ6)</f>
        <v>0</v>
      </c>
      <c r="TN6" s="16">
        <v>3</v>
      </c>
      <c r="TO6" s="38"/>
      <c r="TP6" s="39">
        <f>(TI6*12)+TH6-TN6</f>
        <v>-3</v>
      </c>
      <c r="TQ6" s="5"/>
      <c r="TR6" s="40">
        <f>(TQ6-TP6)</f>
        <v>3</v>
      </c>
      <c r="TT6" s="16">
        <v>25</v>
      </c>
      <c r="TU6" s="38"/>
      <c r="TV6" s="39">
        <f>(TO6*12)+TN6-TT6</f>
        <v>-22</v>
      </c>
      <c r="TW6" s="5"/>
      <c r="TX6" s="40">
        <f>(TW6-TV6)</f>
        <v>22</v>
      </c>
      <c r="TZ6" s="16">
        <v>8</v>
      </c>
      <c r="UA6" s="38"/>
      <c r="UB6" s="39">
        <f>(TU6*12)+TT6-TZ6</f>
        <v>17</v>
      </c>
      <c r="UC6" s="5"/>
      <c r="UD6" s="40">
        <f>(UC6-UB6)</f>
        <v>-17</v>
      </c>
      <c r="UF6" s="16">
        <v>8</v>
      </c>
      <c r="UG6" s="38"/>
      <c r="UH6" s="39">
        <f>(UA6*12)+TZ6-UF6</f>
        <v>0</v>
      </c>
      <c r="UI6" s="5"/>
      <c r="UJ6" s="40">
        <f>(UI6-UH6)</f>
        <v>0</v>
      </c>
      <c r="UL6" s="16">
        <v>0</v>
      </c>
      <c r="UM6" s="38"/>
      <c r="UN6" s="39">
        <f>(UG6*12)+UF6-UL6</f>
        <v>8</v>
      </c>
      <c r="UO6" s="5"/>
      <c r="UP6" s="40">
        <f>(UO6-UN6)</f>
        <v>-8</v>
      </c>
      <c r="UR6" s="16">
        <v>28</v>
      </c>
      <c r="US6" s="38"/>
      <c r="UT6" s="39">
        <f>(UM6*12)+UL6-UR6</f>
        <v>-28</v>
      </c>
      <c r="UU6" s="5"/>
      <c r="UV6" s="40">
        <f>(UU6-UT6)</f>
        <v>28</v>
      </c>
      <c r="UX6" s="16">
        <v>21</v>
      </c>
      <c r="UY6" s="38"/>
      <c r="UZ6" s="39">
        <f>(US6*12)+UR6-UX6</f>
        <v>7</v>
      </c>
      <c r="VA6" s="5"/>
      <c r="VB6" s="40">
        <f>(VA6-UZ6)</f>
        <v>-7</v>
      </c>
      <c r="VD6" s="16">
        <v>19</v>
      </c>
      <c r="VE6" s="38"/>
      <c r="VF6" s="39">
        <f>(UY6*12)+UX6-VD6</f>
        <v>2</v>
      </c>
      <c r="VG6" s="5"/>
      <c r="VH6" s="40">
        <f>(VG6-VF6)</f>
        <v>-2</v>
      </c>
      <c r="VJ6" s="16">
        <v>7</v>
      </c>
      <c r="VK6" s="38"/>
      <c r="VL6" s="39">
        <f>(VE6*12)+VD6-VJ6</f>
        <v>12</v>
      </c>
      <c r="VM6" s="5"/>
      <c r="VN6" s="40">
        <f>(VM6-VL6)</f>
        <v>-12</v>
      </c>
      <c r="VP6" s="16">
        <v>0</v>
      </c>
      <c r="VQ6" s="38"/>
      <c r="VR6" s="39">
        <f>(VK6*12)+VJ6-VP6</f>
        <v>7</v>
      </c>
      <c r="VS6" s="5"/>
      <c r="VT6" s="40">
        <f>(VS6-VR6)</f>
        <v>-7</v>
      </c>
      <c r="VV6" s="16">
        <v>0</v>
      </c>
      <c r="VW6" s="38"/>
      <c r="VX6" s="39">
        <f>(VQ6*12)+VP6-VV6</f>
        <v>0</v>
      </c>
      <c r="VY6" s="5"/>
      <c r="VZ6" s="40">
        <f>(VY6-VX6)</f>
        <v>0</v>
      </c>
      <c r="WB6" s="16"/>
      <c r="WC6" s="38"/>
      <c r="WD6" s="39">
        <f>(VW6*12)+VV6-WB6</f>
        <v>0</v>
      </c>
      <c r="WE6" s="5"/>
      <c r="WF6" s="40">
        <f>(WE6-WD6)</f>
        <v>0</v>
      </c>
      <c r="WH6" s="16">
        <v>45</v>
      </c>
      <c r="WI6" s="38"/>
      <c r="WJ6" s="39">
        <f>(WC6*12)+WB6-WH6</f>
        <v>-45</v>
      </c>
      <c r="WK6" s="5"/>
      <c r="WL6" s="40">
        <f>(WK6-WJ6)</f>
        <v>45</v>
      </c>
      <c r="WN6" s="16">
        <v>14</v>
      </c>
      <c r="WO6" s="38"/>
      <c r="WP6" s="39">
        <f>(WI6*12)+WH6-WN6</f>
        <v>31</v>
      </c>
      <c r="WQ6" s="5"/>
      <c r="WR6" s="40">
        <f>(WP6-WQ6)</f>
        <v>31</v>
      </c>
      <c r="WT6" s="16"/>
      <c r="WU6" s="38">
        <v>3</v>
      </c>
      <c r="WV6" s="39">
        <f>(WO6*12)+WN6-WT6</f>
        <v>14</v>
      </c>
      <c r="WW6" s="5"/>
      <c r="WX6" s="40">
        <f>(WV6-WW6)</f>
        <v>14</v>
      </c>
      <c r="WZ6" s="16">
        <v>18</v>
      </c>
      <c r="XA6" s="38"/>
      <c r="XB6" s="39">
        <f>(WU6*12)+WT6-WZ6</f>
        <v>18</v>
      </c>
      <c r="XC6" s="5"/>
      <c r="XD6" s="40">
        <f>(XB6-XC6)</f>
        <v>18</v>
      </c>
      <c r="XF6" s="16">
        <v>36</v>
      </c>
      <c r="XG6" s="38"/>
      <c r="XH6" s="39">
        <f>(XA6*12)+WZ6-XF6</f>
        <v>-18</v>
      </c>
      <c r="XI6" s="5"/>
      <c r="XJ6" s="40">
        <f>(XH6-XI6)</f>
        <v>-18</v>
      </c>
      <c r="XL6" s="16">
        <v>20</v>
      </c>
      <c r="XM6" s="38"/>
      <c r="XN6" s="39">
        <f>(XG6*12)+XF6-XL6</f>
        <v>16</v>
      </c>
      <c r="XO6" s="5"/>
      <c r="XP6" s="40">
        <f>(XN6-XO6)</f>
        <v>16</v>
      </c>
      <c r="XR6" s="16">
        <v>59</v>
      </c>
      <c r="XS6" s="38"/>
      <c r="XT6" s="39">
        <f>(XM6*12)+XL6-XR6</f>
        <v>-39</v>
      </c>
      <c r="XU6" s="5"/>
      <c r="XV6" s="40">
        <f>(XT6-XU6)</f>
        <v>-39</v>
      </c>
      <c r="XX6" s="16">
        <v>60</v>
      </c>
      <c r="XY6" s="38"/>
      <c r="XZ6" s="39">
        <f>(XS6*12)+XR6-XX6</f>
        <v>-1</v>
      </c>
      <c r="YA6" s="5"/>
      <c r="YB6" s="40">
        <f>(XZ6-YA6)</f>
        <v>-1</v>
      </c>
      <c r="YD6" s="16">
        <v>37</v>
      </c>
      <c r="YE6" s="38"/>
      <c r="YF6" s="39">
        <f>(XY6*12)+XX6-YD6</f>
        <v>23</v>
      </c>
      <c r="YG6" s="5"/>
      <c r="YH6" s="40">
        <f>(YF6-YG6)</f>
        <v>23</v>
      </c>
      <c r="YJ6" s="16">
        <v>15</v>
      </c>
      <c r="YK6" s="38"/>
      <c r="YL6" s="39">
        <f>(YE6*12)+YD6-YJ6</f>
        <v>22</v>
      </c>
      <c r="YM6" s="5"/>
      <c r="YN6" s="40">
        <f>(YL6-YM6)</f>
        <v>22</v>
      </c>
      <c r="YP6" s="16">
        <v>32</v>
      </c>
      <c r="YQ6" s="38"/>
      <c r="YR6" s="39">
        <f>(YK6*12)+YJ6-YP6</f>
        <v>-17</v>
      </c>
      <c r="YS6" s="5"/>
      <c r="YT6" s="40">
        <f>(YR6-YS6)</f>
        <v>-17</v>
      </c>
      <c r="YV6" s="16">
        <v>24</v>
      </c>
      <c r="YW6" s="38"/>
      <c r="YX6" s="39">
        <f>(YQ6*12)+YP6-YV6</f>
        <v>8</v>
      </c>
      <c r="YY6" s="5"/>
      <c r="YZ6" s="40">
        <f>(YX6-YY6)</f>
        <v>8</v>
      </c>
      <c r="ZB6" s="16">
        <v>24</v>
      </c>
      <c r="ZC6" s="38"/>
      <c r="ZD6" s="39">
        <f>(YW6*12)+YV6-ZB6</f>
        <v>0</v>
      </c>
      <c r="ZE6" s="5"/>
      <c r="ZF6" s="40">
        <f>(ZD6-ZE6)</f>
        <v>0</v>
      </c>
      <c r="ZH6" s="16">
        <v>0</v>
      </c>
      <c r="ZI6" s="38"/>
      <c r="ZJ6" s="39">
        <f>(ZC6*12)+ZB6-ZH6</f>
        <v>24</v>
      </c>
      <c r="ZK6" s="5"/>
      <c r="ZL6" s="40">
        <f>(ZJ6-ZK6)</f>
        <v>24</v>
      </c>
      <c r="ZN6" s="16">
        <v>4</v>
      </c>
      <c r="ZO6" s="38"/>
      <c r="ZP6" s="39">
        <f>(ZI6*12)+ZH6-ZN6</f>
        <v>-4</v>
      </c>
      <c r="ZQ6" s="5"/>
      <c r="ZR6" s="40">
        <f>(ZP6-ZQ6)</f>
        <v>-4</v>
      </c>
      <c r="ZT6" s="16">
        <v>16</v>
      </c>
      <c r="ZU6" s="38"/>
      <c r="ZV6" s="39">
        <f>(ZO6*12)+ZN6-ZT6</f>
        <v>-12</v>
      </c>
      <c r="ZW6" s="5"/>
      <c r="ZX6" s="40">
        <f>(ZV6-ZW6)</f>
        <v>-12</v>
      </c>
      <c r="ZZ6" s="16">
        <v>26</v>
      </c>
      <c r="AAA6" s="38"/>
      <c r="AAB6" s="39">
        <f>(ZU6*12)+ZT6-ZZ6</f>
        <v>-10</v>
      </c>
      <c r="AAC6" s="5"/>
      <c r="AAD6" s="40">
        <f>(AAB6-AAC6)</f>
        <v>-10</v>
      </c>
      <c r="AAF6" s="16">
        <v>7</v>
      </c>
      <c r="AAG6" s="38"/>
      <c r="AAH6" s="39">
        <f>(AAA6*12)+ZZ6-AAF6</f>
        <v>19</v>
      </c>
      <c r="AAI6" s="5"/>
      <c r="AAJ6" s="40">
        <f>(AAH6-AAI6)</f>
        <v>19</v>
      </c>
      <c r="AAL6" s="16">
        <v>4</v>
      </c>
      <c r="AAM6" s="38"/>
      <c r="AAN6" s="39">
        <f>(AAG6*12)+AAF6-AAL6</f>
        <v>3</v>
      </c>
      <c r="AAO6" s="5"/>
      <c r="AAP6" s="40">
        <f>(AAN6-AAO6)</f>
        <v>3</v>
      </c>
      <c r="AAR6" s="16">
        <v>0</v>
      </c>
      <c r="AAS6" s="38"/>
      <c r="AAT6" s="39">
        <f>(AAM6*12)+AAL6-AAR6</f>
        <v>4</v>
      </c>
      <c r="AAU6" s="5"/>
      <c r="AAV6" s="40">
        <f>(AAT6-AAU6)</f>
        <v>4</v>
      </c>
      <c r="AAX6" s="16">
        <v>4</v>
      </c>
      <c r="AAY6" s="38"/>
      <c r="AAZ6" s="39">
        <f>(AAS6*12)+AAR6-AAX6</f>
        <v>-4</v>
      </c>
      <c r="ABA6" s="5"/>
      <c r="ABB6" s="40">
        <f>(AAZ6-ABA6)</f>
        <v>-4</v>
      </c>
      <c r="ABD6" s="16">
        <v>5</v>
      </c>
      <c r="ABE6" s="38"/>
      <c r="ABF6" s="39">
        <f>(AAY6*12)+AAX6-ABD6</f>
        <v>-1</v>
      </c>
      <c r="ABG6" s="5"/>
      <c r="ABH6" s="40">
        <f>(ABF6-ABG6)</f>
        <v>-1</v>
      </c>
      <c r="ABJ6" s="16">
        <v>11</v>
      </c>
      <c r="ABK6" s="38"/>
      <c r="ABL6" s="39">
        <f>(ABE6*12)+ABD6-ABJ6</f>
        <v>-6</v>
      </c>
      <c r="ABM6" s="5"/>
      <c r="ABN6" s="40">
        <f>(ABL6-ABM6)</f>
        <v>-6</v>
      </c>
      <c r="ABP6" s="16">
        <v>11</v>
      </c>
      <c r="ABQ6" s="38"/>
      <c r="ABR6" s="39">
        <f>(ABK6*12)+ABJ6-ABP6</f>
        <v>0</v>
      </c>
      <c r="ABS6" s="5"/>
      <c r="ABT6" s="40">
        <f>(ABR6-ABS6)</f>
        <v>0</v>
      </c>
      <c r="ABV6" s="16">
        <v>7</v>
      </c>
      <c r="ABW6" s="38"/>
      <c r="ABX6" s="39">
        <f>(ABQ6*12)+ABP6-ABV6</f>
        <v>4</v>
      </c>
      <c r="ABY6" s="5"/>
      <c r="ABZ6" s="40">
        <f>(ABX6-ABY6)</f>
        <v>4</v>
      </c>
      <c r="ACB6" s="16">
        <v>20</v>
      </c>
      <c r="ACC6" s="38"/>
      <c r="ACD6" s="39">
        <f>(ABW6*12)+ABV6-ACB6</f>
        <v>-13</v>
      </c>
      <c r="ACE6" s="5"/>
      <c r="ACF6" s="40">
        <f>(ACD6-ACE6)</f>
        <v>-13</v>
      </c>
      <c r="ACH6" s="16">
        <v>5</v>
      </c>
      <c r="ACI6" s="38"/>
      <c r="ACJ6" s="39">
        <f>(ACC6*12)+ACB6-ACH6</f>
        <v>15</v>
      </c>
      <c r="ACK6" s="5"/>
      <c r="ACL6" s="40">
        <f>(ACJ6-ACK6)</f>
        <v>15</v>
      </c>
      <c r="ACN6" s="16">
        <v>21</v>
      </c>
      <c r="ACO6" s="38"/>
      <c r="ACP6" s="39">
        <f>(ACI6*12)+ACH6-ACN6</f>
        <v>-16</v>
      </c>
      <c r="ACQ6" s="5"/>
      <c r="ACR6" s="40">
        <f>(ACP6-ACQ6)</f>
        <v>-16</v>
      </c>
      <c r="ACT6" s="16">
        <v>8</v>
      </c>
      <c r="ACU6" s="38"/>
      <c r="ACV6" s="39">
        <f>(ACO6*12)+ACN6-ACT6</f>
        <v>13</v>
      </c>
      <c r="ACW6" s="5"/>
      <c r="ACX6" s="40">
        <f>(ACV6-ACW6)</f>
        <v>13</v>
      </c>
      <c r="ACZ6" s="16">
        <v>4</v>
      </c>
      <c r="ADA6" s="38"/>
      <c r="ADB6" s="39">
        <f>(ACU6*12)+ACT6-ACZ6</f>
        <v>4</v>
      </c>
      <c r="ADC6" s="5"/>
      <c r="ADD6" s="40">
        <f>(ADB6-ADC6)</f>
        <v>4</v>
      </c>
      <c r="ADF6" s="16">
        <v>0</v>
      </c>
      <c r="ADG6" s="38"/>
      <c r="ADH6" s="39">
        <f>(ADA6*12)+ACZ6-ADF6</f>
        <v>4</v>
      </c>
      <c r="ADI6" s="5"/>
      <c r="ADJ6" s="40">
        <f>(ADH6-ADI6)</f>
        <v>4</v>
      </c>
      <c r="ADL6" s="16">
        <v>4</v>
      </c>
      <c r="ADM6" s="38"/>
      <c r="ADN6" s="39">
        <f>(ADG6*12)+ADF6-ADL6</f>
        <v>-4</v>
      </c>
      <c r="ADO6" s="5"/>
      <c r="ADP6" s="40">
        <f>(ADN6-ADO6)</f>
        <v>-4</v>
      </c>
      <c r="ADR6" s="16">
        <v>2</v>
      </c>
      <c r="ADS6" s="38"/>
      <c r="ADT6" s="39">
        <f>(ADM6*12)+ADL6-ADR6</f>
        <v>2</v>
      </c>
      <c r="ADU6" s="5"/>
      <c r="ADV6" s="40">
        <f>(ADT6-ADU6)</f>
        <v>2</v>
      </c>
      <c r="ADX6" s="16">
        <v>24</v>
      </c>
      <c r="ADY6" s="38"/>
      <c r="ADZ6" s="39">
        <f>(ADS6*12)+ADR6-ADX6</f>
        <v>-22</v>
      </c>
      <c r="AEA6" s="5"/>
      <c r="AEB6" s="40">
        <f>(ADZ6-AEA6)</f>
        <v>-22</v>
      </c>
      <c r="AED6" s="16">
        <v>4</v>
      </c>
      <c r="AEE6" s="38"/>
      <c r="AEF6" s="39">
        <f>(ADY6*12)+ADX6-AED6</f>
        <v>20</v>
      </c>
      <c r="AEG6" s="5"/>
      <c r="AEH6" s="40">
        <f>(AEF6-AEG6)</f>
        <v>20</v>
      </c>
      <c r="AEJ6" s="16">
        <v>12</v>
      </c>
      <c r="AEK6" s="38"/>
      <c r="AEL6" s="39">
        <f>(AEE6*12)+AED6-AEJ6</f>
        <v>-8</v>
      </c>
      <c r="AEM6" s="5"/>
      <c r="AEN6" s="40">
        <f>(AEL6-AEM6)</f>
        <v>-8</v>
      </c>
      <c r="AEP6" s="16">
        <v>0</v>
      </c>
      <c r="AEQ6" s="38"/>
      <c r="AER6" s="39">
        <f>(AEK6*12)+AEJ6-AEP6</f>
        <v>12</v>
      </c>
      <c r="AES6" s="5"/>
      <c r="AET6" s="40">
        <f>(AER6-AES6)</f>
        <v>12</v>
      </c>
      <c r="AEV6" s="16">
        <v>0</v>
      </c>
      <c r="AEW6" s="38"/>
      <c r="AEX6" s="39">
        <f>(AEQ6*12)+AEP6-AEV6</f>
        <v>0</v>
      </c>
      <c r="AEY6" s="5"/>
      <c r="AEZ6" s="40">
        <f>(AEX6-AEY6)</f>
        <v>0</v>
      </c>
      <c r="AFB6" s="16">
        <v>19</v>
      </c>
      <c r="AFC6" s="38"/>
      <c r="AFD6" s="39">
        <f>(AEW6*12)+AEV6-AFB6</f>
        <v>-19</v>
      </c>
      <c r="AFE6" s="5"/>
      <c r="AFF6" s="40">
        <f>(AFD6-AFE6)</f>
        <v>-19</v>
      </c>
      <c r="AFH6" s="16">
        <v>7</v>
      </c>
      <c r="AFI6" s="38"/>
      <c r="AFJ6" s="39">
        <f>(AFC6*12)+AFB6-AFH6</f>
        <v>12</v>
      </c>
      <c r="AFK6" s="5"/>
      <c r="AFL6" s="40">
        <f>(AFJ6-AFK6)</f>
        <v>12</v>
      </c>
      <c r="AFN6" s="16">
        <v>23</v>
      </c>
      <c r="AFO6" s="38"/>
      <c r="AFP6" s="39">
        <f>(AFI6*12)+AFH6-AFN6</f>
        <v>-16</v>
      </c>
      <c r="AFQ6" s="5"/>
      <c r="AFR6" s="40">
        <f>(AFP6-AFQ6)</f>
        <v>-16</v>
      </c>
      <c r="AFT6" s="16">
        <v>25</v>
      </c>
      <c r="AFU6" s="38"/>
      <c r="AFV6" s="39">
        <f>(AFO6*12)+AFN6-AFT6</f>
        <v>-2</v>
      </c>
      <c r="AFW6" s="5"/>
      <c r="AFX6" s="40">
        <f>(AFV6-AFW6)</f>
        <v>-2</v>
      </c>
      <c r="AFZ6" s="16">
        <v>17</v>
      </c>
      <c r="AGA6" s="38"/>
      <c r="AGB6" s="39">
        <f>(AFU6*12)+AFT6-AFZ6</f>
        <v>8</v>
      </c>
      <c r="AGC6" s="5"/>
      <c r="AGD6" s="40">
        <f>(AGB6-AGC6)</f>
        <v>8</v>
      </c>
      <c r="AGF6" s="16">
        <v>13</v>
      </c>
      <c r="AGG6" s="38"/>
      <c r="AGH6" s="39">
        <f>(AGA6*12)+AFZ6-AGF6</f>
        <v>4</v>
      </c>
      <c r="AGI6" s="5"/>
      <c r="AGJ6" s="40">
        <f>(AGH6-AGI6)</f>
        <v>4</v>
      </c>
      <c r="AGL6" s="16">
        <v>19</v>
      </c>
      <c r="AGM6" s="38"/>
      <c r="AGN6" s="39">
        <f>(AGG6*12)+AGF6-AGL6</f>
        <v>-6</v>
      </c>
      <c r="AGO6" s="5"/>
      <c r="AGP6" s="40">
        <f>(AGN6-AGO6)</f>
        <v>-6</v>
      </c>
      <c r="AGR6" s="16">
        <v>25</v>
      </c>
      <c r="AGS6" s="38"/>
      <c r="AGT6" s="39">
        <f>(AGM6*12)+AGL6-AGR6</f>
        <v>-6</v>
      </c>
      <c r="AGU6" s="5"/>
      <c r="AGV6" s="40">
        <f>(AGT6-AGU6)</f>
        <v>-6</v>
      </c>
      <c r="AGX6" s="16">
        <v>23</v>
      </c>
      <c r="AGY6" s="38"/>
      <c r="AGZ6" s="39">
        <f>(AGS6*12)+AGR6-AGX6</f>
        <v>2</v>
      </c>
      <c r="AHA6" s="5"/>
      <c r="AHB6" s="40">
        <f>(AGZ6-AHA6)</f>
        <v>2</v>
      </c>
      <c r="AHD6" s="16">
        <v>28</v>
      </c>
      <c r="AHE6" s="38"/>
      <c r="AHF6" s="39">
        <f>(AGY6*12)+AGX6-AHD6</f>
        <v>-5</v>
      </c>
      <c r="AHG6" s="5"/>
      <c r="AHH6" s="40">
        <f>(AHF6-AHG6)</f>
        <v>-5</v>
      </c>
      <c r="AHJ6" s="16">
        <v>20</v>
      </c>
      <c r="AHK6" s="38"/>
      <c r="AHL6" s="39">
        <f>(AHE6*12)+AHD6-AHJ6</f>
        <v>8</v>
      </c>
      <c r="AHM6" s="5"/>
      <c r="AHN6" s="40">
        <f>(AHL6-AHM6)</f>
        <v>8</v>
      </c>
      <c r="AHP6" s="16">
        <v>23</v>
      </c>
      <c r="AHQ6" s="38"/>
      <c r="AHR6" s="39">
        <f>(AHK6*12)+AHJ6-AHP6</f>
        <v>-3</v>
      </c>
      <c r="AHS6" s="5"/>
      <c r="AHT6" s="40">
        <f>(AHR6-AHS6)</f>
        <v>-3</v>
      </c>
      <c r="AHV6" s="16">
        <v>0</v>
      </c>
      <c r="AHW6" s="38"/>
      <c r="AHX6" s="39">
        <f>(AHQ6*12)+AHP6-AHV6</f>
        <v>23</v>
      </c>
      <c r="AHY6" s="5"/>
      <c r="AHZ6" s="40">
        <f>(AHX6-AHY6)</f>
        <v>23</v>
      </c>
      <c r="AIB6" s="16">
        <v>0</v>
      </c>
      <c r="AIC6" s="38"/>
      <c r="AID6" s="39">
        <f>(AHW6*12)+AHV6-AIB6</f>
        <v>0</v>
      </c>
      <c r="AIE6" s="5"/>
      <c r="AIF6" s="40">
        <f>(AID6-AIE6)</f>
        <v>0</v>
      </c>
      <c r="AIH6" s="16">
        <v>24</v>
      </c>
      <c r="AII6" s="38"/>
      <c r="AIJ6" s="39">
        <f>(AIC6*12)+AIB6-AIH6</f>
        <v>-24</v>
      </c>
      <c r="AIK6" s="5"/>
      <c r="AIL6" s="40">
        <f>(AIJ6-AIK6)</f>
        <v>-24</v>
      </c>
      <c r="AIN6" s="16">
        <v>19</v>
      </c>
      <c r="AIO6" s="38"/>
      <c r="AIP6" s="39">
        <f>(AII6*12)+AIH6-AIN6</f>
        <v>5</v>
      </c>
      <c r="AIQ6" s="5"/>
      <c r="AIR6" s="40">
        <f>(AIP6-AIQ6)</f>
        <v>5</v>
      </c>
      <c r="AIT6" s="16">
        <v>20</v>
      </c>
      <c r="AIU6" s="38"/>
      <c r="AIV6" s="39">
        <f>(AIO6*12)+AIN6-AIT6</f>
        <v>-1</v>
      </c>
      <c r="AIW6" s="5"/>
      <c r="AIX6" s="40">
        <f>(AIV6-AIW6)</f>
        <v>-1</v>
      </c>
      <c r="AIZ6" s="16">
        <v>23</v>
      </c>
      <c r="AJA6" s="38"/>
      <c r="AJB6" s="39">
        <f>(AIU6*12)+AIT6-AIZ6</f>
        <v>-3</v>
      </c>
      <c r="AJC6" s="5"/>
      <c r="AJD6" s="40">
        <f>(AJB6-AJC6)</f>
        <v>-3</v>
      </c>
      <c r="AJF6" s="16">
        <v>24</v>
      </c>
      <c r="AJG6" s="38"/>
      <c r="AJH6" s="39">
        <f>(AJA6*12)+AIZ6-AJF6</f>
        <v>-1</v>
      </c>
      <c r="AJI6" s="5"/>
      <c r="AJJ6" s="40">
        <f>(AJH6-AJI6)</f>
        <v>-1</v>
      </c>
      <c r="AJL6" s="16">
        <v>27</v>
      </c>
      <c r="AJM6" s="38"/>
      <c r="AJN6" s="39">
        <f>(AJG6*12)+AJF6-AJL6</f>
        <v>-3</v>
      </c>
      <c r="AJO6" s="5"/>
      <c r="AJP6" s="40">
        <f>(AJN6-AJO6)</f>
        <v>-3</v>
      </c>
      <c r="AJR6" s="16">
        <v>9</v>
      </c>
      <c r="AJS6" s="38"/>
      <c r="AJT6" s="39">
        <f>(AJM6*12)+AJL6-AJR6</f>
        <v>18</v>
      </c>
      <c r="AJU6" s="5"/>
      <c r="AJV6" s="40">
        <f>(AJT6-AJU6)</f>
        <v>18</v>
      </c>
      <c r="AJX6" s="16">
        <v>28</v>
      </c>
      <c r="AJY6" s="38"/>
      <c r="AJZ6" s="39">
        <f>(AJS6*12)+AJR6-AJX6</f>
        <v>-19</v>
      </c>
      <c r="AKA6" s="5"/>
      <c r="AKB6" s="40">
        <f>(AJZ6-AKA6)</f>
        <v>-19</v>
      </c>
      <c r="AKD6" s="16">
        <v>16</v>
      </c>
      <c r="AKE6" s="38"/>
      <c r="AKF6" s="39">
        <f>(AJY6*12)+AJX6-AKD6</f>
        <v>12</v>
      </c>
      <c r="AKG6" s="5"/>
      <c r="AKH6" s="40">
        <f>(AKF6-AKG6)</f>
        <v>12</v>
      </c>
      <c r="AKJ6" s="16">
        <v>16</v>
      </c>
      <c r="AKK6" s="38"/>
      <c r="AKL6" s="39">
        <f>(AKE6*12)+AKD6-AKJ6</f>
        <v>0</v>
      </c>
      <c r="AKM6" s="5"/>
      <c r="AKN6" s="40">
        <f>(AKL6-AKM6)</f>
        <v>0</v>
      </c>
      <c r="AKP6" s="16">
        <v>13</v>
      </c>
      <c r="AKQ6" s="38"/>
      <c r="AKR6" s="39">
        <f>(AKK6*12)+AKJ6-AKP6</f>
        <v>3</v>
      </c>
      <c r="AKS6" s="5"/>
      <c r="AKT6" s="40">
        <f>(AKR6-AKS6)</f>
        <v>3</v>
      </c>
      <c r="AKV6" s="16">
        <v>19</v>
      </c>
      <c r="AKW6" s="38"/>
      <c r="AKX6" s="39">
        <f>(AKQ6*12)+AKP6-AKV6</f>
        <v>-6</v>
      </c>
      <c r="AKY6" s="5"/>
      <c r="AKZ6" s="40">
        <f>(AKX6-AKY6)</f>
        <v>-6</v>
      </c>
      <c r="ALB6" s="16">
        <v>25</v>
      </c>
      <c r="ALC6" s="38"/>
      <c r="ALD6" s="39">
        <f>(AKW6*12)+AKV6-ALB6</f>
        <v>-6</v>
      </c>
      <c r="ALE6" s="5"/>
      <c r="ALF6" s="40">
        <f>(ALD6-ALE6)</f>
        <v>-6</v>
      </c>
      <c r="ALH6" s="16">
        <v>12</v>
      </c>
      <c r="ALI6" s="38"/>
      <c r="ALJ6" s="39">
        <f>(ALC6*12)+ALB6-ALH6</f>
        <v>13</v>
      </c>
      <c r="ALK6" s="5"/>
      <c r="ALL6" s="40">
        <f>(ALJ6-ALK6)</f>
        <v>13</v>
      </c>
      <c r="ALN6" s="16">
        <v>9</v>
      </c>
      <c r="ALO6" s="38"/>
      <c r="ALP6" s="39">
        <f>(ALI6*12)+ALH6-ALN6</f>
        <v>3</v>
      </c>
      <c r="ALQ6" s="5"/>
      <c r="ALR6" s="40">
        <f>(ALP6-ALQ6)</f>
        <v>3</v>
      </c>
      <c r="ALT6" s="16">
        <v>12</v>
      </c>
      <c r="ALU6" s="38"/>
      <c r="ALV6" s="39">
        <f>(ALO6*12)+ALN6-ALT6</f>
        <v>-3</v>
      </c>
      <c r="ALW6" s="5"/>
      <c r="ALX6" s="40">
        <f>(ALV6-ALW6)</f>
        <v>-3</v>
      </c>
      <c r="ALZ6" s="16">
        <v>8</v>
      </c>
      <c r="AMA6" s="38"/>
      <c r="AMB6" s="39">
        <f>(ALU6*12)+ALT6-ALZ6</f>
        <v>4</v>
      </c>
      <c r="AMC6" s="5"/>
      <c r="AMD6" s="40">
        <f>(AMB6-AMC6)</f>
        <v>4</v>
      </c>
      <c r="AMF6" s="16">
        <v>9</v>
      </c>
      <c r="AMG6" s="38"/>
      <c r="AMH6" s="39">
        <f>(AMA6*12)+ALZ6-AMF6</f>
        <v>-1</v>
      </c>
      <c r="AMI6" s="5"/>
      <c r="AMJ6" s="40">
        <f>(AMH6-AMI6)</f>
        <v>-1</v>
      </c>
      <c r="AML6" s="16">
        <v>3</v>
      </c>
      <c r="AMM6" s="38"/>
      <c r="AMN6" s="39">
        <f>(AMG6*12)+AMF6-AML6</f>
        <v>6</v>
      </c>
      <c r="AMO6" s="5"/>
      <c r="AMP6" s="40">
        <f>(AMN6-AMO6)</f>
        <v>6</v>
      </c>
      <c r="AMR6" s="16">
        <v>0</v>
      </c>
      <c r="AMS6" s="38"/>
      <c r="AMT6" s="39">
        <f>(AMM6*12)+AML6-AMR6</f>
        <v>3</v>
      </c>
      <c r="AMU6" s="5"/>
      <c r="AMV6" s="40">
        <f>(AMT6-AMU6)</f>
        <v>3</v>
      </c>
      <c r="AMX6" s="16">
        <v>0</v>
      </c>
      <c r="AMY6" s="38"/>
      <c r="AMZ6" s="39">
        <f>(AMS6*12)+AMR6-AMX6</f>
        <v>0</v>
      </c>
      <c r="ANA6" s="5"/>
      <c r="ANB6" s="40">
        <f>(AMZ6-ANA6)</f>
        <v>0</v>
      </c>
      <c r="AND6" s="16">
        <v>1</v>
      </c>
      <c r="ANE6" s="38"/>
      <c r="ANF6" s="39">
        <f>(AMY6*12)+AMX6-AND6</f>
        <v>-1</v>
      </c>
      <c r="ANG6" s="5"/>
      <c r="ANH6" s="40">
        <f>(ANF6-ANG6)</f>
        <v>-1</v>
      </c>
      <c r="ANJ6" s="16">
        <v>0</v>
      </c>
      <c r="ANK6" s="38"/>
      <c r="ANL6" s="39">
        <f>(ANE6*12)+AND6-ANJ6</f>
        <v>1</v>
      </c>
      <c r="ANM6" s="5"/>
      <c r="ANN6" s="40">
        <f>(ANL6-ANM6)</f>
        <v>1</v>
      </c>
      <c r="ANP6" s="16">
        <v>22</v>
      </c>
      <c r="ANQ6" s="38"/>
      <c r="ANR6" s="39">
        <f>(ANK6*12)+ANJ6-ANP6</f>
        <v>-22</v>
      </c>
      <c r="ANS6" s="5"/>
      <c r="ANT6" s="40">
        <f>(ANR6-ANS6)</f>
        <v>-22</v>
      </c>
      <c r="ANV6" s="16">
        <v>12</v>
      </c>
      <c r="ANW6" s="38"/>
      <c r="ANX6" s="39">
        <f>(ANQ6*12)+ANP6-ANV6</f>
        <v>10</v>
      </c>
      <c r="ANY6" s="5"/>
      <c r="ANZ6" s="40">
        <f>(ANX6-ANY6)</f>
        <v>10</v>
      </c>
      <c r="AOB6" s="16">
        <v>16</v>
      </c>
      <c r="AOC6" s="38">
        <v>12</v>
      </c>
      <c r="AOD6" s="39">
        <f>(ANW6*12)+ANV6-AOB6</f>
        <v>-4</v>
      </c>
      <c r="AOE6" s="5"/>
      <c r="AOF6" s="40">
        <f>(AOD6-AOE6)</f>
        <v>-4</v>
      </c>
      <c r="AOH6" s="16">
        <v>11</v>
      </c>
      <c r="AOI6" s="38">
        <v>24</v>
      </c>
      <c r="AOJ6" s="39">
        <f>(AOC6*12)+AOB6-AOH6</f>
        <v>149</v>
      </c>
      <c r="AOK6" s="5"/>
      <c r="AOL6" s="40">
        <f>(AOJ6-AOK6)</f>
        <v>149</v>
      </c>
      <c r="AON6" s="16">
        <v>0</v>
      </c>
      <c r="AOO6" s="38">
        <v>12</v>
      </c>
      <c r="AOP6" s="39">
        <f>(AOI6*12)+AOH6-AON6</f>
        <v>299</v>
      </c>
      <c r="AOQ6" s="5"/>
      <c r="AOR6" s="40">
        <f>(AOP6-AOQ6)</f>
        <v>299</v>
      </c>
      <c r="AOS6" s="59"/>
    </row>
    <row r="7" spans="1:1024 1026:1085" x14ac:dyDescent="0.25">
      <c r="A7" s="3" t="s">
        <v>23</v>
      </c>
      <c r="B7" s="3">
        <v>10645</v>
      </c>
      <c r="C7" s="5" t="s">
        <v>20</v>
      </c>
      <c r="D7" s="27">
        <v>36</v>
      </c>
      <c r="F7" s="16">
        <v>0</v>
      </c>
      <c r="G7" s="15"/>
      <c r="H7" s="11"/>
      <c r="I7" s="15"/>
      <c r="J7" s="15"/>
      <c r="L7" s="16">
        <v>0</v>
      </c>
      <c r="M7" s="15">
        <v>2</v>
      </c>
      <c r="N7" s="13">
        <f t="shared" si="0"/>
        <v>0</v>
      </c>
      <c r="O7" s="15"/>
      <c r="P7" s="21">
        <f t="shared" si="1"/>
        <v>0</v>
      </c>
      <c r="R7" s="16">
        <v>20</v>
      </c>
      <c r="S7" s="15"/>
      <c r="T7" s="13">
        <f t="shared" si="2"/>
        <v>4</v>
      </c>
      <c r="U7" s="15">
        <v>4</v>
      </c>
      <c r="V7" s="21">
        <f t="shared" si="3"/>
        <v>0</v>
      </c>
      <c r="X7" s="16">
        <v>9</v>
      </c>
      <c r="Y7" s="15">
        <v>1</v>
      </c>
      <c r="Z7" s="13">
        <f t="shared" si="4"/>
        <v>11</v>
      </c>
      <c r="AA7" s="15">
        <v>9</v>
      </c>
      <c r="AB7" s="21">
        <f t="shared" si="5"/>
        <v>-2</v>
      </c>
      <c r="AD7" s="16">
        <v>17</v>
      </c>
      <c r="AE7" s="15"/>
      <c r="AF7" s="13">
        <f t="shared" si="6"/>
        <v>4</v>
      </c>
      <c r="AG7" s="15">
        <v>4</v>
      </c>
      <c r="AH7" s="21">
        <f t="shared" si="7"/>
        <v>0</v>
      </c>
      <c r="AJ7" s="16">
        <v>12</v>
      </c>
      <c r="AK7" s="15"/>
      <c r="AL7" s="13">
        <f t="shared" si="8"/>
        <v>5</v>
      </c>
      <c r="AM7" s="15">
        <v>5</v>
      </c>
      <c r="AN7" s="21">
        <f t="shared" si="9"/>
        <v>0</v>
      </c>
      <c r="AP7" s="16">
        <v>3</v>
      </c>
      <c r="AQ7" s="15">
        <v>2</v>
      </c>
      <c r="AR7" s="13">
        <f t="shared" si="10"/>
        <v>9</v>
      </c>
      <c r="AS7" s="15">
        <v>10</v>
      </c>
      <c r="AT7" s="21">
        <f t="shared" si="11"/>
        <v>1</v>
      </c>
      <c r="AV7" s="16">
        <v>15</v>
      </c>
      <c r="AW7" s="15">
        <v>1</v>
      </c>
      <c r="AX7" s="13">
        <f t="shared" si="12"/>
        <v>12</v>
      </c>
      <c r="AY7" s="15">
        <v>10</v>
      </c>
      <c r="AZ7" s="21">
        <f t="shared" si="13"/>
        <v>-2</v>
      </c>
      <c r="BB7" s="16">
        <v>15</v>
      </c>
      <c r="BC7" s="15">
        <v>1</v>
      </c>
      <c r="BD7" s="13">
        <f t="shared" si="14"/>
        <v>12</v>
      </c>
      <c r="BE7" s="15">
        <v>7</v>
      </c>
      <c r="BF7" s="21">
        <f t="shared" si="15"/>
        <v>-5</v>
      </c>
      <c r="BH7" s="16">
        <v>13</v>
      </c>
      <c r="BI7" s="15">
        <v>1</v>
      </c>
      <c r="BJ7" s="13">
        <f t="shared" si="16"/>
        <v>14</v>
      </c>
      <c r="BK7" s="15">
        <v>12</v>
      </c>
      <c r="BL7" s="21">
        <f t="shared" si="17"/>
        <v>-2</v>
      </c>
      <c r="BN7" s="16">
        <v>15</v>
      </c>
      <c r="BO7" s="15">
        <v>1</v>
      </c>
      <c r="BP7" s="13">
        <f t="shared" si="18"/>
        <v>10</v>
      </c>
      <c r="BQ7" s="15">
        <v>8</v>
      </c>
      <c r="BR7" s="21">
        <f t="shared" si="19"/>
        <v>-2</v>
      </c>
      <c r="BT7" s="16">
        <v>16</v>
      </c>
      <c r="BU7" s="15">
        <v>1</v>
      </c>
      <c r="BV7" s="13">
        <f t="shared" si="20"/>
        <v>11</v>
      </c>
      <c r="BW7" s="15">
        <v>11</v>
      </c>
      <c r="BX7" s="21">
        <f t="shared" si="21"/>
        <v>0</v>
      </c>
      <c r="BZ7" s="16">
        <v>19</v>
      </c>
      <c r="CA7" s="15">
        <v>1</v>
      </c>
      <c r="CB7" s="13">
        <f t="shared" si="22"/>
        <v>9</v>
      </c>
      <c r="CC7" s="15">
        <v>9</v>
      </c>
      <c r="CD7" s="21">
        <f t="shared" si="23"/>
        <v>0</v>
      </c>
      <c r="CF7" s="16">
        <v>17</v>
      </c>
      <c r="CG7" s="15">
        <v>1</v>
      </c>
      <c r="CH7" s="13">
        <f t="shared" si="24"/>
        <v>14</v>
      </c>
      <c r="CI7" s="5">
        <v>13</v>
      </c>
      <c r="CJ7" s="21">
        <f t="shared" si="25"/>
        <v>-1</v>
      </c>
      <c r="CL7" s="16">
        <v>16</v>
      </c>
      <c r="CM7" s="15">
        <v>1</v>
      </c>
      <c r="CN7" s="13">
        <f t="shared" si="26"/>
        <v>13</v>
      </c>
      <c r="CO7" s="5">
        <v>12</v>
      </c>
      <c r="CP7" s="21">
        <f t="shared" si="27"/>
        <v>-1</v>
      </c>
      <c r="CR7" s="16">
        <v>14</v>
      </c>
      <c r="CS7" s="15">
        <v>1</v>
      </c>
      <c r="CT7" s="13">
        <f t="shared" si="28"/>
        <v>14</v>
      </c>
      <c r="CU7" s="5">
        <v>15</v>
      </c>
      <c r="CV7" s="21">
        <f t="shared" si="29"/>
        <v>1</v>
      </c>
      <c r="CX7" s="16">
        <v>3</v>
      </c>
      <c r="CY7" s="33">
        <v>2</v>
      </c>
      <c r="CZ7" s="39">
        <f t="shared" si="30"/>
        <v>23</v>
      </c>
      <c r="DA7" s="5"/>
      <c r="DB7" s="40">
        <f t="shared" si="31"/>
        <v>-23</v>
      </c>
      <c r="DD7" s="16">
        <v>20</v>
      </c>
      <c r="DE7" s="33"/>
      <c r="DF7" s="39">
        <f t="shared" si="32"/>
        <v>7</v>
      </c>
      <c r="DG7" s="5"/>
      <c r="DH7" s="40">
        <f t="shared" si="33"/>
        <v>-7</v>
      </c>
      <c r="DJ7" s="16">
        <v>3</v>
      </c>
      <c r="DK7" s="33">
        <v>2</v>
      </c>
      <c r="DL7" s="39">
        <f t="shared" si="34"/>
        <v>17</v>
      </c>
      <c r="DM7" s="5">
        <v>17</v>
      </c>
      <c r="DN7" s="40">
        <f t="shared" si="35"/>
        <v>0</v>
      </c>
      <c r="DP7" s="16">
        <v>20</v>
      </c>
      <c r="DQ7" s="33">
        <v>1</v>
      </c>
      <c r="DR7" s="39">
        <f t="shared" si="36"/>
        <v>7</v>
      </c>
      <c r="DS7" s="5">
        <v>7</v>
      </c>
      <c r="DT7" s="40">
        <f t="shared" si="37"/>
        <v>0</v>
      </c>
      <c r="DV7" s="16">
        <v>15</v>
      </c>
      <c r="DW7" s="33">
        <v>2</v>
      </c>
      <c r="DX7" s="39">
        <f t="shared" si="38"/>
        <v>17</v>
      </c>
      <c r="DY7" s="5">
        <v>17</v>
      </c>
      <c r="DZ7" s="40">
        <f t="shared" si="39"/>
        <v>0</v>
      </c>
      <c r="EB7" s="16">
        <v>35</v>
      </c>
      <c r="EC7" s="33"/>
      <c r="ED7" s="39">
        <f t="shared" si="40"/>
        <v>4</v>
      </c>
      <c r="EE7" s="5">
        <v>4</v>
      </c>
      <c r="EF7" s="40">
        <f t="shared" si="41"/>
        <v>0</v>
      </c>
      <c r="EH7" s="16">
        <v>20</v>
      </c>
      <c r="EI7" s="33">
        <v>1</v>
      </c>
      <c r="EJ7" s="39">
        <f t="shared" si="42"/>
        <v>15</v>
      </c>
      <c r="EK7" s="5">
        <v>15</v>
      </c>
      <c r="EL7" s="40">
        <f t="shared" si="43"/>
        <v>0</v>
      </c>
      <c r="EN7" s="16">
        <v>14</v>
      </c>
      <c r="EO7" s="33">
        <v>2</v>
      </c>
      <c r="EP7" s="39">
        <f t="shared" si="44"/>
        <v>18</v>
      </c>
      <c r="EQ7" s="5">
        <v>14</v>
      </c>
      <c r="ER7" s="40">
        <f t="shared" si="45"/>
        <v>-4</v>
      </c>
      <c r="ET7" s="16">
        <v>29</v>
      </c>
      <c r="EU7" s="33"/>
      <c r="EV7" s="39">
        <f t="shared" si="46"/>
        <v>9</v>
      </c>
      <c r="EW7" s="5">
        <v>9</v>
      </c>
      <c r="EX7" s="40">
        <f t="shared" si="47"/>
        <v>0</v>
      </c>
      <c r="EZ7" s="16">
        <v>18</v>
      </c>
      <c r="FA7" s="33">
        <v>1</v>
      </c>
      <c r="FB7" s="39">
        <f t="shared" si="48"/>
        <v>11</v>
      </c>
      <c r="FC7" s="5">
        <v>9</v>
      </c>
      <c r="FD7" s="40">
        <f t="shared" si="49"/>
        <v>-2</v>
      </c>
      <c r="FF7" s="16">
        <v>25</v>
      </c>
      <c r="FG7" s="33"/>
      <c r="FH7" s="39">
        <f>(FA7*12)+EZ7-FF7</f>
        <v>5</v>
      </c>
      <c r="FI7" s="5">
        <v>5</v>
      </c>
      <c r="FJ7" s="40">
        <f t="shared" si="50"/>
        <v>0</v>
      </c>
      <c r="FL7" s="16">
        <v>20</v>
      </c>
      <c r="FM7" s="33">
        <v>2</v>
      </c>
      <c r="FN7" s="39">
        <f>(FG7*12)+FF7-FL7</f>
        <v>5</v>
      </c>
      <c r="FO7" s="5">
        <v>5</v>
      </c>
      <c r="FP7" s="40">
        <f t="shared" si="51"/>
        <v>0</v>
      </c>
      <c r="FR7" s="16">
        <v>28</v>
      </c>
      <c r="FS7" s="33"/>
      <c r="FT7" s="39">
        <f>(FM7*12)+FL7-FR7</f>
        <v>16</v>
      </c>
      <c r="FU7" s="5"/>
      <c r="FV7" s="40">
        <f t="shared" si="52"/>
        <v>-16</v>
      </c>
      <c r="FX7" s="16">
        <v>16</v>
      </c>
      <c r="FY7" s="33"/>
      <c r="FZ7" s="39">
        <f>(FS7*12)+FR7-FX7</f>
        <v>12</v>
      </c>
      <c r="GA7" s="5">
        <v>13</v>
      </c>
      <c r="GB7" s="40">
        <f t="shared" si="53"/>
        <v>1</v>
      </c>
      <c r="GD7" s="16">
        <v>6</v>
      </c>
      <c r="GE7" s="33">
        <v>2</v>
      </c>
      <c r="GF7" s="39">
        <f>(FY7*12)+FX7-GD7</f>
        <v>10</v>
      </c>
      <c r="GG7" s="5">
        <v>10</v>
      </c>
      <c r="GH7" s="40">
        <f t="shared" si="54"/>
        <v>0</v>
      </c>
      <c r="GJ7" s="16">
        <v>23</v>
      </c>
      <c r="GK7" s="33"/>
      <c r="GL7" s="39">
        <f>(GE7*12)+GD7-GJ7</f>
        <v>7</v>
      </c>
      <c r="GM7" s="5">
        <v>6</v>
      </c>
      <c r="GN7" s="40">
        <f t="shared" si="55"/>
        <v>-1</v>
      </c>
      <c r="GP7" s="16">
        <v>12</v>
      </c>
      <c r="GQ7" s="33">
        <v>2</v>
      </c>
      <c r="GR7" s="39">
        <f>(GK7*12)+GJ7-GP7</f>
        <v>11</v>
      </c>
      <c r="GS7" s="5">
        <v>11</v>
      </c>
      <c r="GT7" s="40">
        <f t="shared" si="56"/>
        <v>0</v>
      </c>
      <c r="GV7" s="16">
        <v>29</v>
      </c>
      <c r="GW7" s="33"/>
      <c r="GX7" s="39">
        <f>(GQ7*12)+GP7-GV7</f>
        <v>7</v>
      </c>
      <c r="GY7" s="5">
        <v>8</v>
      </c>
      <c r="GZ7" s="40">
        <f t="shared" si="57"/>
        <v>1</v>
      </c>
      <c r="HB7" s="16">
        <v>14</v>
      </c>
      <c r="HC7" s="33">
        <v>1</v>
      </c>
      <c r="HD7" s="39">
        <f>(GW7*12)+GV7-HB7</f>
        <v>15</v>
      </c>
      <c r="HE7" s="5">
        <v>12</v>
      </c>
      <c r="HF7" s="40">
        <f t="shared" si="58"/>
        <v>-3</v>
      </c>
      <c r="HH7" s="16">
        <v>16</v>
      </c>
      <c r="HI7" s="33">
        <v>1</v>
      </c>
      <c r="HJ7" s="39">
        <f>(HC7*12)+HB7-HH7</f>
        <v>10</v>
      </c>
      <c r="HK7" s="5">
        <v>10</v>
      </c>
      <c r="HL7" s="40">
        <f t="shared" si="59"/>
        <v>0</v>
      </c>
      <c r="HN7" s="16">
        <v>21</v>
      </c>
      <c r="HO7" s="33">
        <v>1</v>
      </c>
      <c r="HP7" s="39">
        <f>(HI7*12)+HH7-HN7</f>
        <v>7</v>
      </c>
      <c r="HQ7" s="5">
        <v>5</v>
      </c>
      <c r="HR7" s="40">
        <f t="shared" si="60"/>
        <v>-2</v>
      </c>
      <c r="HT7" s="16">
        <v>24</v>
      </c>
      <c r="HU7" s="33">
        <v>1</v>
      </c>
      <c r="HV7" s="39">
        <f>(HO7*12)+HN7-HT7</f>
        <v>9</v>
      </c>
      <c r="HW7" s="5">
        <v>9</v>
      </c>
      <c r="HX7" s="40">
        <f t="shared" si="61"/>
        <v>0</v>
      </c>
      <c r="HZ7" s="16">
        <v>24</v>
      </c>
      <c r="IA7" s="33"/>
      <c r="IB7" s="39">
        <f>(HU7*12)+HT7-HZ7</f>
        <v>12</v>
      </c>
      <c r="IC7" s="5">
        <v>12</v>
      </c>
      <c r="ID7" s="40">
        <f t="shared" si="62"/>
        <v>0</v>
      </c>
      <c r="IF7" s="16">
        <v>15</v>
      </c>
      <c r="IG7" s="33"/>
      <c r="IH7" s="39">
        <f>(IA7*12)+HZ7-IF7</f>
        <v>9</v>
      </c>
      <c r="II7" s="5">
        <v>9</v>
      </c>
      <c r="IJ7" s="40">
        <f t="shared" si="63"/>
        <v>0</v>
      </c>
      <c r="IL7" s="16">
        <v>8</v>
      </c>
      <c r="IM7" s="33">
        <v>2</v>
      </c>
      <c r="IN7" s="39">
        <f>(IG7*12)+IF7-IL7</f>
        <v>7</v>
      </c>
      <c r="IO7" s="5">
        <v>7</v>
      </c>
      <c r="IP7" s="40">
        <f t="shared" si="64"/>
        <v>0</v>
      </c>
      <c r="IR7" s="16">
        <v>26</v>
      </c>
      <c r="IS7" s="33">
        <v>1</v>
      </c>
      <c r="IT7" s="39">
        <f>(IM7*12)+IL7-IR7</f>
        <v>6</v>
      </c>
      <c r="IU7" s="5">
        <v>6</v>
      </c>
      <c r="IV7" s="40">
        <f t="shared" si="65"/>
        <v>0</v>
      </c>
      <c r="IX7" s="16">
        <v>29</v>
      </c>
      <c r="IY7" s="33"/>
      <c r="IZ7" s="39">
        <f>(IS7*12)+IR7-IX7</f>
        <v>9</v>
      </c>
      <c r="JA7" s="5">
        <v>5</v>
      </c>
      <c r="JB7" s="40">
        <f t="shared" si="66"/>
        <v>-4</v>
      </c>
      <c r="JD7" s="16">
        <v>25</v>
      </c>
      <c r="JE7" s="33">
        <v>1</v>
      </c>
      <c r="JF7" s="39">
        <f>(IY7*12)+IX7-JD7</f>
        <v>4</v>
      </c>
      <c r="JG7" s="5">
        <v>4</v>
      </c>
      <c r="JH7" s="40">
        <f t="shared" si="67"/>
        <v>0</v>
      </c>
      <c r="JJ7" s="16">
        <v>25</v>
      </c>
      <c r="JK7" s="33">
        <v>1</v>
      </c>
      <c r="JL7" s="39">
        <f>(JE7*12)+JD7-JJ7</f>
        <v>12</v>
      </c>
      <c r="JM7" s="5">
        <v>12</v>
      </c>
      <c r="JN7" s="40">
        <f t="shared" si="68"/>
        <v>0</v>
      </c>
      <c r="JP7" s="16">
        <v>28</v>
      </c>
      <c r="JQ7" s="33">
        <v>1</v>
      </c>
      <c r="JR7" s="39">
        <f>(JK7*12)+JJ7-JP7</f>
        <v>9</v>
      </c>
      <c r="JS7" s="5">
        <v>10</v>
      </c>
      <c r="JT7" s="40">
        <f t="shared" si="69"/>
        <v>1</v>
      </c>
      <c r="JV7" s="16">
        <v>30</v>
      </c>
      <c r="JW7" s="33"/>
      <c r="JX7" s="39">
        <f>(JQ7*12)+JP7-JV7</f>
        <v>10</v>
      </c>
      <c r="JY7" s="5">
        <v>10</v>
      </c>
      <c r="JZ7" s="40">
        <f t="shared" si="70"/>
        <v>0</v>
      </c>
      <c r="KB7" s="16">
        <v>21</v>
      </c>
      <c r="KC7" s="33"/>
      <c r="KD7" s="39">
        <f>(JW7*12)+JV7-KB7</f>
        <v>9</v>
      </c>
      <c r="KE7" s="5">
        <v>7</v>
      </c>
      <c r="KF7" s="40">
        <f t="shared" si="71"/>
        <v>-2</v>
      </c>
      <c r="KH7" s="16">
        <v>11</v>
      </c>
      <c r="KI7" s="33"/>
      <c r="KJ7" s="39">
        <f>(KC7*12)+KB7-KH7</f>
        <v>10</v>
      </c>
      <c r="KK7" s="5">
        <v>10</v>
      </c>
      <c r="KL7" s="40">
        <f t="shared" si="72"/>
        <v>0</v>
      </c>
      <c r="KN7" s="16">
        <v>1</v>
      </c>
      <c r="KO7" s="33">
        <v>3</v>
      </c>
      <c r="KP7" s="39">
        <f>(KI7*12)+KH7-KN7</f>
        <v>10</v>
      </c>
      <c r="KQ7" s="5">
        <v>5</v>
      </c>
      <c r="KR7" s="40">
        <f t="shared" si="73"/>
        <v>-5</v>
      </c>
      <c r="KT7" s="16">
        <v>10</v>
      </c>
      <c r="KU7" s="33"/>
      <c r="KV7" s="39">
        <f>(KO7*12)+KN7-KT7</f>
        <v>27</v>
      </c>
      <c r="KW7" s="5">
        <v>2</v>
      </c>
      <c r="KX7" s="40">
        <f t="shared" si="74"/>
        <v>-25</v>
      </c>
      <c r="KZ7" s="16">
        <v>1</v>
      </c>
      <c r="LA7" s="33">
        <v>3</v>
      </c>
      <c r="LB7" s="39">
        <f>(KU7*12)+KT7-KZ7</f>
        <v>9</v>
      </c>
      <c r="LC7" s="5">
        <v>9</v>
      </c>
      <c r="LD7" s="40">
        <f t="shared" si="75"/>
        <v>0</v>
      </c>
      <c r="LF7" s="16">
        <v>33</v>
      </c>
      <c r="LG7" s="33"/>
      <c r="LH7" s="39">
        <f>(LA7*12)+KZ7-LF7</f>
        <v>4</v>
      </c>
      <c r="LI7" s="5"/>
      <c r="LJ7" s="40">
        <f t="shared" si="76"/>
        <v>-4</v>
      </c>
      <c r="LL7" s="16">
        <v>34</v>
      </c>
      <c r="LM7" s="33">
        <v>4</v>
      </c>
      <c r="LN7" s="39">
        <f>(LG7*12)+LF7-LL7</f>
        <v>-1</v>
      </c>
      <c r="LO7" s="5"/>
      <c r="LP7" s="40">
        <f t="shared" si="77"/>
        <v>1</v>
      </c>
      <c r="LR7" s="16">
        <v>73</v>
      </c>
      <c r="LS7" s="33"/>
      <c r="LT7" s="39">
        <f>(LM7*12)+LL7-LR7</f>
        <v>9</v>
      </c>
      <c r="LU7" s="5">
        <v>11</v>
      </c>
      <c r="LV7" s="40">
        <f t="shared" si="78"/>
        <v>2</v>
      </c>
      <c r="LX7" s="16">
        <v>60</v>
      </c>
      <c r="LY7" s="33">
        <v>1</v>
      </c>
      <c r="LZ7" s="39">
        <f>(LS7*12)+LR7-LX7</f>
        <v>13</v>
      </c>
      <c r="MA7" s="5">
        <v>10</v>
      </c>
      <c r="MB7" s="40">
        <f t="shared" si="79"/>
        <v>-3</v>
      </c>
      <c r="MD7" s="16">
        <v>51</v>
      </c>
      <c r="ME7" s="33"/>
      <c r="MF7" s="39">
        <f>(LY7*12)+LX7-MD7</f>
        <v>21</v>
      </c>
      <c r="MG7" s="5"/>
      <c r="MH7" s="40">
        <f t="shared" si="80"/>
        <v>-21</v>
      </c>
      <c r="MJ7" s="16">
        <v>40</v>
      </c>
      <c r="MK7" s="33">
        <v>2</v>
      </c>
      <c r="ML7" s="39">
        <f>(ME7*12)+MD7-MJ7</f>
        <v>11</v>
      </c>
      <c r="MM7" s="5"/>
      <c r="MN7" s="40">
        <f t="shared" si="81"/>
        <v>-11</v>
      </c>
      <c r="MP7" s="16">
        <v>48</v>
      </c>
      <c r="MQ7" s="33"/>
      <c r="MR7" s="39">
        <f>(MK7*12)+MJ7-MP7</f>
        <v>16</v>
      </c>
      <c r="MS7" s="5"/>
      <c r="MT7" s="40">
        <f t="shared" si="82"/>
        <v>-16</v>
      </c>
      <c r="MV7" s="16">
        <v>22</v>
      </c>
      <c r="MW7" s="33">
        <v>1</v>
      </c>
      <c r="MX7" s="39">
        <f>(MQ7*12)+MP7-MV7</f>
        <v>26</v>
      </c>
      <c r="MY7" s="5"/>
      <c r="MZ7" s="40">
        <f t="shared" si="83"/>
        <v>-26</v>
      </c>
      <c r="NB7" s="16">
        <v>17</v>
      </c>
      <c r="NC7" s="33">
        <v>2</v>
      </c>
      <c r="ND7" s="39">
        <f>(MW7*12)+MV7-NB7</f>
        <v>17</v>
      </c>
      <c r="NE7" s="5"/>
      <c r="NF7" s="40">
        <f t="shared" si="84"/>
        <v>-17</v>
      </c>
      <c r="NH7" s="16">
        <v>10</v>
      </c>
      <c r="NI7" s="33">
        <v>3</v>
      </c>
      <c r="NJ7" s="39">
        <f>(NC7*12)+NB7-NH7</f>
        <v>31</v>
      </c>
      <c r="NK7" s="5"/>
      <c r="NL7" s="40">
        <f t="shared" si="85"/>
        <v>-31</v>
      </c>
      <c r="NN7" s="16">
        <v>39</v>
      </c>
      <c r="NO7" s="33"/>
      <c r="NP7" s="39">
        <f>(NI7*12)+NH7-NN7</f>
        <v>7</v>
      </c>
      <c r="NQ7" s="5"/>
      <c r="NR7" s="40">
        <f t="shared" si="86"/>
        <v>-7</v>
      </c>
      <c r="NT7" s="16">
        <v>36</v>
      </c>
      <c r="NU7" s="33"/>
      <c r="NV7" s="39">
        <f>(NO7*12)+NN7-NT7</f>
        <v>3</v>
      </c>
      <c r="NW7" s="5"/>
      <c r="NX7" s="40">
        <f t="shared" si="87"/>
        <v>-3</v>
      </c>
      <c r="NZ7" s="16">
        <v>25</v>
      </c>
      <c r="OA7" s="33"/>
      <c r="OB7" s="39">
        <f>(NU7*12)+NT7-NZ7</f>
        <v>11</v>
      </c>
      <c r="OC7" s="5"/>
      <c r="OD7" s="40">
        <f t="shared" si="88"/>
        <v>-11</v>
      </c>
      <c r="OF7" s="16">
        <v>13</v>
      </c>
      <c r="OG7" s="33">
        <v>2</v>
      </c>
      <c r="OH7" s="39">
        <f>(OA7*12)+NZ7-OF7</f>
        <v>12</v>
      </c>
      <c r="OI7" s="5"/>
      <c r="OJ7" s="40">
        <f t="shared" si="89"/>
        <v>-12</v>
      </c>
      <c r="OL7" s="16">
        <v>3</v>
      </c>
      <c r="OM7" s="33"/>
      <c r="ON7" s="39">
        <f>(OG7*12)+OF7-OL7</f>
        <v>34</v>
      </c>
      <c r="OO7" s="5"/>
      <c r="OP7" s="40">
        <f t="shared" si="90"/>
        <v>-34</v>
      </c>
      <c r="OR7" s="16">
        <v>0</v>
      </c>
      <c r="OS7" s="33">
        <v>4</v>
      </c>
      <c r="OT7" s="39">
        <f>(OM7*12)+OL7-OR7</f>
        <v>3</v>
      </c>
      <c r="OU7" s="5"/>
      <c r="OV7" s="40">
        <f t="shared" si="91"/>
        <v>-3</v>
      </c>
      <c r="OX7" s="16">
        <v>0</v>
      </c>
      <c r="OY7" s="33">
        <v>3</v>
      </c>
      <c r="OZ7" s="39">
        <f>(OS7*12)+OR7-OX7</f>
        <v>48</v>
      </c>
      <c r="PA7" s="5"/>
      <c r="PB7" s="40">
        <f t="shared" si="92"/>
        <v>-48</v>
      </c>
      <c r="PD7" s="16">
        <v>5</v>
      </c>
      <c r="PE7" s="33">
        <v>3</v>
      </c>
      <c r="PF7" s="39">
        <f>(OY7*12)+OX7-PD7</f>
        <v>31</v>
      </c>
      <c r="PG7" s="5"/>
      <c r="PH7" s="40">
        <f t="shared" si="93"/>
        <v>-31</v>
      </c>
      <c r="PJ7" s="16">
        <v>17</v>
      </c>
      <c r="PK7" s="33">
        <v>2</v>
      </c>
      <c r="PL7" s="39">
        <f>(PE7*12)+PD7-PJ7</f>
        <v>24</v>
      </c>
      <c r="PM7" s="5"/>
      <c r="PN7" s="40">
        <f t="shared" si="94"/>
        <v>-24</v>
      </c>
      <c r="PP7" s="16">
        <v>5</v>
      </c>
      <c r="PQ7" s="33">
        <v>2</v>
      </c>
      <c r="PR7" s="39">
        <f>(PK7*12)+PJ7-PP7</f>
        <v>36</v>
      </c>
      <c r="PS7" s="5"/>
      <c r="PT7" s="40">
        <f t="shared" si="95"/>
        <v>-36</v>
      </c>
      <c r="PV7" s="16">
        <v>0</v>
      </c>
      <c r="PW7" s="33">
        <v>3</v>
      </c>
      <c r="PX7" s="39">
        <f>(PQ7*12)+PP7-PV7</f>
        <v>29</v>
      </c>
      <c r="PY7" s="5"/>
      <c r="PZ7" s="40">
        <f t="shared" si="96"/>
        <v>-29</v>
      </c>
      <c r="QB7" s="16">
        <v>0</v>
      </c>
      <c r="QC7" s="33">
        <v>3</v>
      </c>
      <c r="QD7" s="39">
        <f>(PW7*12)+PV7-QB7</f>
        <v>36</v>
      </c>
      <c r="QE7" s="5"/>
      <c r="QF7" s="40">
        <f t="shared" si="97"/>
        <v>-36</v>
      </c>
      <c r="QH7" s="16">
        <v>0</v>
      </c>
      <c r="QI7" s="33">
        <v>3</v>
      </c>
      <c r="QJ7" s="39">
        <f>(QC7*12)+QB7-QH7</f>
        <v>36</v>
      </c>
      <c r="QK7" s="5"/>
      <c r="QL7" s="40">
        <f t="shared" si="98"/>
        <v>-36</v>
      </c>
      <c r="QN7" s="16">
        <v>0</v>
      </c>
      <c r="QO7" s="33">
        <v>3</v>
      </c>
      <c r="QP7" s="39">
        <f>(QI7*12)+QH7-QN7</f>
        <v>36</v>
      </c>
      <c r="QQ7" s="5"/>
      <c r="QR7" s="40">
        <f t="shared" si="99"/>
        <v>-36</v>
      </c>
      <c r="QT7" s="16">
        <v>0</v>
      </c>
      <c r="QU7" s="33">
        <v>3</v>
      </c>
      <c r="QV7" s="39">
        <f>(QO7*12)+QN7-QT7</f>
        <v>36</v>
      </c>
      <c r="QW7" s="5"/>
      <c r="QX7" s="40">
        <f t="shared" si="100"/>
        <v>-36</v>
      </c>
      <c r="QZ7" s="16">
        <v>0</v>
      </c>
      <c r="RA7" s="33">
        <v>4</v>
      </c>
      <c r="RB7" s="39">
        <f>(QU7*12)+QT7-QZ7</f>
        <v>36</v>
      </c>
      <c r="RC7" s="5"/>
      <c r="RD7" s="40">
        <f t="shared" si="101"/>
        <v>-36</v>
      </c>
      <c r="RF7" s="16">
        <v>0</v>
      </c>
      <c r="RG7" s="33">
        <v>3</v>
      </c>
      <c r="RH7" s="39">
        <f>(RA7*12)+QZ7-RF7</f>
        <v>48</v>
      </c>
      <c r="RI7" s="5"/>
      <c r="RJ7" s="40">
        <f t="shared" si="102"/>
        <v>-48</v>
      </c>
      <c r="RL7" s="16">
        <v>36</v>
      </c>
      <c r="RM7" s="33"/>
      <c r="RN7" s="39">
        <f>(RG7*12)+RF7-RL7</f>
        <v>0</v>
      </c>
      <c r="RO7" s="5"/>
      <c r="RP7" s="40">
        <f t="shared" si="103"/>
        <v>0</v>
      </c>
      <c r="RR7" s="16">
        <v>29</v>
      </c>
      <c r="RS7" s="33"/>
      <c r="RT7" s="39">
        <f>(RM7*12)+RL7-RR7</f>
        <v>7</v>
      </c>
      <c r="RU7" s="5"/>
      <c r="RV7" s="40">
        <f t="shared" si="104"/>
        <v>-7</v>
      </c>
      <c r="RX7" s="16">
        <v>24</v>
      </c>
      <c r="RY7" s="33"/>
      <c r="RZ7" s="39">
        <f>(RS7*12)+RR7-RX7</f>
        <v>5</v>
      </c>
      <c r="SA7" s="5"/>
      <c r="SB7" s="40">
        <f t="shared" si="105"/>
        <v>-5</v>
      </c>
      <c r="SD7" s="16">
        <v>16</v>
      </c>
      <c r="SE7" s="33">
        <v>1</v>
      </c>
      <c r="SF7" s="39">
        <f>(RY7*12)+RX7-SD7</f>
        <v>8</v>
      </c>
      <c r="SG7" s="5"/>
      <c r="SH7" s="40">
        <f t="shared" si="106"/>
        <v>-8</v>
      </c>
      <c r="SJ7" s="16">
        <v>4</v>
      </c>
      <c r="SK7" s="33"/>
      <c r="SL7" s="39">
        <f>(SE7*12)+SD7-SJ7</f>
        <v>24</v>
      </c>
      <c r="SM7" s="5"/>
      <c r="SN7" s="40">
        <f t="shared" si="107"/>
        <v>-24</v>
      </c>
      <c r="SP7" s="16">
        <v>0</v>
      </c>
      <c r="SQ7" s="33">
        <v>2</v>
      </c>
      <c r="SR7" s="39">
        <f>(SK7*12)+SJ7-SP7</f>
        <v>4</v>
      </c>
      <c r="SS7" s="5"/>
      <c r="ST7" s="40">
        <f t="shared" si="108"/>
        <v>-4</v>
      </c>
      <c r="SV7" s="16">
        <v>14</v>
      </c>
      <c r="SW7" s="33">
        <v>2</v>
      </c>
      <c r="SX7" s="39">
        <f>(SQ7*12)+SP7-SV7</f>
        <v>10</v>
      </c>
      <c r="SY7" s="5"/>
      <c r="SZ7" s="40">
        <f t="shared" si="109"/>
        <v>-10</v>
      </c>
      <c r="TB7" s="16">
        <v>16</v>
      </c>
      <c r="TC7" s="33"/>
      <c r="TD7" s="39">
        <f>(SW7*12)+SV7-TB7</f>
        <v>22</v>
      </c>
      <c r="TE7" s="5"/>
      <c r="TF7" s="40">
        <f t="shared" si="110"/>
        <v>-22</v>
      </c>
      <c r="TH7" s="16">
        <v>17</v>
      </c>
      <c r="TI7" s="38"/>
      <c r="TJ7" s="39">
        <f>(TC7*12)+TB7-TH7</f>
        <v>-1</v>
      </c>
      <c r="TK7" s="5"/>
      <c r="TL7" s="40">
        <f t="shared" ref="TL7" si="125">(TK7-TJ7)</f>
        <v>1</v>
      </c>
      <c r="TN7" s="16">
        <v>11</v>
      </c>
      <c r="TO7" s="38"/>
      <c r="TP7" s="39">
        <f>(TI7*12)+TH7-TN7</f>
        <v>6</v>
      </c>
      <c r="TQ7" s="5"/>
      <c r="TR7" s="40">
        <f t="shared" ref="TR7" si="126">(TQ7-TP7)</f>
        <v>-6</v>
      </c>
      <c r="TT7" s="16">
        <v>0</v>
      </c>
      <c r="TU7" s="38"/>
      <c r="TV7" s="39">
        <f>(TO7*12)+TN7-TT7</f>
        <v>11</v>
      </c>
      <c r="TW7" s="5"/>
      <c r="TX7" s="40">
        <f t="shared" ref="TX7" si="127">(TW7-TV7)</f>
        <v>-11</v>
      </c>
      <c r="TZ7" s="16">
        <v>0</v>
      </c>
      <c r="UA7" s="38"/>
      <c r="UB7" s="39">
        <f>(TU7*12)+TT7-TZ7</f>
        <v>0</v>
      </c>
      <c r="UC7" s="5"/>
      <c r="UD7" s="40">
        <f t="shared" ref="UD7" si="128">(UC7-UB7)</f>
        <v>0</v>
      </c>
      <c r="UF7" s="16">
        <v>15</v>
      </c>
      <c r="UG7" s="38"/>
      <c r="UH7" s="39">
        <f>(UA7*12)+TZ7-UF7</f>
        <v>-15</v>
      </c>
      <c r="UI7" s="5"/>
      <c r="UJ7" s="40">
        <f t="shared" ref="UJ7" si="129">(UI7-UH7)</f>
        <v>15</v>
      </c>
      <c r="UL7" s="16">
        <v>24</v>
      </c>
      <c r="UM7" s="38"/>
      <c r="UN7" s="39">
        <f>(UG7*12)+UF7-UL7</f>
        <v>-9</v>
      </c>
      <c r="UO7" s="5"/>
      <c r="UP7" s="40">
        <f t="shared" ref="UP7" si="130">(UO7-UN7)</f>
        <v>9</v>
      </c>
      <c r="UR7" s="16">
        <v>16</v>
      </c>
      <c r="US7" s="38"/>
      <c r="UT7" s="39">
        <f>(UM7*12)+UL7-UR7</f>
        <v>8</v>
      </c>
      <c r="UU7" s="5"/>
      <c r="UV7" s="40">
        <f t="shared" ref="UV7" si="131">(UU7-UT7)</f>
        <v>-8</v>
      </c>
      <c r="UX7" s="16">
        <v>7</v>
      </c>
      <c r="UY7" s="38"/>
      <c r="UZ7" s="39">
        <f>(US7*12)+UR7-UX7</f>
        <v>9</v>
      </c>
      <c r="VA7" s="5"/>
      <c r="VB7" s="40">
        <f t="shared" ref="VB7" si="132">(VA7-UZ7)</f>
        <v>-9</v>
      </c>
      <c r="VD7" s="16">
        <v>7</v>
      </c>
      <c r="VE7" s="38"/>
      <c r="VF7" s="39">
        <f>(UY7*12)+UX7-VD7</f>
        <v>0</v>
      </c>
      <c r="VG7" s="5"/>
      <c r="VH7" s="40">
        <f t="shared" ref="VH7" si="133">(VG7-VF7)</f>
        <v>0</v>
      </c>
      <c r="VJ7" s="16">
        <v>0</v>
      </c>
      <c r="VK7" s="38"/>
      <c r="VL7" s="39">
        <f>(VE7*12)+VD7-VJ7</f>
        <v>7</v>
      </c>
      <c r="VM7" s="5"/>
      <c r="VN7" s="40">
        <f t="shared" ref="VN7" si="134">(VM7-VL7)</f>
        <v>-7</v>
      </c>
      <c r="VP7" s="16">
        <v>9</v>
      </c>
      <c r="VQ7" s="38"/>
      <c r="VR7" s="39">
        <f>(VK7*12)+VJ7-VP7</f>
        <v>-9</v>
      </c>
      <c r="VS7" s="5"/>
      <c r="VT7" s="40">
        <f t="shared" ref="VT7" si="135">(VS7-VR7)</f>
        <v>9</v>
      </c>
      <c r="VV7" s="16">
        <v>0</v>
      </c>
      <c r="VW7" s="38"/>
      <c r="VX7" s="39">
        <f>(VQ7*12)+VP7-VV7</f>
        <v>9</v>
      </c>
      <c r="VY7" s="5"/>
      <c r="VZ7" s="40">
        <f t="shared" ref="VZ7" si="136">(VY7-VX7)</f>
        <v>-9</v>
      </c>
      <c r="WB7" s="16"/>
      <c r="WC7" s="38"/>
      <c r="WD7" s="39">
        <f>(VW7*12)+VV7-WB7</f>
        <v>0</v>
      </c>
      <c r="WE7" s="5"/>
      <c r="WF7" s="40">
        <f t="shared" ref="WF7" si="137">(WE7-WD7)</f>
        <v>0</v>
      </c>
      <c r="WH7" s="16">
        <v>0</v>
      </c>
      <c r="WI7" s="38"/>
      <c r="WJ7" s="39">
        <f>(WC7*12)+WB7-WH7</f>
        <v>0</v>
      </c>
      <c r="WK7" s="5"/>
      <c r="WL7" s="40">
        <f t="shared" ref="WL7" si="138">(WK7-WJ7)</f>
        <v>0</v>
      </c>
      <c r="WN7" s="16">
        <v>0</v>
      </c>
      <c r="WO7" s="38"/>
      <c r="WP7" s="39">
        <f>(WI7*12)+WH7-WN7</f>
        <v>0</v>
      </c>
      <c r="WQ7" s="5"/>
      <c r="WR7" s="40">
        <f t="shared" ref="WR7" si="139">(WQ7-WP7)</f>
        <v>0</v>
      </c>
      <c r="WT7" s="16">
        <v>0</v>
      </c>
      <c r="WU7" s="38">
        <v>2</v>
      </c>
      <c r="WV7" s="39">
        <f>(WO7*12)+WN7-WT7</f>
        <v>0</v>
      </c>
      <c r="WW7" s="5"/>
      <c r="WX7" s="40">
        <f t="shared" ref="WX7" si="140">(WW7-WV7)</f>
        <v>0</v>
      </c>
      <c r="WZ7" s="16">
        <v>0</v>
      </c>
      <c r="XA7" s="38"/>
      <c r="XB7" s="39">
        <f>(WU7*12)+WT7-WZ7</f>
        <v>24</v>
      </c>
      <c r="XC7" s="5"/>
      <c r="XD7" s="40">
        <f t="shared" ref="XD7" si="141">(XC7-XB7)</f>
        <v>-24</v>
      </c>
      <c r="XF7" s="16">
        <v>0</v>
      </c>
      <c r="XG7" s="38"/>
      <c r="XH7" s="39">
        <f>(XA7*12)+WZ7-XF7</f>
        <v>0</v>
      </c>
      <c r="XI7" s="5"/>
      <c r="XJ7" s="40">
        <f t="shared" ref="XJ7" si="142">(XI7-XH7)</f>
        <v>0</v>
      </c>
      <c r="XL7" s="16">
        <v>0</v>
      </c>
      <c r="XM7" s="38"/>
      <c r="XN7" s="39">
        <f>(XG7*12)+XF7-XL7</f>
        <v>0</v>
      </c>
      <c r="XO7" s="5"/>
      <c r="XP7" s="40">
        <f t="shared" ref="XP7" si="143">(XO7-XN7)</f>
        <v>0</v>
      </c>
      <c r="XR7" s="16">
        <v>80</v>
      </c>
      <c r="XS7" s="38"/>
      <c r="XT7" s="39">
        <f>(XM7*12)+XL7-XR7</f>
        <v>-80</v>
      </c>
      <c r="XU7" s="5"/>
      <c r="XV7" s="40">
        <f t="shared" ref="XV7" si="144">(XU7-XT7)</f>
        <v>80</v>
      </c>
      <c r="XX7" s="16">
        <v>97</v>
      </c>
      <c r="XY7" s="38"/>
      <c r="XZ7" s="39">
        <f>(XS7*12)+XR7-XX7</f>
        <v>-17</v>
      </c>
      <c r="YA7" s="5"/>
      <c r="YB7" s="40">
        <f t="shared" ref="YB7" si="145">(YA7-XZ7)</f>
        <v>17</v>
      </c>
      <c r="YD7" s="16">
        <v>78</v>
      </c>
      <c r="YE7" s="38"/>
      <c r="YF7" s="39">
        <f>(XY7*12)+XX7-YD7</f>
        <v>19</v>
      </c>
      <c r="YG7" s="5"/>
      <c r="YH7" s="40">
        <f t="shared" ref="YH7" si="146">(YG7-YF7)</f>
        <v>-19</v>
      </c>
      <c r="YJ7" s="16">
        <v>64</v>
      </c>
      <c r="YK7" s="38"/>
      <c r="YL7" s="39">
        <f>(YE7*12)+YD7-YJ7</f>
        <v>14</v>
      </c>
      <c r="YM7" s="5"/>
      <c r="YN7" s="40">
        <f t="shared" ref="YN7" si="147">(YM7-YL7)</f>
        <v>-14</v>
      </c>
      <c r="YP7" s="16">
        <v>61</v>
      </c>
      <c r="YQ7" s="38"/>
      <c r="YR7" s="39">
        <f>(YK7*12)+YJ7-YP7</f>
        <v>3</v>
      </c>
      <c r="YS7" s="5"/>
      <c r="YT7" s="40">
        <f t="shared" ref="YT7" si="148">(YS7-YR7)</f>
        <v>-3</v>
      </c>
      <c r="YV7" s="16">
        <v>49</v>
      </c>
      <c r="YW7" s="38"/>
      <c r="YX7" s="39">
        <f>(YQ7*12)+YP7-YV7</f>
        <v>12</v>
      </c>
      <c r="YY7" s="5"/>
      <c r="YZ7" s="40">
        <f t="shared" ref="YZ7" si="149">(YY7-YX7)</f>
        <v>-12</v>
      </c>
      <c r="ZB7" s="16">
        <v>35</v>
      </c>
      <c r="ZC7" s="38"/>
      <c r="ZD7" s="39">
        <f>(YW7*12)+YV7-ZB7</f>
        <v>14</v>
      </c>
      <c r="ZE7" s="5"/>
      <c r="ZF7" s="40">
        <f t="shared" ref="ZF7" si="150">(ZE7-ZD7)</f>
        <v>-14</v>
      </c>
      <c r="ZH7" s="16">
        <v>120</v>
      </c>
      <c r="ZI7" s="38"/>
      <c r="ZJ7" s="39">
        <f>(ZC7*12)+ZB7-ZH7</f>
        <v>-85</v>
      </c>
      <c r="ZK7" s="5"/>
      <c r="ZL7" s="40">
        <f t="shared" ref="ZL7" si="151">(ZK7-ZJ7)</f>
        <v>85</v>
      </c>
      <c r="ZN7" s="16">
        <v>3</v>
      </c>
      <c r="ZO7" s="38"/>
      <c r="ZP7" s="39">
        <f>(ZI7*12)+ZH7-ZN7</f>
        <v>117</v>
      </c>
      <c r="ZQ7" s="5"/>
      <c r="ZR7" s="40">
        <f t="shared" ref="ZR7" si="152">(ZQ7-ZP7)</f>
        <v>-117</v>
      </c>
      <c r="ZT7" s="16">
        <v>57</v>
      </c>
      <c r="ZU7" s="38"/>
      <c r="ZV7" s="39">
        <f>(ZO7*12)+ZN7-ZT7</f>
        <v>-54</v>
      </c>
      <c r="ZW7" s="5"/>
      <c r="ZX7" s="40">
        <f t="shared" ref="ZX7" si="153">(ZW7-ZV7)</f>
        <v>54</v>
      </c>
      <c r="ZZ7" s="16">
        <v>52</v>
      </c>
      <c r="AAA7" s="38"/>
      <c r="AAB7" s="39">
        <f>(ZU7*12)+ZT7-ZZ7</f>
        <v>5</v>
      </c>
      <c r="AAC7" s="5"/>
      <c r="AAD7" s="40">
        <f t="shared" ref="AAD7" si="154">(AAC7-AAB7)</f>
        <v>-5</v>
      </c>
      <c r="AAF7" s="16">
        <v>50</v>
      </c>
      <c r="AAG7" s="38"/>
      <c r="AAH7" s="39">
        <f>(AAA7*12)+ZZ7-AAF7</f>
        <v>2</v>
      </c>
      <c r="AAI7" s="5"/>
      <c r="AAJ7" s="40">
        <f t="shared" ref="AAJ7" si="155">(AAI7-AAH7)</f>
        <v>-2</v>
      </c>
      <c r="AAL7" s="16">
        <v>9</v>
      </c>
      <c r="AAM7" s="38"/>
      <c r="AAN7" s="39">
        <f>(AAG7*12)+AAF7-AAL7</f>
        <v>41</v>
      </c>
      <c r="AAO7" s="5"/>
      <c r="AAP7" s="40">
        <f t="shared" ref="AAP7" si="156">(AAO7-AAN7)</f>
        <v>-41</v>
      </c>
      <c r="AAR7" s="16">
        <v>26</v>
      </c>
      <c r="AAS7" s="38"/>
      <c r="AAT7" s="39">
        <f>(AAM7*12)+AAL7-AAR7</f>
        <v>-17</v>
      </c>
      <c r="AAU7" s="5"/>
      <c r="AAV7" s="40">
        <f t="shared" ref="AAV7" si="157">(AAU7-AAT7)</f>
        <v>17</v>
      </c>
      <c r="AAX7" s="16">
        <v>19</v>
      </c>
      <c r="AAY7" s="38"/>
      <c r="AAZ7" s="39">
        <f>(AAS7*12)+AAR7-AAX7</f>
        <v>7</v>
      </c>
      <c r="ABA7" s="5"/>
      <c r="ABB7" s="40">
        <f t="shared" ref="ABB7" si="158">(ABA7-AAZ7)</f>
        <v>-7</v>
      </c>
      <c r="ABD7" s="16">
        <v>9</v>
      </c>
      <c r="ABE7" s="38"/>
      <c r="ABF7" s="39">
        <f>(AAY7*12)+AAX7-ABD7</f>
        <v>10</v>
      </c>
      <c r="ABG7" s="5"/>
      <c r="ABH7" s="40">
        <f t="shared" ref="ABH7" si="159">(ABG7-ABF7)</f>
        <v>-10</v>
      </c>
      <c r="ABJ7" s="16">
        <v>16</v>
      </c>
      <c r="ABK7" s="38"/>
      <c r="ABL7" s="39">
        <f>(ABE7*12)+ABD7-ABJ7</f>
        <v>-7</v>
      </c>
      <c r="ABM7" s="5"/>
      <c r="ABN7" s="40">
        <f t="shared" ref="ABN7" si="160">(ABM7-ABL7)</f>
        <v>7</v>
      </c>
      <c r="ABP7" s="16">
        <v>1</v>
      </c>
      <c r="ABQ7" s="38"/>
      <c r="ABR7" s="39">
        <f>(ABK7*12)+ABJ7-ABP7</f>
        <v>15</v>
      </c>
      <c r="ABS7" s="5"/>
      <c r="ABT7" s="40">
        <f t="shared" ref="ABT7" si="161">(ABS7-ABR7)</f>
        <v>-15</v>
      </c>
      <c r="ABV7" s="16">
        <v>9</v>
      </c>
      <c r="ABW7" s="38"/>
      <c r="ABX7" s="39">
        <f>(ABQ7*12)+ABP7-ABV7</f>
        <v>-8</v>
      </c>
      <c r="ABY7" s="5"/>
      <c r="ABZ7" s="40">
        <f t="shared" ref="ABZ7" si="162">(ABY7-ABX7)</f>
        <v>8</v>
      </c>
      <c r="ACB7" s="16">
        <v>16</v>
      </c>
      <c r="ACC7" s="38"/>
      <c r="ACD7" s="39">
        <f>(ABW7*12)+ABV7-ACB7</f>
        <v>-7</v>
      </c>
      <c r="ACE7" s="5"/>
      <c r="ACF7" s="40">
        <f t="shared" ref="ACF7" si="163">(ACE7-ACD7)</f>
        <v>7</v>
      </c>
      <c r="ACH7" s="16">
        <v>20</v>
      </c>
      <c r="ACI7" s="38"/>
      <c r="ACJ7" s="39">
        <f>(ACC7*12)+ACB7-ACH7</f>
        <v>-4</v>
      </c>
      <c r="ACK7" s="5"/>
      <c r="ACL7" s="40">
        <f t="shared" ref="ACL7" si="164">(ACK7-ACJ7)</f>
        <v>4</v>
      </c>
      <c r="ACN7" s="16">
        <v>36</v>
      </c>
      <c r="ACO7" s="38"/>
      <c r="ACP7" s="39">
        <f>(ACI7*12)+ACH7-ACN7</f>
        <v>-16</v>
      </c>
      <c r="ACQ7" s="5"/>
      <c r="ACR7" s="40">
        <f t="shared" ref="ACR7" si="165">(ACQ7-ACP7)</f>
        <v>16</v>
      </c>
      <c r="ACT7" s="16">
        <v>30</v>
      </c>
      <c r="ACU7" s="38"/>
      <c r="ACV7" s="39">
        <f>(ACO7*12)+ACN7-ACT7</f>
        <v>6</v>
      </c>
      <c r="ACW7" s="5"/>
      <c r="ACX7" s="40">
        <f t="shared" ref="ACX7" si="166">(ACW7-ACV7)</f>
        <v>-6</v>
      </c>
      <c r="ACZ7" s="16">
        <v>26</v>
      </c>
      <c r="ADA7" s="38"/>
      <c r="ADB7" s="39">
        <f>(ACU7*12)+ACT7-ACZ7</f>
        <v>4</v>
      </c>
      <c r="ADC7" s="5"/>
      <c r="ADD7" s="40">
        <f t="shared" ref="ADD7" si="167">(ADC7-ADB7)</f>
        <v>-4</v>
      </c>
      <c r="ADF7" s="16">
        <v>29</v>
      </c>
      <c r="ADG7" s="38"/>
      <c r="ADH7" s="39">
        <f>(ADA7*12)+ACZ7-ADF7</f>
        <v>-3</v>
      </c>
      <c r="ADI7" s="5"/>
      <c r="ADJ7" s="40">
        <f t="shared" ref="ADJ7" si="168">(ADI7-ADH7)</f>
        <v>3</v>
      </c>
      <c r="ADL7" s="16">
        <v>18</v>
      </c>
      <c r="ADM7" s="38"/>
      <c r="ADN7" s="39">
        <f>(ADG7*12)+ADF7-ADL7</f>
        <v>11</v>
      </c>
      <c r="ADO7" s="5"/>
      <c r="ADP7" s="40">
        <f t="shared" ref="ADP7" si="169">(ADO7-ADN7)</f>
        <v>-11</v>
      </c>
      <c r="ADR7" s="16">
        <v>42</v>
      </c>
      <c r="ADS7" s="38"/>
      <c r="ADT7" s="39">
        <f>(ADM7*12)+ADL7-ADR7</f>
        <v>-24</v>
      </c>
      <c r="ADU7" s="5"/>
      <c r="ADV7" s="40">
        <f t="shared" ref="ADV7" si="170">(ADU7-ADT7)</f>
        <v>24</v>
      </c>
      <c r="ADX7" s="16">
        <v>26</v>
      </c>
      <c r="ADY7" s="38"/>
      <c r="ADZ7" s="39">
        <f>(ADS7*12)+ADR7-ADX7</f>
        <v>16</v>
      </c>
      <c r="AEA7" s="5"/>
      <c r="AEB7" s="40">
        <f t="shared" ref="AEB7" si="171">(AEA7-ADZ7)</f>
        <v>-16</v>
      </c>
      <c r="AED7" s="16">
        <v>19</v>
      </c>
      <c r="AEE7" s="38"/>
      <c r="AEF7" s="39">
        <f>(ADY7*12)+ADX7-AED7</f>
        <v>7</v>
      </c>
      <c r="AEG7" s="5"/>
      <c r="AEH7" s="40">
        <f t="shared" ref="AEH7" si="172">(AEG7-AEF7)</f>
        <v>-7</v>
      </c>
      <c r="AEJ7" s="16">
        <v>13</v>
      </c>
      <c r="AEK7" s="38"/>
      <c r="AEL7" s="39">
        <f>(AEE7*12)+AED7-AEJ7</f>
        <v>6</v>
      </c>
      <c r="AEM7" s="5"/>
      <c r="AEN7" s="40">
        <f t="shared" ref="AEN7" si="173">(AEM7-AEL7)</f>
        <v>-6</v>
      </c>
      <c r="AEP7" s="16">
        <v>18</v>
      </c>
      <c r="AEQ7" s="38"/>
      <c r="AER7" s="39">
        <f>(AEK7*12)+AEJ7-AEP7</f>
        <v>-5</v>
      </c>
      <c r="AES7" s="5"/>
      <c r="AET7" s="40">
        <f t="shared" ref="AET7" si="174">(AES7-AER7)</f>
        <v>5</v>
      </c>
      <c r="AEV7" s="16">
        <v>24</v>
      </c>
      <c r="AEW7" s="38"/>
      <c r="AEX7" s="39">
        <f>(AEQ7*12)+AEP7-AEV7</f>
        <v>-6</v>
      </c>
      <c r="AEY7" s="5"/>
      <c r="AEZ7" s="40">
        <f t="shared" ref="AEZ7" si="175">(AEY7-AEX7)</f>
        <v>6</v>
      </c>
      <c r="AFB7" s="16">
        <v>11</v>
      </c>
      <c r="AFC7" s="38"/>
      <c r="AFD7" s="39">
        <f>(AEW7*12)+AEV7-AFB7</f>
        <v>13</v>
      </c>
      <c r="AFE7" s="5"/>
      <c r="AFF7" s="40">
        <f t="shared" ref="AFF7" si="176">(AFE7-AFD7)</f>
        <v>-13</v>
      </c>
      <c r="AFH7" s="16">
        <v>13</v>
      </c>
      <c r="AFI7" s="38"/>
      <c r="AFJ7" s="39">
        <f>(AFC7*12)+AFB7-AFH7</f>
        <v>-2</v>
      </c>
      <c r="AFK7" s="5"/>
      <c r="AFL7" s="40">
        <f t="shared" ref="AFL7" si="177">(AFK7-AFJ7)</f>
        <v>2</v>
      </c>
      <c r="AFN7" s="16">
        <v>33</v>
      </c>
      <c r="AFO7" s="38"/>
      <c r="AFP7" s="39">
        <f>(AFI7*12)+AFH7-AFN7</f>
        <v>-20</v>
      </c>
      <c r="AFQ7" s="5"/>
      <c r="AFR7" s="40">
        <f t="shared" ref="AFR7" si="178">(AFQ7-AFP7)</f>
        <v>20</v>
      </c>
      <c r="AFT7" s="16">
        <v>28</v>
      </c>
      <c r="AFU7" s="38"/>
      <c r="AFV7" s="39">
        <f>(AFO7*12)+AFN7-AFT7</f>
        <v>5</v>
      </c>
      <c r="AFW7" s="5"/>
      <c r="AFX7" s="40">
        <f t="shared" ref="AFX7" si="179">(AFW7-AFV7)</f>
        <v>-5</v>
      </c>
      <c r="AFZ7" s="16">
        <v>30</v>
      </c>
      <c r="AGA7" s="38"/>
      <c r="AGB7" s="39">
        <f>(AFU7*12)+AFT7-AFZ7</f>
        <v>-2</v>
      </c>
      <c r="AGC7" s="5"/>
      <c r="AGD7" s="40">
        <f t="shared" ref="AGD7" si="180">(AGC7-AGB7)</f>
        <v>2</v>
      </c>
      <c r="AGF7" s="16">
        <v>36</v>
      </c>
      <c r="AGG7" s="38"/>
      <c r="AGH7" s="39">
        <f>(AGA7*12)+AFZ7-AGF7</f>
        <v>-6</v>
      </c>
      <c r="AGI7" s="5"/>
      <c r="AGJ7" s="40">
        <f t="shared" ref="AGJ7" si="181">(AGI7-AGH7)</f>
        <v>6</v>
      </c>
      <c r="AGL7" s="16">
        <v>31</v>
      </c>
      <c r="AGM7" s="38"/>
      <c r="AGN7" s="39">
        <f>(AGG7*12)+AGF7-AGL7</f>
        <v>5</v>
      </c>
      <c r="AGO7" s="5"/>
      <c r="AGP7" s="40">
        <f t="shared" ref="AGP7" si="182">(AGO7-AGN7)</f>
        <v>-5</v>
      </c>
      <c r="AGR7" s="16">
        <v>23</v>
      </c>
      <c r="AGS7" s="38"/>
      <c r="AGT7" s="39">
        <f>(AGM7*12)+AGL7-AGR7</f>
        <v>8</v>
      </c>
      <c r="AGU7" s="5"/>
      <c r="AGV7" s="40">
        <f t="shared" ref="AGV7" si="183">(AGU7-AGT7)</f>
        <v>-8</v>
      </c>
      <c r="AGX7" s="16">
        <v>26</v>
      </c>
      <c r="AGY7" s="38"/>
      <c r="AGZ7" s="39">
        <f>(AGS7*12)+AGR7-AGX7</f>
        <v>-3</v>
      </c>
      <c r="AHA7" s="5"/>
      <c r="AHB7" s="40">
        <f t="shared" ref="AHB7" si="184">(AHA7-AGZ7)</f>
        <v>3</v>
      </c>
      <c r="AHD7" s="16">
        <v>21</v>
      </c>
      <c r="AHE7" s="38"/>
      <c r="AHF7" s="39">
        <f>(AGY7*12)+AGX7-AHD7</f>
        <v>5</v>
      </c>
      <c r="AHG7" s="5"/>
      <c r="AHH7" s="40">
        <f t="shared" ref="AHH7" si="185">(AHG7-AHF7)</f>
        <v>-5</v>
      </c>
      <c r="AHJ7" s="16">
        <v>11</v>
      </c>
      <c r="AHK7" s="38"/>
      <c r="AHL7" s="39">
        <f>(AHE7*12)+AHD7-AHJ7</f>
        <v>10</v>
      </c>
      <c r="AHM7" s="5"/>
      <c r="AHN7" s="40">
        <f t="shared" ref="AHN7" si="186">(AHM7-AHL7)</f>
        <v>-10</v>
      </c>
      <c r="AHP7" s="16">
        <v>13</v>
      </c>
      <c r="AHQ7" s="38"/>
      <c r="AHR7" s="39">
        <f>(AHK7*12)+AHJ7-AHP7</f>
        <v>-2</v>
      </c>
      <c r="AHS7" s="5"/>
      <c r="AHT7" s="40">
        <f t="shared" ref="AHT7" si="187">(AHS7-AHR7)</f>
        <v>2</v>
      </c>
      <c r="AHV7" s="16">
        <v>0</v>
      </c>
      <c r="AHW7" s="38"/>
      <c r="AHX7" s="39">
        <f>(AHQ7*12)+AHP7-AHV7</f>
        <v>13</v>
      </c>
      <c r="AHY7" s="5"/>
      <c r="AHZ7" s="40">
        <f t="shared" ref="AHZ7" si="188">(AHY7-AHX7)</f>
        <v>-13</v>
      </c>
      <c r="AIB7" s="16">
        <v>34</v>
      </c>
      <c r="AIC7" s="38"/>
      <c r="AID7" s="39">
        <f>(AHW7*12)+AHV7-AIB7</f>
        <v>-34</v>
      </c>
      <c r="AIE7" s="5"/>
      <c r="AIF7" s="40">
        <f t="shared" ref="AIF7" si="189">(AIE7-AID7)</f>
        <v>34</v>
      </c>
      <c r="AIH7" s="16">
        <v>18</v>
      </c>
      <c r="AII7" s="38"/>
      <c r="AIJ7" s="39">
        <f>(AIC7*12)+AIB7-AIH7</f>
        <v>16</v>
      </c>
      <c r="AIK7" s="5"/>
      <c r="AIL7" s="40">
        <f t="shared" ref="AIL7" si="190">(AIK7-AIJ7)</f>
        <v>-16</v>
      </c>
      <c r="AIN7" s="16">
        <v>23</v>
      </c>
      <c r="AIO7" s="38"/>
      <c r="AIP7" s="39">
        <f>(AII7*12)+AIH7-AIN7</f>
        <v>-5</v>
      </c>
      <c r="AIQ7" s="5"/>
      <c r="AIR7" s="40">
        <f t="shared" ref="AIR7" si="191">(AIQ7-AIP7)</f>
        <v>5</v>
      </c>
      <c r="AIT7" s="16">
        <v>14</v>
      </c>
      <c r="AIU7" s="38"/>
      <c r="AIV7" s="39">
        <f>(AIO7*12)+AIN7-AIT7</f>
        <v>9</v>
      </c>
      <c r="AIW7" s="5"/>
      <c r="AIX7" s="40">
        <f t="shared" ref="AIX7" si="192">(AIW7-AIV7)</f>
        <v>-9</v>
      </c>
      <c r="AIZ7" s="16">
        <v>22</v>
      </c>
      <c r="AJA7" s="38"/>
      <c r="AJB7" s="39">
        <f>(AIU7*12)+AIT7-AIZ7</f>
        <v>-8</v>
      </c>
      <c r="AJC7" s="5"/>
      <c r="AJD7" s="40">
        <f t="shared" ref="AJD7" si="193">(AJC7-AJB7)</f>
        <v>8</v>
      </c>
      <c r="AJF7" s="16">
        <v>36</v>
      </c>
      <c r="AJG7" s="38"/>
      <c r="AJH7" s="39">
        <f>(AJA7*12)+AIZ7-AJF7</f>
        <v>-14</v>
      </c>
      <c r="AJI7" s="5"/>
      <c r="AJJ7" s="40">
        <f t="shared" ref="AJJ7" si="194">(AJI7-AJH7)</f>
        <v>14</v>
      </c>
      <c r="AJL7" s="16">
        <v>29</v>
      </c>
      <c r="AJM7" s="38"/>
      <c r="AJN7" s="39">
        <f>(AJG7*12)+AJF7-AJL7</f>
        <v>7</v>
      </c>
      <c r="AJO7" s="5"/>
      <c r="AJP7" s="40">
        <f t="shared" ref="AJP7" si="195">(AJO7-AJN7)</f>
        <v>-7</v>
      </c>
      <c r="AJR7" s="16">
        <v>23</v>
      </c>
      <c r="AJS7" s="38"/>
      <c r="AJT7" s="39">
        <f>(AJM7*12)+AJL7-AJR7</f>
        <v>6</v>
      </c>
      <c r="AJU7" s="5"/>
      <c r="AJV7" s="40">
        <f t="shared" ref="AJV7" si="196">(AJU7-AJT7)</f>
        <v>-6</v>
      </c>
      <c r="AJX7" s="16">
        <v>25</v>
      </c>
      <c r="AJY7" s="38"/>
      <c r="AJZ7" s="39">
        <f>(AJS7*12)+AJR7-AJX7</f>
        <v>-2</v>
      </c>
      <c r="AKA7" s="5"/>
      <c r="AKB7" s="40">
        <f t="shared" ref="AKB7" si="197">(AKA7-AJZ7)</f>
        <v>2</v>
      </c>
      <c r="AKD7" s="16">
        <v>13</v>
      </c>
      <c r="AKE7" s="38"/>
      <c r="AKF7" s="39">
        <f>(AJY7*12)+AJX7-AKD7</f>
        <v>12</v>
      </c>
      <c r="AKG7" s="5"/>
      <c r="AKH7" s="40">
        <f t="shared" ref="AKH7" si="198">(AKG7-AKF7)</f>
        <v>-12</v>
      </c>
      <c r="AKJ7" s="16">
        <v>15</v>
      </c>
      <c r="AKK7" s="38"/>
      <c r="AKL7" s="39">
        <f>(AKE7*12)+AKD7-AKJ7</f>
        <v>-2</v>
      </c>
      <c r="AKM7" s="5"/>
      <c r="AKN7" s="40">
        <f t="shared" ref="AKN7" si="199">(AKM7-AKL7)</f>
        <v>2</v>
      </c>
      <c r="AKP7" s="16">
        <v>29</v>
      </c>
      <c r="AKQ7" s="38"/>
      <c r="AKR7" s="39">
        <f>(AKK7*12)+AKJ7-AKP7</f>
        <v>-14</v>
      </c>
      <c r="AKS7" s="5"/>
      <c r="AKT7" s="40">
        <f t="shared" ref="AKT7" si="200">(AKS7-AKR7)</f>
        <v>14</v>
      </c>
      <c r="AKV7" s="16">
        <v>30</v>
      </c>
      <c r="AKW7" s="38"/>
      <c r="AKX7" s="39">
        <f>(AKQ7*12)+AKP7-AKV7</f>
        <v>-1</v>
      </c>
      <c r="AKY7" s="5"/>
      <c r="AKZ7" s="40">
        <f t="shared" ref="AKZ7" si="201">(AKY7-AKX7)</f>
        <v>1</v>
      </c>
      <c r="ALB7" s="16">
        <v>19</v>
      </c>
      <c r="ALC7" s="38"/>
      <c r="ALD7" s="39">
        <f>(AKW7*12)+AKV7-ALB7</f>
        <v>11</v>
      </c>
      <c r="ALE7" s="5"/>
      <c r="ALF7" s="40">
        <f t="shared" ref="ALF7" si="202">(ALE7-ALD7)</f>
        <v>-11</v>
      </c>
      <c r="ALH7" s="16">
        <v>12</v>
      </c>
      <c r="ALI7" s="38"/>
      <c r="ALJ7" s="39">
        <f>(ALC7*12)+ALB7-ALH7</f>
        <v>7</v>
      </c>
      <c r="ALK7" s="5"/>
      <c r="ALL7" s="40">
        <f t="shared" ref="ALL7" si="203">(ALK7-ALJ7)</f>
        <v>-7</v>
      </c>
      <c r="ALN7" s="16">
        <v>14</v>
      </c>
      <c r="ALO7" s="38"/>
      <c r="ALP7" s="39">
        <f>(ALI7*12)+ALH7-ALN7</f>
        <v>-2</v>
      </c>
      <c r="ALQ7" s="5"/>
      <c r="ALR7" s="40">
        <f t="shared" ref="ALR7" si="204">(ALQ7-ALP7)</f>
        <v>2</v>
      </c>
      <c r="ALT7" s="16">
        <v>2</v>
      </c>
      <c r="ALU7" s="38"/>
      <c r="ALV7" s="39">
        <f>(ALO7*12)+ALN7-ALT7</f>
        <v>12</v>
      </c>
      <c r="ALW7" s="5"/>
      <c r="ALX7" s="40">
        <f t="shared" ref="ALX7" si="205">(ALW7-ALV7)</f>
        <v>-12</v>
      </c>
      <c r="ALZ7" s="16">
        <v>21</v>
      </c>
      <c r="AMA7" s="38"/>
      <c r="AMB7" s="39">
        <f>(ALU7*12)+ALT7-ALZ7</f>
        <v>-19</v>
      </c>
      <c r="AMC7" s="5"/>
      <c r="AMD7" s="40">
        <f t="shared" ref="AMD7" si="206">(AMC7-AMB7)</f>
        <v>19</v>
      </c>
      <c r="AMF7" s="16">
        <v>26</v>
      </c>
      <c r="AMG7" s="38"/>
      <c r="AMH7" s="39">
        <f>(AMA7*12)+ALZ7-AMF7</f>
        <v>-5</v>
      </c>
      <c r="AMI7" s="5"/>
      <c r="AMJ7" s="40">
        <f t="shared" ref="AMJ7" si="207">(AMI7-AMH7)</f>
        <v>5</v>
      </c>
      <c r="AML7" s="16">
        <v>13</v>
      </c>
      <c r="AMM7" s="38"/>
      <c r="AMN7" s="39">
        <f>(AMG7*12)+AMF7-AML7</f>
        <v>13</v>
      </c>
      <c r="AMO7" s="5"/>
      <c r="AMP7" s="40">
        <f t="shared" ref="AMP7" si="208">(AMO7-AMN7)</f>
        <v>-13</v>
      </c>
      <c r="AMR7" s="16">
        <v>7</v>
      </c>
      <c r="AMS7" s="38"/>
      <c r="AMT7" s="39">
        <f>(AMM7*12)+AML7-AMR7</f>
        <v>6</v>
      </c>
      <c r="AMU7" s="5"/>
      <c r="AMV7" s="40">
        <f t="shared" ref="AMV7" si="209">(AMU7-AMT7)</f>
        <v>-6</v>
      </c>
      <c r="AMX7" s="16">
        <v>1</v>
      </c>
      <c r="AMY7" s="38"/>
      <c r="AMZ7" s="39">
        <f>(AMS7*12)+AMR7-AMX7</f>
        <v>6</v>
      </c>
      <c r="ANA7" s="5"/>
      <c r="ANB7" s="40">
        <f t="shared" ref="ANB7" si="210">(ANA7-AMZ7)</f>
        <v>-6</v>
      </c>
      <c r="AND7" s="16">
        <v>16</v>
      </c>
      <c r="ANE7" s="38"/>
      <c r="ANF7" s="39">
        <f>(AMY7*12)+AMX7-AND7</f>
        <v>-15</v>
      </c>
      <c r="ANG7" s="5"/>
      <c r="ANH7" s="40">
        <f t="shared" ref="ANH7" si="211">(ANG7-ANF7)</f>
        <v>15</v>
      </c>
      <c r="ANJ7" s="16">
        <v>1</v>
      </c>
      <c r="ANK7" s="38"/>
      <c r="ANL7" s="39">
        <f>(ANE7*12)+AND7-ANJ7</f>
        <v>15</v>
      </c>
      <c r="ANM7" s="5"/>
      <c r="ANN7" s="40">
        <f t="shared" ref="ANN7" si="212">(ANM7-ANL7)</f>
        <v>-15</v>
      </c>
      <c r="ANP7" s="16">
        <v>10</v>
      </c>
      <c r="ANQ7" s="38"/>
      <c r="ANR7" s="39">
        <f>(ANK7*12)+ANJ7-ANP7</f>
        <v>-9</v>
      </c>
      <c r="ANS7" s="5"/>
      <c r="ANT7" s="40">
        <f t="shared" ref="ANT7" si="213">(ANS7-ANR7)</f>
        <v>9</v>
      </c>
      <c r="ANV7" s="16">
        <v>16</v>
      </c>
      <c r="ANW7" s="38"/>
      <c r="ANX7" s="39">
        <f>(ANQ7*12)+ANP7-ANV7</f>
        <v>-6</v>
      </c>
      <c r="ANY7" s="5"/>
      <c r="ANZ7" s="40">
        <f t="shared" ref="ANZ7" si="214">(ANY7-ANX7)</f>
        <v>6</v>
      </c>
      <c r="AOB7" s="16">
        <v>15</v>
      </c>
      <c r="AOC7" s="38">
        <v>12</v>
      </c>
      <c r="AOD7" s="39">
        <f>(ANW7*12)+ANV7-AOB7</f>
        <v>1</v>
      </c>
      <c r="AOE7" s="5"/>
      <c r="AOF7" s="40">
        <f t="shared" ref="AOF7" si="215">(AOE7-AOD7)</f>
        <v>-1</v>
      </c>
      <c r="AOH7" s="16">
        <v>19</v>
      </c>
      <c r="AOI7" s="38">
        <v>24</v>
      </c>
      <c r="AOJ7" s="39">
        <f>(AOC7*12)+AOB7-AOH7</f>
        <v>140</v>
      </c>
      <c r="AOK7" s="5"/>
      <c r="AOL7" s="40">
        <f t="shared" ref="AOL7" si="216">(AOK7-AOJ7)</f>
        <v>-140</v>
      </c>
      <c r="AON7" s="16">
        <v>4</v>
      </c>
      <c r="AOO7" s="38">
        <v>12</v>
      </c>
      <c r="AOP7" s="39">
        <f>(AOI7*12)+AOH7-AON7</f>
        <v>303</v>
      </c>
      <c r="AOQ7" s="5"/>
      <c r="AOR7" s="40">
        <f t="shared" ref="AOR7" si="217">(AOQ7-AOP7)</f>
        <v>-303</v>
      </c>
    </row>
    <row r="9" spans="1:1024 1026:1085" x14ac:dyDescent="0.25">
      <c r="A9" s="6" t="s">
        <v>24</v>
      </c>
      <c r="B9" s="17"/>
      <c r="C9" s="7" t="s">
        <v>12</v>
      </c>
      <c r="D9" s="8" t="s">
        <v>13</v>
      </c>
      <c r="F9" s="10" t="s">
        <v>14</v>
      </c>
      <c r="G9" s="8" t="s">
        <v>15</v>
      </c>
      <c r="H9" s="9" t="s">
        <v>16</v>
      </c>
      <c r="I9" s="8" t="s">
        <v>17</v>
      </c>
      <c r="J9" s="8" t="s">
        <v>18</v>
      </c>
      <c r="L9" s="10" t="s">
        <v>14</v>
      </c>
      <c r="M9" s="8" t="s">
        <v>15</v>
      </c>
      <c r="N9" s="9" t="s">
        <v>16</v>
      </c>
      <c r="O9" s="8" t="s">
        <v>17</v>
      </c>
      <c r="P9" s="8" t="s">
        <v>18</v>
      </c>
      <c r="R9" s="10" t="s">
        <v>14</v>
      </c>
      <c r="S9" s="8" t="s">
        <v>15</v>
      </c>
      <c r="T9" s="9" t="s">
        <v>16</v>
      </c>
      <c r="U9" s="8" t="s">
        <v>17</v>
      </c>
      <c r="V9" s="8" t="s">
        <v>18</v>
      </c>
      <c r="X9" s="10" t="s">
        <v>14</v>
      </c>
      <c r="Y9" s="8" t="s">
        <v>15</v>
      </c>
      <c r="Z9" s="9" t="s">
        <v>16</v>
      </c>
      <c r="AA9" s="8" t="s">
        <v>17</v>
      </c>
      <c r="AB9" s="8" t="s">
        <v>18</v>
      </c>
      <c r="AD9" s="10" t="s">
        <v>14</v>
      </c>
      <c r="AE9" s="8" t="s">
        <v>15</v>
      </c>
      <c r="AF9" s="9" t="s">
        <v>16</v>
      </c>
      <c r="AG9" s="8" t="s">
        <v>17</v>
      </c>
      <c r="AH9" s="8" t="s">
        <v>18</v>
      </c>
      <c r="AJ9" s="10" t="s">
        <v>14</v>
      </c>
      <c r="AK9" s="8" t="s">
        <v>15</v>
      </c>
      <c r="AL9" s="9" t="s">
        <v>16</v>
      </c>
      <c r="AM9" s="8" t="s">
        <v>17</v>
      </c>
      <c r="AN9" s="8" t="s">
        <v>18</v>
      </c>
      <c r="AP9" s="10" t="s">
        <v>14</v>
      </c>
      <c r="AQ9" s="8" t="s">
        <v>15</v>
      </c>
      <c r="AR9" s="9" t="s">
        <v>16</v>
      </c>
      <c r="AS9" s="8" t="s">
        <v>17</v>
      </c>
      <c r="AT9" s="8" t="s">
        <v>18</v>
      </c>
      <c r="AV9" s="10" t="s">
        <v>14</v>
      </c>
      <c r="AW9" s="8" t="s">
        <v>15</v>
      </c>
      <c r="AX9" s="9" t="s">
        <v>16</v>
      </c>
      <c r="AY9" s="8" t="s">
        <v>17</v>
      </c>
      <c r="AZ9" s="8" t="s">
        <v>18</v>
      </c>
      <c r="BB9" s="10" t="s">
        <v>14</v>
      </c>
      <c r="BC9" s="8" t="s">
        <v>15</v>
      </c>
      <c r="BD9" s="9" t="s">
        <v>16</v>
      </c>
      <c r="BE9" s="8" t="s">
        <v>17</v>
      </c>
      <c r="BF9" s="8" t="s">
        <v>18</v>
      </c>
      <c r="BH9" s="10" t="s">
        <v>14</v>
      </c>
      <c r="BI9" s="8" t="s">
        <v>15</v>
      </c>
      <c r="BJ9" s="9" t="s">
        <v>16</v>
      </c>
      <c r="BK9" s="8" t="s">
        <v>17</v>
      </c>
      <c r="BL9" s="8" t="s">
        <v>18</v>
      </c>
      <c r="BN9" s="10" t="s">
        <v>14</v>
      </c>
      <c r="BO9" s="8" t="s">
        <v>15</v>
      </c>
      <c r="BP9" s="9" t="s">
        <v>16</v>
      </c>
      <c r="BQ9" s="8" t="s">
        <v>17</v>
      </c>
      <c r="BR9" s="8" t="s">
        <v>18</v>
      </c>
      <c r="BT9" s="10" t="s">
        <v>14</v>
      </c>
      <c r="BU9" s="8" t="s">
        <v>15</v>
      </c>
      <c r="BV9" s="9" t="s">
        <v>16</v>
      </c>
      <c r="BW9" s="8" t="s">
        <v>17</v>
      </c>
      <c r="BX9" s="8" t="s">
        <v>18</v>
      </c>
      <c r="BZ9" s="10" t="s">
        <v>14</v>
      </c>
      <c r="CA9" s="8" t="s">
        <v>15</v>
      </c>
      <c r="CB9" s="9" t="s">
        <v>16</v>
      </c>
      <c r="CC9" s="8" t="s">
        <v>17</v>
      </c>
      <c r="CD9" s="8" t="s">
        <v>18</v>
      </c>
      <c r="CF9" s="10" t="s">
        <v>14</v>
      </c>
      <c r="CG9" s="8" t="s">
        <v>15</v>
      </c>
      <c r="CH9" s="9" t="s">
        <v>16</v>
      </c>
      <c r="CI9" s="8" t="s">
        <v>17</v>
      </c>
      <c r="CJ9" s="8" t="s">
        <v>18</v>
      </c>
      <c r="CL9" s="10" t="s">
        <v>14</v>
      </c>
      <c r="CM9" s="8" t="s">
        <v>15</v>
      </c>
      <c r="CN9" s="9" t="s">
        <v>16</v>
      </c>
      <c r="CO9" s="8" t="s">
        <v>17</v>
      </c>
      <c r="CP9" s="8" t="s">
        <v>18</v>
      </c>
      <c r="CR9" s="10" t="s">
        <v>14</v>
      </c>
      <c r="CS9" s="8" t="s">
        <v>15</v>
      </c>
      <c r="CT9" s="9" t="s">
        <v>16</v>
      </c>
      <c r="CU9" s="8" t="s">
        <v>17</v>
      </c>
      <c r="CV9" s="8" t="s">
        <v>18</v>
      </c>
      <c r="CX9" s="10" t="s">
        <v>14</v>
      </c>
      <c r="CY9" s="8" t="s">
        <v>15</v>
      </c>
      <c r="CZ9" s="9" t="s">
        <v>16</v>
      </c>
      <c r="DA9" s="8" t="s">
        <v>17</v>
      </c>
      <c r="DB9" s="8" t="s">
        <v>18</v>
      </c>
      <c r="DD9" s="10" t="s">
        <v>14</v>
      </c>
      <c r="DE9" s="8" t="s">
        <v>15</v>
      </c>
      <c r="DF9" s="9" t="s">
        <v>16</v>
      </c>
      <c r="DG9" s="8" t="s">
        <v>17</v>
      </c>
      <c r="DH9" s="8" t="s">
        <v>18</v>
      </c>
      <c r="DJ9" s="10" t="s">
        <v>14</v>
      </c>
      <c r="DK9" s="8" t="s">
        <v>15</v>
      </c>
      <c r="DL9" s="9" t="s">
        <v>16</v>
      </c>
      <c r="DM9" s="8" t="s">
        <v>17</v>
      </c>
      <c r="DN9" s="8" t="s">
        <v>18</v>
      </c>
      <c r="DP9" s="10" t="s">
        <v>14</v>
      </c>
      <c r="DQ9" s="8" t="s">
        <v>15</v>
      </c>
      <c r="DR9" s="9" t="s">
        <v>16</v>
      </c>
      <c r="DS9" s="8" t="s">
        <v>17</v>
      </c>
      <c r="DT9" s="8" t="s">
        <v>18</v>
      </c>
      <c r="DV9" s="10" t="s">
        <v>14</v>
      </c>
      <c r="DW9" s="8" t="s">
        <v>15</v>
      </c>
      <c r="DX9" s="9" t="s">
        <v>16</v>
      </c>
      <c r="DY9" s="8" t="s">
        <v>17</v>
      </c>
      <c r="DZ9" s="8" t="s">
        <v>18</v>
      </c>
      <c r="EB9" s="10" t="s">
        <v>14</v>
      </c>
      <c r="EC9" s="8" t="s">
        <v>15</v>
      </c>
      <c r="ED9" s="9" t="s">
        <v>16</v>
      </c>
      <c r="EE9" s="8" t="s">
        <v>17</v>
      </c>
      <c r="EF9" s="8" t="s">
        <v>18</v>
      </c>
      <c r="EH9" s="10" t="s">
        <v>14</v>
      </c>
      <c r="EI9" s="8" t="s">
        <v>15</v>
      </c>
      <c r="EJ9" s="9" t="s">
        <v>16</v>
      </c>
      <c r="EK9" s="8" t="s">
        <v>17</v>
      </c>
      <c r="EL9" s="8" t="s">
        <v>18</v>
      </c>
      <c r="EN9" s="10" t="s">
        <v>14</v>
      </c>
      <c r="EO9" s="8" t="s">
        <v>15</v>
      </c>
      <c r="EP9" s="9" t="s">
        <v>16</v>
      </c>
      <c r="EQ9" s="8" t="s">
        <v>17</v>
      </c>
      <c r="ER9" s="8" t="s">
        <v>18</v>
      </c>
      <c r="ET9" s="10" t="s">
        <v>14</v>
      </c>
      <c r="EU9" s="8" t="s">
        <v>15</v>
      </c>
      <c r="EV9" s="9" t="s">
        <v>16</v>
      </c>
      <c r="EW9" s="8" t="s">
        <v>17</v>
      </c>
      <c r="EX9" s="8" t="s">
        <v>18</v>
      </c>
      <c r="EZ9" s="10" t="s">
        <v>14</v>
      </c>
      <c r="FA9" s="8" t="s">
        <v>15</v>
      </c>
      <c r="FB9" s="9" t="s">
        <v>16</v>
      </c>
      <c r="FC9" s="8" t="s">
        <v>17</v>
      </c>
      <c r="FD9" s="8" t="s">
        <v>18</v>
      </c>
      <c r="FF9" s="10" t="s">
        <v>14</v>
      </c>
      <c r="FG9" s="8" t="s">
        <v>15</v>
      </c>
      <c r="FH9" s="9" t="s">
        <v>16</v>
      </c>
      <c r="FI9" s="8" t="s">
        <v>17</v>
      </c>
      <c r="FJ9" s="8" t="s">
        <v>18</v>
      </c>
      <c r="FL9" s="10" t="s">
        <v>14</v>
      </c>
      <c r="FM9" s="8" t="s">
        <v>15</v>
      </c>
      <c r="FN9" s="9" t="s">
        <v>16</v>
      </c>
      <c r="FO9" s="8" t="s">
        <v>17</v>
      </c>
      <c r="FP9" s="8" t="s">
        <v>18</v>
      </c>
      <c r="FR9" s="10" t="s">
        <v>14</v>
      </c>
      <c r="FS9" s="8" t="s">
        <v>15</v>
      </c>
      <c r="FT9" s="9" t="s">
        <v>16</v>
      </c>
      <c r="FU9" s="8" t="s">
        <v>17</v>
      </c>
      <c r="FV9" s="8" t="s">
        <v>18</v>
      </c>
      <c r="FX9" s="10" t="s">
        <v>14</v>
      </c>
      <c r="FY9" s="8" t="s">
        <v>15</v>
      </c>
      <c r="FZ9" s="9" t="s">
        <v>16</v>
      </c>
      <c r="GA9" s="8" t="s">
        <v>17</v>
      </c>
      <c r="GB9" s="8" t="s">
        <v>18</v>
      </c>
      <c r="GD9" s="10" t="s">
        <v>14</v>
      </c>
      <c r="GE9" s="8" t="s">
        <v>15</v>
      </c>
      <c r="GF9" s="9" t="s">
        <v>16</v>
      </c>
      <c r="GG9" s="8" t="s">
        <v>17</v>
      </c>
      <c r="GH9" s="8" t="s">
        <v>18</v>
      </c>
      <c r="GJ9" s="10" t="s">
        <v>14</v>
      </c>
      <c r="GK9" s="8" t="s">
        <v>15</v>
      </c>
      <c r="GL9" s="9" t="s">
        <v>16</v>
      </c>
      <c r="GM9" s="8" t="s">
        <v>17</v>
      </c>
      <c r="GN9" s="8" t="s">
        <v>18</v>
      </c>
      <c r="GP9" s="10" t="s">
        <v>14</v>
      </c>
      <c r="GQ9" s="8" t="s">
        <v>15</v>
      </c>
      <c r="GR9" s="9" t="s">
        <v>16</v>
      </c>
      <c r="GS9" s="8" t="s">
        <v>17</v>
      </c>
      <c r="GT9" s="8" t="s">
        <v>18</v>
      </c>
      <c r="GV9" s="10" t="s">
        <v>14</v>
      </c>
      <c r="GW9" s="8" t="s">
        <v>15</v>
      </c>
      <c r="GX9" s="9" t="s">
        <v>16</v>
      </c>
      <c r="GY9" s="8" t="s">
        <v>17</v>
      </c>
      <c r="GZ9" s="8" t="s">
        <v>18</v>
      </c>
      <c r="HB9" s="10" t="s">
        <v>14</v>
      </c>
      <c r="HC9" s="8" t="s">
        <v>15</v>
      </c>
      <c r="HD9" s="9" t="s">
        <v>16</v>
      </c>
      <c r="HE9" s="8" t="s">
        <v>17</v>
      </c>
      <c r="HF9" s="8" t="s">
        <v>18</v>
      </c>
      <c r="HH9" s="10" t="s">
        <v>14</v>
      </c>
      <c r="HI9" s="8" t="s">
        <v>15</v>
      </c>
      <c r="HJ9" s="9" t="s">
        <v>16</v>
      </c>
      <c r="HK9" s="8" t="s">
        <v>17</v>
      </c>
      <c r="HL9" s="8" t="s">
        <v>18</v>
      </c>
      <c r="HN9" s="10" t="s">
        <v>14</v>
      </c>
      <c r="HO9" s="8" t="s">
        <v>15</v>
      </c>
      <c r="HP9" s="9" t="s">
        <v>16</v>
      </c>
      <c r="HQ9" s="8" t="s">
        <v>17</v>
      </c>
      <c r="HR9" s="8" t="s">
        <v>18</v>
      </c>
      <c r="HT9" s="10" t="s">
        <v>14</v>
      </c>
      <c r="HU9" s="8" t="s">
        <v>15</v>
      </c>
      <c r="HV9" s="9" t="s">
        <v>16</v>
      </c>
      <c r="HW9" s="8" t="s">
        <v>17</v>
      </c>
      <c r="HX9" s="8" t="s">
        <v>18</v>
      </c>
      <c r="HZ9" s="10" t="s">
        <v>14</v>
      </c>
      <c r="IA9" s="8" t="s">
        <v>15</v>
      </c>
      <c r="IB9" s="9" t="s">
        <v>16</v>
      </c>
      <c r="IC9" s="8" t="s">
        <v>17</v>
      </c>
      <c r="ID9" s="8" t="s">
        <v>18</v>
      </c>
      <c r="IF9" s="10" t="s">
        <v>14</v>
      </c>
      <c r="IG9" s="8" t="s">
        <v>15</v>
      </c>
      <c r="IH9" s="9" t="s">
        <v>16</v>
      </c>
      <c r="II9" s="8" t="s">
        <v>17</v>
      </c>
      <c r="IJ9" s="8" t="s">
        <v>18</v>
      </c>
      <c r="IL9" s="10" t="s">
        <v>14</v>
      </c>
      <c r="IM9" s="8" t="s">
        <v>15</v>
      </c>
      <c r="IN9" s="9" t="s">
        <v>16</v>
      </c>
      <c r="IO9" s="8" t="s">
        <v>17</v>
      </c>
      <c r="IP9" s="8" t="s">
        <v>18</v>
      </c>
      <c r="IR9" s="10" t="s">
        <v>14</v>
      </c>
      <c r="IS9" s="8" t="s">
        <v>15</v>
      </c>
      <c r="IT9" s="9" t="s">
        <v>16</v>
      </c>
      <c r="IU9" s="8" t="s">
        <v>17</v>
      </c>
      <c r="IV9" s="8" t="s">
        <v>18</v>
      </c>
      <c r="IX9" s="10" t="s">
        <v>14</v>
      </c>
      <c r="IY9" s="8" t="s">
        <v>15</v>
      </c>
      <c r="IZ9" s="9" t="s">
        <v>16</v>
      </c>
      <c r="JA9" s="8" t="s">
        <v>17</v>
      </c>
      <c r="JB9" s="8" t="s">
        <v>18</v>
      </c>
      <c r="JD9" s="10" t="s">
        <v>14</v>
      </c>
      <c r="JE9" s="8" t="s">
        <v>15</v>
      </c>
      <c r="JF9" s="9" t="s">
        <v>16</v>
      </c>
      <c r="JG9" s="8" t="s">
        <v>17</v>
      </c>
      <c r="JH9" s="8" t="s">
        <v>18</v>
      </c>
      <c r="JJ9" s="10" t="s">
        <v>14</v>
      </c>
      <c r="JK9" s="8" t="s">
        <v>15</v>
      </c>
      <c r="JL9" s="9" t="s">
        <v>16</v>
      </c>
      <c r="JM9" s="8" t="s">
        <v>17</v>
      </c>
      <c r="JN9" s="8" t="s">
        <v>18</v>
      </c>
      <c r="JP9" s="10" t="s">
        <v>14</v>
      </c>
      <c r="JQ9" s="8" t="s">
        <v>15</v>
      </c>
      <c r="JR9" s="9" t="s">
        <v>16</v>
      </c>
      <c r="JS9" s="8" t="s">
        <v>17</v>
      </c>
      <c r="JT9" s="8" t="s">
        <v>18</v>
      </c>
      <c r="JV9" s="10" t="s">
        <v>14</v>
      </c>
      <c r="JW9" s="8" t="s">
        <v>15</v>
      </c>
      <c r="JX9" s="9" t="s">
        <v>16</v>
      </c>
      <c r="JY9" s="8" t="s">
        <v>17</v>
      </c>
      <c r="JZ9" s="8" t="s">
        <v>18</v>
      </c>
      <c r="KB9" s="10" t="s">
        <v>14</v>
      </c>
      <c r="KC9" s="8" t="s">
        <v>15</v>
      </c>
      <c r="KD9" s="9" t="s">
        <v>16</v>
      </c>
      <c r="KE9" s="8" t="s">
        <v>17</v>
      </c>
      <c r="KF9" s="8" t="s">
        <v>18</v>
      </c>
      <c r="KH9" s="10" t="s">
        <v>14</v>
      </c>
      <c r="KI9" s="8" t="s">
        <v>15</v>
      </c>
      <c r="KJ9" s="9" t="s">
        <v>16</v>
      </c>
      <c r="KK9" s="8" t="s">
        <v>17</v>
      </c>
      <c r="KL9" s="8" t="s">
        <v>18</v>
      </c>
      <c r="KN9" s="10" t="s">
        <v>14</v>
      </c>
      <c r="KO9" s="8" t="s">
        <v>15</v>
      </c>
      <c r="KP9" s="9" t="s">
        <v>16</v>
      </c>
      <c r="KQ9" s="8" t="s">
        <v>17</v>
      </c>
      <c r="KR9" s="8" t="s">
        <v>18</v>
      </c>
      <c r="KT9" s="10" t="s">
        <v>14</v>
      </c>
      <c r="KU9" s="8" t="s">
        <v>15</v>
      </c>
      <c r="KV9" s="9" t="s">
        <v>16</v>
      </c>
      <c r="KW9" s="8" t="s">
        <v>17</v>
      </c>
      <c r="KX9" s="8" t="s">
        <v>18</v>
      </c>
      <c r="KZ9" s="10" t="s">
        <v>14</v>
      </c>
      <c r="LA9" s="8" t="s">
        <v>15</v>
      </c>
      <c r="LB9" s="9" t="s">
        <v>16</v>
      </c>
      <c r="LC9" s="8" t="s">
        <v>17</v>
      </c>
      <c r="LD9" s="8" t="s">
        <v>18</v>
      </c>
      <c r="LF9" s="10" t="s">
        <v>14</v>
      </c>
      <c r="LG9" s="8" t="s">
        <v>15</v>
      </c>
      <c r="LH9" s="9" t="s">
        <v>16</v>
      </c>
      <c r="LI9" s="8" t="s">
        <v>17</v>
      </c>
      <c r="LJ9" s="8" t="s">
        <v>18</v>
      </c>
      <c r="LL9" s="10" t="s">
        <v>14</v>
      </c>
      <c r="LM9" s="8" t="s">
        <v>15</v>
      </c>
      <c r="LN9" s="9" t="s">
        <v>16</v>
      </c>
      <c r="LO9" s="8" t="s">
        <v>17</v>
      </c>
      <c r="LP9" s="8" t="s">
        <v>18</v>
      </c>
      <c r="LR9" s="10" t="s">
        <v>14</v>
      </c>
      <c r="LS9" s="8" t="s">
        <v>15</v>
      </c>
      <c r="LT9" s="9" t="s">
        <v>16</v>
      </c>
      <c r="LU9" s="8" t="s">
        <v>17</v>
      </c>
      <c r="LV9" s="8" t="s">
        <v>18</v>
      </c>
      <c r="LX9" s="10" t="s">
        <v>14</v>
      </c>
      <c r="LY9" s="8" t="s">
        <v>15</v>
      </c>
      <c r="LZ9" s="9" t="s">
        <v>16</v>
      </c>
      <c r="MA9" s="8" t="s">
        <v>17</v>
      </c>
      <c r="MB9" s="8" t="s">
        <v>18</v>
      </c>
      <c r="MD9" s="10" t="s">
        <v>14</v>
      </c>
      <c r="ME9" s="8" t="s">
        <v>15</v>
      </c>
      <c r="MF9" s="9" t="s">
        <v>16</v>
      </c>
      <c r="MG9" s="8" t="s">
        <v>17</v>
      </c>
      <c r="MH9" s="8" t="s">
        <v>18</v>
      </c>
      <c r="MJ9" s="10" t="s">
        <v>14</v>
      </c>
      <c r="MK9" s="8" t="s">
        <v>15</v>
      </c>
      <c r="ML9" s="9" t="s">
        <v>16</v>
      </c>
      <c r="MM9" s="8" t="s">
        <v>17</v>
      </c>
      <c r="MN9" s="8" t="s">
        <v>18</v>
      </c>
      <c r="MP9" s="10" t="s">
        <v>14</v>
      </c>
      <c r="MQ9" s="8" t="s">
        <v>15</v>
      </c>
      <c r="MR9" s="9" t="s">
        <v>16</v>
      </c>
      <c r="MS9" s="8" t="s">
        <v>17</v>
      </c>
      <c r="MT9" s="8" t="s">
        <v>18</v>
      </c>
      <c r="MV9" s="10" t="s">
        <v>14</v>
      </c>
      <c r="MW9" s="8" t="s">
        <v>15</v>
      </c>
      <c r="MX9" s="9" t="s">
        <v>16</v>
      </c>
      <c r="MY9" s="8" t="s">
        <v>17</v>
      </c>
      <c r="MZ9" s="8" t="s">
        <v>18</v>
      </c>
      <c r="NB9" s="10" t="s">
        <v>14</v>
      </c>
      <c r="NC9" s="8" t="s">
        <v>15</v>
      </c>
      <c r="ND9" s="9" t="s">
        <v>16</v>
      </c>
      <c r="NE9" s="8" t="s">
        <v>17</v>
      </c>
      <c r="NF9" s="8" t="s">
        <v>18</v>
      </c>
      <c r="NH9" s="10" t="s">
        <v>14</v>
      </c>
      <c r="NI9" s="8" t="s">
        <v>15</v>
      </c>
      <c r="NJ9" s="9" t="s">
        <v>16</v>
      </c>
      <c r="NK9" s="8" t="s">
        <v>17</v>
      </c>
      <c r="NL9" s="8" t="s">
        <v>18</v>
      </c>
      <c r="NN9" s="10" t="s">
        <v>14</v>
      </c>
      <c r="NO9" s="8" t="s">
        <v>15</v>
      </c>
      <c r="NP9" s="9" t="s">
        <v>16</v>
      </c>
      <c r="NQ9" s="8" t="s">
        <v>17</v>
      </c>
      <c r="NR9" s="8" t="s">
        <v>18</v>
      </c>
      <c r="NT9" s="10" t="s">
        <v>14</v>
      </c>
      <c r="NU9" s="8" t="s">
        <v>15</v>
      </c>
      <c r="NV9" s="9" t="s">
        <v>16</v>
      </c>
      <c r="NW9" s="8" t="s">
        <v>17</v>
      </c>
      <c r="NX9" s="8" t="s">
        <v>18</v>
      </c>
      <c r="NZ9" s="10" t="s">
        <v>14</v>
      </c>
      <c r="OA9" s="8" t="s">
        <v>15</v>
      </c>
      <c r="OB9" s="9" t="s">
        <v>16</v>
      </c>
      <c r="OC9" s="8" t="s">
        <v>17</v>
      </c>
      <c r="OD9" s="8" t="s">
        <v>18</v>
      </c>
      <c r="OF9" s="10" t="s">
        <v>14</v>
      </c>
      <c r="OG9" s="8" t="s">
        <v>15</v>
      </c>
      <c r="OH9" s="9" t="s">
        <v>16</v>
      </c>
      <c r="OI9" s="8" t="s">
        <v>17</v>
      </c>
      <c r="OJ9" s="8" t="s">
        <v>18</v>
      </c>
      <c r="OL9" s="10" t="s">
        <v>14</v>
      </c>
      <c r="OM9" s="8" t="s">
        <v>15</v>
      </c>
      <c r="ON9" s="9" t="s">
        <v>16</v>
      </c>
      <c r="OO9" s="8" t="s">
        <v>17</v>
      </c>
      <c r="OP9" s="8" t="s">
        <v>18</v>
      </c>
      <c r="OR9" s="10" t="s">
        <v>14</v>
      </c>
      <c r="OS9" s="8" t="s">
        <v>15</v>
      </c>
      <c r="OT9" s="9" t="s">
        <v>16</v>
      </c>
      <c r="OU9" s="8" t="s">
        <v>17</v>
      </c>
      <c r="OV9" s="8" t="s">
        <v>18</v>
      </c>
      <c r="OX9" s="10" t="s">
        <v>14</v>
      </c>
      <c r="OY9" s="8" t="s">
        <v>15</v>
      </c>
      <c r="OZ9" s="9" t="s">
        <v>16</v>
      </c>
      <c r="PA9" s="8" t="s">
        <v>17</v>
      </c>
      <c r="PB9" s="8" t="s">
        <v>18</v>
      </c>
      <c r="PD9" s="10" t="s">
        <v>14</v>
      </c>
      <c r="PE9" s="8" t="s">
        <v>15</v>
      </c>
      <c r="PF9" s="9" t="s">
        <v>16</v>
      </c>
      <c r="PG9" s="8" t="s">
        <v>17</v>
      </c>
      <c r="PH9" s="8" t="s">
        <v>18</v>
      </c>
      <c r="PJ9" s="10" t="s">
        <v>14</v>
      </c>
      <c r="PK9" s="8" t="s">
        <v>15</v>
      </c>
      <c r="PL9" s="9" t="s">
        <v>16</v>
      </c>
      <c r="PM9" s="8" t="s">
        <v>17</v>
      </c>
      <c r="PN9" s="8" t="s">
        <v>18</v>
      </c>
      <c r="PP9" s="10" t="s">
        <v>14</v>
      </c>
      <c r="PQ9" s="8" t="s">
        <v>15</v>
      </c>
      <c r="PR9" s="9" t="s">
        <v>16</v>
      </c>
      <c r="PS9" s="8" t="s">
        <v>17</v>
      </c>
      <c r="PT9" s="8" t="s">
        <v>18</v>
      </c>
      <c r="PV9" s="10" t="s">
        <v>14</v>
      </c>
      <c r="PW9" s="8" t="s">
        <v>15</v>
      </c>
      <c r="PX9" s="9" t="s">
        <v>16</v>
      </c>
      <c r="PY9" s="8" t="s">
        <v>17</v>
      </c>
      <c r="PZ9" s="8" t="s">
        <v>18</v>
      </c>
      <c r="QB9" s="10" t="s">
        <v>14</v>
      </c>
      <c r="QC9" s="8" t="s">
        <v>15</v>
      </c>
      <c r="QD9" s="9" t="s">
        <v>16</v>
      </c>
      <c r="QE9" s="8" t="s">
        <v>17</v>
      </c>
      <c r="QF9" s="8" t="s">
        <v>18</v>
      </c>
      <c r="QH9" s="10" t="s">
        <v>14</v>
      </c>
      <c r="QI9" s="8" t="s">
        <v>15</v>
      </c>
      <c r="QJ9" s="9" t="s">
        <v>16</v>
      </c>
      <c r="QK9" s="8" t="s">
        <v>17</v>
      </c>
      <c r="QL9" s="8" t="s">
        <v>18</v>
      </c>
      <c r="QN9" s="10" t="s">
        <v>14</v>
      </c>
      <c r="QO9" s="8" t="s">
        <v>15</v>
      </c>
      <c r="QP9" s="9" t="s">
        <v>16</v>
      </c>
      <c r="QQ9" s="8" t="s">
        <v>17</v>
      </c>
      <c r="QR9" s="8" t="s">
        <v>18</v>
      </c>
      <c r="QT9" s="10" t="s">
        <v>14</v>
      </c>
      <c r="QU9" s="8" t="s">
        <v>15</v>
      </c>
      <c r="QV9" s="9" t="s">
        <v>16</v>
      </c>
      <c r="QW9" s="8" t="s">
        <v>17</v>
      </c>
      <c r="QX9" s="8" t="s">
        <v>18</v>
      </c>
      <c r="QZ9" s="10" t="s">
        <v>14</v>
      </c>
      <c r="RA9" s="8" t="s">
        <v>15</v>
      </c>
      <c r="RB9" s="9" t="s">
        <v>16</v>
      </c>
      <c r="RC9" s="8" t="s">
        <v>17</v>
      </c>
      <c r="RD9" s="8" t="s">
        <v>18</v>
      </c>
      <c r="RF9" s="10" t="s">
        <v>14</v>
      </c>
      <c r="RG9" s="8" t="s">
        <v>15</v>
      </c>
      <c r="RH9" s="9" t="s">
        <v>16</v>
      </c>
      <c r="RI9" s="8" t="s">
        <v>17</v>
      </c>
      <c r="RJ9" s="8" t="s">
        <v>18</v>
      </c>
      <c r="RL9" s="10" t="s">
        <v>14</v>
      </c>
      <c r="RM9" s="8" t="s">
        <v>15</v>
      </c>
      <c r="RN9" s="9" t="s">
        <v>16</v>
      </c>
      <c r="RO9" s="8" t="s">
        <v>17</v>
      </c>
      <c r="RP9" s="8" t="s">
        <v>18</v>
      </c>
      <c r="RR9" s="10" t="s">
        <v>14</v>
      </c>
      <c r="RS9" s="8" t="s">
        <v>15</v>
      </c>
      <c r="RT9" s="9" t="s">
        <v>16</v>
      </c>
      <c r="RU9" s="8" t="s">
        <v>17</v>
      </c>
      <c r="RV9" s="8" t="s">
        <v>18</v>
      </c>
      <c r="RX9" s="10" t="s">
        <v>14</v>
      </c>
      <c r="RY9" s="8" t="s">
        <v>15</v>
      </c>
      <c r="RZ9" s="9" t="s">
        <v>16</v>
      </c>
      <c r="SA9" s="8" t="s">
        <v>17</v>
      </c>
      <c r="SB9" s="8" t="s">
        <v>18</v>
      </c>
      <c r="SD9" s="10" t="s">
        <v>14</v>
      </c>
      <c r="SE9" s="8" t="s">
        <v>15</v>
      </c>
      <c r="SF9" s="9" t="s">
        <v>16</v>
      </c>
      <c r="SG9" s="8" t="s">
        <v>17</v>
      </c>
      <c r="SH9" s="8" t="s">
        <v>18</v>
      </c>
      <c r="SJ9" s="10" t="s">
        <v>14</v>
      </c>
      <c r="SK9" s="8" t="s">
        <v>15</v>
      </c>
      <c r="SL9" s="9" t="s">
        <v>16</v>
      </c>
      <c r="SM9" s="8" t="s">
        <v>17</v>
      </c>
      <c r="SN9" s="8" t="s">
        <v>18</v>
      </c>
      <c r="SP9" s="10" t="s">
        <v>14</v>
      </c>
      <c r="SQ9" s="8" t="s">
        <v>15</v>
      </c>
      <c r="SR9" s="9" t="s">
        <v>16</v>
      </c>
      <c r="SS9" s="8" t="s">
        <v>17</v>
      </c>
      <c r="ST9" s="8" t="s">
        <v>18</v>
      </c>
      <c r="SV9" s="10" t="s">
        <v>14</v>
      </c>
      <c r="SW9" s="8" t="s">
        <v>15</v>
      </c>
      <c r="SX9" s="9" t="s">
        <v>16</v>
      </c>
      <c r="SY9" s="8" t="s">
        <v>17</v>
      </c>
      <c r="SZ9" s="8" t="s">
        <v>18</v>
      </c>
      <c r="TB9" s="10" t="s">
        <v>14</v>
      </c>
      <c r="TC9" s="8" t="s">
        <v>15</v>
      </c>
      <c r="TD9" s="9" t="s">
        <v>16</v>
      </c>
      <c r="TE9" s="8" t="s">
        <v>17</v>
      </c>
      <c r="TF9" s="8" t="s">
        <v>18</v>
      </c>
      <c r="TH9" s="10" t="s">
        <v>14</v>
      </c>
      <c r="TI9" s="8" t="s">
        <v>15</v>
      </c>
      <c r="TJ9" s="9" t="s">
        <v>16</v>
      </c>
      <c r="TK9" s="8" t="s">
        <v>17</v>
      </c>
      <c r="TL9" s="8" t="s">
        <v>18</v>
      </c>
      <c r="TN9" s="10" t="s">
        <v>14</v>
      </c>
      <c r="TO9" s="8" t="s">
        <v>15</v>
      </c>
      <c r="TP9" s="9" t="s">
        <v>16</v>
      </c>
      <c r="TQ9" s="8" t="s">
        <v>17</v>
      </c>
      <c r="TR9" s="8" t="s">
        <v>18</v>
      </c>
      <c r="TT9" s="10" t="s">
        <v>14</v>
      </c>
      <c r="TU9" s="8" t="s">
        <v>15</v>
      </c>
      <c r="TV9" s="9" t="s">
        <v>16</v>
      </c>
      <c r="TW9" s="8" t="s">
        <v>17</v>
      </c>
      <c r="TX9" s="8" t="s">
        <v>18</v>
      </c>
      <c r="TZ9" s="10" t="s">
        <v>14</v>
      </c>
      <c r="UA9" s="8" t="s">
        <v>15</v>
      </c>
      <c r="UB9" s="9" t="s">
        <v>16</v>
      </c>
      <c r="UC9" s="8" t="s">
        <v>17</v>
      </c>
      <c r="UD9" s="8" t="s">
        <v>18</v>
      </c>
      <c r="UF9" s="10" t="s">
        <v>14</v>
      </c>
      <c r="UG9" s="8" t="s">
        <v>15</v>
      </c>
      <c r="UH9" s="9" t="s">
        <v>16</v>
      </c>
      <c r="UI9" s="8" t="s">
        <v>17</v>
      </c>
      <c r="UJ9" s="8" t="s">
        <v>18</v>
      </c>
      <c r="UL9" s="10" t="s">
        <v>14</v>
      </c>
      <c r="UM9" s="8" t="s">
        <v>15</v>
      </c>
      <c r="UN9" s="9" t="s">
        <v>16</v>
      </c>
      <c r="UO9" s="8" t="s">
        <v>17</v>
      </c>
      <c r="UP9" s="8" t="s">
        <v>18</v>
      </c>
      <c r="UR9" s="10" t="s">
        <v>14</v>
      </c>
      <c r="US9" s="8" t="s">
        <v>15</v>
      </c>
      <c r="UT9" s="9" t="s">
        <v>16</v>
      </c>
      <c r="UU9" s="8" t="s">
        <v>17</v>
      </c>
      <c r="UV9" s="8" t="s">
        <v>18</v>
      </c>
      <c r="UX9" s="10" t="s">
        <v>14</v>
      </c>
      <c r="UY9" s="8" t="s">
        <v>15</v>
      </c>
      <c r="UZ9" s="9" t="s">
        <v>16</v>
      </c>
      <c r="VA9" s="8" t="s">
        <v>17</v>
      </c>
      <c r="VB9" s="8" t="s">
        <v>18</v>
      </c>
      <c r="VD9" s="10" t="s">
        <v>14</v>
      </c>
      <c r="VE9" s="8" t="s">
        <v>15</v>
      </c>
      <c r="VF9" s="9" t="s">
        <v>16</v>
      </c>
      <c r="VG9" s="8" t="s">
        <v>17</v>
      </c>
      <c r="VH9" s="8" t="s">
        <v>18</v>
      </c>
      <c r="VJ9" s="10" t="s">
        <v>14</v>
      </c>
      <c r="VK9" s="8" t="s">
        <v>15</v>
      </c>
      <c r="VL9" s="9" t="s">
        <v>16</v>
      </c>
      <c r="VM9" s="8" t="s">
        <v>17</v>
      </c>
      <c r="VN9" s="8" t="s">
        <v>18</v>
      </c>
      <c r="VP9" s="10" t="s">
        <v>14</v>
      </c>
      <c r="VQ9" s="8" t="s">
        <v>15</v>
      </c>
      <c r="VR9" s="9" t="s">
        <v>16</v>
      </c>
      <c r="VS9" s="8" t="s">
        <v>17</v>
      </c>
      <c r="VT9" s="8" t="s">
        <v>18</v>
      </c>
      <c r="VV9" s="10" t="s">
        <v>14</v>
      </c>
      <c r="VW9" s="8" t="s">
        <v>15</v>
      </c>
      <c r="VX9" s="9" t="s">
        <v>16</v>
      </c>
      <c r="VY9" s="8" t="s">
        <v>17</v>
      </c>
      <c r="VZ9" s="8" t="s">
        <v>18</v>
      </c>
      <c r="WB9" s="10" t="s">
        <v>14</v>
      </c>
      <c r="WC9" s="8" t="s">
        <v>15</v>
      </c>
      <c r="WD9" s="9" t="s">
        <v>16</v>
      </c>
      <c r="WE9" s="8" t="s">
        <v>17</v>
      </c>
      <c r="WF9" s="8" t="s">
        <v>18</v>
      </c>
      <c r="WH9" s="10" t="s">
        <v>14</v>
      </c>
      <c r="WI9" s="8" t="s">
        <v>15</v>
      </c>
      <c r="WJ9" s="9" t="s">
        <v>16</v>
      </c>
      <c r="WK9" s="8" t="s">
        <v>17</v>
      </c>
      <c r="WL9" s="8" t="s">
        <v>18</v>
      </c>
      <c r="WN9" s="10" t="s">
        <v>14</v>
      </c>
      <c r="WO9" s="8" t="s">
        <v>15</v>
      </c>
      <c r="WP9" s="9" t="s">
        <v>16</v>
      </c>
      <c r="WQ9" s="8" t="s">
        <v>17</v>
      </c>
      <c r="WR9" s="8" t="s">
        <v>18</v>
      </c>
      <c r="WT9" s="10" t="s">
        <v>14</v>
      </c>
      <c r="WU9" s="8" t="s">
        <v>15</v>
      </c>
      <c r="WV9" s="9" t="s">
        <v>16</v>
      </c>
      <c r="WW9" s="8" t="s">
        <v>17</v>
      </c>
      <c r="WX9" s="8" t="s">
        <v>18</v>
      </c>
      <c r="WZ9" s="10" t="s">
        <v>14</v>
      </c>
      <c r="XA9" s="8" t="s">
        <v>15</v>
      </c>
      <c r="XB9" s="9" t="s">
        <v>16</v>
      </c>
      <c r="XC9" s="8" t="s">
        <v>17</v>
      </c>
      <c r="XD9" s="8" t="s">
        <v>18</v>
      </c>
      <c r="XF9" s="10" t="s">
        <v>14</v>
      </c>
      <c r="XG9" s="8" t="s">
        <v>15</v>
      </c>
      <c r="XH9" s="9" t="s">
        <v>16</v>
      </c>
      <c r="XI9" s="8" t="s">
        <v>17</v>
      </c>
      <c r="XJ9" s="8" t="s">
        <v>18</v>
      </c>
      <c r="XL9" s="10" t="s">
        <v>14</v>
      </c>
      <c r="XM9" s="8" t="s">
        <v>15</v>
      </c>
      <c r="XN9" s="9" t="s">
        <v>16</v>
      </c>
      <c r="XO9" s="8" t="s">
        <v>17</v>
      </c>
      <c r="XP9" s="8" t="s">
        <v>18</v>
      </c>
      <c r="XR9" s="10" t="s">
        <v>14</v>
      </c>
      <c r="XS9" s="8" t="s">
        <v>15</v>
      </c>
      <c r="XT9" s="9" t="s">
        <v>16</v>
      </c>
      <c r="XU9" s="8" t="s">
        <v>17</v>
      </c>
      <c r="XV9" s="8" t="s">
        <v>18</v>
      </c>
      <c r="XX9" s="10" t="s">
        <v>14</v>
      </c>
      <c r="XY9" s="8" t="s">
        <v>15</v>
      </c>
      <c r="XZ9" s="9" t="s">
        <v>16</v>
      </c>
      <c r="YA9" s="8" t="s">
        <v>17</v>
      </c>
      <c r="YB9" s="8" t="s">
        <v>18</v>
      </c>
      <c r="YD9" s="10" t="s">
        <v>14</v>
      </c>
      <c r="YE9" s="8" t="s">
        <v>15</v>
      </c>
      <c r="YF9" s="9" t="s">
        <v>16</v>
      </c>
      <c r="YG9" s="8" t="s">
        <v>17</v>
      </c>
      <c r="YH9" s="8" t="s">
        <v>18</v>
      </c>
      <c r="YJ9" s="10" t="s">
        <v>14</v>
      </c>
      <c r="YK9" s="8" t="s">
        <v>15</v>
      </c>
      <c r="YL9" s="9" t="s">
        <v>16</v>
      </c>
      <c r="YM9" s="8" t="s">
        <v>17</v>
      </c>
      <c r="YN9" s="8" t="s">
        <v>18</v>
      </c>
      <c r="YP9" s="10" t="s">
        <v>14</v>
      </c>
      <c r="YQ9" s="8" t="s">
        <v>15</v>
      </c>
      <c r="YR9" s="9" t="s">
        <v>16</v>
      </c>
      <c r="YS9" s="8" t="s">
        <v>17</v>
      </c>
      <c r="YT9" s="8" t="s">
        <v>18</v>
      </c>
      <c r="YV9" s="10" t="s">
        <v>14</v>
      </c>
      <c r="YW9" s="8" t="s">
        <v>15</v>
      </c>
      <c r="YX9" s="9" t="s">
        <v>16</v>
      </c>
      <c r="YY9" s="8" t="s">
        <v>17</v>
      </c>
      <c r="YZ9" s="8" t="s">
        <v>18</v>
      </c>
      <c r="ZB9" s="10" t="s">
        <v>14</v>
      </c>
      <c r="ZC9" s="8" t="s">
        <v>15</v>
      </c>
      <c r="ZD9" s="9" t="s">
        <v>16</v>
      </c>
      <c r="ZE9" s="8" t="s">
        <v>17</v>
      </c>
      <c r="ZF9" s="8" t="s">
        <v>18</v>
      </c>
      <c r="ZH9" s="10" t="s">
        <v>14</v>
      </c>
      <c r="ZI9" s="8" t="s">
        <v>15</v>
      </c>
      <c r="ZJ9" s="9" t="s">
        <v>16</v>
      </c>
      <c r="ZK9" s="8" t="s">
        <v>17</v>
      </c>
      <c r="ZL9" s="8" t="s">
        <v>18</v>
      </c>
      <c r="ZN9" s="10" t="s">
        <v>14</v>
      </c>
      <c r="ZO9" s="8" t="s">
        <v>15</v>
      </c>
      <c r="ZP9" s="9" t="s">
        <v>16</v>
      </c>
      <c r="ZQ9" s="8" t="s">
        <v>17</v>
      </c>
      <c r="ZR9" s="8" t="s">
        <v>18</v>
      </c>
      <c r="ZT9" s="10" t="s">
        <v>14</v>
      </c>
      <c r="ZU9" s="8" t="s">
        <v>15</v>
      </c>
      <c r="ZV9" s="9" t="s">
        <v>16</v>
      </c>
      <c r="ZW9" s="8" t="s">
        <v>17</v>
      </c>
      <c r="ZX9" s="8" t="s">
        <v>18</v>
      </c>
      <c r="ZZ9" s="10" t="s">
        <v>14</v>
      </c>
      <c r="AAA9" s="8" t="s">
        <v>15</v>
      </c>
      <c r="AAB9" s="9" t="s">
        <v>16</v>
      </c>
      <c r="AAC9" s="8" t="s">
        <v>17</v>
      </c>
      <c r="AAD9" s="8" t="s">
        <v>18</v>
      </c>
      <c r="AAF9" s="10" t="s">
        <v>14</v>
      </c>
      <c r="AAG9" s="8" t="s">
        <v>15</v>
      </c>
      <c r="AAH9" s="9" t="s">
        <v>16</v>
      </c>
      <c r="AAI9" s="8" t="s">
        <v>17</v>
      </c>
      <c r="AAJ9" s="8" t="s">
        <v>18</v>
      </c>
      <c r="AAL9" s="10" t="s">
        <v>14</v>
      </c>
      <c r="AAM9" s="8" t="s">
        <v>15</v>
      </c>
      <c r="AAN9" s="9" t="s">
        <v>16</v>
      </c>
      <c r="AAO9" s="8" t="s">
        <v>17</v>
      </c>
      <c r="AAP9" s="8" t="s">
        <v>18</v>
      </c>
      <c r="AAR9" s="10" t="s">
        <v>14</v>
      </c>
      <c r="AAS9" s="8" t="s">
        <v>15</v>
      </c>
      <c r="AAT9" s="9" t="s">
        <v>16</v>
      </c>
      <c r="AAU9" s="8" t="s">
        <v>17</v>
      </c>
      <c r="AAV9" s="8" t="s">
        <v>18</v>
      </c>
      <c r="AAX9" s="10" t="s">
        <v>14</v>
      </c>
      <c r="AAY9" s="8" t="s">
        <v>15</v>
      </c>
      <c r="AAZ9" s="9" t="s">
        <v>16</v>
      </c>
      <c r="ABA9" s="8" t="s">
        <v>17</v>
      </c>
      <c r="ABB9" s="8" t="s">
        <v>18</v>
      </c>
      <c r="ABD9" s="10" t="s">
        <v>14</v>
      </c>
      <c r="ABE9" s="8" t="s">
        <v>15</v>
      </c>
      <c r="ABF9" s="9" t="s">
        <v>16</v>
      </c>
      <c r="ABG9" s="8" t="s">
        <v>17</v>
      </c>
      <c r="ABH9" s="8" t="s">
        <v>18</v>
      </c>
      <c r="ABJ9" s="10" t="s">
        <v>14</v>
      </c>
      <c r="ABK9" s="8" t="s">
        <v>15</v>
      </c>
      <c r="ABL9" s="9" t="s">
        <v>16</v>
      </c>
      <c r="ABM9" s="8" t="s">
        <v>17</v>
      </c>
      <c r="ABN9" s="8" t="s">
        <v>18</v>
      </c>
      <c r="ABP9" s="10" t="s">
        <v>14</v>
      </c>
      <c r="ABQ9" s="8" t="s">
        <v>15</v>
      </c>
      <c r="ABR9" s="9" t="s">
        <v>16</v>
      </c>
      <c r="ABS9" s="8" t="s">
        <v>17</v>
      </c>
      <c r="ABT9" s="8" t="s">
        <v>18</v>
      </c>
      <c r="ABV9" s="10" t="s">
        <v>14</v>
      </c>
      <c r="ABW9" s="8" t="s">
        <v>15</v>
      </c>
      <c r="ABX9" s="9" t="s">
        <v>16</v>
      </c>
      <c r="ABY9" s="8" t="s">
        <v>17</v>
      </c>
      <c r="ABZ9" s="8" t="s">
        <v>18</v>
      </c>
      <c r="ACB9" s="10" t="s">
        <v>14</v>
      </c>
      <c r="ACC9" s="8" t="s">
        <v>15</v>
      </c>
      <c r="ACD9" s="9" t="s">
        <v>16</v>
      </c>
      <c r="ACE9" s="8" t="s">
        <v>17</v>
      </c>
      <c r="ACF9" s="8" t="s">
        <v>18</v>
      </c>
      <c r="ACH9" s="10" t="s">
        <v>14</v>
      </c>
      <c r="ACI9" s="8" t="s">
        <v>15</v>
      </c>
      <c r="ACJ9" s="9" t="s">
        <v>16</v>
      </c>
      <c r="ACK9" s="8" t="s">
        <v>17</v>
      </c>
      <c r="ACL9" s="8" t="s">
        <v>18</v>
      </c>
      <c r="ACN9" s="10" t="s">
        <v>14</v>
      </c>
      <c r="ACO9" s="8" t="s">
        <v>15</v>
      </c>
      <c r="ACP9" s="9" t="s">
        <v>16</v>
      </c>
      <c r="ACQ9" s="8" t="s">
        <v>17</v>
      </c>
      <c r="ACR9" s="8" t="s">
        <v>18</v>
      </c>
      <c r="ACT9" s="10" t="s">
        <v>14</v>
      </c>
      <c r="ACU9" s="8" t="s">
        <v>15</v>
      </c>
      <c r="ACV9" s="9" t="s">
        <v>16</v>
      </c>
      <c r="ACW9" s="8" t="s">
        <v>17</v>
      </c>
      <c r="ACX9" s="8" t="s">
        <v>18</v>
      </c>
      <c r="ACZ9" s="10" t="s">
        <v>14</v>
      </c>
      <c r="ADA9" s="8" t="s">
        <v>15</v>
      </c>
      <c r="ADB9" s="9" t="s">
        <v>16</v>
      </c>
      <c r="ADC9" s="8" t="s">
        <v>17</v>
      </c>
      <c r="ADD9" s="8" t="s">
        <v>18</v>
      </c>
      <c r="ADF9" s="10" t="s">
        <v>14</v>
      </c>
      <c r="ADG9" s="8" t="s">
        <v>15</v>
      </c>
      <c r="ADH9" s="9" t="s">
        <v>16</v>
      </c>
      <c r="ADI9" s="8" t="s">
        <v>17</v>
      </c>
      <c r="ADJ9" s="8" t="s">
        <v>18</v>
      </c>
      <c r="ADL9" s="10" t="s">
        <v>14</v>
      </c>
      <c r="ADM9" s="8" t="s">
        <v>15</v>
      </c>
      <c r="ADN9" s="9" t="s">
        <v>16</v>
      </c>
      <c r="ADO9" s="8" t="s">
        <v>17</v>
      </c>
      <c r="ADP9" s="8" t="s">
        <v>18</v>
      </c>
      <c r="ADR9" s="10" t="s">
        <v>14</v>
      </c>
      <c r="ADS9" s="8" t="s">
        <v>15</v>
      </c>
      <c r="ADT9" s="9" t="s">
        <v>16</v>
      </c>
      <c r="ADU9" s="8" t="s">
        <v>17</v>
      </c>
      <c r="ADV9" s="8" t="s">
        <v>18</v>
      </c>
      <c r="ADX9" s="10" t="s">
        <v>14</v>
      </c>
      <c r="ADY9" s="8" t="s">
        <v>15</v>
      </c>
      <c r="ADZ9" s="9" t="s">
        <v>16</v>
      </c>
      <c r="AEA9" s="8" t="s">
        <v>17</v>
      </c>
      <c r="AEB9" s="8" t="s">
        <v>18</v>
      </c>
      <c r="AED9" s="10" t="s">
        <v>14</v>
      </c>
      <c r="AEE9" s="8" t="s">
        <v>15</v>
      </c>
      <c r="AEF9" s="9" t="s">
        <v>16</v>
      </c>
      <c r="AEG9" s="8" t="s">
        <v>17</v>
      </c>
      <c r="AEH9" s="8" t="s">
        <v>18</v>
      </c>
      <c r="AEJ9" s="10" t="s">
        <v>14</v>
      </c>
      <c r="AEK9" s="8" t="s">
        <v>15</v>
      </c>
      <c r="AEL9" s="9" t="s">
        <v>16</v>
      </c>
      <c r="AEM9" s="8" t="s">
        <v>17</v>
      </c>
      <c r="AEN9" s="8" t="s">
        <v>18</v>
      </c>
      <c r="AEP9" s="10" t="s">
        <v>14</v>
      </c>
      <c r="AEQ9" s="8" t="s">
        <v>15</v>
      </c>
      <c r="AER9" s="9" t="s">
        <v>16</v>
      </c>
      <c r="AES9" s="8" t="s">
        <v>17</v>
      </c>
      <c r="AET9" s="8" t="s">
        <v>18</v>
      </c>
      <c r="AEV9" s="10" t="s">
        <v>14</v>
      </c>
      <c r="AEW9" s="8" t="s">
        <v>15</v>
      </c>
      <c r="AEX9" s="9" t="s">
        <v>16</v>
      </c>
      <c r="AEY9" s="8" t="s">
        <v>17</v>
      </c>
      <c r="AEZ9" s="8" t="s">
        <v>18</v>
      </c>
      <c r="AFB9" s="10" t="s">
        <v>14</v>
      </c>
      <c r="AFC9" s="8" t="s">
        <v>15</v>
      </c>
      <c r="AFD9" s="9" t="s">
        <v>16</v>
      </c>
      <c r="AFE9" s="8" t="s">
        <v>17</v>
      </c>
      <c r="AFF9" s="8" t="s">
        <v>18</v>
      </c>
      <c r="AFH9" s="10" t="s">
        <v>14</v>
      </c>
      <c r="AFI9" s="8" t="s">
        <v>15</v>
      </c>
      <c r="AFJ9" s="9" t="s">
        <v>16</v>
      </c>
      <c r="AFK9" s="8" t="s">
        <v>17</v>
      </c>
      <c r="AFL9" s="8" t="s">
        <v>18</v>
      </c>
      <c r="AFN9" s="10" t="s">
        <v>14</v>
      </c>
      <c r="AFO9" s="8" t="s">
        <v>15</v>
      </c>
      <c r="AFP9" s="9" t="s">
        <v>16</v>
      </c>
      <c r="AFQ9" s="8" t="s">
        <v>17</v>
      </c>
      <c r="AFR9" s="8" t="s">
        <v>18</v>
      </c>
      <c r="AFT9" s="10" t="s">
        <v>14</v>
      </c>
      <c r="AFU9" s="8" t="s">
        <v>15</v>
      </c>
      <c r="AFV9" s="9" t="s">
        <v>16</v>
      </c>
      <c r="AFW9" s="8" t="s">
        <v>17</v>
      </c>
      <c r="AFX9" s="8" t="s">
        <v>18</v>
      </c>
      <c r="AFZ9" s="10" t="s">
        <v>14</v>
      </c>
      <c r="AGA9" s="8" t="s">
        <v>15</v>
      </c>
      <c r="AGB9" s="9" t="s">
        <v>16</v>
      </c>
      <c r="AGC9" s="8" t="s">
        <v>17</v>
      </c>
      <c r="AGD9" s="8" t="s">
        <v>18</v>
      </c>
      <c r="AGF9" s="10" t="s">
        <v>14</v>
      </c>
      <c r="AGG9" s="8" t="s">
        <v>15</v>
      </c>
      <c r="AGH9" s="9" t="s">
        <v>16</v>
      </c>
      <c r="AGI9" s="8" t="s">
        <v>17</v>
      </c>
      <c r="AGJ9" s="8" t="s">
        <v>18</v>
      </c>
      <c r="AGL9" s="10" t="s">
        <v>14</v>
      </c>
      <c r="AGM9" s="8" t="s">
        <v>15</v>
      </c>
      <c r="AGN9" s="9" t="s">
        <v>16</v>
      </c>
      <c r="AGO9" s="8" t="s">
        <v>17</v>
      </c>
      <c r="AGP9" s="8" t="s">
        <v>18</v>
      </c>
      <c r="AGR9" s="10" t="s">
        <v>14</v>
      </c>
      <c r="AGS9" s="8" t="s">
        <v>15</v>
      </c>
      <c r="AGT9" s="9" t="s">
        <v>16</v>
      </c>
      <c r="AGU9" s="8" t="s">
        <v>17</v>
      </c>
      <c r="AGV9" s="8" t="s">
        <v>18</v>
      </c>
      <c r="AGX9" s="10" t="s">
        <v>14</v>
      </c>
      <c r="AGY9" s="8" t="s">
        <v>15</v>
      </c>
      <c r="AGZ9" s="9" t="s">
        <v>16</v>
      </c>
      <c r="AHA9" s="8" t="s">
        <v>17</v>
      </c>
      <c r="AHB9" s="8" t="s">
        <v>18</v>
      </c>
      <c r="AHD9" s="10" t="s">
        <v>14</v>
      </c>
      <c r="AHE9" s="8" t="s">
        <v>15</v>
      </c>
      <c r="AHF9" s="9" t="s">
        <v>16</v>
      </c>
      <c r="AHG9" s="8" t="s">
        <v>17</v>
      </c>
      <c r="AHH9" s="8" t="s">
        <v>18</v>
      </c>
      <c r="AHJ9" s="10" t="s">
        <v>14</v>
      </c>
      <c r="AHK9" s="8" t="s">
        <v>15</v>
      </c>
      <c r="AHL9" s="9" t="s">
        <v>16</v>
      </c>
      <c r="AHM9" s="8" t="s">
        <v>17</v>
      </c>
      <c r="AHN9" s="8" t="s">
        <v>18</v>
      </c>
      <c r="AHP9" s="10" t="s">
        <v>14</v>
      </c>
      <c r="AHQ9" s="8" t="s">
        <v>15</v>
      </c>
      <c r="AHR9" s="9" t="s">
        <v>16</v>
      </c>
      <c r="AHS9" s="8" t="s">
        <v>17</v>
      </c>
      <c r="AHT9" s="8" t="s">
        <v>18</v>
      </c>
      <c r="AHV9" s="10" t="s">
        <v>14</v>
      </c>
      <c r="AHW9" s="8" t="s">
        <v>15</v>
      </c>
      <c r="AHX9" s="9" t="s">
        <v>16</v>
      </c>
      <c r="AHY9" s="8" t="s">
        <v>17</v>
      </c>
      <c r="AHZ9" s="8" t="s">
        <v>18</v>
      </c>
      <c r="AIB9" s="10" t="s">
        <v>14</v>
      </c>
      <c r="AIC9" s="8" t="s">
        <v>15</v>
      </c>
      <c r="AID9" s="9" t="s">
        <v>16</v>
      </c>
      <c r="AIE9" s="8" t="s">
        <v>17</v>
      </c>
      <c r="AIF9" s="8" t="s">
        <v>18</v>
      </c>
      <c r="AIH9" s="10" t="s">
        <v>14</v>
      </c>
      <c r="AII9" s="8" t="s">
        <v>15</v>
      </c>
      <c r="AIJ9" s="9" t="s">
        <v>16</v>
      </c>
      <c r="AIK9" s="8" t="s">
        <v>17</v>
      </c>
      <c r="AIL9" s="8" t="s">
        <v>18</v>
      </c>
      <c r="AIN9" s="10" t="s">
        <v>14</v>
      </c>
      <c r="AIO9" s="8" t="s">
        <v>15</v>
      </c>
      <c r="AIP9" s="9" t="s">
        <v>16</v>
      </c>
      <c r="AIQ9" s="8" t="s">
        <v>17</v>
      </c>
      <c r="AIR9" s="8" t="s">
        <v>18</v>
      </c>
      <c r="AIT9" s="10" t="s">
        <v>14</v>
      </c>
      <c r="AIU9" s="8" t="s">
        <v>15</v>
      </c>
      <c r="AIV9" s="9" t="s">
        <v>16</v>
      </c>
      <c r="AIW9" s="8" t="s">
        <v>17</v>
      </c>
      <c r="AIX9" s="8" t="s">
        <v>18</v>
      </c>
      <c r="AIZ9" s="10" t="s">
        <v>14</v>
      </c>
      <c r="AJA9" s="8" t="s">
        <v>15</v>
      </c>
      <c r="AJB9" s="9" t="s">
        <v>16</v>
      </c>
      <c r="AJC9" s="8" t="s">
        <v>17</v>
      </c>
      <c r="AJD9" s="8" t="s">
        <v>18</v>
      </c>
      <c r="AJF9" s="10" t="s">
        <v>14</v>
      </c>
      <c r="AJG9" s="8" t="s">
        <v>15</v>
      </c>
      <c r="AJH9" s="9" t="s">
        <v>16</v>
      </c>
      <c r="AJI9" s="8" t="s">
        <v>17</v>
      </c>
      <c r="AJJ9" s="8" t="s">
        <v>18</v>
      </c>
      <c r="AJL9" s="10" t="s">
        <v>14</v>
      </c>
      <c r="AJM9" s="8" t="s">
        <v>15</v>
      </c>
      <c r="AJN9" s="9" t="s">
        <v>16</v>
      </c>
      <c r="AJO9" s="8" t="s">
        <v>17</v>
      </c>
      <c r="AJP9" s="8" t="s">
        <v>18</v>
      </c>
      <c r="AJR9" s="10" t="s">
        <v>14</v>
      </c>
      <c r="AJS9" s="8" t="s">
        <v>15</v>
      </c>
      <c r="AJT9" s="9" t="s">
        <v>16</v>
      </c>
      <c r="AJU9" s="8" t="s">
        <v>17</v>
      </c>
      <c r="AJV9" s="8" t="s">
        <v>18</v>
      </c>
      <c r="AJX9" s="10" t="s">
        <v>14</v>
      </c>
      <c r="AJY9" s="8" t="s">
        <v>15</v>
      </c>
      <c r="AJZ9" s="9" t="s">
        <v>16</v>
      </c>
      <c r="AKA9" s="8" t="s">
        <v>17</v>
      </c>
      <c r="AKB9" s="8" t="s">
        <v>18</v>
      </c>
      <c r="AKD9" s="10" t="s">
        <v>14</v>
      </c>
      <c r="AKE9" s="8" t="s">
        <v>15</v>
      </c>
      <c r="AKF9" s="9" t="s">
        <v>16</v>
      </c>
      <c r="AKG9" s="8" t="s">
        <v>17</v>
      </c>
      <c r="AKH9" s="8" t="s">
        <v>18</v>
      </c>
      <c r="AKJ9" s="10" t="s">
        <v>14</v>
      </c>
      <c r="AKK9" s="8" t="s">
        <v>15</v>
      </c>
      <c r="AKL9" s="9" t="s">
        <v>16</v>
      </c>
      <c r="AKM9" s="8" t="s">
        <v>17</v>
      </c>
      <c r="AKN9" s="8" t="s">
        <v>18</v>
      </c>
      <c r="AKP9" s="10" t="s">
        <v>14</v>
      </c>
      <c r="AKQ9" s="8" t="s">
        <v>15</v>
      </c>
      <c r="AKR9" s="9" t="s">
        <v>16</v>
      </c>
      <c r="AKS9" s="8" t="s">
        <v>17</v>
      </c>
      <c r="AKT9" s="8" t="s">
        <v>18</v>
      </c>
      <c r="AKV9" s="10" t="s">
        <v>14</v>
      </c>
      <c r="AKW9" s="8" t="s">
        <v>15</v>
      </c>
      <c r="AKX9" s="9" t="s">
        <v>16</v>
      </c>
      <c r="AKY9" s="8" t="s">
        <v>17</v>
      </c>
      <c r="AKZ9" s="8" t="s">
        <v>18</v>
      </c>
      <c r="ALB9" s="10" t="s">
        <v>14</v>
      </c>
      <c r="ALC9" s="8" t="s">
        <v>15</v>
      </c>
      <c r="ALD9" s="9" t="s">
        <v>16</v>
      </c>
      <c r="ALE9" s="8" t="s">
        <v>17</v>
      </c>
      <c r="ALF9" s="8" t="s">
        <v>18</v>
      </c>
      <c r="ALH9" s="10" t="s">
        <v>14</v>
      </c>
      <c r="ALI9" s="8" t="s">
        <v>15</v>
      </c>
      <c r="ALJ9" s="9" t="s">
        <v>16</v>
      </c>
      <c r="ALK9" s="8" t="s">
        <v>17</v>
      </c>
      <c r="ALL9" s="8" t="s">
        <v>18</v>
      </c>
      <c r="ALN9" s="10" t="s">
        <v>14</v>
      </c>
      <c r="ALO9" s="8" t="s">
        <v>15</v>
      </c>
      <c r="ALP9" s="9" t="s">
        <v>16</v>
      </c>
      <c r="ALQ9" s="8" t="s">
        <v>17</v>
      </c>
      <c r="ALR9" s="8" t="s">
        <v>18</v>
      </c>
      <c r="ALT9" s="10" t="s">
        <v>14</v>
      </c>
      <c r="ALU9" s="8" t="s">
        <v>15</v>
      </c>
      <c r="ALV9" s="9" t="s">
        <v>16</v>
      </c>
      <c r="ALW9" s="8" t="s">
        <v>17</v>
      </c>
      <c r="ALX9" s="8" t="s">
        <v>18</v>
      </c>
      <c r="ALZ9" s="10" t="s">
        <v>14</v>
      </c>
      <c r="AMA9" s="8" t="s">
        <v>15</v>
      </c>
      <c r="AMB9" s="9" t="s">
        <v>16</v>
      </c>
      <c r="AMC9" s="8" t="s">
        <v>17</v>
      </c>
      <c r="AMD9" s="8" t="s">
        <v>18</v>
      </c>
      <c r="AMF9" s="10" t="s">
        <v>14</v>
      </c>
      <c r="AMG9" s="8" t="s">
        <v>15</v>
      </c>
      <c r="AMH9" s="9" t="s">
        <v>16</v>
      </c>
      <c r="AMI9" s="8" t="s">
        <v>17</v>
      </c>
      <c r="AMJ9" s="8" t="s">
        <v>18</v>
      </c>
      <c r="AML9" s="10" t="s">
        <v>14</v>
      </c>
      <c r="AMM9" s="8" t="s">
        <v>15</v>
      </c>
      <c r="AMN9" s="9" t="s">
        <v>16</v>
      </c>
      <c r="AMO9" s="8" t="s">
        <v>17</v>
      </c>
      <c r="AMP9" s="8" t="s">
        <v>18</v>
      </c>
      <c r="AMR9" s="10" t="s">
        <v>14</v>
      </c>
      <c r="AMS9" s="8" t="s">
        <v>15</v>
      </c>
      <c r="AMT9" s="9" t="s">
        <v>16</v>
      </c>
      <c r="AMU9" s="8" t="s">
        <v>17</v>
      </c>
      <c r="AMV9" s="8" t="s">
        <v>18</v>
      </c>
      <c r="AMX9" s="10" t="s">
        <v>14</v>
      </c>
      <c r="AMY9" s="8" t="s">
        <v>15</v>
      </c>
      <c r="AMZ9" s="9" t="s">
        <v>16</v>
      </c>
      <c r="ANA9" s="8" t="s">
        <v>17</v>
      </c>
      <c r="ANB9" s="8" t="s">
        <v>18</v>
      </c>
      <c r="AND9" s="10" t="s">
        <v>14</v>
      </c>
      <c r="ANE9" s="8" t="s">
        <v>15</v>
      </c>
      <c r="ANF9" s="9" t="s">
        <v>16</v>
      </c>
      <c r="ANG9" s="8" t="s">
        <v>17</v>
      </c>
      <c r="ANH9" s="8" t="s">
        <v>18</v>
      </c>
      <c r="ANJ9" s="10" t="s">
        <v>14</v>
      </c>
      <c r="ANK9" s="8" t="s">
        <v>15</v>
      </c>
      <c r="ANL9" s="9" t="s">
        <v>16</v>
      </c>
      <c r="ANM9" s="8" t="s">
        <v>17</v>
      </c>
      <c r="ANN9" s="8" t="s">
        <v>18</v>
      </c>
      <c r="ANP9" s="10" t="s">
        <v>14</v>
      </c>
      <c r="ANQ9" s="8" t="s">
        <v>15</v>
      </c>
      <c r="ANR9" s="9" t="s">
        <v>16</v>
      </c>
      <c r="ANS9" s="8" t="s">
        <v>17</v>
      </c>
      <c r="ANT9" s="8" t="s">
        <v>18</v>
      </c>
      <c r="ANV9" s="10" t="s">
        <v>14</v>
      </c>
      <c r="ANW9" s="8" t="s">
        <v>15</v>
      </c>
      <c r="ANX9" s="9" t="s">
        <v>16</v>
      </c>
      <c r="ANY9" s="8" t="s">
        <v>17</v>
      </c>
      <c r="ANZ9" s="8" t="s">
        <v>18</v>
      </c>
      <c r="AOB9" s="10" t="s">
        <v>14</v>
      </c>
      <c r="AOC9" s="8" t="s">
        <v>15</v>
      </c>
      <c r="AOD9" s="9" t="s">
        <v>16</v>
      </c>
      <c r="AOE9" s="8" t="s">
        <v>17</v>
      </c>
      <c r="AOF9" s="8" t="s">
        <v>18</v>
      </c>
      <c r="AOH9" s="10" t="s">
        <v>14</v>
      </c>
      <c r="AOI9" s="8" t="s">
        <v>15</v>
      </c>
      <c r="AOJ9" s="9" t="s">
        <v>16</v>
      </c>
      <c r="AOK9" s="8" t="s">
        <v>17</v>
      </c>
      <c r="AOL9" s="8" t="s">
        <v>18</v>
      </c>
      <c r="AON9" s="10" t="s">
        <v>14</v>
      </c>
      <c r="AOO9" s="8" t="s">
        <v>15</v>
      </c>
      <c r="AOP9" s="9" t="s">
        <v>16</v>
      </c>
      <c r="AOQ9" s="8" t="s">
        <v>17</v>
      </c>
      <c r="AOR9" s="8" t="s">
        <v>18</v>
      </c>
    </row>
    <row r="10" spans="1:1024 1026:1085" x14ac:dyDescent="0.25">
      <c r="A10" s="3" t="s">
        <v>25</v>
      </c>
      <c r="B10" s="3">
        <v>10570</v>
      </c>
      <c r="C10" s="5" t="s">
        <v>26</v>
      </c>
      <c r="D10" s="27">
        <v>84</v>
      </c>
      <c r="F10" s="16">
        <v>72</v>
      </c>
      <c r="G10" s="15"/>
      <c r="H10" s="11"/>
      <c r="I10" s="15"/>
      <c r="J10" s="15"/>
      <c r="L10" s="16">
        <v>28</v>
      </c>
      <c r="M10" s="15">
        <v>3</v>
      </c>
      <c r="N10" s="13">
        <f>(G10*24)+F10-L10</f>
        <v>44</v>
      </c>
      <c r="O10" s="15"/>
      <c r="P10" s="21">
        <f>(O10-N10)</f>
        <v>-44</v>
      </c>
      <c r="R10" s="16">
        <v>56</v>
      </c>
      <c r="S10" s="15">
        <v>1</v>
      </c>
      <c r="T10" s="13">
        <f>(M10*24)+L10-R10</f>
        <v>44</v>
      </c>
      <c r="U10" s="15">
        <v>44</v>
      </c>
      <c r="V10" s="21">
        <f>(U10-T10)</f>
        <v>0</v>
      </c>
      <c r="X10" s="16">
        <v>50</v>
      </c>
      <c r="Y10" s="15">
        <v>1</v>
      </c>
      <c r="Z10" s="13">
        <f>(S10*24)+R10-X10</f>
        <v>30</v>
      </c>
      <c r="AA10" s="15">
        <v>30</v>
      </c>
      <c r="AB10" s="21">
        <f>(AA10-Z10)</f>
        <v>0</v>
      </c>
      <c r="AD10" s="16">
        <v>26</v>
      </c>
      <c r="AE10" s="15">
        <v>2</v>
      </c>
      <c r="AF10" s="13">
        <f>(Y10*24)+X10-AD10</f>
        <v>48</v>
      </c>
      <c r="AG10" s="15">
        <v>52</v>
      </c>
      <c r="AH10" s="21">
        <f>(AG10-AF10)</f>
        <v>4</v>
      </c>
      <c r="AJ10" s="16">
        <v>19</v>
      </c>
      <c r="AK10" s="15">
        <v>3</v>
      </c>
      <c r="AL10" s="13">
        <f>(AE10*24)+AD10-AJ10</f>
        <v>55</v>
      </c>
      <c r="AM10" s="15">
        <v>55</v>
      </c>
      <c r="AN10" s="21">
        <f>(AM10-AL10)</f>
        <v>0</v>
      </c>
      <c r="AP10" s="16">
        <v>33</v>
      </c>
      <c r="AQ10" s="15">
        <v>3</v>
      </c>
      <c r="AR10" s="13">
        <f>(AK10*24)+AJ10-AP10</f>
        <v>58</v>
      </c>
      <c r="AS10" s="15">
        <v>54</v>
      </c>
      <c r="AT10" s="21">
        <f>(AS10-AR10)</f>
        <v>-4</v>
      </c>
      <c r="AV10" s="16">
        <v>55</v>
      </c>
      <c r="AW10" s="15">
        <v>1</v>
      </c>
      <c r="AX10" s="13">
        <f>(AQ10*24)+AP10-AV10</f>
        <v>50</v>
      </c>
      <c r="AY10" s="15">
        <v>49</v>
      </c>
      <c r="AZ10" s="21">
        <f>(AY10-AX10)</f>
        <v>-1</v>
      </c>
      <c r="BB10" s="16">
        <v>28</v>
      </c>
      <c r="BC10" s="15">
        <v>3</v>
      </c>
      <c r="BD10" s="13">
        <f>(AW10*24)+AV10-BB10</f>
        <v>51</v>
      </c>
      <c r="BE10" s="15">
        <v>52</v>
      </c>
      <c r="BF10" s="21">
        <f>(BE10-BD10)</f>
        <v>1</v>
      </c>
      <c r="BH10" s="16">
        <v>41</v>
      </c>
      <c r="BI10" s="15">
        <v>2</v>
      </c>
      <c r="BJ10" s="13">
        <f>(BC10*24)+BB10-BH10</f>
        <v>59</v>
      </c>
      <c r="BK10" s="15">
        <v>59</v>
      </c>
      <c r="BL10" s="21">
        <f>(BK10-BJ10)</f>
        <v>0</v>
      </c>
      <c r="BN10" s="16">
        <v>45</v>
      </c>
      <c r="BO10" s="15">
        <v>2</v>
      </c>
      <c r="BP10" s="13">
        <f>(BI10*24)+BH10-BN10</f>
        <v>44</v>
      </c>
      <c r="BQ10" s="15">
        <v>41</v>
      </c>
      <c r="BR10" s="21">
        <f>(BQ10-BP10)</f>
        <v>-3</v>
      </c>
      <c r="BT10" s="16">
        <v>58</v>
      </c>
      <c r="BU10" s="15">
        <v>1</v>
      </c>
      <c r="BV10" s="13">
        <f>(BO10*24)+BN10-BT10</f>
        <v>35</v>
      </c>
      <c r="BW10" s="15">
        <v>35</v>
      </c>
      <c r="BX10" s="21">
        <f>(BW10-BV10)</f>
        <v>0</v>
      </c>
      <c r="BZ10" s="16">
        <v>36</v>
      </c>
      <c r="CA10" s="15">
        <v>2</v>
      </c>
      <c r="CB10" s="13">
        <f>(BU10*24)+BT10-BZ10</f>
        <v>46</v>
      </c>
      <c r="CC10" s="15">
        <v>43</v>
      </c>
      <c r="CD10" s="21">
        <f>(CC10-CB10)</f>
        <v>-3</v>
      </c>
      <c r="CF10" s="16">
        <v>46</v>
      </c>
      <c r="CG10" s="15">
        <v>2</v>
      </c>
      <c r="CH10" s="13">
        <f>(CA10*24)+BZ10-CF10</f>
        <v>38</v>
      </c>
      <c r="CI10" s="5">
        <v>43</v>
      </c>
      <c r="CJ10" s="21">
        <f>(CI10-CH10)</f>
        <v>5</v>
      </c>
      <c r="CL10" s="16">
        <v>36</v>
      </c>
      <c r="CM10" s="15">
        <v>3</v>
      </c>
      <c r="CN10" s="13">
        <f>(CG10*24)+CF10-CL10</f>
        <v>58</v>
      </c>
      <c r="CO10" s="5">
        <v>63</v>
      </c>
      <c r="CP10" s="21">
        <f>(CO10-CN10)</f>
        <v>5</v>
      </c>
      <c r="CR10" s="16">
        <v>60</v>
      </c>
      <c r="CS10" s="15">
        <v>1</v>
      </c>
      <c r="CT10" s="13">
        <f>(CM10*24)+CL10-CR10</f>
        <v>48</v>
      </c>
      <c r="CU10" s="5">
        <v>45</v>
      </c>
      <c r="CV10" s="21">
        <f>(CU10-CT10)</f>
        <v>-3</v>
      </c>
      <c r="CX10" s="16">
        <v>16</v>
      </c>
      <c r="CY10" s="33">
        <v>5</v>
      </c>
      <c r="CZ10" s="39">
        <f>(CS10*24)+CR10-CX10</f>
        <v>68</v>
      </c>
      <c r="DA10" s="5"/>
      <c r="DB10" s="40">
        <f>(DA10-CZ10)</f>
        <v>-68</v>
      </c>
      <c r="DD10" s="16">
        <v>88</v>
      </c>
      <c r="DE10" s="33"/>
      <c r="DF10" s="39">
        <f>(CY10*24)+CX10-DD10</f>
        <v>48</v>
      </c>
      <c r="DG10" s="5"/>
      <c r="DH10" s="40">
        <f>(DG10-DF10)</f>
        <v>-48</v>
      </c>
      <c r="DJ10" s="16">
        <v>32</v>
      </c>
      <c r="DK10" s="33">
        <v>3</v>
      </c>
      <c r="DL10" s="39">
        <f>(DE10*24)+DD10-DJ10</f>
        <v>56</v>
      </c>
      <c r="DM10" s="5">
        <v>60</v>
      </c>
      <c r="DN10" s="40">
        <f>(DM10-DL10)</f>
        <v>4</v>
      </c>
      <c r="DP10" s="16">
        <v>40</v>
      </c>
      <c r="DQ10" s="33">
        <v>3</v>
      </c>
      <c r="DR10" s="39">
        <f>(DK10*24)+DJ10-DP10</f>
        <v>64</v>
      </c>
      <c r="DS10" s="5">
        <v>70</v>
      </c>
      <c r="DT10" s="40">
        <f>(DS10-DR10)</f>
        <v>6</v>
      </c>
      <c r="DV10" s="16">
        <v>61</v>
      </c>
      <c r="DW10" s="33">
        <v>1</v>
      </c>
      <c r="DX10" s="39">
        <f>(DQ10*24)+DP10-DV10</f>
        <v>51</v>
      </c>
      <c r="DY10" s="5">
        <v>54</v>
      </c>
      <c r="DZ10" s="40">
        <f>(DY10-DX10)</f>
        <v>3</v>
      </c>
      <c r="EB10" s="16">
        <v>52</v>
      </c>
      <c r="EC10" s="33">
        <v>2</v>
      </c>
      <c r="ED10" s="39">
        <f>(DW10*24)+DV10-EB10</f>
        <v>33</v>
      </c>
      <c r="EE10" s="5">
        <v>36</v>
      </c>
      <c r="EF10" s="40">
        <f>(EE10-ED10)</f>
        <v>3</v>
      </c>
      <c r="EH10" s="16">
        <v>56</v>
      </c>
      <c r="EI10" s="33">
        <v>2</v>
      </c>
      <c r="EJ10" s="39">
        <f>(EC10*24)+EB10-EH10</f>
        <v>44</v>
      </c>
      <c r="EK10" s="5">
        <v>50</v>
      </c>
      <c r="EL10" s="40">
        <f>(EK10-EJ10)</f>
        <v>6</v>
      </c>
      <c r="EN10" s="16">
        <v>72</v>
      </c>
      <c r="EO10" s="33">
        <v>1</v>
      </c>
      <c r="EP10" s="39">
        <f>(EI10*24)+EH10-EN10</f>
        <v>32</v>
      </c>
      <c r="EQ10" s="5">
        <v>30</v>
      </c>
      <c r="ER10" s="40">
        <f>(EQ10-EP10)</f>
        <v>-2</v>
      </c>
      <c r="ET10" s="16">
        <v>48</v>
      </c>
      <c r="EU10" s="33">
        <v>2</v>
      </c>
      <c r="EV10" s="39">
        <f>(EO10*24)+EN10-ET10</f>
        <v>48</v>
      </c>
      <c r="EW10" s="5">
        <v>50</v>
      </c>
      <c r="EX10" s="40">
        <f>(EW10-EV10)</f>
        <v>2</v>
      </c>
      <c r="EZ10" s="16">
        <v>63</v>
      </c>
      <c r="FA10" s="33"/>
      <c r="FB10" s="39">
        <f>(EU10*24)+ET10-EZ10</f>
        <v>33</v>
      </c>
      <c r="FC10" s="5">
        <v>40</v>
      </c>
      <c r="FD10" s="40">
        <f>(FC10-FB10)</f>
        <v>7</v>
      </c>
      <c r="FF10" s="16">
        <v>23</v>
      </c>
      <c r="FG10" s="33">
        <v>3</v>
      </c>
      <c r="FH10" s="39">
        <f t="shared" ref="FH10:FH17" si="218">(FA10*24)+EZ10-FF10</f>
        <v>40</v>
      </c>
      <c r="FI10" s="5">
        <v>43</v>
      </c>
      <c r="FJ10" s="40">
        <f>(FI10-FH10)</f>
        <v>3</v>
      </c>
      <c r="FL10" s="16">
        <v>85</v>
      </c>
      <c r="FM10" s="33">
        <v>2</v>
      </c>
      <c r="FN10" s="39">
        <f t="shared" ref="FN10:FN17" si="219">(FG10*24)+FF10-FL10</f>
        <v>10</v>
      </c>
      <c r="FO10" s="5">
        <v>10</v>
      </c>
      <c r="FP10" s="40">
        <f>(FO10-FN10)</f>
        <v>0</v>
      </c>
      <c r="FR10" s="16">
        <v>98</v>
      </c>
      <c r="FS10" s="33"/>
      <c r="FT10" s="39">
        <f t="shared" ref="FT10:FT17" si="220">(FM10*24)+FL10-FR10</f>
        <v>35</v>
      </c>
      <c r="FU10" s="5"/>
      <c r="FV10" s="40">
        <f>(FU10-FT10)</f>
        <v>-35</v>
      </c>
      <c r="FX10" s="16">
        <v>68</v>
      </c>
      <c r="FY10" s="33">
        <v>1</v>
      </c>
      <c r="FZ10" s="39">
        <f t="shared" ref="FZ10:FZ17" si="221">(FS10*24)+FR10-FX10</f>
        <v>30</v>
      </c>
      <c r="GA10" s="5">
        <v>29</v>
      </c>
      <c r="GB10" s="40">
        <f>(GA10-FZ10)</f>
        <v>-1</v>
      </c>
      <c r="GD10" s="16">
        <v>44</v>
      </c>
      <c r="GE10" s="33">
        <v>2</v>
      </c>
      <c r="GF10" s="39">
        <f t="shared" ref="GF10:GF17" si="222">(FY10*24)+FX10-GD10</f>
        <v>48</v>
      </c>
      <c r="GG10" s="5">
        <v>44</v>
      </c>
      <c r="GH10" s="40">
        <f>(GG10-GF10)</f>
        <v>-4</v>
      </c>
      <c r="GJ10" s="16">
        <v>43</v>
      </c>
      <c r="GK10" s="33">
        <v>2</v>
      </c>
      <c r="GL10" s="39">
        <f t="shared" ref="GL10:GL17" si="223">(GE10*24)+GD10-GJ10</f>
        <v>49</v>
      </c>
      <c r="GM10" s="5">
        <v>50</v>
      </c>
      <c r="GN10" s="40">
        <f>(GM10-GL10)</f>
        <v>1</v>
      </c>
      <c r="GP10" s="16">
        <v>50</v>
      </c>
      <c r="GQ10" s="33">
        <v>1</v>
      </c>
      <c r="GR10" s="39">
        <f t="shared" ref="GR10:GR17" si="224">(GK10*24)+GJ10-GP10</f>
        <v>41</v>
      </c>
      <c r="GS10" s="5">
        <v>34</v>
      </c>
      <c r="GT10" s="40">
        <f>(GS10-GR10)</f>
        <v>-7</v>
      </c>
      <c r="GV10" s="16">
        <v>25</v>
      </c>
      <c r="GW10" s="33">
        <v>2</v>
      </c>
      <c r="GX10" s="39">
        <f t="shared" ref="GX10:GX17" si="225">(GQ10*24)+GP10-GV10</f>
        <v>49</v>
      </c>
      <c r="GY10" s="5">
        <v>50</v>
      </c>
      <c r="GZ10" s="40">
        <f>(GY10-GX10)</f>
        <v>1</v>
      </c>
      <c r="HB10" s="16">
        <v>43</v>
      </c>
      <c r="HC10" s="33">
        <v>2</v>
      </c>
      <c r="HD10" s="39">
        <f t="shared" ref="HD10:HD17" si="226">(GW10*24)+GV10-HB10</f>
        <v>30</v>
      </c>
      <c r="HE10" s="5">
        <v>31</v>
      </c>
      <c r="HF10" s="40">
        <f>(HE10-HD10)</f>
        <v>1</v>
      </c>
      <c r="HH10" s="16">
        <v>47</v>
      </c>
      <c r="HI10" s="33">
        <v>2</v>
      </c>
      <c r="HJ10" s="39">
        <f t="shared" ref="HJ10:HJ17" si="227">(HC10*24)+HB10-HH10</f>
        <v>44</v>
      </c>
      <c r="HK10" s="5">
        <v>41</v>
      </c>
      <c r="HL10" s="40">
        <f>(HK10-HJ10)</f>
        <v>-3</v>
      </c>
      <c r="HN10" s="16">
        <v>39</v>
      </c>
      <c r="HO10" s="33">
        <v>2</v>
      </c>
      <c r="HP10" s="39">
        <f t="shared" ref="HP10:HP17" si="228">(HI10*24)+HH10-HN10</f>
        <v>56</v>
      </c>
      <c r="HQ10" s="5">
        <v>55</v>
      </c>
      <c r="HR10" s="40">
        <f>(HQ10-HP10)</f>
        <v>-1</v>
      </c>
      <c r="HT10" s="16">
        <v>31</v>
      </c>
      <c r="HU10" s="33">
        <v>3</v>
      </c>
      <c r="HV10" s="39">
        <f t="shared" ref="HV10:HV17" si="229">(HO10*24)+HN10-HT10</f>
        <v>56</v>
      </c>
      <c r="HW10" s="5">
        <v>54</v>
      </c>
      <c r="HX10" s="40">
        <f>(HW10-HV10)</f>
        <v>-2</v>
      </c>
      <c r="HZ10" s="16">
        <v>50</v>
      </c>
      <c r="IA10" s="33">
        <v>1</v>
      </c>
      <c r="IB10" s="39">
        <f t="shared" ref="IB10:IB17" si="230">(HU10*24)+HT10-HZ10</f>
        <v>53</v>
      </c>
      <c r="IC10" s="5">
        <v>52</v>
      </c>
      <c r="ID10" s="40">
        <f>(IC10-IB10)</f>
        <v>-1</v>
      </c>
      <c r="IF10" s="16">
        <v>32</v>
      </c>
      <c r="IG10" s="33">
        <v>3</v>
      </c>
      <c r="IH10" s="39">
        <f t="shared" ref="IH10:IH17" si="231">(IA10*24)+HZ10-IF10</f>
        <v>42</v>
      </c>
      <c r="II10" s="5">
        <v>43</v>
      </c>
      <c r="IJ10" s="40">
        <f>(II10-IH10)</f>
        <v>1</v>
      </c>
      <c r="IL10" s="16">
        <v>50</v>
      </c>
      <c r="IM10" s="33">
        <v>2</v>
      </c>
      <c r="IN10" s="39">
        <f t="shared" ref="IN10:IN17" si="232">(IG10*24)+IF10-IL10</f>
        <v>54</v>
      </c>
      <c r="IO10" s="5">
        <v>56</v>
      </c>
      <c r="IP10" s="40">
        <f>(IO10-IN10)</f>
        <v>2</v>
      </c>
      <c r="IR10" s="16">
        <v>70</v>
      </c>
      <c r="IS10" s="33">
        <v>1</v>
      </c>
      <c r="IT10" s="39">
        <f t="shared" ref="IT10:IT17" si="233">(IM10*24)+IL10-IR10</f>
        <v>28</v>
      </c>
      <c r="IU10" s="5">
        <v>29</v>
      </c>
      <c r="IV10" s="40">
        <f>(IU10-IT10)</f>
        <v>1</v>
      </c>
      <c r="IX10" s="16">
        <v>60</v>
      </c>
      <c r="IY10" s="33">
        <v>1</v>
      </c>
      <c r="IZ10" s="39">
        <f t="shared" ref="IZ10:IZ17" si="234">(IS10*24)+IR10-IX10</f>
        <v>34</v>
      </c>
      <c r="JA10" s="5">
        <v>39</v>
      </c>
      <c r="JB10" s="40">
        <f>(JA10-IZ10)</f>
        <v>5</v>
      </c>
      <c r="JD10" s="16">
        <v>46</v>
      </c>
      <c r="JE10" s="33">
        <v>2</v>
      </c>
      <c r="JF10" s="39">
        <f t="shared" ref="JF10:JF17" si="235">(IY10*24)+IX10-JD10</f>
        <v>38</v>
      </c>
      <c r="JG10" s="5">
        <v>38</v>
      </c>
      <c r="JH10" s="40">
        <f>(JG10-JF10)</f>
        <v>0</v>
      </c>
      <c r="JJ10" s="16">
        <v>53</v>
      </c>
      <c r="JK10" s="33">
        <v>2</v>
      </c>
      <c r="JL10" s="39">
        <f t="shared" ref="JL10:JL17" si="236">(JE10*24)+JD10-JJ10</f>
        <v>41</v>
      </c>
      <c r="JM10" s="5">
        <v>43</v>
      </c>
      <c r="JN10" s="40">
        <f>(JM10-JL10)</f>
        <v>2</v>
      </c>
      <c r="JP10" s="16">
        <v>58</v>
      </c>
      <c r="JQ10" s="33">
        <v>3</v>
      </c>
      <c r="JR10" s="39">
        <f t="shared" ref="JR10:JR17" si="237">(JK10*24)+JJ10-JP10</f>
        <v>43</v>
      </c>
      <c r="JS10" s="5">
        <v>35</v>
      </c>
      <c r="JT10" s="40">
        <f>(JS10-JR10)</f>
        <v>-8</v>
      </c>
      <c r="JV10" s="16">
        <v>97</v>
      </c>
      <c r="JW10" s="33">
        <v>1</v>
      </c>
      <c r="JX10" s="39">
        <f t="shared" ref="JX10:JX17" si="238">(JQ10*24)+JP10-JV10</f>
        <v>33</v>
      </c>
      <c r="JY10" s="5">
        <v>44</v>
      </c>
      <c r="JZ10" s="40">
        <f>(JY10-JX10)</f>
        <v>11</v>
      </c>
      <c r="KB10" s="16">
        <v>77</v>
      </c>
      <c r="KC10" s="33">
        <v>2</v>
      </c>
      <c r="KD10" s="39">
        <f t="shared" ref="KD10:KD17" si="239">(JW10*24)+JV10-KB10</f>
        <v>44</v>
      </c>
      <c r="KE10" s="5">
        <v>50</v>
      </c>
      <c r="KF10" s="40">
        <f>(KE10-KD10)</f>
        <v>6</v>
      </c>
      <c r="KH10" s="16">
        <v>88</v>
      </c>
      <c r="KI10" s="33">
        <v>2</v>
      </c>
      <c r="KJ10" s="39">
        <f t="shared" ref="KJ10:KJ17" si="240">(KC10*24)+KB10-KH10</f>
        <v>37</v>
      </c>
      <c r="KK10" s="5">
        <v>43</v>
      </c>
      <c r="KL10" s="40">
        <f>(KK10-KJ10)</f>
        <v>6</v>
      </c>
      <c r="KN10" s="16">
        <v>102</v>
      </c>
      <c r="KO10" s="33">
        <v>1</v>
      </c>
      <c r="KP10" s="39">
        <f t="shared" ref="KP10:KP17" si="241">(KI10*24)+KH10-KN10</f>
        <v>34</v>
      </c>
      <c r="KQ10" s="5">
        <v>27</v>
      </c>
      <c r="KR10" s="40">
        <f>(KQ10-KP10)</f>
        <v>-7</v>
      </c>
      <c r="KT10" s="16">
        <v>76</v>
      </c>
      <c r="KU10" s="33"/>
      <c r="KV10" s="39">
        <f t="shared" ref="KV10:KV17" si="242">(KO10*24)+KN10-KT10</f>
        <v>50</v>
      </c>
      <c r="KW10" s="5">
        <v>36</v>
      </c>
      <c r="KX10" s="40">
        <f>(KW10-KV10)</f>
        <v>-14</v>
      </c>
      <c r="KZ10" s="16">
        <v>29</v>
      </c>
      <c r="LA10" s="33">
        <v>3</v>
      </c>
      <c r="LB10" s="39">
        <f t="shared" ref="LB10:LB17" si="243">(KU10*24)+KT10-KZ10</f>
        <v>47</v>
      </c>
      <c r="LC10" s="5">
        <v>53</v>
      </c>
      <c r="LD10" s="40">
        <f>(LC10-LB10)</f>
        <v>6</v>
      </c>
      <c r="LF10" s="16">
        <v>46</v>
      </c>
      <c r="LG10" s="33"/>
      <c r="LH10" s="39">
        <f t="shared" ref="LH10:LH17" si="244">(LA10*24)+KZ10-LF10</f>
        <v>55</v>
      </c>
      <c r="LI10" s="5"/>
      <c r="LJ10" s="40">
        <f>(LI10-LH10)</f>
        <v>-55</v>
      </c>
      <c r="LL10" s="16">
        <v>83</v>
      </c>
      <c r="LM10" s="33">
        <v>4</v>
      </c>
      <c r="LN10" s="39">
        <f t="shared" ref="LN10:LN17" si="245">(LG10*24)+LF10-LL10</f>
        <v>-37</v>
      </c>
      <c r="LO10" s="5"/>
      <c r="LP10" s="40">
        <f>(LO10-LN10)</f>
        <v>37</v>
      </c>
      <c r="LR10" s="16">
        <v>129</v>
      </c>
      <c r="LS10" s="33"/>
      <c r="LT10" s="39">
        <f t="shared" ref="LT10:LT17" si="246">(LM10*24)+LL10-LR10</f>
        <v>50</v>
      </c>
      <c r="LU10" s="5">
        <v>37</v>
      </c>
      <c r="LV10" s="40">
        <f>(LU10-LT10)</f>
        <v>-13</v>
      </c>
      <c r="LX10" s="16">
        <v>124</v>
      </c>
      <c r="LY10" s="33">
        <v>1</v>
      </c>
      <c r="LZ10" s="39">
        <f t="shared" ref="LZ10:LZ17" si="247">(LS10*24)+LR10-LX10</f>
        <v>5</v>
      </c>
      <c r="MA10" s="5">
        <v>35</v>
      </c>
      <c r="MB10" s="40">
        <f>(MA10-LZ10)</f>
        <v>30</v>
      </c>
      <c r="MD10" s="16">
        <v>95</v>
      </c>
      <c r="ME10" s="33"/>
      <c r="MF10" s="39">
        <f t="shared" ref="MF10:MF17" si="248">(LY10*24)+LX10-MD10</f>
        <v>53</v>
      </c>
      <c r="MG10" s="5"/>
      <c r="MH10" s="40">
        <f>(MG10-MF10)</f>
        <v>-53</v>
      </c>
      <c r="MJ10" s="16">
        <v>51</v>
      </c>
      <c r="MK10" s="33">
        <v>4</v>
      </c>
      <c r="ML10" s="39">
        <f t="shared" ref="ML10:ML17" si="249">(ME10*24)+MD10-MJ10</f>
        <v>44</v>
      </c>
      <c r="MM10" s="5"/>
      <c r="MN10" s="40">
        <f>(MM10-ML10)</f>
        <v>-44</v>
      </c>
      <c r="MP10" s="16">
        <v>15</v>
      </c>
      <c r="MQ10" s="33">
        <v>5</v>
      </c>
      <c r="MR10" s="39">
        <f t="shared" ref="MR10:MR17" si="250">(MK10*24)+MJ10-MP10</f>
        <v>132</v>
      </c>
      <c r="MS10" s="5"/>
      <c r="MT10" s="40">
        <f>(MS10-MR10)</f>
        <v>-132</v>
      </c>
      <c r="MV10" s="16">
        <v>93</v>
      </c>
      <c r="MW10" s="33"/>
      <c r="MX10" s="39">
        <f t="shared" ref="MX10:MX17" si="251">(MQ10*24)+MP10-MV10</f>
        <v>42</v>
      </c>
      <c r="MY10" s="5"/>
      <c r="MZ10" s="40">
        <f>(MY10-MX10)</f>
        <v>-42</v>
      </c>
      <c r="NB10" s="16">
        <v>73</v>
      </c>
      <c r="NC10" s="33">
        <v>3</v>
      </c>
      <c r="ND10" s="39">
        <f t="shared" ref="ND10:ND17" si="252">(MW10*24)+MV10-NB10</f>
        <v>20</v>
      </c>
      <c r="NE10" s="5"/>
      <c r="NF10" s="40">
        <f>(NE10-ND10)</f>
        <v>-20</v>
      </c>
      <c r="NH10" s="16">
        <v>104</v>
      </c>
      <c r="NI10" s="33">
        <v>1</v>
      </c>
      <c r="NJ10" s="39">
        <f t="shared" ref="NJ10:NJ17" si="253">(NC10*24)+NB10-NH10</f>
        <v>41</v>
      </c>
      <c r="NK10" s="5"/>
      <c r="NL10" s="40">
        <f>(NK10-NJ10)</f>
        <v>-41</v>
      </c>
      <c r="NN10" s="16">
        <v>102</v>
      </c>
      <c r="NO10" s="33"/>
      <c r="NP10" s="39">
        <f t="shared" ref="NP10:NP17" si="254">(NI10*24)+NH10-NN10</f>
        <v>26</v>
      </c>
      <c r="NQ10" s="5"/>
      <c r="NR10" s="40">
        <f>(NQ10-NP10)</f>
        <v>-26</v>
      </c>
      <c r="NT10" s="16">
        <v>95</v>
      </c>
      <c r="NU10" s="33">
        <v>1</v>
      </c>
      <c r="NV10" s="39">
        <f t="shared" ref="NV10:NV17" si="255">(NO10*24)+NN10-NT10</f>
        <v>7</v>
      </c>
      <c r="NW10" s="5"/>
      <c r="NX10" s="40">
        <f>(NW10-NV10)</f>
        <v>-7</v>
      </c>
      <c r="NZ10" s="16">
        <v>74</v>
      </c>
      <c r="OA10" s="33"/>
      <c r="OB10" s="39">
        <f t="shared" ref="OB10:OB17" si="256">(NU10*24)+NT10-NZ10</f>
        <v>45</v>
      </c>
      <c r="OC10" s="5"/>
      <c r="OD10" s="40">
        <f>(OC10-OB10)</f>
        <v>-45</v>
      </c>
      <c r="OF10" s="16">
        <v>36</v>
      </c>
      <c r="OG10" s="33">
        <v>4</v>
      </c>
      <c r="OH10" s="39">
        <f t="shared" ref="OH10:OH17" si="257">(OA10*24)+NZ10-OF10</f>
        <v>38</v>
      </c>
      <c r="OI10" s="5"/>
      <c r="OJ10" s="40">
        <f>(OI10-OH10)</f>
        <v>-38</v>
      </c>
      <c r="OL10" s="16">
        <v>90</v>
      </c>
      <c r="OM10" s="33">
        <v>2</v>
      </c>
      <c r="ON10" s="39">
        <f t="shared" ref="ON10:ON17" si="258">(OG10*24)+OF10-OL10</f>
        <v>42</v>
      </c>
      <c r="OO10" s="5"/>
      <c r="OP10" s="40">
        <f>(OO10-ON10)</f>
        <v>-42</v>
      </c>
      <c r="OR10" s="16">
        <v>99</v>
      </c>
      <c r="OS10" s="33">
        <v>1</v>
      </c>
      <c r="OT10" s="39">
        <f t="shared" ref="OT10:OT17" si="259">(OM10*24)+OL10-OR10</f>
        <v>39</v>
      </c>
      <c r="OU10" s="5"/>
      <c r="OV10" s="40">
        <f>(OU10-OT10)</f>
        <v>-39</v>
      </c>
      <c r="OX10" s="16">
        <v>71</v>
      </c>
      <c r="OY10" s="33">
        <v>2</v>
      </c>
      <c r="OZ10" s="39">
        <f t="shared" ref="OZ10:OZ17" si="260">(OS10*24)+OR10-OX10</f>
        <v>52</v>
      </c>
      <c r="PA10" s="5"/>
      <c r="PB10" s="40">
        <f>(PA10-OZ10)</f>
        <v>-52</v>
      </c>
      <c r="PD10" s="16">
        <v>92</v>
      </c>
      <c r="PE10" s="33">
        <v>2</v>
      </c>
      <c r="PF10" s="39">
        <f t="shared" ref="PF10:PF17" si="261">(OY10*24)+OX10-PD10</f>
        <v>27</v>
      </c>
      <c r="PG10" s="5"/>
      <c r="PH10" s="40">
        <f>(PG10-PF10)</f>
        <v>-27</v>
      </c>
      <c r="PJ10" s="16">
        <v>60</v>
      </c>
      <c r="PK10" s="33">
        <v>2</v>
      </c>
      <c r="PL10" s="39">
        <f t="shared" ref="PL10:PL17" si="262">(PE10*24)+PD10-PJ10</f>
        <v>80</v>
      </c>
      <c r="PM10" s="5"/>
      <c r="PN10" s="40">
        <f>(PM10-PL10)</f>
        <v>-80</v>
      </c>
      <c r="PP10" s="16">
        <v>73</v>
      </c>
      <c r="PQ10" s="33">
        <v>1</v>
      </c>
      <c r="PR10" s="39">
        <f t="shared" ref="PR10:PR17" si="263">(PK10*24)+PJ10-PP10</f>
        <v>35</v>
      </c>
      <c r="PS10" s="5"/>
      <c r="PT10" s="40">
        <f>(PS10-PR10)</f>
        <v>-35</v>
      </c>
      <c r="PV10" s="16">
        <v>50</v>
      </c>
      <c r="PW10" s="33">
        <v>2</v>
      </c>
      <c r="PX10" s="39">
        <f t="shared" ref="PX10:PX17" si="264">(PQ10*24)+PP10-PV10</f>
        <v>47</v>
      </c>
      <c r="PY10" s="5"/>
      <c r="PZ10" s="40">
        <f>(PY10-PX10)</f>
        <v>-47</v>
      </c>
      <c r="QB10" s="16">
        <v>80</v>
      </c>
      <c r="QC10" s="33">
        <v>1</v>
      </c>
      <c r="QD10" s="39">
        <f t="shared" ref="QD10:QD17" si="265">(PW10*24)+PV10-QB10</f>
        <v>18</v>
      </c>
      <c r="QE10" s="5"/>
      <c r="QF10" s="40">
        <f>(QE10-QD10)</f>
        <v>-18</v>
      </c>
      <c r="QH10" s="16">
        <v>36</v>
      </c>
      <c r="QI10" s="33">
        <v>3</v>
      </c>
      <c r="QJ10" s="39">
        <f t="shared" ref="QJ10:QJ17" si="266">(QC10*24)+QB10-QH10</f>
        <v>68</v>
      </c>
      <c r="QK10" s="5"/>
      <c r="QL10" s="40">
        <f>(QK10-QJ10)</f>
        <v>-68</v>
      </c>
      <c r="QN10" s="16">
        <v>48</v>
      </c>
      <c r="QO10" s="33">
        <v>1</v>
      </c>
      <c r="QP10" s="39">
        <f t="shared" ref="QP10:QP17" si="267">(QI10*24)+QH10-QN10</f>
        <v>60</v>
      </c>
      <c r="QQ10" s="5"/>
      <c r="QR10" s="40">
        <f>(QQ10-QP10)</f>
        <v>-60</v>
      </c>
      <c r="QT10" s="16">
        <v>5</v>
      </c>
      <c r="QU10" s="33">
        <v>5</v>
      </c>
      <c r="QV10" s="39">
        <f t="shared" ref="QV10:QV17" si="268">(QO10*24)+QN10-QT10</f>
        <v>67</v>
      </c>
      <c r="QW10" s="5"/>
      <c r="QX10" s="40">
        <f>(QW10-QV10)</f>
        <v>-67</v>
      </c>
      <c r="QZ10" s="16">
        <v>103</v>
      </c>
      <c r="RA10" s="33"/>
      <c r="RB10" s="39">
        <f t="shared" ref="RB10:RB17" si="269">(QU10*24)+QT10-QZ10</f>
        <v>22</v>
      </c>
      <c r="RC10" s="5"/>
      <c r="RD10" s="40">
        <f>(RC10-RB10)</f>
        <v>-22</v>
      </c>
      <c r="RF10" s="16">
        <v>81</v>
      </c>
      <c r="RG10" s="33">
        <v>1</v>
      </c>
      <c r="RH10" s="39">
        <f t="shared" ref="RH10:RH17" si="270">(RA10*24)+QZ10-RF10</f>
        <v>22</v>
      </c>
      <c r="RI10" s="5"/>
      <c r="RJ10" s="40">
        <f>(RI10-RH10)</f>
        <v>-22</v>
      </c>
      <c r="RL10" s="16">
        <v>72</v>
      </c>
      <c r="RM10" s="33">
        <v>1</v>
      </c>
      <c r="RN10" s="39">
        <f t="shared" ref="RN10:RN17" si="271">(RG10*24)+RF10-RL10</f>
        <v>33</v>
      </c>
      <c r="RO10" s="5"/>
      <c r="RP10" s="40">
        <f>(RO10-RN10)</f>
        <v>-33</v>
      </c>
      <c r="RR10" s="16">
        <v>46</v>
      </c>
      <c r="RS10" s="33">
        <v>2</v>
      </c>
      <c r="RT10" s="39">
        <f t="shared" ref="RT10:RT17" si="272">(RM10*24)+RL10-RR10</f>
        <v>50</v>
      </c>
      <c r="RU10" s="5"/>
      <c r="RV10" s="40">
        <f>(RU10-RT10)</f>
        <v>-50</v>
      </c>
      <c r="RX10" s="16">
        <v>57</v>
      </c>
      <c r="RY10" s="33">
        <v>2</v>
      </c>
      <c r="RZ10" s="39">
        <f t="shared" ref="RZ10:RZ17" si="273">(RS10*24)+RR10-RX10</f>
        <v>37</v>
      </c>
      <c r="SA10" s="5"/>
      <c r="SB10" s="40">
        <f>(SA10-RZ10)</f>
        <v>-37</v>
      </c>
      <c r="SD10" s="16">
        <v>69</v>
      </c>
      <c r="SE10" s="33">
        <v>1</v>
      </c>
      <c r="SF10" s="39">
        <f t="shared" ref="SF10:SF17" si="274">(RY10*24)+RX10-SD10</f>
        <v>36</v>
      </c>
      <c r="SG10" s="5"/>
      <c r="SH10" s="40">
        <f>(SG10-SF10)</f>
        <v>-36</v>
      </c>
      <c r="SJ10" s="16">
        <v>31</v>
      </c>
      <c r="SK10" s="33">
        <v>3</v>
      </c>
      <c r="SL10" s="39">
        <f t="shared" ref="SL10:SL17" si="275">(SE10*24)+SD10-SJ10</f>
        <v>62</v>
      </c>
      <c r="SM10" s="5"/>
      <c r="SN10" s="40">
        <f>(SM10-SL10)</f>
        <v>-62</v>
      </c>
      <c r="SP10" s="16">
        <v>57</v>
      </c>
      <c r="SQ10" s="33">
        <v>4</v>
      </c>
      <c r="SR10" s="39">
        <f t="shared" ref="SR10:SR17" si="276">(SK10*24)+SJ10-SP10</f>
        <v>46</v>
      </c>
      <c r="SS10" s="5"/>
      <c r="ST10" s="40">
        <f>(SS10-SR10)</f>
        <v>-46</v>
      </c>
      <c r="SV10" s="16">
        <v>50</v>
      </c>
      <c r="SW10" s="33">
        <v>2</v>
      </c>
      <c r="SX10" s="39">
        <f t="shared" ref="SX10:SX17" si="277">(SQ10*24)+SP10-SV10</f>
        <v>103</v>
      </c>
      <c r="SY10" s="5"/>
      <c r="SZ10" s="40">
        <f>(SY10-SX10)</f>
        <v>-103</v>
      </c>
      <c r="TB10" s="16">
        <v>48</v>
      </c>
      <c r="TC10" s="33">
        <v>2</v>
      </c>
      <c r="TD10" s="39">
        <f t="shared" ref="TD10:TD17" si="278">(SW10*24)+SV10-TB10</f>
        <v>50</v>
      </c>
      <c r="TE10" s="5"/>
      <c r="TF10" s="40">
        <f>(TE10-TD10)</f>
        <v>-50</v>
      </c>
      <c r="TH10" s="16">
        <v>41</v>
      </c>
      <c r="TI10" s="33">
        <v>2</v>
      </c>
      <c r="TJ10" s="39">
        <f t="shared" ref="TJ10:TJ17" si="279">(TC10*24)+TB10-TH10</f>
        <v>55</v>
      </c>
      <c r="TK10" s="5"/>
      <c r="TL10" s="40">
        <f>(TK10-TJ10)</f>
        <v>-55</v>
      </c>
      <c r="TN10" s="16">
        <v>55</v>
      </c>
      <c r="TO10" s="33">
        <v>1</v>
      </c>
      <c r="TP10" s="39">
        <f t="shared" ref="TP10:TP17" si="280">(TI10*24)+TH10-TN10</f>
        <v>34</v>
      </c>
      <c r="TQ10" s="5"/>
      <c r="TR10" s="40">
        <f>(TQ10-TP10)</f>
        <v>-34</v>
      </c>
      <c r="TT10" s="16">
        <v>44</v>
      </c>
      <c r="TU10" s="33">
        <v>1</v>
      </c>
      <c r="TV10" s="39">
        <f t="shared" ref="TV10:TV17" si="281">(TO10*24)+TN10-TT10</f>
        <v>35</v>
      </c>
      <c r="TW10" s="5"/>
      <c r="TX10" s="40">
        <f>(TW10-TV10)</f>
        <v>-35</v>
      </c>
      <c r="TZ10" s="16">
        <v>22</v>
      </c>
      <c r="UA10" s="33">
        <v>2</v>
      </c>
      <c r="UB10" s="39">
        <f t="shared" ref="UB10:UB17" si="282">(TU10*24)+TT10-TZ10</f>
        <v>46</v>
      </c>
      <c r="UC10" s="5"/>
      <c r="UD10" s="40">
        <f>(UC10-UB10)</f>
        <v>-46</v>
      </c>
      <c r="UF10" s="16">
        <v>32</v>
      </c>
      <c r="UG10" s="33">
        <v>2</v>
      </c>
      <c r="UH10" s="39">
        <f t="shared" ref="UH10:UH17" si="283">(UA10*24)+TZ10-UF10</f>
        <v>38</v>
      </c>
      <c r="UI10" s="5"/>
      <c r="UJ10" s="40">
        <f>(UI10-UH10)</f>
        <v>-38</v>
      </c>
      <c r="UL10" s="16">
        <v>38</v>
      </c>
      <c r="UM10" s="33">
        <v>2</v>
      </c>
      <c r="UN10" s="39">
        <f t="shared" ref="UN10:UN17" si="284">(UG10*24)+UF10-UL10</f>
        <v>42</v>
      </c>
      <c r="UO10" s="5"/>
      <c r="UP10" s="40">
        <f>(UO10-UN10)</f>
        <v>-42</v>
      </c>
      <c r="UR10" s="16">
        <v>8</v>
      </c>
      <c r="US10" s="33">
        <v>4</v>
      </c>
      <c r="UT10" s="39">
        <f t="shared" ref="UT10:UT17" si="285">(UM10*24)+UL10-UR10</f>
        <v>78</v>
      </c>
      <c r="UU10" s="5"/>
      <c r="UV10" s="40">
        <f>(UU10-UT10)</f>
        <v>-78</v>
      </c>
      <c r="UX10" s="16">
        <v>74</v>
      </c>
      <c r="UY10" s="33"/>
      <c r="UZ10" s="39">
        <f t="shared" ref="UZ10:UZ17" si="286">(US10*24)+UR10-UX10</f>
        <v>30</v>
      </c>
      <c r="VA10" s="5"/>
      <c r="VB10" s="40">
        <f>(VA10-UZ10)</f>
        <v>-30</v>
      </c>
      <c r="VD10" s="16">
        <v>36</v>
      </c>
      <c r="VE10" s="33">
        <v>2</v>
      </c>
      <c r="VF10" s="39">
        <f t="shared" ref="VF10:VF17" si="287">(UY10*24)+UX10-VD10</f>
        <v>38</v>
      </c>
      <c r="VG10" s="5"/>
      <c r="VH10" s="40">
        <f>(VG10-VF10)</f>
        <v>-38</v>
      </c>
      <c r="VJ10" s="16">
        <v>25</v>
      </c>
      <c r="VK10" s="33">
        <v>3</v>
      </c>
      <c r="VL10" s="39">
        <f t="shared" ref="VL10:VL17" si="288">(VE10*24)+VD10-VJ10</f>
        <v>59</v>
      </c>
      <c r="VM10" s="5"/>
      <c r="VN10" s="40">
        <f>(VM10-VL10)</f>
        <v>-59</v>
      </c>
      <c r="VP10" s="16">
        <v>31</v>
      </c>
      <c r="VQ10" s="33">
        <v>3</v>
      </c>
      <c r="VR10" s="39">
        <f t="shared" ref="VR10:VR17" si="289">(VK10*24)+VJ10-VP10</f>
        <v>66</v>
      </c>
      <c r="VS10" s="5"/>
      <c r="VT10" s="40">
        <f>(VS10-VR10)</f>
        <v>-66</v>
      </c>
      <c r="VV10" s="16">
        <v>0</v>
      </c>
      <c r="VW10" s="33">
        <v>5</v>
      </c>
      <c r="VX10" s="39">
        <f t="shared" ref="VX10:VX17" si="290">(VQ10*24)+VP10-VV10</f>
        <v>103</v>
      </c>
      <c r="VY10" s="5"/>
      <c r="VZ10" s="40">
        <f>(VY10-VX10)</f>
        <v>-103</v>
      </c>
      <c r="WB10" s="16">
        <v>83</v>
      </c>
      <c r="WC10" s="33"/>
      <c r="WD10" s="39">
        <f t="shared" ref="WD10:WD17" si="291">(VW10*24)+VV10-WB10</f>
        <v>37</v>
      </c>
      <c r="WE10" s="5"/>
      <c r="WF10" s="40">
        <f>SUM(WD10-WE10)</f>
        <v>37</v>
      </c>
      <c r="WH10" s="16">
        <v>43</v>
      </c>
      <c r="WI10" s="33">
        <v>2</v>
      </c>
      <c r="WJ10" s="39">
        <f t="shared" ref="WJ10:WJ17" si="292">(WC10*24)+WB10-WH10</f>
        <v>40</v>
      </c>
      <c r="WK10" s="5"/>
      <c r="WL10" s="40">
        <f>(WJ10-WK10)</f>
        <v>40</v>
      </c>
      <c r="WN10" s="16">
        <v>52</v>
      </c>
      <c r="WO10" s="33">
        <v>2</v>
      </c>
      <c r="WP10" s="39">
        <f t="shared" ref="WP10:WP17" si="293">(WI10*24)+WH10-WN10</f>
        <v>39</v>
      </c>
      <c r="WQ10" s="5"/>
      <c r="WR10" s="40">
        <f>(WP10-WQ10)</f>
        <v>39</v>
      </c>
      <c r="WT10" s="16">
        <v>63</v>
      </c>
      <c r="WU10" s="33">
        <v>1</v>
      </c>
      <c r="WV10" s="39">
        <f t="shared" ref="WV10:WV17" si="294">(WO10*24)+WN10-WT10</f>
        <v>37</v>
      </c>
      <c r="WW10" s="5"/>
      <c r="WX10" s="40">
        <f>(WV10-WW10)</f>
        <v>37</v>
      </c>
      <c r="WZ10" s="16">
        <v>59</v>
      </c>
      <c r="XA10" s="33">
        <v>2</v>
      </c>
      <c r="XB10" s="39">
        <f t="shared" ref="XB10:XB17" si="295">(WU10*24)+WT10-WZ10</f>
        <v>28</v>
      </c>
      <c r="XC10" s="5"/>
      <c r="XD10" s="40">
        <f>(XB10-XC10)</f>
        <v>28</v>
      </c>
      <c r="XF10" s="16">
        <v>80</v>
      </c>
      <c r="XG10" s="33">
        <v>1</v>
      </c>
      <c r="XH10" s="39">
        <f t="shared" ref="XH10:XH17" si="296">(XA10*24)+WZ10-XF10</f>
        <v>27</v>
      </c>
      <c r="XI10" s="5"/>
      <c r="XJ10" s="40">
        <f>(XH10-XI10)</f>
        <v>27</v>
      </c>
      <c r="XL10" s="16">
        <v>50</v>
      </c>
      <c r="XM10" s="33">
        <v>2</v>
      </c>
      <c r="XN10" s="39">
        <f t="shared" ref="XN10:XN17" si="297">(XG10*24)+XF10-XL10</f>
        <v>54</v>
      </c>
      <c r="XO10" s="5"/>
      <c r="XP10" s="40">
        <f>(XN10-XO10)</f>
        <v>54</v>
      </c>
      <c r="XR10" s="16">
        <v>56</v>
      </c>
      <c r="XS10" s="33">
        <v>2</v>
      </c>
      <c r="XT10" s="39">
        <f t="shared" ref="XT10:XT17" si="298">(XM10*24)+XL10-XR10</f>
        <v>42</v>
      </c>
      <c r="XU10" s="5"/>
      <c r="XV10" s="40">
        <f>(XT10-XU10)</f>
        <v>42</v>
      </c>
      <c r="XX10" s="16">
        <v>36</v>
      </c>
      <c r="XY10" s="33">
        <v>6</v>
      </c>
      <c r="XZ10" s="39">
        <f t="shared" ref="XZ10:XZ17" si="299">(XS10*24)+XR10-XX10</f>
        <v>68</v>
      </c>
      <c r="YA10" s="5"/>
      <c r="YB10" s="40">
        <f>(XZ10-YA10)</f>
        <v>68</v>
      </c>
      <c r="YD10" s="16">
        <v>69</v>
      </c>
      <c r="YE10" s="33">
        <v>1</v>
      </c>
      <c r="YF10" s="39">
        <f t="shared" ref="YF10:YF17" si="300">(XY10*24)+XX10-YD10</f>
        <v>111</v>
      </c>
      <c r="YG10" s="5"/>
      <c r="YH10" s="40">
        <f>(YF10-YG10)</f>
        <v>111</v>
      </c>
      <c r="YJ10" s="16">
        <v>43</v>
      </c>
      <c r="YK10" s="33">
        <v>2</v>
      </c>
      <c r="YL10" s="39">
        <f t="shared" ref="YL10:YL17" si="301">(YE10*24)+YD10-YJ10</f>
        <v>50</v>
      </c>
      <c r="YM10" s="5"/>
      <c r="YN10" s="40">
        <f>(YL10-YM10)</f>
        <v>50</v>
      </c>
      <c r="YP10" s="16">
        <v>53</v>
      </c>
      <c r="YQ10" s="33">
        <v>1</v>
      </c>
      <c r="YR10" s="39">
        <f t="shared" ref="YR10:YR17" si="302">(YK10*24)+YJ10-YP10</f>
        <v>38</v>
      </c>
      <c r="YS10" s="5"/>
      <c r="YT10" s="40">
        <f>(YR10-YS10)</f>
        <v>38</v>
      </c>
      <c r="YV10" s="16">
        <v>36</v>
      </c>
      <c r="YW10" s="33">
        <v>2</v>
      </c>
      <c r="YX10" s="39">
        <f t="shared" ref="YX10:YX17" si="303">(YQ10*24)+YP10-YV10</f>
        <v>41</v>
      </c>
      <c r="YY10" s="5"/>
      <c r="YZ10" s="40">
        <f>(YX10-YY10)</f>
        <v>41</v>
      </c>
      <c r="ZB10" s="16">
        <v>42</v>
      </c>
      <c r="ZC10" s="33">
        <v>2</v>
      </c>
      <c r="ZD10" s="39">
        <f t="shared" ref="ZD10:ZD17" si="304">(YW10*24)+YV10-ZB10</f>
        <v>42</v>
      </c>
      <c r="ZE10" s="5"/>
      <c r="ZF10" s="40">
        <f>(ZD10-ZE10)</f>
        <v>42</v>
      </c>
      <c r="ZH10" s="16">
        <v>43</v>
      </c>
      <c r="ZI10" s="33">
        <v>2</v>
      </c>
      <c r="ZJ10" s="39">
        <f t="shared" ref="ZJ10:ZJ17" si="305">(ZC10*24)+ZB10-ZH10</f>
        <v>47</v>
      </c>
      <c r="ZK10" s="5"/>
      <c r="ZL10" s="40">
        <f>(ZJ10-ZK10)</f>
        <v>47</v>
      </c>
      <c r="ZN10" s="16">
        <v>56</v>
      </c>
      <c r="ZO10" s="33">
        <v>2</v>
      </c>
      <c r="ZP10" s="39">
        <f t="shared" ref="ZP10:ZP17" si="306">(ZI10*24)+ZH10-ZN10</f>
        <v>35</v>
      </c>
      <c r="ZQ10" s="5"/>
      <c r="ZR10" s="40">
        <f>(ZP10-ZQ10)</f>
        <v>35</v>
      </c>
      <c r="ZT10" s="16">
        <v>40</v>
      </c>
      <c r="ZU10" s="33">
        <v>2</v>
      </c>
      <c r="ZV10" s="39">
        <f t="shared" ref="ZV10:ZV17" si="307">(ZO10*24)+ZN10-ZT10</f>
        <v>64</v>
      </c>
      <c r="ZW10" s="5"/>
      <c r="ZX10" s="40">
        <f>(ZV10-ZW10)</f>
        <v>64</v>
      </c>
      <c r="ZZ10" s="16">
        <v>22</v>
      </c>
      <c r="AAA10" s="33">
        <v>4</v>
      </c>
      <c r="AAB10" s="39">
        <f t="shared" ref="AAB10:AAB17" si="308">(ZU10*24)+ZT10-ZZ10</f>
        <v>66</v>
      </c>
      <c r="AAC10" s="5"/>
      <c r="AAD10" s="40">
        <f>(AAB10-AAC10)</f>
        <v>66</v>
      </c>
      <c r="AAF10" s="16">
        <v>75</v>
      </c>
      <c r="AAG10" s="33">
        <v>1</v>
      </c>
      <c r="AAH10" s="39">
        <f t="shared" ref="AAH10:AAH17" si="309">(AAA10*24)+ZZ10-AAF10</f>
        <v>43</v>
      </c>
      <c r="AAI10" s="5"/>
      <c r="AAJ10" s="40">
        <f>(AAH10-AAI10)</f>
        <v>43</v>
      </c>
      <c r="AAL10" s="16">
        <v>56</v>
      </c>
      <c r="AAM10" s="33">
        <v>3</v>
      </c>
      <c r="AAN10" s="39">
        <f t="shared" ref="AAN10:AAN17" si="310">(AAG10*24)+AAF10-AAL10</f>
        <v>43</v>
      </c>
      <c r="AAO10" s="5"/>
      <c r="AAP10" s="40">
        <f>(AAN10-AAO10)</f>
        <v>43</v>
      </c>
      <c r="AAR10" s="16">
        <v>75</v>
      </c>
      <c r="AAS10" s="33"/>
      <c r="AAT10" s="39">
        <f t="shared" ref="AAT10:AAT17" si="311">(AAM10*24)+AAL10-AAR10</f>
        <v>53</v>
      </c>
      <c r="AAU10" s="5"/>
      <c r="AAV10" s="40">
        <f>(AAT10-AAU10)</f>
        <v>53</v>
      </c>
      <c r="AAX10" s="16">
        <v>26</v>
      </c>
      <c r="AAY10" s="33">
        <v>3</v>
      </c>
      <c r="AAZ10" s="39">
        <f t="shared" ref="AAZ10:AAZ17" si="312">(AAS10*24)+AAR10-AAX10</f>
        <v>49</v>
      </c>
      <c r="ABA10" s="5"/>
      <c r="ABB10" s="40">
        <f>(AAZ10-ABA10)</f>
        <v>49</v>
      </c>
      <c r="ABD10" s="16">
        <v>47</v>
      </c>
      <c r="ABE10" s="33">
        <v>2</v>
      </c>
      <c r="ABF10" s="39">
        <f t="shared" ref="ABF10:ABF17" si="313">(AAY10*24)+AAX10-ABD10</f>
        <v>51</v>
      </c>
      <c r="ABG10" s="5"/>
      <c r="ABH10" s="40">
        <f>(ABF10-ABG10)</f>
        <v>51</v>
      </c>
      <c r="ABJ10" s="16">
        <v>48</v>
      </c>
      <c r="ABK10" s="33">
        <v>3</v>
      </c>
      <c r="ABL10" s="39">
        <f t="shared" ref="ABL10:ABL17" si="314">(ABE10*24)+ABD10-ABJ10</f>
        <v>47</v>
      </c>
      <c r="ABM10" s="5"/>
      <c r="ABN10" s="40">
        <f>(ABL10-ABM10)</f>
        <v>47</v>
      </c>
      <c r="ABP10" s="16">
        <v>84</v>
      </c>
      <c r="ABQ10" s="33"/>
      <c r="ABR10" s="39">
        <f t="shared" ref="ABR10:ABR17" si="315">(ABK10*24)+ABJ10-ABP10</f>
        <v>36</v>
      </c>
      <c r="ABS10" s="5"/>
      <c r="ABT10" s="40">
        <f>(ABR10-ABS10)</f>
        <v>36</v>
      </c>
      <c r="ABV10" s="16">
        <v>27</v>
      </c>
      <c r="ABW10" s="33">
        <v>2</v>
      </c>
      <c r="ABX10" s="39">
        <f t="shared" ref="ABX10:ABX17" si="316">(ABQ10*24)+ABP10-ABV10</f>
        <v>57</v>
      </c>
      <c r="ABY10" s="5"/>
      <c r="ABZ10" s="40">
        <f>(ABX10-ABY10)</f>
        <v>57</v>
      </c>
      <c r="ACB10" s="16">
        <v>24</v>
      </c>
      <c r="ACC10" s="33">
        <v>3</v>
      </c>
      <c r="ACD10" s="39">
        <f t="shared" ref="ACD10:ACD17" si="317">(ABW10*24)+ABV10-ACB10</f>
        <v>51</v>
      </c>
      <c r="ACE10" s="5"/>
      <c r="ACF10" s="40">
        <f>(ACD10-ACE10)</f>
        <v>51</v>
      </c>
      <c r="ACH10" s="16">
        <v>55</v>
      </c>
      <c r="ACI10" s="33"/>
      <c r="ACJ10" s="39">
        <f t="shared" ref="ACJ10:ACJ17" si="318">(ACC10*24)+ACB10-ACH10</f>
        <v>41</v>
      </c>
      <c r="ACK10" s="5"/>
      <c r="ACL10" s="40">
        <f>(ACJ10-ACK10)</f>
        <v>41</v>
      </c>
      <c r="ACN10" s="16">
        <v>23</v>
      </c>
      <c r="ACO10" s="33">
        <v>3</v>
      </c>
      <c r="ACP10" s="39">
        <f t="shared" ref="ACP10:ACP17" si="319">(ACI10*24)+ACH10-ACN10</f>
        <v>32</v>
      </c>
      <c r="ACQ10" s="5"/>
      <c r="ACR10" s="40">
        <f>(ACP10-ACQ10)</f>
        <v>32</v>
      </c>
      <c r="ACT10" s="16">
        <v>53</v>
      </c>
      <c r="ACU10" s="33">
        <v>2</v>
      </c>
      <c r="ACV10" s="39">
        <f t="shared" ref="ACV10:ACV17" si="320">(ACO10*24)+ACN10-ACT10</f>
        <v>42</v>
      </c>
      <c r="ACW10" s="5"/>
      <c r="ACX10" s="40">
        <f>(ACV10-ACW10)</f>
        <v>42</v>
      </c>
      <c r="ACZ10" s="16">
        <v>18</v>
      </c>
      <c r="ADA10" s="33">
        <v>3</v>
      </c>
      <c r="ADB10" s="39">
        <f t="shared" ref="ADB10:ADB17" si="321">(ACU10*24)+ACT10-ACZ10</f>
        <v>83</v>
      </c>
      <c r="ADC10" s="5"/>
      <c r="ADD10" s="40">
        <f>(ADB10-ADC10)</f>
        <v>83</v>
      </c>
      <c r="ADF10" s="16">
        <v>61</v>
      </c>
      <c r="ADG10" s="33">
        <v>1</v>
      </c>
      <c r="ADH10" s="39">
        <f t="shared" ref="ADH10:ADH17" si="322">(ADA10*24)+ACZ10-ADF10</f>
        <v>29</v>
      </c>
      <c r="ADI10" s="5"/>
      <c r="ADJ10" s="40">
        <f>(ADH10-ADI10)</f>
        <v>29</v>
      </c>
      <c r="ADL10" s="16">
        <v>48</v>
      </c>
      <c r="ADM10" s="33">
        <v>2</v>
      </c>
      <c r="ADN10" s="39">
        <f t="shared" ref="ADN10:ADN17" si="323">(ADG10*24)+ADF10-ADL10</f>
        <v>37</v>
      </c>
      <c r="ADO10" s="5"/>
      <c r="ADP10" s="40">
        <f>(ADN10-ADO10)</f>
        <v>37</v>
      </c>
      <c r="ADR10" s="16">
        <v>57</v>
      </c>
      <c r="ADS10" s="33">
        <v>1</v>
      </c>
      <c r="ADT10" s="39">
        <f t="shared" ref="ADT10:ADT17" si="324">(ADM10*24)+ADL10-ADR10</f>
        <v>39</v>
      </c>
      <c r="ADU10" s="5"/>
      <c r="ADV10" s="40">
        <f>(ADT10-ADU10)</f>
        <v>39</v>
      </c>
      <c r="ADX10" s="16">
        <v>15</v>
      </c>
      <c r="ADY10" s="33">
        <v>3</v>
      </c>
      <c r="ADZ10" s="39">
        <f t="shared" ref="ADZ10:ADZ17" si="325">(ADS10*24)+ADR10-ADX10</f>
        <v>66</v>
      </c>
      <c r="AEA10" s="5"/>
      <c r="AEB10" s="40">
        <f>(ADZ10-AEA10)</f>
        <v>66</v>
      </c>
      <c r="AED10" s="16">
        <v>28</v>
      </c>
      <c r="AEE10" s="33">
        <v>3</v>
      </c>
      <c r="AEF10" s="39">
        <f t="shared" ref="AEF10:AEF17" si="326">(ADY10*24)+ADX10-AED10</f>
        <v>59</v>
      </c>
      <c r="AEG10" s="5"/>
      <c r="AEH10" s="40">
        <f>(AEF10-AEG10)</f>
        <v>59</v>
      </c>
      <c r="AEJ10" s="16">
        <v>44</v>
      </c>
      <c r="AEK10" s="33"/>
      <c r="AEL10" s="39">
        <f t="shared" ref="AEL10:AEL17" si="327">(AEE10*24)+AED10-AEJ10</f>
        <v>56</v>
      </c>
      <c r="AEM10" s="5"/>
      <c r="AEN10" s="40">
        <f>(AEL10-AEM10)</f>
        <v>56</v>
      </c>
      <c r="AEP10" s="16">
        <v>0</v>
      </c>
      <c r="AEQ10" s="33">
        <v>4</v>
      </c>
      <c r="AER10" s="39">
        <f t="shared" ref="AER10:AER17" si="328">(AEK10*24)+AEJ10-AEP10</f>
        <v>44</v>
      </c>
      <c r="AES10" s="5"/>
      <c r="AET10" s="40">
        <f>(AER10-AES10)</f>
        <v>44</v>
      </c>
      <c r="AEV10" s="16">
        <v>67</v>
      </c>
      <c r="AEW10" s="33">
        <v>1</v>
      </c>
      <c r="AEX10" s="39">
        <f t="shared" ref="AEX10:AEX17" si="329">(AEQ10*24)+AEP10-AEV10</f>
        <v>29</v>
      </c>
      <c r="AEY10" s="5"/>
      <c r="AEZ10" s="40">
        <f>(AEX10-AEY10)</f>
        <v>29</v>
      </c>
      <c r="AFB10" s="16">
        <v>56</v>
      </c>
      <c r="AFC10" s="33">
        <v>1</v>
      </c>
      <c r="AFD10" s="39">
        <f t="shared" ref="AFD10:AFD17" si="330">(AEW10*24)+AEV10-AFB10</f>
        <v>35</v>
      </c>
      <c r="AFE10" s="5"/>
      <c r="AFF10" s="40">
        <f>(AFD10-AFE10)</f>
        <v>35</v>
      </c>
      <c r="AFH10" s="16">
        <v>58</v>
      </c>
      <c r="AFI10" s="33">
        <v>1</v>
      </c>
      <c r="AFJ10" s="39">
        <f t="shared" ref="AFJ10:AFJ17" si="331">(AFC10*24)+AFB10-AFH10</f>
        <v>22</v>
      </c>
      <c r="AFK10" s="5"/>
      <c r="AFL10" s="40">
        <f>(AFJ10-AFK10)</f>
        <v>22</v>
      </c>
      <c r="AFN10" s="16">
        <v>45</v>
      </c>
      <c r="AFO10" s="33"/>
      <c r="AFP10" s="39">
        <f t="shared" ref="AFP10:AFP17" si="332">(AFI10*24)+AFH10-AFN10</f>
        <v>37</v>
      </c>
      <c r="AFQ10" s="5"/>
      <c r="AFR10" s="40">
        <f>(AFP10-AFQ10)</f>
        <v>37</v>
      </c>
      <c r="AFT10" s="16">
        <v>15</v>
      </c>
      <c r="AFU10" s="33"/>
      <c r="AFV10" s="39">
        <f t="shared" ref="AFV10:AFV17" si="333">(AFO10*24)+AFN10-AFT10</f>
        <v>30</v>
      </c>
      <c r="AFW10" s="5"/>
      <c r="AFX10" s="40">
        <f>(AFV10-AFW10)</f>
        <v>30</v>
      </c>
      <c r="AFZ10" s="16">
        <v>12</v>
      </c>
      <c r="AGA10" s="33">
        <v>4</v>
      </c>
      <c r="AGB10" s="39">
        <f t="shared" ref="AGB10:AGB17" si="334">(AFU10*24)+AFT10-AFZ10</f>
        <v>3</v>
      </c>
      <c r="AGC10" s="5"/>
      <c r="AGD10" s="40">
        <f>(AGB10-AGC10)</f>
        <v>3</v>
      </c>
      <c r="AGF10" s="16">
        <v>72</v>
      </c>
      <c r="AGG10" s="33">
        <v>1</v>
      </c>
      <c r="AGH10" s="39">
        <f t="shared" ref="AGH10:AGH17" si="335">(AGA10*24)+AFZ10-AGF10</f>
        <v>36</v>
      </c>
      <c r="AGI10" s="5"/>
      <c r="AGJ10" s="40">
        <f>(AGH10-AGI10)</f>
        <v>36</v>
      </c>
      <c r="AGL10" s="16">
        <v>57</v>
      </c>
      <c r="AGM10" s="33"/>
      <c r="AGN10" s="39">
        <f t="shared" ref="AGN10:AGN17" si="336">(AGG10*24)+AGF10-AGL10</f>
        <v>39</v>
      </c>
      <c r="AGO10" s="5"/>
      <c r="AGP10" s="40">
        <f>(AGN10-AGO10)</f>
        <v>39</v>
      </c>
      <c r="AGR10" s="16">
        <v>39</v>
      </c>
      <c r="AGS10" s="33">
        <v>2</v>
      </c>
      <c r="AGT10" s="39">
        <f t="shared" ref="AGT10:AGT17" si="337">(AGM10*24)+AGL10-AGR10</f>
        <v>18</v>
      </c>
      <c r="AGU10" s="5"/>
      <c r="AGV10" s="40">
        <f>(AGT10-AGU10)</f>
        <v>18</v>
      </c>
      <c r="AGX10" s="16">
        <v>42</v>
      </c>
      <c r="AGY10" s="33">
        <v>3</v>
      </c>
      <c r="AGZ10" s="39">
        <f t="shared" ref="AGZ10:AGZ17" si="338">(AGS10*24)+AGR10-AGX10</f>
        <v>45</v>
      </c>
      <c r="AHA10" s="5"/>
      <c r="AHB10" s="40">
        <f>(AGZ10-AHA10)</f>
        <v>45</v>
      </c>
      <c r="AHD10" s="16">
        <v>67</v>
      </c>
      <c r="AHE10" s="33"/>
      <c r="AHF10" s="39">
        <f t="shared" ref="AHF10:AHF17" si="339">(AGY10*24)+AGX10-AHD10</f>
        <v>47</v>
      </c>
      <c r="AHG10" s="5"/>
      <c r="AHH10" s="40">
        <f>(AHF10-AHG10)</f>
        <v>47</v>
      </c>
      <c r="AHJ10" s="16">
        <v>36</v>
      </c>
      <c r="AHK10" s="33">
        <v>2</v>
      </c>
      <c r="AHL10" s="39">
        <f t="shared" ref="AHL10:AHL17" si="340">(AHE10*24)+AHD10-AHJ10</f>
        <v>31</v>
      </c>
      <c r="AHM10" s="5"/>
      <c r="AHN10" s="40">
        <f>(AHL10-AHM10)</f>
        <v>31</v>
      </c>
      <c r="AHP10" s="16">
        <v>32</v>
      </c>
      <c r="AHQ10" s="33">
        <v>2</v>
      </c>
      <c r="AHR10" s="39">
        <f t="shared" ref="AHR10:AHR17" si="341">(AHK10*24)+AHJ10-AHP10</f>
        <v>52</v>
      </c>
      <c r="AHS10" s="5"/>
      <c r="AHT10" s="40">
        <f>(AHR10-AHS10)</f>
        <v>52</v>
      </c>
      <c r="AHV10" s="16">
        <v>30</v>
      </c>
      <c r="AHW10" s="33">
        <v>2</v>
      </c>
      <c r="AHX10" s="39">
        <f t="shared" ref="AHX10:AHX17" si="342">(AHQ10*24)+AHP10-AHV10</f>
        <v>50</v>
      </c>
      <c r="AHY10" s="5"/>
      <c r="AHZ10" s="40">
        <f>(AHX10-AHY10)</f>
        <v>50</v>
      </c>
      <c r="AIB10" s="16">
        <v>34</v>
      </c>
      <c r="AIC10" s="33">
        <v>4</v>
      </c>
      <c r="AID10" s="39">
        <f t="shared" ref="AID10:AID17" si="343">(AHW10*24)+AHV10-AIB10</f>
        <v>44</v>
      </c>
      <c r="AIE10" s="5"/>
      <c r="AIF10" s="40">
        <f>(AID10-AIE10)</f>
        <v>44</v>
      </c>
      <c r="AIH10" s="16">
        <v>59</v>
      </c>
      <c r="AII10" s="33">
        <v>1</v>
      </c>
      <c r="AIJ10" s="39">
        <f t="shared" ref="AIJ10:AIJ17" si="344">(AIC10*24)+AIB10-AIH10</f>
        <v>71</v>
      </c>
      <c r="AIK10" s="5"/>
      <c r="AIL10" s="40">
        <f>(AIJ10-AIK10)</f>
        <v>71</v>
      </c>
      <c r="AIN10" s="16">
        <v>55</v>
      </c>
      <c r="AIO10" s="33"/>
      <c r="AIP10" s="39">
        <f t="shared" ref="AIP10:AIP17" si="345">(AII10*24)+AIH10-AIN10</f>
        <v>28</v>
      </c>
      <c r="AIQ10" s="5"/>
      <c r="AIR10" s="40">
        <f>(AIP10-AIQ10)</f>
        <v>28</v>
      </c>
      <c r="AIT10" s="16">
        <v>34</v>
      </c>
      <c r="AIU10" s="33">
        <v>2</v>
      </c>
      <c r="AIV10" s="39">
        <f t="shared" ref="AIV10:AIV17" si="346">(AIO10*24)+AIN10-AIT10</f>
        <v>21</v>
      </c>
      <c r="AIW10" s="5"/>
      <c r="AIX10" s="40">
        <f>(AIV10-AIW10)</f>
        <v>21</v>
      </c>
      <c r="AIZ10" s="16">
        <v>52</v>
      </c>
      <c r="AJA10" s="33">
        <v>1</v>
      </c>
      <c r="AJB10" s="39">
        <f t="shared" ref="AJB10:AJB17" si="347">(AIU10*24)+AIT10-AIZ10</f>
        <v>30</v>
      </c>
      <c r="AJC10" s="5"/>
      <c r="AJD10" s="40">
        <f>(AJB10-AJC10)</f>
        <v>30</v>
      </c>
      <c r="AJF10" s="16">
        <v>42</v>
      </c>
      <c r="AJG10" s="33">
        <v>2</v>
      </c>
      <c r="AJH10" s="39">
        <f t="shared" ref="AJH10:AJH17" si="348">(AJA10*24)+AIZ10-AJF10</f>
        <v>34</v>
      </c>
      <c r="AJI10" s="5"/>
      <c r="AJJ10" s="40">
        <f>(AJH10-AJI10)</f>
        <v>34</v>
      </c>
      <c r="AJL10" s="16">
        <v>70</v>
      </c>
      <c r="AJM10" s="33"/>
      <c r="AJN10" s="39">
        <f t="shared" ref="AJN10:AJN17" si="349">(AJG10*24)+AJF10-AJL10</f>
        <v>20</v>
      </c>
      <c r="AJO10" s="5"/>
      <c r="AJP10" s="40">
        <f>(AJN10-AJO10)</f>
        <v>20</v>
      </c>
      <c r="AJR10" s="16">
        <v>41</v>
      </c>
      <c r="AJS10" s="33">
        <v>2</v>
      </c>
      <c r="AJT10" s="39">
        <f t="shared" ref="AJT10:AJT17" si="350">(AJM10*24)+AJL10-AJR10</f>
        <v>29</v>
      </c>
      <c r="AJU10" s="5"/>
      <c r="AJV10" s="40">
        <f>(AJT10-AJU10)</f>
        <v>29</v>
      </c>
      <c r="AJX10" s="16">
        <v>89</v>
      </c>
      <c r="AJY10" s="33"/>
      <c r="AJZ10" s="39">
        <f t="shared" ref="AJZ10:AJZ17" si="351">(AJS10*24)+AJR10-AJX10</f>
        <v>0</v>
      </c>
      <c r="AKA10" s="5"/>
      <c r="AKB10" s="40">
        <f>(AJZ10-AKA10)</f>
        <v>0</v>
      </c>
      <c r="AKD10" s="16">
        <v>69</v>
      </c>
      <c r="AKE10" s="33"/>
      <c r="AKF10" s="39">
        <f t="shared" ref="AKF10:AKF17" si="352">(AJY10*24)+AJX10-AKD10</f>
        <v>20</v>
      </c>
      <c r="AKG10" s="5"/>
      <c r="AKH10" s="40">
        <f>(AKF10-AKG10)</f>
        <v>20</v>
      </c>
      <c r="AKJ10" s="16">
        <v>30</v>
      </c>
      <c r="AKK10" s="33">
        <v>2</v>
      </c>
      <c r="AKL10" s="39">
        <f t="shared" ref="AKL10:AKL17" si="353">(AKE10*24)+AKD10-AKJ10</f>
        <v>39</v>
      </c>
      <c r="AKM10" s="5"/>
      <c r="AKN10" s="40">
        <f>(AKL10-AKM10)</f>
        <v>39</v>
      </c>
      <c r="AKP10" s="16">
        <v>54</v>
      </c>
      <c r="AKQ10" s="33"/>
      <c r="AKR10" s="39">
        <f t="shared" ref="AKR10:AKR17" si="354">(AKK10*24)+AKJ10-AKP10</f>
        <v>24</v>
      </c>
      <c r="AKS10" s="5"/>
      <c r="AKT10" s="40">
        <f>(AKR10-AKS10)</f>
        <v>24</v>
      </c>
      <c r="AKV10" s="16">
        <v>30</v>
      </c>
      <c r="AKW10" s="33">
        <v>1</v>
      </c>
      <c r="AKX10" s="39">
        <f t="shared" ref="AKX10:AKX17" si="355">(AKQ10*24)+AKP10-AKV10</f>
        <v>24</v>
      </c>
      <c r="AKY10" s="5"/>
      <c r="AKZ10" s="40">
        <f>(AKX10-AKY10)</f>
        <v>24</v>
      </c>
      <c r="ALB10" s="16">
        <v>28</v>
      </c>
      <c r="ALC10" s="33"/>
      <c r="ALD10" s="39">
        <f t="shared" ref="ALD10:ALD17" si="356">(AKW10*24)+AKV10-ALB10</f>
        <v>26</v>
      </c>
      <c r="ALE10" s="5"/>
      <c r="ALF10" s="40">
        <f>(ALD10-ALE10)</f>
        <v>26</v>
      </c>
      <c r="ALH10" s="16">
        <v>10</v>
      </c>
      <c r="ALI10" s="33">
        <v>2</v>
      </c>
      <c r="ALJ10" s="39">
        <f t="shared" ref="ALJ10:ALJ17" si="357">(ALC10*24)+ALB10-ALH10</f>
        <v>18</v>
      </c>
      <c r="ALK10" s="5"/>
      <c r="ALL10" s="40">
        <f>(ALJ10-ALK10)</f>
        <v>18</v>
      </c>
      <c r="ALN10" s="16">
        <v>23</v>
      </c>
      <c r="ALO10" s="33">
        <v>2</v>
      </c>
      <c r="ALP10" s="39">
        <f t="shared" ref="ALP10:ALP17" si="358">(ALI10*24)+ALH10-ALN10</f>
        <v>35</v>
      </c>
      <c r="ALQ10" s="5"/>
      <c r="ALR10" s="40">
        <f>(ALP10-ALQ10)</f>
        <v>35</v>
      </c>
      <c r="ALT10" s="16">
        <v>24</v>
      </c>
      <c r="ALU10" s="33">
        <v>3</v>
      </c>
      <c r="ALV10" s="39">
        <f t="shared" ref="ALV10:ALV17" si="359">(ALO10*24)+ALN10-ALT10</f>
        <v>47</v>
      </c>
      <c r="ALW10" s="5"/>
      <c r="ALX10" s="40">
        <f>(ALV10-ALW10)</f>
        <v>47</v>
      </c>
      <c r="ALZ10" s="16">
        <v>36</v>
      </c>
      <c r="AMA10" s="33">
        <v>2</v>
      </c>
      <c r="AMB10" s="39">
        <f t="shared" ref="AMB10:AMB17" si="360">(ALU10*24)+ALT10-ALZ10</f>
        <v>60</v>
      </c>
      <c r="AMC10" s="5"/>
      <c r="AMD10" s="40">
        <f>(AMB10-AMC10)</f>
        <v>60</v>
      </c>
      <c r="AMF10" s="16">
        <v>31</v>
      </c>
      <c r="AMG10" s="33">
        <v>2</v>
      </c>
      <c r="AMH10" s="39">
        <f t="shared" ref="AMH10:AMH17" si="361">(AMA10*24)+ALZ10-AMF10</f>
        <v>53</v>
      </c>
      <c r="AMI10" s="5"/>
      <c r="AMJ10" s="40">
        <f>(AMH10-AMI10)</f>
        <v>53</v>
      </c>
      <c r="AML10" s="16">
        <v>60</v>
      </c>
      <c r="AMM10" s="33">
        <v>1</v>
      </c>
      <c r="AMN10" s="39">
        <f t="shared" ref="AMN10:AMN17" si="362">(AMG10*24)+AMF10-AML10</f>
        <v>19</v>
      </c>
      <c r="AMO10" s="5"/>
      <c r="AMP10" s="40">
        <f>(AMN10-AMO10)</f>
        <v>19</v>
      </c>
      <c r="AMR10" s="16">
        <v>46</v>
      </c>
      <c r="AMS10" s="33">
        <v>1</v>
      </c>
      <c r="AMT10" s="39">
        <f t="shared" ref="AMT10:AMT17" si="363">(AMM10*24)+AML10-AMR10</f>
        <v>38</v>
      </c>
      <c r="AMU10" s="5"/>
      <c r="AMV10" s="40">
        <f>(AMT10-AMU10)</f>
        <v>38</v>
      </c>
      <c r="AMX10" s="16">
        <v>42</v>
      </c>
      <c r="AMY10" s="33">
        <v>3</v>
      </c>
      <c r="AMZ10" s="39">
        <f t="shared" ref="AMZ10:AMZ17" si="364">(AMS10*24)+AMR10-AMX10</f>
        <v>28</v>
      </c>
      <c r="ANA10" s="5"/>
      <c r="ANB10" s="40">
        <f>(AMZ10-ANA10)</f>
        <v>28</v>
      </c>
      <c r="AND10" s="16">
        <v>97</v>
      </c>
      <c r="ANE10" s="33"/>
      <c r="ANF10" s="39">
        <f t="shared" ref="ANF10:ANF17" si="365">(AMY10*24)+AMX10-AND10</f>
        <v>17</v>
      </c>
      <c r="ANG10" s="5"/>
      <c r="ANH10" s="40">
        <f>(ANF10-ANG10)</f>
        <v>17</v>
      </c>
      <c r="ANJ10" s="16">
        <v>82</v>
      </c>
      <c r="ANK10" s="33"/>
      <c r="ANL10" s="39">
        <f t="shared" ref="ANL10:ANL17" si="366">(ANE10*24)+AND10-ANJ10</f>
        <v>15</v>
      </c>
      <c r="ANM10" s="5"/>
      <c r="ANN10" s="40">
        <f>(ANL10-ANM10)</f>
        <v>15</v>
      </c>
      <c r="ANP10" s="16">
        <v>64</v>
      </c>
      <c r="ANQ10" s="33"/>
      <c r="ANR10" s="39">
        <f t="shared" ref="ANR10:ANR17" si="367">(ANK10*24)+ANJ10-ANP10</f>
        <v>18</v>
      </c>
      <c r="ANS10" s="5"/>
      <c r="ANT10" s="40">
        <f>(ANR10-ANS10)</f>
        <v>18</v>
      </c>
      <c r="ANV10" s="16">
        <v>26</v>
      </c>
      <c r="ANW10" s="33">
        <v>2</v>
      </c>
      <c r="ANX10" s="39">
        <f t="shared" ref="ANX10:ANX17" si="368">(ANQ10*24)+ANP10-ANV10</f>
        <v>38</v>
      </c>
      <c r="ANY10" s="5"/>
      <c r="ANZ10" s="40">
        <f>(ANX10-ANY10)</f>
        <v>38</v>
      </c>
      <c r="AOB10" s="16"/>
      <c r="AOC10" s="33"/>
      <c r="AOD10" s="39">
        <f t="shared" ref="AOD10:AOD17" si="369">(ANW10*24)+ANV10-AOB10</f>
        <v>74</v>
      </c>
      <c r="AOE10" s="5"/>
      <c r="AOF10" s="40">
        <f>(AOD10-AOE10)</f>
        <v>74</v>
      </c>
      <c r="AOH10" s="16"/>
      <c r="AOI10" s="33"/>
      <c r="AOJ10" s="39">
        <f t="shared" ref="AOJ10:AOJ17" si="370">(AOC10*24)+AOB10-AOH10</f>
        <v>0</v>
      </c>
      <c r="AOK10" s="5"/>
      <c r="AOL10" s="40">
        <f>(AOJ10-AOK10)</f>
        <v>0</v>
      </c>
      <c r="AON10" s="16"/>
      <c r="AOO10" s="33"/>
      <c r="AOP10" s="39">
        <f t="shared" ref="AOP10:AOP17" si="371">(AOI10*24)+AOH10-AON10</f>
        <v>0</v>
      </c>
      <c r="AOQ10" s="5"/>
      <c r="AOR10" s="40">
        <f>(AOP10-AOQ10)</f>
        <v>0</v>
      </c>
    </row>
    <row r="11" spans="1:1024 1026:1085" s="67" customFormat="1" x14ac:dyDescent="0.25">
      <c r="A11" s="75" t="s">
        <v>27</v>
      </c>
      <c r="B11" s="64">
        <v>10600</v>
      </c>
      <c r="C11" s="65" t="s">
        <v>26</v>
      </c>
      <c r="D11" s="66">
        <v>72</v>
      </c>
      <c r="F11" s="68">
        <v>34</v>
      </c>
      <c r="G11" s="69"/>
      <c r="H11" s="70"/>
      <c r="I11" s="69"/>
      <c r="J11" s="69"/>
      <c r="L11" s="68">
        <v>22</v>
      </c>
      <c r="M11" s="69">
        <v>1</v>
      </c>
      <c r="N11" s="71">
        <f t="shared" ref="N11:N17" si="372">(G11*24)+F11-L11</f>
        <v>12</v>
      </c>
      <c r="O11" s="69"/>
      <c r="P11" s="72">
        <f t="shared" ref="P11:P17" si="373">(O11-N11)</f>
        <v>-12</v>
      </c>
      <c r="R11" s="68">
        <v>20</v>
      </c>
      <c r="S11" s="69">
        <v>1</v>
      </c>
      <c r="T11" s="71">
        <f t="shared" ref="T11:T17" si="374">(M11*24)+L11-R11</f>
        <v>26</v>
      </c>
      <c r="U11" s="69">
        <v>28</v>
      </c>
      <c r="V11" s="72">
        <f t="shared" ref="V11:V17" si="375">(U11-T11)</f>
        <v>2</v>
      </c>
      <c r="X11" s="68">
        <v>15</v>
      </c>
      <c r="Y11" s="69">
        <v>3</v>
      </c>
      <c r="Z11" s="71">
        <f t="shared" ref="Z11:Z17" si="376">(S11*24)+R11-X11</f>
        <v>29</v>
      </c>
      <c r="AA11" s="69">
        <v>29</v>
      </c>
      <c r="AB11" s="72">
        <f t="shared" ref="AB11:AB17" si="377">(AA11-Z11)</f>
        <v>0</v>
      </c>
      <c r="AD11" s="68">
        <v>52</v>
      </c>
      <c r="AE11" s="69"/>
      <c r="AF11" s="71">
        <f t="shared" ref="AF11:AF17" si="378">(Y11*24)+X11-AD11</f>
        <v>35</v>
      </c>
      <c r="AG11" s="69">
        <v>35</v>
      </c>
      <c r="AH11" s="72">
        <f t="shared" ref="AH11:AH17" si="379">(AG11-AF11)</f>
        <v>0</v>
      </c>
      <c r="AJ11" s="68">
        <v>16</v>
      </c>
      <c r="AK11" s="69">
        <v>3</v>
      </c>
      <c r="AL11" s="71">
        <f t="shared" ref="AL11:AL17" si="380">(AE11*24)+AD11-AJ11</f>
        <v>36</v>
      </c>
      <c r="AM11" s="69">
        <v>37</v>
      </c>
      <c r="AN11" s="72">
        <f t="shared" ref="AN11:AN17" si="381">(AM11-AL11)</f>
        <v>1</v>
      </c>
      <c r="AP11" s="68">
        <v>72</v>
      </c>
      <c r="AQ11" s="69"/>
      <c r="AR11" s="71">
        <f t="shared" ref="AR11:AR17" si="382">(AK11*24)+AJ11-AP11</f>
        <v>16</v>
      </c>
      <c r="AS11" s="69">
        <v>19</v>
      </c>
      <c r="AT11" s="72">
        <f t="shared" ref="AT11:AT17" si="383">(AS11-AR11)</f>
        <v>3</v>
      </c>
      <c r="AV11" s="68">
        <v>20</v>
      </c>
      <c r="AW11" s="69">
        <v>3</v>
      </c>
      <c r="AX11" s="71">
        <f t="shared" ref="AX11:AX17" si="384">(AQ11*24)+AP11-AV11</f>
        <v>52</v>
      </c>
      <c r="AY11" s="69">
        <v>30</v>
      </c>
      <c r="AZ11" s="72">
        <f t="shared" ref="AZ11:AZ17" si="385">(AY11-AX11)</f>
        <v>-22</v>
      </c>
      <c r="BB11" s="68">
        <v>0</v>
      </c>
      <c r="BC11" s="69">
        <v>1</v>
      </c>
      <c r="BD11" s="71">
        <f t="shared" ref="BD11:BD17" si="386">(AW11*24)+AV11-BB11</f>
        <v>92</v>
      </c>
      <c r="BE11" s="69">
        <v>22</v>
      </c>
      <c r="BF11" s="72">
        <f t="shared" ref="BF11:BF17" si="387">(BE11-BD11)</f>
        <v>-70</v>
      </c>
      <c r="BH11" s="68">
        <v>72</v>
      </c>
      <c r="BI11" s="69"/>
      <c r="BJ11" s="71">
        <f t="shared" ref="BJ11:BJ17" si="388">(BC11*24)+BB11-BH11</f>
        <v>-48</v>
      </c>
      <c r="BK11" s="69">
        <v>24</v>
      </c>
      <c r="BL11" s="72">
        <f t="shared" ref="BL11:BL17" si="389">(BK11-BJ11)</f>
        <v>72</v>
      </c>
      <c r="BN11" s="68">
        <v>40</v>
      </c>
      <c r="BO11" s="69"/>
      <c r="BP11" s="71">
        <f t="shared" ref="BP11:BP17" si="390">(BI11*24)+BH11-BN11</f>
        <v>32</v>
      </c>
      <c r="BQ11" s="69">
        <v>32</v>
      </c>
      <c r="BR11" s="72">
        <f t="shared" ref="BR11:BR17" si="391">(BQ11-BP11)</f>
        <v>0</v>
      </c>
      <c r="BT11" s="68">
        <v>23</v>
      </c>
      <c r="BU11" s="69">
        <v>4</v>
      </c>
      <c r="BV11" s="71">
        <f t="shared" ref="BV11:BV17" si="392">(BO11*24)+BN11-BT11</f>
        <v>17</v>
      </c>
      <c r="BW11" s="69">
        <v>18</v>
      </c>
      <c r="BX11" s="72">
        <f t="shared" ref="BX11:BX17" si="393">(BW11-BV11)</f>
        <v>1</v>
      </c>
      <c r="BZ11" s="68">
        <v>81</v>
      </c>
      <c r="CA11" s="69"/>
      <c r="CB11" s="71">
        <f t="shared" ref="CB11:CB17" si="394">(BU11*24)+BT11-BZ11</f>
        <v>38</v>
      </c>
      <c r="CC11" s="69">
        <v>41</v>
      </c>
      <c r="CD11" s="72">
        <f t="shared" ref="CD11:CD17" si="395">(CC11-CB11)</f>
        <v>3</v>
      </c>
      <c r="CF11" s="68">
        <v>58</v>
      </c>
      <c r="CG11" s="69">
        <v>1</v>
      </c>
      <c r="CH11" s="71">
        <f t="shared" ref="CH11:CH17" si="396">(CA11*24)+BZ11-CF11</f>
        <v>23</v>
      </c>
      <c r="CI11" s="65">
        <v>20</v>
      </c>
      <c r="CJ11" s="72">
        <f t="shared" ref="CJ11:CJ17" si="397">(CI11-CH11)</f>
        <v>-3</v>
      </c>
      <c r="CL11" s="68">
        <v>7</v>
      </c>
      <c r="CM11" s="69"/>
      <c r="CN11" s="71">
        <f t="shared" ref="CN11:CN17" si="398">(CG11*24)+CF11-CL11</f>
        <v>75</v>
      </c>
      <c r="CO11" s="65">
        <v>48</v>
      </c>
      <c r="CP11" s="72">
        <f t="shared" ref="CP11:CP17" si="399">(CO11-CN11)</f>
        <v>-27</v>
      </c>
      <c r="CR11" s="68">
        <v>4</v>
      </c>
      <c r="CS11" s="69"/>
      <c r="CT11" s="71">
        <f t="shared" ref="CT11:CT17" si="400">(CM11*24)+CL11-CR11</f>
        <v>3</v>
      </c>
      <c r="CU11" s="65">
        <v>25</v>
      </c>
      <c r="CV11" s="72">
        <f t="shared" ref="CV11:CV17" si="401">(CU11-CT11)</f>
        <v>22</v>
      </c>
      <c r="CX11" s="68">
        <v>69</v>
      </c>
      <c r="CY11" s="58"/>
      <c r="CZ11" s="73">
        <f t="shared" ref="CZ11:CZ17" si="402">(CS11*24)+CR11-CX11</f>
        <v>-65</v>
      </c>
      <c r="DA11" s="65"/>
      <c r="DB11" s="74">
        <f t="shared" ref="DB11:DB17" si="403">(DA11-CZ11)</f>
        <v>65</v>
      </c>
      <c r="DD11" s="68">
        <v>19</v>
      </c>
      <c r="DE11" s="58">
        <v>1</v>
      </c>
      <c r="DF11" s="73">
        <f t="shared" ref="DF11:DF17" si="404">(CY11*24)+CX11-DD11</f>
        <v>50</v>
      </c>
      <c r="DG11" s="65"/>
      <c r="DH11" s="74">
        <f t="shared" ref="DH11:DH17" si="405">(DG11-DF11)</f>
        <v>-50</v>
      </c>
      <c r="DJ11" s="68">
        <v>8</v>
      </c>
      <c r="DK11" s="58">
        <v>2</v>
      </c>
      <c r="DL11" s="73">
        <f t="shared" ref="DL11:DL17" si="406">(DE11*24)+DD11-DJ11</f>
        <v>35</v>
      </c>
      <c r="DM11" s="65">
        <v>37</v>
      </c>
      <c r="DN11" s="74">
        <f t="shared" ref="DN11:DN17" si="407">(DM11-DL11)</f>
        <v>2</v>
      </c>
      <c r="DP11" s="68">
        <v>0</v>
      </c>
      <c r="DQ11" s="58"/>
      <c r="DR11" s="73">
        <f t="shared" ref="DR11:DR17" si="408">(DK11*24)+DJ11-DP11</f>
        <v>56</v>
      </c>
      <c r="DS11" s="65">
        <v>31</v>
      </c>
      <c r="DT11" s="74">
        <f t="shared" ref="DT11:DT17" si="409">(DS11-DR11)</f>
        <v>-25</v>
      </c>
      <c r="DV11" s="68">
        <v>57</v>
      </c>
      <c r="DW11" s="58">
        <v>1</v>
      </c>
      <c r="DX11" s="73">
        <f t="shared" ref="DX11:DX17" si="410">(DQ11*24)+DP11-DV11</f>
        <v>-57</v>
      </c>
      <c r="DY11" s="65">
        <v>18</v>
      </c>
      <c r="DZ11" s="74">
        <f t="shared" ref="DZ11:DZ17" si="411">(DY11-DX11)</f>
        <v>75</v>
      </c>
      <c r="EB11" s="68">
        <v>25</v>
      </c>
      <c r="EC11" s="58"/>
      <c r="ED11" s="73">
        <f t="shared" ref="ED11:ED17" si="412">(DW11*24)+DV11-EB11</f>
        <v>56</v>
      </c>
      <c r="EE11" s="65">
        <v>35</v>
      </c>
      <c r="EF11" s="74">
        <f t="shared" ref="EF11:EF17" si="413">(EE11-ED11)</f>
        <v>-21</v>
      </c>
      <c r="EH11" s="68">
        <v>18</v>
      </c>
      <c r="EI11" s="58"/>
      <c r="EJ11" s="73">
        <f t="shared" ref="EJ11:EJ17" si="414">(EC11*24)+EB11-EH11</f>
        <v>7</v>
      </c>
      <c r="EK11" s="65">
        <v>31</v>
      </c>
      <c r="EL11" s="74">
        <f t="shared" ref="EL11:EL17" si="415">(EK11-EJ11)</f>
        <v>24</v>
      </c>
      <c r="EN11" s="68">
        <v>41</v>
      </c>
      <c r="EO11" s="58"/>
      <c r="EP11" s="73">
        <f t="shared" ref="EP11:EP17" si="416">(EI11*24)+EH11-EN11</f>
        <v>-23</v>
      </c>
      <c r="EQ11" s="65">
        <v>22</v>
      </c>
      <c r="ER11" s="74">
        <f t="shared" ref="ER11:ER17" si="417">(EQ11-EP11)</f>
        <v>45</v>
      </c>
      <c r="ET11" s="68">
        <v>103</v>
      </c>
      <c r="EU11" s="58"/>
      <c r="EV11" s="73">
        <f t="shared" ref="EV11:EV17" si="418">(EO11*24)+EN11-ET11</f>
        <v>-62</v>
      </c>
      <c r="EW11" s="65">
        <v>34</v>
      </c>
      <c r="EX11" s="74">
        <f t="shared" ref="EX11:EX17" si="419">(EW11-EV11)</f>
        <v>96</v>
      </c>
      <c r="EZ11" s="68">
        <v>72</v>
      </c>
      <c r="FA11" s="58"/>
      <c r="FB11" s="73">
        <f t="shared" ref="FB11:FB17" si="420">(EU11*24)+ET11-EZ11</f>
        <v>31</v>
      </c>
      <c r="FC11" s="65">
        <v>30</v>
      </c>
      <c r="FD11" s="74">
        <f t="shared" ref="FD11:FD17" si="421">(FC11-FB11)</f>
        <v>-1</v>
      </c>
      <c r="FF11" s="68">
        <v>57</v>
      </c>
      <c r="FG11" s="58"/>
      <c r="FH11" s="73">
        <f t="shared" si="218"/>
        <v>15</v>
      </c>
      <c r="FI11" s="65">
        <v>39</v>
      </c>
      <c r="FJ11" s="74">
        <f t="shared" ref="FJ11:FJ17" si="422">(FI11-FH11)</f>
        <v>24</v>
      </c>
      <c r="FL11" s="68">
        <v>41</v>
      </c>
      <c r="FM11" s="58"/>
      <c r="FN11" s="73">
        <f t="shared" si="219"/>
        <v>16</v>
      </c>
      <c r="FO11" s="65">
        <v>16</v>
      </c>
      <c r="FP11" s="74">
        <f t="shared" ref="FP11:FP17" si="423">(FO11-FN11)</f>
        <v>0</v>
      </c>
      <c r="FR11" s="68">
        <v>48</v>
      </c>
      <c r="FS11" s="58"/>
      <c r="FT11" s="73">
        <f t="shared" si="220"/>
        <v>-7</v>
      </c>
      <c r="FU11" s="65"/>
      <c r="FV11" s="74">
        <f t="shared" ref="FV11:FV17" si="424">(FU11-FT11)</f>
        <v>7</v>
      </c>
      <c r="FX11" s="68">
        <v>69</v>
      </c>
      <c r="FY11" s="58"/>
      <c r="FZ11" s="73">
        <f t="shared" si="221"/>
        <v>-21</v>
      </c>
      <c r="GA11" s="65">
        <v>23</v>
      </c>
      <c r="GB11" s="74">
        <f t="shared" ref="GB11:GB17" si="425">(GA11-FZ11)</f>
        <v>44</v>
      </c>
      <c r="GD11" s="68">
        <v>38</v>
      </c>
      <c r="GE11" s="58"/>
      <c r="GF11" s="73">
        <f t="shared" si="222"/>
        <v>31</v>
      </c>
      <c r="GG11" s="65">
        <v>72</v>
      </c>
      <c r="GH11" s="74">
        <f t="shared" ref="GH11:GH17" si="426">(GG11-GF11)</f>
        <v>41</v>
      </c>
      <c r="GJ11" s="68">
        <v>30</v>
      </c>
      <c r="GK11" s="58"/>
      <c r="GL11" s="73">
        <f t="shared" si="223"/>
        <v>8</v>
      </c>
      <c r="GM11" s="65">
        <v>29</v>
      </c>
      <c r="GN11" s="74">
        <f t="shared" ref="GN11:GN17" si="427">(GM11-GL11)</f>
        <v>21</v>
      </c>
      <c r="GP11" s="68">
        <v>92</v>
      </c>
      <c r="GQ11" s="58"/>
      <c r="GR11" s="73">
        <f t="shared" si="224"/>
        <v>-62</v>
      </c>
      <c r="GS11" s="65">
        <v>29</v>
      </c>
      <c r="GT11" s="74">
        <f t="shared" ref="GT11:GT17" si="428">(GS11-GR11)</f>
        <v>91</v>
      </c>
      <c r="GV11" s="68">
        <v>47</v>
      </c>
      <c r="GW11" s="58">
        <v>2</v>
      </c>
      <c r="GX11" s="73">
        <f t="shared" si="225"/>
        <v>45</v>
      </c>
      <c r="GY11" s="65">
        <v>39</v>
      </c>
      <c r="GZ11" s="74">
        <f t="shared" ref="GZ11:GZ17" si="429">(GY11-GX11)</f>
        <v>-6</v>
      </c>
      <c r="HB11" s="68">
        <v>16</v>
      </c>
      <c r="HC11" s="58"/>
      <c r="HD11" s="73">
        <f t="shared" si="226"/>
        <v>79</v>
      </c>
      <c r="HE11" s="65">
        <v>28</v>
      </c>
      <c r="HF11" s="74">
        <f t="shared" ref="HF11:HF17" si="430">(HE11-HD11)</f>
        <v>-51</v>
      </c>
      <c r="HH11" s="68">
        <v>23</v>
      </c>
      <c r="HI11" s="58"/>
      <c r="HJ11" s="73">
        <f t="shared" si="227"/>
        <v>-7</v>
      </c>
      <c r="HK11" s="65">
        <v>34</v>
      </c>
      <c r="HL11" s="74">
        <f t="shared" ref="HL11:HL17" si="431">(HK11-HJ11)</f>
        <v>41</v>
      </c>
      <c r="HN11" s="68">
        <v>40</v>
      </c>
      <c r="HO11" s="58"/>
      <c r="HP11" s="73">
        <f t="shared" si="228"/>
        <v>-17</v>
      </c>
      <c r="HQ11" s="65">
        <v>34</v>
      </c>
      <c r="HR11" s="74">
        <f t="shared" ref="HR11:HR17" si="432">(HQ11-HP11)</f>
        <v>51</v>
      </c>
      <c r="HT11" s="68">
        <v>65</v>
      </c>
      <c r="HU11" s="58"/>
      <c r="HV11" s="73">
        <f t="shared" si="229"/>
        <v>-25</v>
      </c>
      <c r="HW11" s="65">
        <v>21</v>
      </c>
      <c r="HX11" s="74">
        <f t="shared" ref="HX11:HX17" si="433">(HW11-HV11)</f>
        <v>46</v>
      </c>
      <c r="HZ11" s="68">
        <v>75</v>
      </c>
      <c r="IA11" s="58"/>
      <c r="IB11" s="73">
        <f t="shared" si="230"/>
        <v>-10</v>
      </c>
      <c r="IC11" s="65">
        <v>37</v>
      </c>
      <c r="ID11" s="74">
        <f t="shared" ref="ID11:ID17" si="434">(IC11-IB11)</f>
        <v>47</v>
      </c>
      <c r="IF11" s="68">
        <v>81</v>
      </c>
      <c r="IG11" s="58"/>
      <c r="IH11" s="73">
        <f t="shared" si="231"/>
        <v>-6</v>
      </c>
      <c r="II11" s="65">
        <v>17</v>
      </c>
      <c r="IJ11" s="74">
        <f t="shared" ref="IJ11:IJ17" si="435">(II11-IH11)</f>
        <v>23</v>
      </c>
      <c r="IL11" s="68">
        <v>104</v>
      </c>
      <c r="IM11" s="58"/>
      <c r="IN11" s="73">
        <f t="shared" si="232"/>
        <v>-23</v>
      </c>
      <c r="IO11" s="65">
        <v>24</v>
      </c>
      <c r="IP11" s="74">
        <f t="shared" ref="IP11:IP17" si="436">(IO11-IN11)</f>
        <v>47</v>
      </c>
      <c r="IR11" s="68">
        <v>87</v>
      </c>
      <c r="IS11" s="58"/>
      <c r="IT11" s="73">
        <f t="shared" si="233"/>
        <v>17</v>
      </c>
      <c r="IU11" s="65">
        <v>17</v>
      </c>
      <c r="IV11" s="74">
        <f t="shared" ref="IV11:IV17" si="437">(IU11-IT11)</f>
        <v>0</v>
      </c>
      <c r="IX11" s="68">
        <v>84</v>
      </c>
      <c r="IY11" s="58"/>
      <c r="IZ11" s="73">
        <f t="shared" si="234"/>
        <v>3</v>
      </c>
      <c r="JA11" s="65">
        <v>23</v>
      </c>
      <c r="JB11" s="74">
        <f t="shared" ref="JB11:JB17" si="438">(JA11-IZ11)</f>
        <v>20</v>
      </c>
      <c r="JD11" s="68">
        <v>60</v>
      </c>
      <c r="JE11" s="58"/>
      <c r="JF11" s="73">
        <f t="shared" si="235"/>
        <v>24</v>
      </c>
      <c r="JG11" s="65">
        <v>21</v>
      </c>
      <c r="JH11" s="74">
        <f t="shared" ref="JH11:JH17" si="439">(JG11-JF11)</f>
        <v>-3</v>
      </c>
      <c r="JJ11" s="68">
        <v>61</v>
      </c>
      <c r="JK11" s="58"/>
      <c r="JL11" s="73">
        <f t="shared" si="236"/>
        <v>-1</v>
      </c>
      <c r="JM11" s="65">
        <v>22</v>
      </c>
      <c r="JN11" s="74">
        <f t="shared" ref="JN11:JN17" si="440">(JM11-JL11)</f>
        <v>23</v>
      </c>
      <c r="JP11" s="68">
        <v>47</v>
      </c>
      <c r="JQ11" s="58"/>
      <c r="JR11" s="73">
        <f t="shared" si="237"/>
        <v>14</v>
      </c>
      <c r="JS11" s="65">
        <v>38</v>
      </c>
      <c r="JT11" s="74">
        <f t="shared" ref="JT11:JT17" si="441">(JS11-JR11)</f>
        <v>24</v>
      </c>
      <c r="JV11" s="68">
        <v>10</v>
      </c>
      <c r="JW11" s="58"/>
      <c r="JX11" s="73">
        <f t="shared" si="238"/>
        <v>37</v>
      </c>
      <c r="JY11" s="65">
        <v>37</v>
      </c>
      <c r="JZ11" s="74">
        <f t="shared" ref="JZ11:JZ17" si="442">(JY11-JX11)</f>
        <v>0</v>
      </c>
      <c r="KB11" s="68">
        <v>58</v>
      </c>
      <c r="KC11" s="58"/>
      <c r="KD11" s="73">
        <f t="shared" si="239"/>
        <v>-48</v>
      </c>
      <c r="KE11" s="65">
        <v>25</v>
      </c>
      <c r="KF11" s="74">
        <f t="shared" ref="KF11:KF17" si="443">(KE11-KD11)</f>
        <v>73</v>
      </c>
      <c r="KH11" s="68">
        <v>52</v>
      </c>
      <c r="KI11" s="58"/>
      <c r="KJ11" s="73">
        <f t="shared" si="240"/>
        <v>6</v>
      </c>
      <c r="KK11" s="65">
        <v>29</v>
      </c>
      <c r="KL11" s="74">
        <f t="shared" ref="KL11:KL17" si="444">(KK11-KJ11)</f>
        <v>23</v>
      </c>
      <c r="KN11" s="68">
        <v>46</v>
      </c>
      <c r="KO11" s="58"/>
      <c r="KP11" s="73">
        <f t="shared" si="241"/>
        <v>6</v>
      </c>
      <c r="KQ11" s="65">
        <v>24</v>
      </c>
      <c r="KR11" s="74">
        <f t="shared" ref="KR11:KR17" si="445">(KQ11-KP11)</f>
        <v>18</v>
      </c>
      <c r="KT11" s="68">
        <v>67</v>
      </c>
      <c r="KU11" s="58"/>
      <c r="KV11" s="73">
        <f t="shared" si="242"/>
        <v>-21</v>
      </c>
      <c r="KW11" s="65">
        <v>24</v>
      </c>
      <c r="KX11" s="74">
        <f t="shared" ref="KX11:KX17" si="446">(KW11-KV11)</f>
        <v>45</v>
      </c>
      <c r="KZ11" s="68">
        <v>82</v>
      </c>
      <c r="LA11" s="58"/>
      <c r="LB11" s="73">
        <f t="shared" si="243"/>
        <v>-15</v>
      </c>
      <c r="LC11" s="65">
        <v>33</v>
      </c>
      <c r="LD11" s="74">
        <f t="shared" ref="LD11:LD17" si="447">(LC11-LB11)</f>
        <v>48</v>
      </c>
      <c r="LF11" s="68">
        <v>76</v>
      </c>
      <c r="LG11" s="58"/>
      <c r="LH11" s="73">
        <f t="shared" si="244"/>
        <v>6</v>
      </c>
      <c r="LI11" s="65"/>
      <c r="LJ11" s="74">
        <f t="shared" ref="LJ11:LJ17" si="448">(LI11-LH11)</f>
        <v>-6</v>
      </c>
      <c r="LL11" s="68">
        <v>76</v>
      </c>
      <c r="LM11" s="58"/>
      <c r="LN11" s="73">
        <f t="shared" si="245"/>
        <v>0</v>
      </c>
      <c r="LO11" s="65"/>
      <c r="LP11" s="74">
        <f t="shared" ref="LP11:LP17" si="449">(LO11-LN11)</f>
        <v>0</v>
      </c>
      <c r="LR11" s="68">
        <v>80</v>
      </c>
      <c r="LS11" s="58"/>
      <c r="LT11" s="73">
        <f t="shared" si="246"/>
        <v>-4</v>
      </c>
      <c r="LU11" s="65">
        <v>23</v>
      </c>
      <c r="LV11" s="74">
        <f t="shared" ref="LV11:LV17" si="450">(LU11-LT11)</f>
        <v>27</v>
      </c>
      <c r="LX11" s="68">
        <v>59</v>
      </c>
      <c r="LY11" s="58"/>
      <c r="LZ11" s="73">
        <f t="shared" si="247"/>
        <v>21</v>
      </c>
      <c r="MA11" s="65">
        <v>19</v>
      </c>
      <c r="MB11" s="74">
        <f t="shared" ref="MB11:MB17" si="451">(MA11-LZ11)</f>
        <v>-2</v>
      </c>
      <c r="MD11" s="68">
        <v>27</v>
      </c>
      <c r="ME11" s="58"/>
      <c r="MF11" s="73">
        <f t="shared" si="248"/>
        <v>32</v>
      </c>
      <c r="MG11" s="65"/>
      <c r="MH11" s="74">
        <f t="shared" ref="MH11:MH17" si="452">(MG11-MF11)</f>
        <v>-32</v>
      </c>
      <c r="MJ11" s="68">
        <v>0</v>
      </c>
      <c r="MK11" s="58">
        <v>4</v>
      </c>
      <c r="ML11" s="73">
        <f t="shared" si="249"/>
        <v>27</v>
      </c>
      <c r="MM11" s="65"/>
      <c r="MN11" s="74">
        <f t="shared" ref="MN11:MN17" si="453">(MM11-ML11)</f>
        <v>-27</v>
      </c>
      <c r="MP11" s="68">
        <v>2</v>
      </c>
      <c r="MQ11" s="58">
        <v>3</v>
      </c>
      <c r="MR11" s="73">
        <f t="shared" si="250"/>
        <v>94</v>
      </c>
      <c r="MS11" s="65"/>
      <c r="MT11" s="74">
        <f t="shared" ref="MT11:MT17" si="454">(MS11-MR11)</f>
        <v>-94</v>
      </c>
      <c r="MV11" s="68">
        <v>61</v>
      </c>
      <c r="MW11" s="58"/>
      <c r="MX11" s="73">
        <f t="shared" si="251"/>
        <v>13</v>
      </c>
      <c r="MY11" s="65"/>
      <c r="MZ11" s="74">
        <f t="shared" ref="MZ11:MZ17" si="455">(MY11-MX11)</f>
        <v>-13</v>
      </c>
      <c r="NB11" s="68">
        <v>47</v>
      </c>
      <c r="NC11" s="58"/>
      <c r="ND11" s="73">
        <f t="shared" si="252"/>
        <v>14</v>
      </c>
      <c r="NE11" s="65"/>
      <c r="NF11" s="74">
        <f t="shared" ref="NF11:NF17" si="456">(NE11-ND11)</f>
        <v>-14</v>
      </c>
      <c r="NH11" s="68">
        <v>38</v>
      </c>
      <c r="NI11" s="58"/>
      <c r="NJ11" s="73">
        <f t="shared" si="253"/>
        <v>9</v>
      </c>
      <c r="NK11" s="65"/>
      <c r="NL11" s="74">
        <f t="shared" ref="NL11:NL12" si="457">(NK11-NJ11)</f>
        <v>-9</v>
      </c>
      <c r="NN11" s="68">
        <v>1</v>
      </c>
      <c r="NO11" s="58"/>
      <c r="NP11" s="73">
        <f t="shared" si="254"/>
        <v>37</v>
      </c>
      <c r="NQ11" s="65"/>
      <c r="NR11" s="74">
        <f t="shared" ref="NR11:NR12" si="458">(NQ11-NP11)</f>
        <v>-37</v>
      </c>
      <c r="NT11" s="68">
        <v>31</v>
      </c>
      <c r="NU11" s="58">
        <v>2</v>
      </c>
      <c r="NV11" s="73">
        <f t="shared" si="255"/>
        <v>-30</v>
      </c>
      <c r="NW11" s="65"/>
      <c r="NX11" s="74">
        <f t="shared" ref="NX11:NX12" si="459">(NW11-NV11)</f>
        <v>30</v>
      </c>
      <c r="NZ11" s="68">
        <v>47</v>
      </c>
      <c r="OA11" s="58"/>
      <c r="OB11" s="73">
        <f t="shared" si="256"/>
        <v>32</v>
      </c>
      <c r="OC11" s="65"/>
      <c r="OD11" s="74">
        <f t="shared" ref="OD11:OD12" si="460">(OC11-OB11)</f>
        <v>-32</v>
      </c>
      <c r="OF11" s="68">
        <v>66</v>
      </c>
      <c r="OG11" s="58"/>
      <c r="OH11" s="73">
        <f t="shared" si="257"/>
        <v>-19</v>
      </c>
      <c r="OI11" s="65"/>
      <c r="OJ11" s="74">
        <f t="shared" ref="OJ11:OJ12" si="461">(OI11-OH11)</f>
        <v>19</v>
      </c>
      <c r="OL11" s="68">
        <v>40</v>
      </c>
      <c r="OM11" s="58"/>
      <c r="ON11" s="73">
        <f t="shared" si="258"/>
        <v>26</v>
      </c>
      <c r="OO11" s="65"/>
      <c r="OP11" s="74">
        <f t="shared" ref="OP11:OP12" si="462">(OO11-ON11)</f>
        <v>-26</v>
      </c>
      <c r="OR11" s="68">
        <v>76</v>
      </c>
      <c r="OS11" s="58"/>
      <c r="OT11" s="73">
        <f t="shared" si="259"/>
        <v>-36</v>
      </c>
      <c r="OU11" s="65"/>
      <c r="OV11" s="74">
        <f t="shared" ref="OV11:OV12" si="463">(OU11-OT11)</f>
        <v>36</v>
      </c>
      <c r="OX11" s="68">
        <v>83</v>
      </c>
      <c r="OY11" s="58"/>
      <c r="OZ11" s="73">
        <f t="shared" si="260"/>
        <v>-7</v>
      </c>
      <c r="PA11" s="65"/>
      <c r="PB11" s="74">
        <f t="shared" ref="PB11:PB12" si="464">(PA11-OZ11)</f>
        <v>7</v>
      </c>
      <c r="PD11" s="68">
        <v>81</v>
      </c>
      <c r="PE11" s="58">
        <v>2</v>
      </c>
      <c r="PF11" s="73">
        <f t="shared" si="261"/>
        <v>2</v>
      </c>
      <c r="PG11" s="65"/>
      <c r="PH11" s="74">
        <f t="shared" ref="PH11:PH12" si="465">(PG11-PF11)</f>
        <v>-2</v>
      </c>
      <c r="PJ11" s="68">
        <v>242</v>
      </c>
      <c r="PK11" s="58"/>
      <c r="PL11" s="73">
        <f t="shared" si="262"/>
        <v>-113</v>
      </c>
      <c r="PM11" s="65"/>
      <c r="PN11" s="74">
        <f t="shared" ref="PN11:PN12" si="466">(PM11-PL11)</f>
        <v>113</v>
      </c>
      <c r="PP11" s="68">
        <v>207</v>
      </c>
      <c r="PQ11" s="58"/>
      <c r="PR11" s="73">
        <f t="shared" si="263"/>
        <v>35</v>
      </c>
      <c r="PS11" s="65"/>
      <c r="PT11" s="74">
        <f t="shared" ref="PT11:PT12" si="467">(PS11-PR11)</f>
        <v>-35</v>
      </c>
      <c r="PV11" s="68">
        <v>179</v>
      </c>
      <c r="PW11" s="58"/>
      <c r="PX11" s="73">
        <f t="shared" si="264"/>
        <v>28</v>
      </c>
      <c r="PY11" s="65"/>
      <c r="PZ11" s="74">
        <f t="shared" ref="PZ11:PZ12" si="468">(PY11-PX11)</f>
        <v>-28</v>
      </c>
      <c r="QB11" s="68">
        <v>154</v>
      </c>
      <c r="QC11" s="58"/>
      <c r="QD11" s="73">
        <f t="shared" si="265"/>
        <v>25</v>
      </c>
      <c r="QE11" s="65"/>
      <c r="QF11" s="74">
        <f t="shared" ref="QF11:QF12" si="469">(QE11-QD11)</f>
        <v>-25</v>
      </c>
      <c r="QH11" s="68">
        <v>118</v>
      </c>
      <c r="QI11" s="58"/>
      <c r="QJ11" s="73">
        <f t="shared" si="266"/>
        <v>36</v>
      </c>
      <c r="QK11" s="65"/>
      <c r="QL11" s="74">
        <f t="shared" ref="QL11:QL12" si="470">(QK11-QJ11)</f>
        <v>-36</v>
      </c>
      <c r="QN11" s="68">
        <v>76</v>
      </c>
      <c r="QO11" s="58"/>
      <c r="QP11" s="73">
        <f t="shared" si="267"/>
        <v>42</v>
      </c>
      <c r="QQ11" s="65"/>
      <c r="QR11" s="74">
        <f t="shared" ref="QR11:QR12" si="471">(QQ11-QP11)</f>
        <v>-42</v>
      </c>
      <c r="QT11" s="68">
        <v>41</v>
      </c>
      <c r="QU11" s="58"/>
      <c r="QV11" s="73">
        <f t="shared" si="268"/>
        <v>35</v>
      </c>
      <c r="QW11" s="65"/>
      <c r="QX11" s="74">
        <f t="shared" ref="QX11:QX12" si="472">(QW11-QV11)</f>
        <v>-35</v>
      </c>
      <c r="QZ11" s="68">
        <v>15</v>
      </c>
      <c r="RA11" s="58"/>
      <c r="RB11" s="73">
        <f t="shared" si="269"/>
        <v>26</v>
      </c>
      <c r="RC11" s="65"/>
      <c r="RD11" s="74">
        <f t="shared" ref="RD11:RD12" si="473">(RC11-RB11)</f>
        <v>-26</v>
      </c>
      <c r="RF11" s="68">
        <v>16</v>
      </c>
      <c r="RG11" s="58"/>
      <c r="RH11" s="73">
        <f t="shared" si="270"/>
        <v>-1</v>
      </c>
      <c r="RI11" s="65"/>
      <c r="RJ11" s="74">
        <f t="shared" ref="RJ11:RJ12" si="474">(RI11-RH11)</f>
        <v>1</v>
      </c>
      <c r="RL11" s="68">
        <v>8</v>
      </c>
      <c r="RM11" s="58"/>
      <c r="RN11" s="73">
        <f t="shared" si="271"/>
        <v>8</v>
      </c>
      <c r="RO11" s="65"/>
      <c r="RP11" s="74">
        <f t="shared" ref="RP11:RP12" si="475">(RO11-RN11)</f>
        <v>-8</v>
      </c>
      <c r="RR11" s="68">
        <v>15</v>
      </c>
      <c r="RS11" s="58"/>
      <c r="RT11" s="73">
        <f t="shared" si="272"/>
        <v>-7</v>
      </c>
      <c r="RU11" s="65"/>
      <c r="RV11" s="74">
        <f t="shared" ref="RV11:RV12" si="476">(RU11-RT11)</f>
        <v>7</v>
      </c>
      <c r="RX11" s="68">
        <v>25</v>
      </c>
      <c r="RY11" s="58">
        <v>3</v>
      </c>
      <c r="RZ11" s="73">
        <f t="shared" si="273"/>
        <v>-10</v>
      </c>
      <c r="SA11" s="65"/>
      <c r="SB11" s="74">
        <f t="shared" ref="SB11:SB12" si="477">(SA11-RZ11)</f>
        <v>10</v>
      </c>
      <c r="SD11" s="68">
        <v>42</v>
      </c>
      <c r="SE11" s="58"/>
      <c r="SF11" s="73">
        <f t="shared" si="274"/>
        <v>55</v>
      </c>
      <c r="SG11" s="65"/>
      <c r="SH11" s="74">
        <f t="shared" ref="SH11:SH12" si="478">(SG11-SF11)</f>
        <v>-55</v>
      </c>
      <c r="SJ11" s="68">
        <v>4</v>
      </c>
      <c r="SK11" s="58">
        <v>3</v>
      </c>
      <c r="SL11" s="73">
        <f t="shared" si="275"/>
        <v>38</v>
      </c>
      <c r="SM11" s="65"/>
      <c r="SN11" s="74">
        <f t="shared" ref="SN11:SN12" si="479">(SM11-SL11)</f>
        <v>-38</v>
      </c>
      <c r="SP11" s="68">
        <v>0</v>
      </c>
      <c r="SQ11" s="58"/>
      <c r="SR11" s="73">
        <f t="shared" si="276"/>
        <v>76</v>
      </c>
      <c r="SS11" s="65"/>
      <c r="ST11" s="74">
        <f t="shared" ref="ST11:ST12" si="480">(SS11-SR11)</f>
        <v>-76</v>
      </c>
      <c r="SV11" s="68">
        <v>22</v>
      </c>
      <c r="SW11" s="58"/>
      <c r="SX11" s="73">
        <f t="shared" si="277"/>
        <v>-22</v>
      </c>
      <c r="SY11" s="65"/>
      <c r="SZ11" s="74">
        <f t="shared" ref="SZ11:SZ12" si="481">(SY11-SX11)</f>
        <v>22</v>
      </c>
      <c r="TB11" s="68">
        <v>35</v>
      </c>
      <c r="TC11" s="58"/>
      <c r="TD11" s="73">
        <f t="shared" si="278"/>
        <v>-13</v>
      </c>
      <c r="TE11" s="65"/>
      <c r="TF11" s="74">
        <f t="shared" ref="TF11:TF12" si="482">(TE11-TD11)</f>
        <v>13</v>
      </c>
      <c r="TH11" s="68">
        <v>20</v>
      </c>
      <c r="TI11" s="58"/>
      <c r="TJ11" s="73">
        <f t="shared" si="279"/>
        <v>15</v>
      </c>
      <c r="TK11" s="65"/>
      <c r="TL11" s="74">
        <f t="shared" ref="TL11:TL12" si="483">(TK11-TJ11)</f>
        <v>-15</v>
      </c>
      <c r="TN11" s="68">
        <v>33</v>
      </c>
      <c r="TO11" s="58"/>
      <c r="TP11" s="73">
        <f t="shared" si="280"/>
        <v>-13</v>
      </c>
      <c r="TQ11" s="65"/>
      <c r="TR11" s="74">
        <f t="shared" ref="TR11:TR12" si="484">(TQ11-TP11)</f>
        <v>13</v>
      </c>
      <c r="TT11" s="68">
        <v>26</v>
      </c>
      <c r="TU11" s="58"/>
      <c r="TV11" s="73">
        <f t="shared" si="281"/>
        <v>7</v>
      </c>
      <c r="TW11" s="65"/>
      <c r="TX11" s="74">
        <f t="shared" ref="TX11:TX12" si="485">(TW11-TV11)</f>
        <v>-7</v>
      </c>
      <c r="TZ11" s="68">
        <v>42</v>
      </c>
      <c r="UA11" s="58"/>
      <c r="UB11" s="73">
        <f t="shared" si="282"/>
        <v>-16</v>
      </c>
      <c r="UC11" s="65"/>
      <c r="UD11" s="74">
        <f t="shared" ref="UD11:UD12" si="486">(UC11-UB11)</f>
        <v>16</v>
      </c>
      <c r="UF11" s="68">
        <v>67</v>
      </c>
      <c r="UG11" s="58"/>
      <c r="UH11" s="73">
        <f t="shared" si="283"/>
        <v>-25</v>
      </c>
      <c r="UI11" s="65"/>
      <c r="UJ11" s="74">
        <f t="shared" ref="UJ11:UJ12" si="487">(UI11-UH11)</f>
        <v>25</v>
      </c>
      <c r="UL11" s="68">
        <v>62</v>
      </c>
      <c r="UM11" s="58"/>
      <c r="UN11" s="73">
        <f t="shared" si="284"/>
        <v>5</v>
      </c>
      <c r="UO11" s="65"/>
      <c r="UP11" s="74">
        <f t="shared" ref="UP11:UP12" si="488">(UO11-UN11)</f>
        <v>-5</v>
      </c>
      <c r="UR11" s="68">
        <v>51</v>
      </c>
      <c r="US11" s="58"/>
      <c r="UT11" s="73">
        <f t="shared" si="285"/>
        <v>11</v>
      </c>
      <c r="UU11" s="65"/>
      <c r="UV11" s="74">
        <f t="shared" ref="UV11:UV12" si="489">(UU11-UT11)</f>
        <v>-11</v>
      </c>
      <c r="UX11" s="68">
        <v>34</v>
      </c>
      <c r="UY11" s="58"/>
      <c r="UZ11" s="73">
        <f t="shared" si="286"/>
        <v>17</v>
      </c>
      <c r="VA11" s="65"/>
      <c r="VB11" s="74">
        <f t="shared" ref="VB11:VB12" si="490">(VA11-UZ11)</f>
        <v>-17</v>
      </c>
      <c r="VD11" s="68">
        <v>26</v>
      </c>
      <c r="VE11" s="58"/>
      <c r="VF11" s="73">
        <f t="shared" si="287"/>
        <v>8</v>
      </c>
      <c r="VG11" s="65"/>
      <c r="VH11" s="74">
        <f t="shared" ref="VH11:VH12" si="491">(VG11-VF11)</f>
        <v>-8</v>
      </c>
      <c r="VJ11" s="68">
        <v>0</v>
      </c>
      <c r="VK11" s="58"/>
      <c r="VL11" s="73">
        <f t="shared" si="288"/>
        <v>26</v>
      </c>
      <c r="VM11" s="65"/>
      <c r="VN11" s="74">
        <f t="shared" ref="VN11:VN12" si="492">(VM11-VL11)</f>
        <v>-26</v>
      </c>
      <c r="VP11" s="68">
        <v>41</v>
      </c>
      <c r="VQ11" s="58"/>
      <c r="VR11" s="73">
        <f t="shared" si="289"/>
        <v>-41</v>
      </c>
      <c r="VS11" s="65"/>
      <c r="VT11" s="74">
        <f t="shared" ref="VT11:VT12" si="493">(VS11-VR11)</f>
        <v>41</v>
      </c>
      <c r="VV11" s="68">
        <v>72</v>
      </c>
      <c r="VW11" s="58"/>
      <c r="VX11" s="73">
        <f t="shared" si="290"/>
        <v>-31</v>
      </c>
      <c r="VY11" s="65"/>
      <c r="VZ11" s="74">
        <f t="shared" ref="VZ11:VZ12" si="494">(VY11-VX11)</f>
        <v>31</v>
      </c>
      <c r="WB11" s="68">
        <v>30</v>
      </c>
      <c r="WC11" s="58">
        <v>2</v>
      </c>
      <c r="WD11" s="73">
        <f t="shared" si="291"/>
        <v>42</v>
      </c>
      <c r="WE11" s="65"/>
      <c r="WF11" s="74">
        <f t="shared" ref="WF11:WF17" si="495">SUM(WD11-WE11)</f>
        <v>42</v>
      </c>
      <c r="WH11" s="68">
        <v>50</v>
      </c>
      <c r="WI11" s="58"/>
      <c r="WJ11" s="73">
        <f t="shared" si="292"/>
        <v>28</v>
      </c>
      <c r="WK11" s="65"/>
      <c r="WL11" s="74">
        <f t="shared" ref="WL11:WL17" si="496">(WJ11-WK11)</f>
        <v>28</v>
      </c>
      <c r="WN11" s="68">
        <v>14</v>
      </c>
      <c r="WO11" s="58"/>
      <c r="WP11" s="73">
        <f t="shared" si="293"/>
        <v>36</v>
      </c>
      <c r="WQ11" s="65"/>
      <c r="WR11" s="74">
        <f t="shared" ref="WR11:WR17" si="497">(WP11-WQ11)</f>
        <v>36</v>
      </c>
      <c r="WT11" s="68">
        <v>0</v>
      </c>
      <c r="WU11" s="58">
        <v>2</v>
      </c>
      <c r="WV11" s="73">
        <f t="shared" si="294"/>
        <v>14</v>
      </c>
      <c r="WW11" s="65"/>
      <c r="WX11" s="74">
        <f t="shared" ref="WX11:WX17" si="498">(WV11-WW11)</f>
        <v>14</v>
      </c>
      <c r="WZ11" s="68">
        <v>30</v>
      </c>
      <c r="XA11" s="58"/>
      <c r="XB11" s="73">
        <f t="shared" si="295"/>
        <v>18</v>
      </c>
      <c r="XC11" s="65"/>
      <c r="XD11" s="74">
        <f t="shared" ref="XD11:XD17" si="499">(XB11-XC11)</f>
        <v>18</v>
      </c>
      <c r="XF11" s="68">
        <v>53</v>
      </c>
      <c r="XG11" s="58"/>
      <c r="XH11" s="73">
        <f t="shared" si="296"/>
        <v>-23</v>
      </c>
      <c r="XI11" s="65"/>
      <c r="XJ11" s="74">
        <f t="shared" ref="XJ11:XJ17" si="500">(XH11-XI11)</f>
        <v>-23</v>
      </c>
      <c r="XL11" s="68">
        <v>72</v>
      </c>
      <c r="XM11" s="58"/>
      <c r="XN11" s="73">
        <f t="shared" si="297"/>
        <v>-19</v>
      </c>
      <c r="XO11" s="65"/>
      <c r="XP11" s="74">
        <f t="shared" ref="XP11:XP17" si="501">(XN11-XO11)</f>
        <v>-19</v>
      </c>
      <c r="XR11" s="68">
        <v>109</v>
      </c>
      <c r="XS11" s="58"/>
      <c r="XT11" s="73">
        <f t="shared" si="298"/>
        <v>-37</v>
      </c>
      <c r="XU11" s="65"/>
      <c r="XV11" s="74">
        <f t="shared" ref="XV11:XV17" si="502">(XT11-XU11)</f>
        <v>-37</v>
      </c>
      <c r="XX11" s="68">
        <v>99</v>
      </c>
      <c r="XY11" s="58"/>
      <c r="XZ11" s="73">
        <f t="shared" si="299"/>
        <v>10</v>
      </c>
      <c r="YA11" s="65"/>
      <c r="YB11" s="74">
        <f t="shared" ref="YB11:YB17" si="503">(XZ11-YA11)</f>
        <v>10</v>
      </c>
      <c r="YD11" s="68">
        <v>27</v>
      </c>
      <c r="YE11" s="58"/>
      <c r="YF11" s="73">
        <f t="shared" si="300"/>
        <v>72</v>
      </c>
      <c r="YG11" s="65"/>
      <c r="YH11" s="74">
        <f t="shared" ref="YH11:YH17" si="504">(YF11-YG11)</f>
        <v>72</v>
      </c>
      <c r="YJ11" s="68">
        <v>54</v>
      </c>
      <c r="YK11" s="58"/>
      <c r="YL11" s="73">
        <f t="shared" si="301"/>
        <v>-27</v>
      </c>
      <c r="YM11" s="65"/>
      <c r="YN11" s="74">
        <f t="shared" ref="YN11:YN17" si="505">(YL11-YM11)</f>
        <v>-27</v>
      </c>
      <c r="YP11" s="68">
        <v>53</v>
      </c>
      <c r="YQ11" s="58"/>
      <c r="YR11" s="73">
        <f t="shared" si="302"/>
        <v>1</v>
      </c>
      <c r="YS11" s="65"/>
      <c r="YT11" s="74">
        <f t="shared" ref="YT11:YT17" si="506">(YR11-YS11)</f>
        <v>1</v>
      </c>
      <c r="YV11" s="68">
        <v>29</v>
      </c>
      <c r="YW11" s="58"/>
      <c r="YX11" s="73">
        <f t="shared" si="303"/>
        <v>24</v>
      </c>
      <c r="YY11" s="65"/>
      <c r="YZ11" s="74">
        <f t="shared" ref="YZ11:YZ17" si="507">(YX11-YY11)</f>
        <v>24</v>
      </c>
      <c r="ZB11" s="68">
        <v>46</v>
      </c>
      <c r="ZC11" s="58"/>
      <c r="ZD11" s="73">
        <f t="shared" si="304"/>
        <v>-17</v>
      </c>
      <c r="ZE11" s="65"/>
      <c r="ZF11" s="74">
        <f t="shared" ref="ZF11:ZF17" si="508">(ZD11-ZE11)</f>
        <v>-17</v>
      </c>
      <c r="ZH11" s="68">
        <v>27</v>
      </c>
      <c r="ZI11" s="58"/>
      <c r="ZJ11" s="73">
        <f t="shared" si="305"/>
        <v>19</v>
      </c>
      <c r="ZK11" s="65"/>
      <c r="ZL11" s="74">
        <f t="shared" ref="ZL11:ZL17" si="509">(ZJ11-ZK11)</f>
        <v>19</v>
      </c>
      <c r="ZN11" s="68">
        <v>23</v>
      </c>
      <c r="ZO11" s="58"/>
      <c r="ZP11" s="73">
        <f t="shared" si="306"/>
        <v>4</v>
      </c>
      <c r="ZQ11" s="65"/>
      <c r="ZR11" s="74">
        <f t="shared" ref="ZR11:ZR17" si="510">(ZP11-ZQ11)</f>
        <v>4</v>
      </c>
      <c r="ZT11" s="68">
        <v>32</v>
      </c>
      <c r="ZU11" s="58"/>
      <c r="ZV11" s="73">
        <f t="shared" si="307"/>
        <v>-9</v>
      </c>
      <c r="ZW11" s="65"/>
      <c r="ZX11" s="74">
        <f t="shared" ref="ZX11:ZX17" si="511">(ZV11-ZW11)</f>
        <v>-9</v>
      </c>
      <c r="ZZ11" s="68">
        <v>6</v>
      </c>
      <c r="AAA11" s="58"/>
      <c r="AAB11" s="73">
        <f t="shared" si="308"/>
        <v>26</v>
      </c>
      <c r="AAC11" s="65"/>
      <c r="AAD11" s="74">
        <f t="shared" ref="AAD11:AAD17" si="512">(AAB11-AAC11)</f>
        <v>26</v>
      </c>
      <c r="AAF11" s="68">
        <v>46</v>
      </c>
      <c r="AAG11" s="58"/>
      <c r="AAH11" s="73">
        <f t="shared" si="309"/>
        <v>-40</v>
      </c>
      <c r="AAI11" s="65"/>
      <c r="AAJ11" s="74">
        <f t="shared" ref="AAJ11:AAJ17" si="513">(AAH11-AAI11)</f>
        <v>-40</v>
      </c>
      <c r="AAL11" s="68">
        <v>16</v>
      </c>
      <c r="AAM11" s="58"/>
      <c r="AAN11" s="73">
        <f t="shared" si="310"/>
        <v>30</v>
      </c>
      <c r="AAO11" s="65"/>
      <c r="AAP11" s="74">
        <f t="shared" ref="AAP11:AAP17" si="514">(AAN11-AAO11)</f>
        <v>30</v>
      </c>
      <c r="AAR11" s="68">
        <v>0</v>
      </c>
      <c r="AAS11" s="58"/>
      <c r="AAT11" s="73">
        <f t="shared" si="311"/>
        <v>16</v>
      </c>
      <c r="AAU11" s="65"/>
      <c r="AAV11" s="74">
        <f t="shared" ref="AAV11:AAV17" si="515">(AAT11-AAU11)</f>
        <v>16</v>
      </c>
      <c r="AAX11" s="68">
        <v>32</v>
      </c>
      <c r="AAY11" s="58"/>
      <c r="AAZ11" s="73">
        <f t="shared" si="312"/>
        <v>-32</v>
      </c>
      <c r="ABA11" s="65"/>
      <c r="ABB11" s="74">
        <f t="shared" ref="ABB11:ABB17" si="516">(AAZ11-ABA11)</f>
        <v>-32</v>
      </c>
      <c r="ABD11" s="68">
        <v>27</v>
      </c>
      <c r="ABE11" s="58"/>
      <c r="ABF11" s="73">
        <f t="shared" si="313"/>
        <v>5</v>
      </c>
      <c r="ABG11" s="65"/>
      <c r="ABH11" s="74">
        <f t="shared" ref="ABH11:ABH17" si="517">(ABF11-ABG11)</f>
        <v>5</v>
      </c>
      <c r="ABJ11" s="68">
        <v>37</v>
      </c>
      <c r="ABK11" s="58"/>
      <c r="ABL11" s="73">
        <f t="shared" si="314"/>
        <v>-10</v>
      </c>
      <c r="ABM11" s="65"/>
      <c r="ABN11" s="74">
        <f t="shared" ref="ABN11:ABN17" si="518">(ABL11-ABM11)</f>
        <v>-10</v>
      </c>
      <c r="ABP11" s="68">
        <v>34</v>
      </c>
      <c r="ABQ11" s="58"/>
      <c r="ABR11" s="73">
        <f t="shared" si="315"/>
        <v>3</v>
      </c>
      <c r="ABS11" s="65"/>
      <c r="ABT11" s="74">
        <f t="shared" ref="ABT11:ABT17" si="519">(ABR11-ABS11)</f>
        <v>3</v>
      </c>
      <c r="ABV11" s="68">
        <v>55</v>
      </c>
      <c r="ABW11" s="58"/>
      <c r="ABX11" s="73">
        <f t="shared" si="316"/>
        <v>-21</v>
      </c>
      <c r="ABY11" s="65"/>
      <c r="ABZ11" s="74">
        <f t="shared" ref="ABZ11:ABZ17" si="520">(ABX11-ABY11)</f>
        <v>-21</v>
      </c>
      <c r="ACB11" s="68">
        <v>47</v>
      </c>
      <c r="ACC11" s="58"/>
      <c r="ACD11" s="73">
        <f t="shared" si="317"/>
        <v>8</v>
      </c>
      <c r="ACE11" s="65"/>
      <c r="ACF11" s="74">
        <f t="shared" ref="ACF11:ACF17" si="521">(ACD11-ACE11)</f>
        <v>8</v>
      </c>
      <c r="ACH11" s="68">
        <v>33</v>
      </c>
      <c r="ACI11" s="58"/>
      <c r="ACJ11" s="73">
        <f t="shared" si="318"/>
        <v>14</v>
      </c>
      <c r="ACK11" s="65"/>
      <c r="ACL11" s="74">
        <f t="shared" ref="ACL11:ACL17" si="522">(ACJ11-ACK11)</f>
        <v>14</v>
      </c>
      <c r="ACN11" s="68">
        <v>65</v>
      </c>
      <c r="ACO11" s="58"/>
      <c r="ACP11" s="73">
        <f t="shared" si="319"/>
        <v>-32</v>
      </c>
      <c r="ACQ11" s="65"/>
      <c r="ACR11" s="74">
        <f t="shared" ref="ACR11:ACR17" si="523">(ACP11-ACQ11)</f>
        <v>-32</v>
      </c>
      <c r="ACT11" s="68">
        <v>60</v>
      </c>
      <c r="ACU11" s="58"/>
      <c r="ACV11" s="73">
        <f t="shared" si="320"/>
        <v>5</v>
      </c>
      <c r="ACW11" s="65"/>
      <c r="ACX11" s="74">
        <f t="shared" ref="ACX11:ACX17" si="524">(ACV11-ACW11)</f>
        <v>5</v>
      </c>
      <c r="ACZ11" s="68">
        <v>56</v>
      </c>
      <c r="ADA11" s="58"/>
      <c r="ADB11" s="73">
        <f t="shared" si="321"/>
        <v>4</v>
      </c>
      <c r="ADC11" s="65"/>
      <c r="ADD11" s="74">
        <f t="shared" ref="ADD11:ADD17" si="525">(ADB11-ADC11)</f>
        <v>4</v>
      </c>
      <c r="ADF11" s="68">
        <v>68</v>
      </c>
      <c r="ADG11" s="58"/>
      <c r="ADH11" s="73">
        <f t="shared" si="322"/>
        <v>-12</v>
      </c>
      <c r="ADI11" s="65"/>
      <c r="ADJ11" s="74">
        <f t="shared" ref="ADJ11:ADJ17" si="526">(ADH11-ADI11)</f>
        <v>-12</v>
      </c>
      <c r="ADL11" s="68">
        <v>75</v>
      </c>
      <c r="ADM11" s="58"/>
      <c r="ADN11" s="73">
        <f t="shared" si="323"/>
        <v>-7</v>
      </c>
      <c r="ADO11" s="65"/>
      <c r="ADP11" s="74">
        <f t="shared" ref="ADP11:ADP17" si="527">(ADN11-ADO11)</f>
        <v>-7</v>
      </c>
      <c r="ADR11" s="68">
        <v>78</v>
      </c>
      <c r="ADS11" s="58"/>
      <c r="ADT11" s="73">
        <f t="shared" si="324"/>
        <v>-3</v>
      </c>
      <c r="ADU11" s="65"/>
      <c r="ADV11" s="74">
        <f t="shared" ref="ADV11:ADV17" si="528">(ADT11-ADU11)</f>
        <v>-3</v>
      </c>
      <c r="ADX11" s="68">
        <v>48</v>
      </c>
      <c r="ADY11" s="58"/>
      <c r="ADZ11" s="73">
        <f t="shared" si="325"/>
        <v>30</v>
      </c>
      <c r="AEA11" s="65"/>
      <c r="AEB11" s="74">
        <f t="shared" ref="AEB11:AEB17" si="529">(ADZ11-AEA11)</f>
        <v>30</v>
      </c>
      <c r="AED11" s="68">
        <v>19</v>
      </c>
      <c r="AEE11" s="58"/>
      <c r="AEF11" s="73">
        <f t="shared" si="326"/>
        <v>29</v>
      </c>
      <c r="AEG11" s="65"/>
      <c r="AEH11" s="74">
        <f t="shared" ref="AEH11:AEH17" si="530">(AEF11-AEG11)</f>
        <v>29</v>
      </c>
      <c r="AEJ11" s="68">
        <v>50</v>
      </c>
      <c r="AEK11" s="58"/>
      <c r="AEL11" s="73">
        <f t="shared" si="327"/>
        <v>-31</v>
      </c>
      <c r="AEM11" s="65"/>
      <c r="AEN11" s="74">
        <f t="shared" ref="AEN11:AEN17" si="531">(AEL11-AEM11)</f>
        <v>-31</v>
      </c>
      <c r="AEP11" s="68">
        <v>28</v>
      </c>
      <c r="AEQ11" s="58"/>
      <c r="AER11" s="73">
        <f t="shared" si="328"/>
        <v>22</v>
      </c>
      <c r="AES11" s="65"/>
      <c r="AET11" s="74">
        <f t="shared" ref="AET11:AET17" si="532">(AER11-AES11)</f>
        <v>22</v>
      </c>
      <c r="AEV11" s="68">
        <v>20</v>
      </c>
      <c r="AEW11" s="58"/>
      <c r="AEX11" s="73">
        <f t="shared" si="329"/>
        <v>8</v>
      </c>
      <c r="AEY11" s="65"/>
      <c r="AEZ11" s="74">
        <f t="shared" ref="AEZ11:AEZ17" si="533">(AEX11-AEY11)</f>
        <v>8</v>
      </c>
      <c r="AFB11" s="68">
        <v>66</v>
      </c>
      <c r="AFC11" s="58"/>
      <c r="AFD11" s="73">
        <f t="shared" si="330"/>
        <v>-46</v>
      </c>
      <c r="AFE11" s="65"/>
      <c r="AFF11" s="74">
        <f t="shared" ref="AFF11:AFF17" si="534">(AFD11-AFE11)</f>
        <v>-46</v>
      </c>
      <c r="AFH11" s="68">
        <v>40</v>
      </c>
      <c r="AFI11" s="58"/>
      <c r="AFJ11" s="73">
        <f t="shared" si="331"/>
        <v>26</v>
      </c>
      <c r="AFK11" s="65"/>
      <c r="AFL11" s="74">
        <f t="shared" ref="AFL11:AFL17" si="535">(AFJ11-AFK11)</f>
        <v>26</v>
      </c>
      <c r="AFN11" s="68">
        <v>65</v>
      </c>
      <c r="AFO11" s="58"/>
      <c r="AFP11" s="73">
        <f t="shared" si="332"/>
        <v>-25</v>
      </c>
      <c r="AFQ11" s="65"/>
      <c r="AFR11" s="74">
        <f t="shared" ref="AFR11:AFR17" si="536">(AFP11-AFQ11)</f>
        <v>-25</v>
      </c>
      <c r="AFT11" s="68">
        <v>55</v>
      </c>
      <c r="AFU11" s="58"/>
      <c r="AFV11" s="73">
        <f t="shared" si="333"/>
        <v>10</v>
      </c>
      <c r="AFW11" s="65"/>
      <c r="AFX11" s="74">
        <f t="shared" ref="AFX11:AFX17" si="537">(AFV11-AFW11)</f>
        <v>10</v>
      </c>
      <c r="AFZ11" s="68">
        <v>56</v>
      </c>
      <c r="AGA11" s="58"/>
      <c r="AGB11" s="73">
        <f t="shared" si="334"/>
        <v>-1</v>
      </c>
      <c r="AGC11" s="65"/>
      <c r="AGD11" s="74">
        <f t="shared" ref="AGD11:AGD17" si="538">(AGB11-AGC11)</f>
        <v>-1</v>
      </c>
      <c r="AGF11" s="68">
        <v>80</v>
      </c>
      <c r="AGG11" s="58"/>
      <c r="AGH11" s="73">
        <f t="shared" si="335"/>
        <v>-24</v>
      </c>
      <c r="AGI11" s="65"/>
      <c r="AGJ11" s="74">
        <f t="shared" ref="AGJ11:AGJ17" si="539">(AGH11-AGI11)</f>
        <v>-24</v>
      </c>
      <c r="AGL11" s="68">
        <v>108</v>
      </c>
      <c r="AGM11" s="58"/>
      <c r="AGN11" s="73">
        <f t="shared" si="336"/>
        <v>-28</v>
      </c>
      <c r="AGO11" s="65"/>
      <c r="AGP11" s="74">
        <f t="shared" ref="AGP11:AGP17" si="540">(AGN11-AGO11)</f>
        <v>-28</v>
      </c>
      <c r="AGR11" s="68">
        <v>61</v>
      </c>
      <c r="AGS11" s="58"/>
      <c r="AGT11" s="73">
        <f t="shared" si="337"/>
        <v>47</v>
      </c>
      <c r="AGU11" s="65"/>
      <c r="AGV11" s="74">
        <f t="shared" ref="AGV11:AGV17" si="541">(AGT11-AGU11)</f>
        <v>47</v>
      </c>
      <c r="AGX11" s="68">
        <v>62</v>
      </c>
      <c r="AGY11" s="58"/>
      <c r="AGZ11" s="73">
        <f t="shared" si="338"/>
        <v>-1</v>
      </c>
      <c r="AHA11" s="65"/>
      <c r="AHB11" s="74">
        <f t="shared" ref="AHB11:AHB17" si="542">(AGZ11-AHA11)</f>
        <v>-1</v>
      </c>
      <c r="AHD11" s="68">
        <v>43</v>
      </c>
      <c r="AHE11" s="58"/>
      <c r="AHF11" s="73">
        <f t="shared" si="339"/>
        <v>19</v>
      </c>
      <c r="AHG11" s="65"/>
      <c r="AHH11" s="74">
        <f t="shared" ref="AHH11:AHH17" si="543">(AHF11-AHG11)</f>
        <v>19</v>
      </c>
      <c r="AHJ11" s="68">
        <v>52</v>
      </c>
      <c r="AHK11" s="58"/>
      <c r="AHL11" s="73">
        <f t="shared" si="340"/>
        <v>-9</v>
      </c>
      <c r="AHM11" s="65"/>
      <c r="AHN11" s="74">
        <f t="shared" ref="AHN11:AHN17" si="544">(AHL11-AHM11)</f>
        <v>-9</v>
      </c>
      <c r="AHP11" s="68">
        <v>66</v>
      </c>
      <c r="AHQ11" s="58"/>
      <c r="AHR11" s="73">
        <f t="shared" si="341"/>
        <v>-14</v>
      </c>
      <c r="AHS11" s="65"/>
      <c r="AHT11" s="74">
        <f t="shared" ref="AHT11:AHT17" si="545">(AHR11-AHS11)</f>
        <v>-14</v>
      </c>
      <c r="AHV11" s="68">
        <v>58</v>
      </c>
      <c r="AHW11" s="58"/>
      <c r="AHX11" s="73">
        <f t="shared" si="342"/>
        <v>8</v>
      </c>
      <c r="AHY11" s="65"/>
      <c r="AHZ11" s="74">
        <f t="shared" ref="AHZ11:AHZ17" si="546">(AHX11-AHY11)</f>
        <v>8</v>
      </c>
      <c r="AIB11" s="68">
        <v>62</v>
      </c>
      <c r="AIC11" s="58"/>
      <c r="AID11" s="73">
        <f t="shared" si="343"/>
        <v>-4</v>
      </c>
      <c r="AIE11" s="65"/>
      <c r="AIF11" s="74">
        <f t="shared" ref="AIF11:AIF17" si="547">(AID11-AIE11)</f>
        <v>-4</v>
      </c>
      <c r="AIH11" s="68">
        <v>73</v>
      </c>
      <c r="AII11" s="58"/>
      <c r="AIJ11" s="73">
        <f t="shared" si="344"/>
        <v>-11</v>
      </c>
      <c r="AIK11" s="65"/>
      <c r="AIL11" s="74">
        <f t="shared" ref="AIL11:AIL17" si="548">(AIJ11-AIK11)</f>
        <v>-11</v>
      </c>
      <c r="AIN11" s="68">
        <v>53</v>
      </c>
      <c r="AIO11" s="58"/>
      <c r="AIP11" s="73">
        <f t="shared" si="345"/>
        <v>20</v>
      </c>
      <c r="AIQ11" s="65"/>
      <c r="AIR11" s="74">
        <f t="shared" ref="AIR11:AIR17" si="549">(AIP11-AIQ11)</f>
        <v>20</v>
      </c>
      <c r="AIT11" s="68">
        <v>63</v>
      </c>
      <c r="AIU11" s="58"/>
      <c r="AIV11" s="73">
        <f t="shared" si="346"/>
        <v>-10</v>
      </c>
      <c r="AIW11" s="65"/>
      <c r="AIX11" s="74">
        <f t="shared" ref="AIX11:AIX17" si="550">(AIV11-AIW11)</f>
        <v>-10</v>
      </c>
      <c r="AIZ11" s="68">
        <v>48</v>
      </c>
      <c r="AJA11" s="58"/>
      <c r="AJB11" s="73">
        <f t="shared" si="347"/>
        <v>15</v>
      </c>
      <c r="AJC11" s="65"/>
      <c r="AJD11" s="74">
        <f t="shared" ref="AJD11:AJD17" si="551">(AJB11-AJC11)</f>
        <v>15</v>
      </c>
      <c r="AJF11" s="68">
        <v>61</v>
      </c>
      <c r="AJG11" s="58"/>
      <c r="AJH11" s="73">
        <f t="shared" si="348"/>
        <v>-13</v>
      </c>
      <c r="AJI11" s="65"/>
      <c r="AJJ11" s="74">
        <f t="shared" ref="AJJ11:AJJ17" si="552">(AJH11-AJI11)</f>
        <v>-13</v>
      </c>
      <c r="AJL11" s="68">
        <v>62</v>
      </c>
      <c r="AJM11" s="58"/>
      <c r="AJN11" s="73">
        <f t="shared" si="349"/>
        <v>-1</v>
      </c>
      <c r="AJO11" s="65"/>
      <c r="AJP11" s="74">
        <f t="shared" ref="AJP11:AJP17" si="553">(AJN11-AJO11)</f>
        <v>-1</v>
      </c>
      <c r="AJR11" s="68">
        <v>37</v>
      </c>
      <c r="AJS11" s="58"/>
      <c r="AJT11" s="73">
        <f t="shared" si="350"/>
        <v>25</v>
      </c>
      <c r="AJU11" s="65"/>
      <c r="AJV11" s="74">
        <f t="shared" ref="AJV11:AJV17" si="554">(AJT11-AJU11)</f>
        <v>25</v>
      </c>
      <c r="AJX11" s="68">
        <v>36</v>
      </c>
      <c r="AJY11" s="58"/>
      <c r="AJZ11" s="73">
        <f t="shared" si="351"/>
        <v>1</v>
      </c>
      <c r="AKA11" s="65"/>
      <c r="AKB11" s="74">
        <f t="shared" ref="AKB11:AKB17" si="555">(AJZ11-AKA11)</f>
        <v>1</v>
      </c>
      <c r="AKD11" s="68">
        <v>59</v>
      </c>
      <c r="AKE11" s="58"/>
      <c r="AKF11" s="73">
        <f t="shared" si="352"/>
        <v>-23</v>
      </c>
      <c r="AKG11" s="65"/>
      <c r="AKH11" s="74">
        <f t="shared" ref="AKH11:AKH17" si="556">(AKF11-AKG11)</f>
        <v>-23</v>
      </c>
      <c r="AKJ11" s="68">
        <v>92</v>
      </c>
      <c r="AKK11" s="58"/>
      <c r="AKL11" s="73">
        <f t="shared" si="353"/>
        <v>-33</v>
      </c>
      <c r="AKM11" s="65"/>
      <c r="AKN11" s="74">
        <f t="shared" ref="AKN11:AKN17" si="557">(AKL11-AKM11)</f>
        <v>-33</v>
      </c>
      <c r="AKP11" s="68">
        <v>77</v>
      </c>
      <c r="AKQ11" s="58"/>
      <c r="AKR11" s="73">
        <f t="shared" si="354"/>
        <v>15</v>
      </c>
      <c r="AKS11" s="65"/>
      <c r="AKT11" s="74">
        <f t="shared" ref="AKT11:AKT17" si="558">(AKR11-AKS11)</f>
        <v>15</v>
      </c>
      <c r="AKV11" s="68">
        <v>90</v>
      </c>
      <c r="AKW11" s="58"/>
      <c r="AKX11" s="73">
        <f t="shared" si="355"/>
        <v>-13</v>
      </c>
      <c r="AKY11" s="65"/>
      <c r="AKZ11" s="74">
        <f t="shared" ref="AKZ11:AKZ17" si="559">(AKX11-AKY11)</f>
        <v>-13</v>
      </c>
      <c r="ALB11" s="68">
        <v>70</v>
      </c>
      <c r="ALC11" s="58"/>
      <c r="ALD11" s="73">
        <f t="shared" si="356"/>
        <v>20</v>
      </c>
      <c r="ALE11" s="65"/>
      <c r="ALF11" s="74">
        <f t="shared" ref="ALF11:ALF17" si="560">(ALD11-ALE11)</f>
        <v>20</v>
      </c>
      <c r="ALH11" s="68">
        <v>65</v>
      </c>
      <c r="ALI11" s="58"/>
      <c r="ALJ11" s="73">
        <f t="shared" si="357"/>
        <v>5</v>
      </c>
      <c r="ALK11" s="65"/>
      <c r="ALL11" s="74">
        <f t="shared" ref="ALL11:ALL17" si="561">(ALJ11-ALK11)</f>
        <v>5</v>
      </c>
      <c r="ALN11" s="68">
        <v>33</v>
      </c>
      <c r="ALO11" s="58"/>
      <c r="ALP11" s="73">
        <f t="shared" si="358"/>
        <v>32</v>
      </c>
      <c r="ALQ11" s="65"/>
      <c r="ALR11" s="74">
        <f t="shared" ref="ALR11:ALR17" si="562">(ALP11-ALQ11)</f>
        <v>32</v>
      </c>
      <c r="ALT11" s="68">
        <v>58</v>
      </c>
      <c r="ALU11" s="58"/>
      <c r="ALV11" s="73">
        <f t="shared" si="359"/>
        <v>-25</v>
      </c>
      <c r="ALW11" s="65"/>
      <c r="ALX11" s="74">
        <f t="shared" ref="ALX11:ALX17" si="563">(ALV11-ALW11)</f>
        <v>-25</v>
      </c>
      <c r="ALZ11" s="68">
        <v>26</v>
      </c>
      <c r="AMA11" s="58"/>
      <c r="AMB11" s="73">
        <f t="shared" si="360"/>
        <v>32</v>
      </c>
      <c r="AMC11" s="65"/>
      <c r="AMD11" s="74">
        <f t="shared" ref="AMD11:AMD17" si="564">(AMB11-AMC11)</f>
        <v>32</v>
      </c>
      <c r="AMF11" s="68">
        <v>49</v>
      </c>
      <c r="AMG11" s="58"/>
      <c r="AMH11" s="73">
        <f t="shared" si="361"/>
        <v>-23</v>
      </c>
      <c r="AMI11" s="65"/>
      <c r="AMJ11" s="74">
        <f t="shared" ref="AMJ11:AMJ17" si="565">(AMH11-AMI11)</f>
        <v>-23</v>
      </c>
      <c r="AML11" s="68">
        <v>47</v>
      </c>
      <c r="AMM11" s="58"/>
      <c r="AMN11" s="73">
        <f t="shared" si="362"/>
        <v>2</v>
      </c>
      <c r="AMO11" s="65"/>
      <c r="AMP11" s="74">
        <f t="shared" ref="AMP11:AMP17" si="566">(AMN11-AMO11)</f>
        <v>2</v>
      </c>
      <c r="AMR11" s="68">
        <v>51</v>
      </c>
      <c r="AMS11" s="58"/>
      <c r="AMT11" s="73">
        <f t="shared" si="363"/>
        <v>-4</v>
      </c>
      <c r="AMU11" s="65"/>
      <c r="AMV11" s="74">
        <f t="shared" ref="AMV11:AMV17" si="567">(AMT11-AMU11)</f>
        <v>-4</v>
      </c>
      <c r="AMX11" s="68">
        <v>48</v>
      </c>
      <c r="AMY11" s="58"/>
      <c r="AMZ11" s="73">
        <f t="shared" si="364"/>
        <v>3</v>
      </c>
      <c r="ANA11" s="65"/>
      <c r="ANB11" s="74">
        <f t="shared" ref="ANB11:ANB17" si="568">(AMZ11-ANA11)</f>
        <v>3</v>
      </c>
      <c r="AND11" s="68">
        <v>39</v>
      </c>
      <c r="ANE11" s="58"/>
      <c r="ANF11" s="73">
        <f t="shared" si="365"/>
        <v>9</v>
      </c>
      <c r="ANG11" s="65"/>
      <c r="ANH11" s="74">
        <f t="shared" ref="ANH11:ANH17" si="569">(ANF11-ANG11)</f>
        <v>9</v>
      </c>
      <c r="ANJ11" s="68">
        <v>58</v>
      </c>
      <c r="ANK11" s="58"/>
      <c r="ANL11" s="73">
        <f t="shared" si="366"/>
        <v>-19</v>
      </c>
      <c r="ANM11" s="65"/>
      <c r="ANN11" s="74">
        <f t="shared" ref="ANN11:ANN17" si="570">(ANL11-ANM11)</f>
        <v>-19</v>
      </c>
      <c r="ANP11" s="68">
        <v>62</v>
      </c>
      <c r="ANQ11" s="58"/>
      <c r="ANR11" s="73">
        <f t="shared" si="367"/>
        <v>-4</v>
      </c>
      <c r="ANS11" s="65"/>
      <c r="ANT11" s="74">
        <f t="shared" ref="ANT11:ANT17" si="571">(ANR11-ANS11)</f>
        <v>-4</v>
      </c>
      <c r="ANV11" s="68">
        <v>43</v>
      </c>
      <c r="ANW11" s="58"/>
      <c r="ANX11" s="73">
        <f t="shared" si="368"/>
        <v>19</v>
      </c>
      <c r="ANY11" s="65"/>
      <c r="ANZ11" s="74">
        <f t="shared" ref="ANZ11:ANZ17" si="572">(ANX11-ANY11)</f>
        <v>19</v>
      </c>
      <c r="AOB11" s="68">
        <v>47</v>
      </c>
      <c r="AOC11" s="58">
        <v>24</v>
      </c>
      <c r="AOD11" s="73">
        <f t="shared" si="369"/>
        <v>-4</v>
      </c>
      <c r="AOE11" s="65"/>
      <c r="AOF11" s="74">
        <f t="shared" ref="AOF11:AOF17" si="573">(AOD11-AOE11)</f>
        <v>-4</v>
      </c>
      <c r="AOH11" s="68">
        <v>53</v>
      </c>
      <c r="AOI11" s="58">
        <v>24</v>
      </c>
      <c r="AOJ11" s="73">
        <f t="shared" si="370"/>
        <v>570</v>
      </c>
      <c r="AOK11" s="65"/>
      <c r="AOL11" s="74">
        <f t="shared" ref="AOL11:AOL17" si="574">(AOJ11-AOK11)</f>
        <v>570</v>
      </c>
      <c r="AON11" s="68">
        <v>20</v>
      </c>
      <c r="AOO11" s="58">
        <v>24</v>
      </c>
      <c r="AOP11" s="73">
        <f t="shared" si="371"/>
        <v>609</v>
      </c>
      <c r="AOQ11" s="65"/>
      <c r="AOR11" s="74">
        <f t="shared" ref="AOR11:AOR17" si="575">(AOP11-AOQ11)</f>
        <v>609</v>
      </c>
    </row>
    <row r="12" spans="1:1024 1026:1085" s="67" customFormat="1" x14ac:dyDescent="0.25">
      <c r="A12" s="75" t="s">
        <v>28</v>
      </c>
      <c r="B12" s="64">
        <v>10605</v>
      </c>
      <c r="C12" s="65" t="s">
        <v>26</v>
      </c>
      <c r="D12" s="66">
        <v>72</v>
      </c>
      <c r="F12" s="68">
        <v>18</v>
      </c>
      <c r="G12" s="69"/>
      <c r="H12" s="70"/>
      <c r="I12" s="69"/>
      <c r="J12" s="69"/>
      <c r="L12" s="68">
        <v>0</v>
      </c>
      <c r="M12" s="69">
        <v>1</v>
      </c>
      <c r="N12" s="71">
        <f t="shared" si="372"/>
        <v>18</v>
      </c>
      <c r="O12" s="69"/>
      <c r="P12" s="72">
        <f t="shared" si="373"/>
        <v>-18</v>
      </c>
      <c r="R12" s="68">
        <v>20</v>
      </c>
      <c r="S12" s="69">
        <v>1</v>
      </c>
      <c r="T12" s="71">
        <f t="shared" si="374"/>
        <v>4</v>
      </c>
      <c r="U12" s="69">
        <v>4</v>
      </c>
      <c r="V12" s="72">
        <f t="shared" si="375"/>
        <v>0</v>
      </c>
      <c r="X12" s="68">
        <v>24</v>
      </c>
      <c r="Y12" s="69">
        <v>2</v>
      </c>
      <c r="Z12" s="71">
        <f t="shared" si="376"/>
        <v>20</v>
      </c>
      <c r="AA12" s="69">
        <v>20</v>
      </c>
      <c r="AB12" s="72">
        <f t="shared" si="377"/>
        <v>0</v>
      </c>
      <c r="AD12" s="68">
        <v>47</v>
      </c>
      <c r="AE12" s="69"/>
      <c r="AF12" s="71">
        <f t="shared" si="378"/>
        <v>25</v>
      </c>
      <c r="AG12" s="69">
        <v>25</v>
      </c>
      <c r="AH12" s="72">
        <f t="shared" si="379"/>
        <v>0</v>
      </c>
      <c r="AJ12" s="68">
        <v>11</v>
      </c>
      <c r="AK12" s="69">
        <v>3</v>
      </c>
      <c r="AL12" s="71">
        <f t="shared" si="380"/>
        <v>36</v>
      </c>
      <c r="AM12" s="69">
        <v>34</v>
      </c>
      <c r="AN12" s="72">
        <f t="shared" si="381"/>
        <v>-2</v>
      </c>
      <c r="AP12" s="68">
        <v>72</v>
      </c>
      <c r="AQ12" s="69"/>
      <c r="AR12" s="71">
        <f t="shared" si="382"/>
        <v>11</v>
      </c>
      <c r="AS12" s="69">
        <v>10</v>
      </c>
      <c r="AT12" s="72">
        <f t="shared" si="383"/>
        <v>-1</v>
      </c>
      <c r="AV12" s="68">
        <v>40</v>
      </c>
      <c r="AW12" s="69">
        <v>3</v>
      </c>
      <c r="AX12" s="71">
        <f t="shared" si="384"/>
        <v>32</v>
      </c>
      <c r="AY12" s="69">
        <v>32</v>
      </c>
      <c r="AZ12" s="72">
        <f t="shared" si="385"/>
        <v>0</v>
      </c>
      <c r="BB12" s="68">
        <v>9</v>
      </c>
      <c r="BC12" s="69">
        <v>1</v>
      </c>
      <c r="BD12" s="71">
        <f t="shared" si="386"/>
        <v>103</v>
      </c>
      <c r="BE12" s="69">
        <v>30</v>
      </c>
      <c r="BF12" s="72">
        <f t="shared" si="387"/>
        <v>-73</v>
      </c>
      <c r="BH12" s="68">
        <v>71</v>
      </c>
      <c r="BI12" s="69"/>
      <c r="BJ12" s="71">
        <f t="shared" si="388"/>
        <v>-38</v>
      </c>
      <c r="BK12" s="69">
        <v>32</v>
      </c>
      <c r="BL12" s="72">
        <f t="shared" si="389"/>
        <v>70</v>
      </c>
      <c r="BN12" s="68">
        <v>49</v>
      </c>
      <c r="BO12" s="69"/>
      <c r="BP12" s="71">
        <f t="shared" si="390"/>
        <v>22</v>
      </c>
      <c r="BQ12" s="69">
        <v>20</v>
      </c>
      <c r="BR12" s="72">
        <f t="shared" si="391"/>
        <v>-2</v>
      </c>
      <c r="BT12" s="68">
        <v>18</v>
      </c>
      <c r="BU12" s="69">
        <v>4</v>
      </c>
      <c r="BV12" s="71">
        <f t="shared" si="392"/>
        <v>31</v>
      </c>
      <c r="BW12" s="69">
        <v>32</v>
      </c>
      <c r="BX12" s="72">
        <f t="shared" si="393"/>
        <v>1</v>
      </c>
      <c r="BZ12" s="68">
        <v>85</v>
      </c>
      <c r="CA12" s="69"/>
      <c r="CB12" s="71">
        <f t="shared" si="394"/>
        <v>29</v>
      </c>
      <c r="CC12" s="69">
        <v>28</v>
      </c>
      <c r="CD12" s="72">
        <f t="shared" si="395"/>
        <v>-1</v>
      </c>
      <c r="CF12" s="68">
        <v>52</v>
      </c>
      <c r="CG12" s="69">
        <v>1</v>
      </c>
      <c r="CH12" s="71">
        <f t="shared" si="396"/>
        <v>33</v>
      </c>
      <c r="CI12" s="65">
        <v>32</v>
      </c>
      <c r="CJ12" s="72">
        <f t="shared" si="397"/>
        <v>-1</v>
      </c>
      <c r="CL12" s="68">
        <v>25</v>
      </c>
      <c r="CM12" s="69"/>
      <c r="CN12" s="71">
        <f t="shared" si="398"/>
        <v>51</v>
      </c>
      <c r="CO12" s="65">
        <v>27</v>
      </c>
      <c r="CP12" s="72">
        <f t="shared" si="399"/>
        <v>-24</v>
      </c>
      <c r="CR12" s="68">
        <v>19</v>
      </c>
      <c r="CS12" s="69"/>
      <c r="CT12" s="71">
        <f t="shared" si="400"/>
        <v>6</v>
      </c>
      <c r="CU12" s="65">
        <v>33</v>
      </c>
      <c r="CV12" s="72">
        <f t="shared" si="401"/>
        <v>27</v>
      </c>
      <c r="CX12" s="68">
        <v>68</v>
      </c>
      <c r="CY12" s="58"/>
      <c r="CZ12" s="73">
        <f t="shared" si="402"/>
        <v>-49</v>
      </c>
      <c r="DA12" s="65"/>
      <c r="DB12" s="74">
        <f t="shared" si="403"/>
        <v>49</v>
      </c>
      <c r="DD12" s="68">
        <v>17</v>
      </c>
      <c r="DE12" s="58">
        <v>1</v>
      </c>
      <c r="DF12" s="73">
        <f t="shared" si="404"/>
        <v>51</v>
      </c>
      <c r="DG12" s="65"/>
      <c r="DH12" s="74">
        <f t="shared" si="405"/>
        <v>-51</v>
      </c>
      <c r="DJ12" s="68">
        <v>3</v>
      </c>
      <c r="DK12" s="58">
        <v>2</v>
      </c>
      <c r="DL12" s="73">
        <f t="shared" si="406"/>
        <v>38</v>
      </c>
      <c r="DM12" s="65">
        <v>38</v>
      </c>
      <c r="DN12" s="74">
        <f t="shared" si="407"/>
        <v>0</v>
      </c>
      <c r="DP12" s="68">
        <v>1</v>
      </c>
      <c r="DQ12" s="58"/>
      <c r="DR12" s="73">
        <f t="shared" si="408"/>
        <v>50</v>
      </c>
      <c r="DS12" s="65">
        <v>23</v>
      </c>
      <c r="DT12" s="74">
        <f t="shared" si="409"/>
        <v>-27</v>
      </c>
      <c r="DV12" s="68">
        <v>60</v>
      </c>
      <c r="DW12" s="58">
        <v>1</v>
      </c>
      <c r="DX12" s="73">
        <f t="shared" si="410"/>
        <v>-59</v>
      </c>
      <c r="DY12" s="65">
        <v>18</v>
      </c>
      <c r="DZ12" s="74">
        <f t="shared" si="411"/>
        <v>77</v>
      </c>
      <c r="EB12" s="68">
        <v>33</v>
      </c>
      <c r="EC12" s="58"/>
      <c r="ED12" s="73">
        <f t="shared" si="412"/>
        <v>51</v>
      </c>
      <c r="EE12" s="65">
        <v>26</v>
      </c>
      <c r="EF12" s="74">
        <f t="shared" si="413"/>
        <v>-25</v>
      </c>
      <c r="EH12" s="68">
        <v>6</v>
      </c>
      <c r="EI12" s="58"/>
      <c r="EJ12" s="73">
        <f t="shared" si="414"/>
        <v>27</v>
      </c>
      <c r="EK12" s="65">
        <v>23</v>
      </c>
      <c r="EL12" s="74">
        <f t="shared" si="415"/>
        <v>-4</v>
      </c>
      <c r="EN12" s="68">
        <v>54</v>
      </c>
      <c r="EO12" s="58"/>
      <c r="EP12" s="73">
        <f t="shared" si="416"/>
        <v>-48</v>
      </c>
      <c r="EQ12" s="65">
        <v>24</v>
      </c>
      <c r="ER12" s="74">
        <f t="shared" si="417"/>
        <v>72</v>
      </c>
      <c r="ET12" s="68">
        <v>97</v>
      </c>
      <c r="EU12" s="58"/>
      <c r="EV12" s="73">
        <f t="shared" si="418"/>
        <v>-43</v>
      </c>
      <c r="EW12" s="65">
        <v>29</v>
      </c>
      <c r="EX12" s="74">
        <f t="shared" si="419"/>
        <v>72</v>
      </c>
      <c r="EZ12" s="68">
        <v>70</v>
      </c>
      <c r="FA12" s="58"/>
      <c r="FB12" s="73">
        <f t="shared" si="420"/>
        <v>27</v>
      </c>
      <c r="FC12" s="65">
        <v>24</v>
      </c>
      <c r="FD12" s="74">
        <f t="shared" si="421"/>
        <v>-3</v>
      </c>
      <c r="FF12" s="68">
        <v>79</v>
      </c>
      <c r="FG12" s="58"/>
      <c r="FH12" s="73">
        <f t="shared" si="218"/>
        <v>-9</v>
      </c>
      <c r="FI12" s="65">
        <v>18</v>
      </c>
      <c r="FJ12" s="74">
        <f t="shared" si="422"/>
        <v>27</v>
      </c>
      <c r="FL12" s="68">
        <v>68</v>
      </c>
      <c r="FM12" s="58"/>
      <c r="FN12" s="73">
        <f t="shared" si="219"/>
        <v>11</v>
      </c>
      <c r="FO12" s="65">
        <v>11</v>
      </c>
      <c r="FP12" s="74">
        <f t="shared" si="423"/>
        <v>0</v>
      </c>
      <c r="FR12" s="68">
        <v>64</v>
      </c>
      <c r="FS12" s="58"/>
      <c r="FT12" s="73">
        <f t="shared" si="220"/>
        <v>4</v>
      </c>
      <c r="FU12" s="65"/>
      <c r="FV12" s="74">
        <f t="shared" si="424"/>
        <v>-4</v>
      </c>
      <c r="FX12" s="68">
        <v>29</v>
      </c>
      <c r="FY12" s="58"/>
      <c r="FZ12" s="73">
        <f t="shared" si="221"/>
        <v>35</v>
      </c>
      <c r="GA12" s="65">
        <v>32</v>
      </c>
      <c r="GB12" s="74">
        <f t="shared" si="425"/>
        <v>-3</v>
      </c>
      <c r="GD12" s="68">
        <v>21</v>
      </c>
      <c r="GE12" s="58"/>
      <c r="GF12" s="73">
        <f t="shared" si="222"/>
        <v>8</v>
      </c>
      <c r="GG12" s="65">
        <v>31</v>
      </c>
      <c r="GH12" s="74">
        <f t="shared" si="426"/>
        <v>23</v>
      </c>
      <c r="GJ12" s="68">
        <v>49</v>
      </c>
      <c r="GK12" s="58"/>
      <c r="GL12" s="73">
        <f t="shared" si="223"/>
        <v>-28</v>
      </c>
      <c r="GM12" s="65">
        <v>21</v>
      </c>
      <c r="GN12" s="74">
        <f t="shared" si="427"/>
        <v>49</v>
      </c>
      <c r="GP12" s="68">
        <v>94</v>
      </c>
      <c r="GQ12" s="58"/>
      <c r="GR12" s="73">
        <f t="shared" si="224"/>
        <v>-45</v>
      </c>
      <c r="GS12" s="65">
        <v>29</v>
      </c>
      <c r="GT12" s="74">
        <f t="shared" si="428"/>
        <v>74</v>
      </c>
      <c r="GV12" s="68">
        <v>65</v>
      </c>
      <c r="GW12" s="58">
        <v>1</v>
      </c>
      <c r="GX12" s="73">
        <f t="shared" si="225"/>
        <v>29</v>
      </c>
      <c r="GY12" s="65">
        <v>27</v>
      </c>
      <c r="GZ12" s="74">
        <f t="shared" si="429"/>
        <v>-2</v>
      </c>
      <c r="HB12" s="68">
        <v>37</v>
      </c>
      <c r="HC12" s="58"/>
      <c r="HD12" s="73">
        <f t="shared" si="226"/>
        <v>52</v>
      </c>
      <c r="HE12" s="65">
        <v>29</v>
      </c>
      <c r="HF12" s="74">
        <f t="shared" si="430"/>
        <v>-23</v>
      </c>
      <c r="HH12" s="68">
        <v>28</v>
      </c>
      <c r="HI12" s="58"/>
      <c r="HJ12" s="73">
        <f t="shared" si="227"/>
        <v>9</v>
      </c>
      <c r="HK12" s="65">
        <v>34</v>
      </c>
      <c r="HL12" s="74">
        <f t="shared" si="431"/>
        <v>25</v>
      </c>
      <c r="HN12" s="68">
        <v>44</v>
      </c>
      <c r="HO12" s="58"/>
      <c r="HP12" s="73">
        <f t="shared" si="228"/>
        <v>-16</v>
      </c>
      <c r="HQ12" s="65">
        <v>31</v>
      </c>
      <c r="HR12" s="74">
        <f t="shared" si="432"/>
        <v>47</v>
      </c>
      <c r="HT12" s="68">
        <v>51</v>
      </c>
      <c r="HU12" s="58"/>
      <c r="HV12" s="73">
        <f t="shared" si="229"/>
        <v>-7</v>
      </c>
      <c r="HW12" s="65">
        <v>41</v>
      </c>
      <c r="HX12" s="74">
        <f t="shared" si="433"/>
        <v>48</v>
      </c>
      <c r="HZ12" s="68">
        <v>77</v>
      </c>
      <c r="IA12" s="58"/>
      <c r="IB12" s="73">
        <f t="shared" si="230"/>
        <v>-26</v>
      </c>
      <c r="IC12" s="65">
        <v>21</v>
      </c>
      <c r="ID12" s="74">
        <f t="shared" si="434"/>
        <v>47</v>
      </c>
      <c r="IF12" s="68">
        <v>77</v>
      </c>
      <c r="IG12" s="58"/>
      <c r="IH12" s="73">
        <f t="shared" si="231"/>
        <v>0</v>
      </c>
      <c r="II12" s="65">
        <v>26</v>
      </c>
      <c r="IJ12" s="74">
        <f t="shared" si="435"/>
        <v>26</v>
      </c>
      <c r="IL12" s="68">
        <v>97</v>
      </c>
      <c r="IM12" s="58"/>
      <c r="IN12" s="73">
        <f t="shared" si="232"/>
        <v>-20</v>
      </c>
      <c r="IO12" s="65">
        <v>28</v>
      </c>
      <c r="IP12" s="74">
        <f t="shared" si="436"/>
        <v>48</v>
      </c>
      <c r="IR12" s="68">
        <v>75</v>
      </c>
      <c r="IS12" s="58"/>
      <c r="IT12" s="73">
        <f t="shared" si="233"/>
        <v>22</v>
      </c>
      <c r="IU12" s="65">
        <v>22</v>
      </c>
      <c r="IV12" s="74">
        <f t="shared" si="437"/>
        <v>0</v>
      </c>
      <c r="IX12" s="68">
        <v>35</v>
      </c>
      <c r="IY12" s="58"/>
      <c r="IZ12" s="73">
        <f t="shared" si="234"/>
        <v>40</v>
      </c>
      <c r="JA12" s="65">
        <v>40</v>
      </c>
      <c r="JB12" s="74">
        <f t="shared" si="438"/>
        <v>0</v>
      </c>
      <c r="JD12" s="68">
        <v>62</v>
      </c>
      <c r="JE12" s="58"/>
      <c r="JF12" s="73">
        <f t="shared" si="235"/>
        <v>-27</v>
      </c>
      <c r="JG12" s="65">
        <v>20</v>
      </c>
      <c r="JH12" s="74">
        <f t="shared" si="439"/>
        <v>47</v>
      </c>
      <c r="JJ12" s="68">
        <v>58</v>
      </c>
      <c r="JK12" s="58"/>
      <c r="JL12" s="73">
        <f t="shared" si="236"/>
        <v>4</v>
      </c>
      <c r="JM12" s="65">
        <v>27</v>
      </c>
      <c r="JN12" s="74">
        <f t="shared" si="440"/>
        <v>23</v>
      </c>
      <c r="JP12" s="68">
        <v>67</v>
      </c>
      <c r="JQ12" s="58"/>
      <c r="JR12" s="73">
        <f t="shared" si="237"/>
        <v>-9</v>
      </c>
      <c r="JS12" s="65">
        <v>37</v>
      </c>
      <c r="JT12" s="74">
        <f t="shared" si="441"/>
        <v>46</v>
      </c>
      <c r="JV12" s="68">
        <v>29</v>
      </c>
      <c r="JW12" s="58"/>
      <c r="JX12" s="73">
        <f t="shared" si="238"/>
        <v>38</v>
      </c>
      <c r="JY12" s="65">
        <v>37</v>
      </c>
      <c r="JZ12" s="74">
        <f t="shared" si="442"/>
        <v>-1</v>
      </c>
      <c r="KB12" s="68">
        <v>53</v>
      </c>
      <c r="KC12" s="58"/>
      <c r="KD12" s="73">
        <f t="shared" si="239"/>
        <v>-24</v>
      </c>
      <c r="KE12" s="65">
        <v>47</v>
      </c>
      <c r="KF12" s="74">
        <f t="shared" si="443"/>
        <v>71</v>
      </c>
      <c r="KH12" s="68">
        <v>48</v>
      </c>
      <c r="KI12" s="58"/>
      <c r="KJ12" s="73">
        <f t="shared" si="240"/>
        <v>5</v>
      </c>
      <c r="KK12" s="65">
        <v>31</v>
      </c>
      <c r="KL12" s="74">
        <f t="shared" si="444"/>
        <v>26</v>
      </c>
      <c r="KN12" s="68">
        <v>54</v>
      </c>
      <c r="KO12" s="58"/>
      <c r="KP12" s="73">
        <f t="shared" si="241"/>
        <v>-6</v>
      </c>
      <c r="KQ12" s="65">
        <v>13</v>
      </c>
      <c r="KR12" s="74">
        <f t="shared" si="445"/>
        <v>19</v>
      </c>
      <c r="KT12" s="68">
        <v>65</v>
      </c>
      <c r="KU12" s="58"/>
      <c r="KV12" s="73">
        <f t="shared" si="242"/>
        <v>-11</v>
      </c>
      <c r="KW12" s="65">
        <v>35</v>
      </c>
      <c r="KX12" s="74">
        <f t="shared" si="446"/>
        <v>46</v>
      </c>
      <c r="KZ12" s="68">
        <v>94</v>
      </c>
      <c r="LA12" s="58"/>
      <c r="LB12" s="73">
        <f t="shared" si="243"/>
        <v>-29</v>
      </c>
      <c r="LC12" s="65">
        <v>19</v>
      </c>
      <c r="LD12" s="74">
        <f t="shared" si="447"/>
        <v>48</v>
      </c>
      <c r="LF12" s="68">
        <v>89</v>
      </c>
      <c r="LG12" s="58"/>
      <c r="LH12" s="73">
        <f t="shared" si="244"/>
        <v>5</v>
      </c>
      <c r="LI12" s="65"/>
      <c r="LJ12" s="74">
        <f t="shared" si="448"/>
        <v>-5</v>
      </c>
      <c r="LL12" s="68">
        <v>87</v>
      </c>
      <c r="LM12" s="58"/>
      <c r="LN12" s="73">
        <f t="shared" si="245"/>
        <v>2</v>
      </c>
      <c r="LO12" s="65"/>
      <c r="LP12" s="74">
        <f t="shared" si="449"/>
        <v>-2</v>
      </c>
      <c r="LR12" s="68">
        <v>45</v>
      </c>
      <c r="LS12" s="58"/>
      <c r="LT12" s="73">
        <f t="shared" si="246"/>
        <v>42</v>
      </c>
      <c r="LU12" s="65">
        <v>30</v>
      </c>
      <c r="LV12" s="74">
        <f t="shared" si="450"/>
        <v>-12</v>
      </c>
      <c r="LX12" s="68">
        <v>57</v>
      </c>
      <c r="LY12" s="58"/>
      <c r="LZ12" s="73">
        <f t="shared" si="247"/>
        <v>-12</v>
      </c>
      <c r="MA12" s="65">
        <v>26</v>
      </c>
      <c r="MB12" s="74">
        <f t="shared" si="451"/>
        <v>38</v>
      </c>
      <c r="MD12" s="68">
        <v>19</v>
      </c>
      <c r="ME12" s="58"/>
      <c r="MF12" s="73">
        <f t="shared" si="248"/>
        <v>38</v>
      </c>
      <c r="MG12" s="65"/>
      <c r="MH12" s="74">
        <f t="shared" si="452"/>
        <v>-38</v>
      </c>
      <c r="MJ12" s="68">
        <v>0</v>
      </c>
      <c r="MK12" s="58">
        <v>3</v>
      </c>
      <c r="ML12" s="73">
        <f t="shared" si="249"/>
        <v>19</v>
      </c>
      <c r="MM12" s="65"/>
      <c r="MN12" s="74">
        <f t="shared" si="453"/>
        <v>-19</v>
      </c>
      <c r="MP12" s="68">
        <v>8</v>
      </c>
      <c r="MQ12" s="58">
        <v>3</v>
      </c>
      <c r="MR12" s="73">
        <f t="shared" si="250"/>
        <v>64</v>
      </c>
      <c r="MS12" s="65"/>
      <c r="MT12" s="74">
        <f t="shared" si="454"/>
        <v>-64</v>
      </c>
      <c r="MV12" s="68">
        <v>46</v>
      </c>
      <c r="MW12" s="58"/>
      <c r="MX12" s="73">
        <f t="shared" si="251"/>
        <v>34</v>
      </c>
      <c r="MY12" s="65"/>
      <c r="MZ12" s="74">
        <f t="shared" si="455"/>
        <v>-34</v>
      </c>
      <c r="NB12" s="68">
        <v>32</v>
      </c>
      <c r="NC12" s="58"/>
      <c r="ND12" s="73">
        <f t="shared" si="252"/>
        <v>14</v>
      </c>
      <c r="NE12" s="65"/>
      <c r="NF12" s="74">
        <f t="shared" si="456"/>
        <v>-14</v>
      </c>
      <c r="NH12" s="68">
        <v>0</v>
      </c>
      <c r="NI12" s="58"/>
      <c r="NJ12" s="73">
        <f t="shared" si="253"/>
        <v>32</v>
      </c>
      <c r="NK12" s="65"/>
      <c r="NL12" s="74">
        <f t="shared" si="457"/>
        <v>-32</v>
      </c>
      <c r="NN12" s="68">
        <v>0</v>
      </c>
      <c r="NO12" s="58"/>
      <c r="NP12" s="73">
        <f t="shared" si="254"/>
        <v>0</v>
      </c>
      <c r="NQ12" s="65"/>
      <c r="NR12" s="74">
        <f t="shared" si="458"/>
        <v>0</v>
      </c>
      <c r="NT12" s="68">
        <v>19</v>
      </c>
      <c r="NU12" s="58">
        <v>3</v>
      </c>
      <c r="NV12" s="73">
        <f t="shared" si="255"/>
        <v>-19</v>
      </c>
      <c r="NW12" s="65"/>
      <c r="NX12" s="74">
        <f t="shared" si="459"/>
        <v>19</v>
      </c>
      <c r="NZ12" s="68">
        <v>55</v>
      </c>
      <c r="OA12" s="58"/>
      <c r="OB12" s="73">
        <f t="shared" si="256"/>
        <v>36</v>
      </c>
      <c r="OC12" s="65"/>
      <c r="OD12" s="74">
        <f t="shared" si="460"/>
        <v>-36</v>
      </c>
      <c r="OF12" s="68">
        <v>62</v>
      </c>
      <c r="OG12" s="58"/>
      <c r="OH12" s="73">
        <f t="shared" si="257"/>
        <v>-7</v>
      </c>
      <c r="OI12" s="65"/>
      <c r="OJ12" s="74">
        <f t="shared" si="461"/>
        <v>7</v>
      </c>
      <c r="OL12" s="68">
        <v>29</v>
      </c>
      <c r="OM12" s="58"/>
      <c r="ON12" s="73">
        <f t="shared" si="258"/>
        <v>33</v>
      </c>
      <c r="OO12" s="65"/>
      <c r="OP12" s="74">
        <f t="shared" si="462"/>
        <v>-33</v>
      </c>
      <c r="OR12" s="68">
        <v>68</v>
      </c>
      <c r="OS12" s="58"/>
      <c r="OT12" s="73">
        <f t="shared" si="259"/>
        <v>-39</v>
      </c>
      <c r="OU12" s="65"/>
      <c r="OV12" s="74">
        <f t="shared" si="463"/>
        <v>39</v>
      </c>
      <c r="OX12" s="68">
        <v>88</v>
      </c>
      <c r="OY12" s="58"/>
      <c r="OZ12" s="73">
        <f t="shared" si="260"/>
        <v>-20</v>
      </c>
      <c r="PA12" s="65"/>
      <c r="PB12" s="74">
        <f t="shared" si="464"/>
        <v>20</v>
      </c>
      <c r="PD12" s="68">
        <v>127</v>
      </c>
      <c r="PE12" s="58"/>
      <c r="PF12" s="73">
        <f t="shared" si="261"/>
        <v>-39</v>
      </c>
      <c r="PG12" s="65"/>
      <c r="PH12" s="74">
        <f t="shared" si="465"/>
        <v>39</v>
      </c>
      <c r="PJ12" s="68">
        <v>168</v>
      </c>
      <c r="PK12" s="58"/>
      <c r="PL12" s="73">
        <f t="shared" si="262"/>
        <v>-41</v>
      </c>
      <c r="PM12" s="65"/>
      <c r="PN12" s="74">
        <f t="shared" si="466"/>
        <v>41</v>
      </c>
      <c r="PP12" s="68">
        <v>135</v>
      </c>
      <c r="PQ12" s="58"/>
      <c r="PR12" s="73">
        <f t="shared" si="263"/>
        <v>33</v>
      </c>
      <c r="PS12" s="65"/>
      <c r="PT12" s="74">
        <f t="shared" si="467"/>
        <v>-33</v>
      </c>
      <c r="PV12" s="68">
        <v>87</v>
      </c>
      <c r="PW12" s="58"/>
      <c r="PX12" s="73">
        <f t="shared" si="264"/>
        <v>48</v>
      </c>
      <c r="PY12" s="65"/>
      <c r="PZ12" s="74">
        <f t="shared" si="468"/>
        <v>-48</v>
      </c>
      <c r="QB12" s="68">
        <v>63</v>
      </c>
      <c r="QC12" s="58"/>
      <c r="QD12" s="73">
        <f t="shared" si="265"/>
        <v>24</v>
      </c>
      <c r="QE12" s="65"/>
      <c r="QF12" s="74">
        <f t="shared" si="469"/>
        <v>-24</v>
      </c>
      <c r="QH12" s="68">
        <v>31</v>
      </c>
      <c r="QI12" s="58"/>
      <c r="QJ12" s="73">
        <f t="shared" si="266"/>
        <v>32</v>
      </c>
      <c r="QK12" s="65"/>
      <c r="QL12" s="74">
        <f t="shared" si="470"/>
        <v>-32</v>
      </c>
      <c r="QN12" s="68">
        <v>0</v>
      </c>
      <c r="QO12" s="58"/>
      <c r="QP12" s="73">
        <f t="shared" si="267"/>
        <v>31</v>
      </c>
      <c r="QQ12" s="65"/>
      <c r="QR12" s="74">
        <f t="shared" si="471"/>
        <v>-31</v>
      </c>
      <c r="QT12" s="68">
        <v>12</v>
      </c>
      <c r="QU12" s="58"/>
      <c r="QV12" s="73">
        <f t="shared" si="268"/>
        <v>-12</v>
      </c>
      <c r="QW12" s="65"/>
      <c r="QX12" s="74">
        <f t="shared" si="472"/>
        <v>12</v>
      </c>
      <c r="QZ12" s="68">
        <v>0</v>
      </c>
      <c r="RA12" s="58"/>
      <c r="RB12" s="73">
        <f t="shared" si="269"/>
        <v>12</v>
      </c>
      <c r="RC12" s="65"/>
      <c r="RD12" s="74">
        <f t="shared" si="473"/>
        <v>-12</v>
      </c>
      <c r="RF12" s="68">
        <v>33</v>
      </c>
      <c r="RG12" s="58"/>
      <c r="RH12" s="73">
        <f t="shared" si="270"/>
        <v>-33</v>
      </c>
      <c r="RI12" s="65"/>
      <c r="RJ12" s="74">
        <f t="shared" si="474"/>
        <v>33</v>
      </c>
      <c r="RL12" s="68">
        <v>37</v>
      </c>
      <c r="RM12" s="58"/>
      <c r="RN12" s="73">
        <f t="shared" si="271"/>
        <v>-4</v>
      </c>
      <c r="RO12" s="65"/>
      <c r="RP12" s="74">
        <f t="shared" si="475"/>
        <v>4</v>
      </c>
      <c r="RR12" s="68">
        <v>37</v>
      </c>
      <c r="RS12" s="58"/>
      <c r="RT12" s="73">
        <f t="shared" si="272"/>
        <v>0</v>
      </c>
      <c r="RU12" s="65"/>
      <c r="RV12" s="74">
        <f t="shared" si="476"/>
        <v>0</v>
      </c>
      <c r="RX12" s="68">
        <v>31</v>
      </c>
      <c r="RY12" s="58">
        <v>3</v>
      </c>
      <c r="RZ12" s="73">
        <f t="shared" si="273"/>
        <v>6</v>
      </c>
      <c r="SA12" s="65"/>
      <c r="SB12" s="74">
        <f t="shared" si="477"/>
        <v>-6</v>
      </c>
      <c r="SD12" s="68">
        <v>2</v>
      </c>
      <c r="SE12" s="58"/>
      <c r="SF12" s="73">
        <f t="shared" si="274"/>
        <v>101</v>
      </c>
      <c r="SG12" s="65"/>
      <c r="SH12" s="74">
        <f t="shared" si="478"/>
        <v>-101</v>
      </c>
      <c r="SJ12" s="68">
        <v>41</v>
      </c>
      <c r="SK12" s="58">
        <v>2</v>
      </c>
      <c r="SL12" s="73">
        <f t="shared" si="275"/>
        <v>-39</v>
      </c>
      <c r="SM12" s="65"/>
      <c r="SN12" s="74">
        <f t="shared" si="479"/>
        <v>39</v>
      </c>
      <c r="SP12" s="68">
        <v>3</v>
      </c>
      <c r="SQ12" s="58"/>
      <c r="SR12" s="73">
        <f t="shared" si="276"/>
        <v>86</v>
      </c>
      <c r="SS12" s="65"/>
      <c r="ST12" s="74">
        <f t="shared" si="480"/>
        <v>-86</v>
      </c>
      <c r="SV12" s="68">
        <v>20</v>
      </c>
      <c r="SW12" s="58"/>
      <c r="SX12" s="73">
        <f t="shared" si="277"/>
        <v>-17</v>
      </c>
      <c r="SY12" s="65"/>
      <c r="SZ12" s="74">
        <f t="shared" si="481"/>
        <v>17</v>
      </c>
      <c r="TB12" s="68">
        <v>48</v>
      </c>
      <c r="TC12" s="58"/>
      <c r="TD12" s="73">
        <f t="shared" si="278"/>
        <v>-28</v>
      </c>
      <c r="TE12" s="65"/>
      <c r="TF12" s="74">
        <f t="shared" si="482"/>
        <v>28</v>
      </c>
      <c r="TH12" s="68">
        <v>26</v>
      </c>
      <c r="TI12" s="58"/>
      <c r="TJ12" s="73">
        <f t="shared" si="279"/>
        <v>22</v>
      </c>
      <c r="TK12" s="65"/>
      <c r="TL12" s="74">
        <f t="shared" si="483"/>
        <v>-22</v>
      </c>
      <c r="TN12" s="68">
        <v>43</v>
      </c>
      <c r="TO12" s="58"/>
      <c r="TP12" s="73">
        <f t="shared" si="280"/>
        <v>-17</v>
      </c>
      <c r="TQ12" s="65"/>
      <c r="TR12" s="74">
        <f t="shared" si="484"/>
        <v>17</v>
      </c>
      <c r="TT12" s="68">
        <v>23</v>
      </c>
      <c r="TU12" s="58"/>
      <c r="TV12" s="73">
        <f t="shared" si="281"/>
        <v>20</v>
      </c>
      <c r="TW12" s="65"/>
      <c r="TX12" s="74">
        <f t="shared" si="485"/>
        <v>-20</v>
      </c>
      <c r="TZ12" s="68">
        <v>51</v>
      </c>
      <c r="UA12" s="58"/>
      <c r="UB12" s="73">
        <f t="shared" si="282"/>
        <v>-28</v>
      </c>
      <c r="UC12" s="65"/>
      <c r="UD12" s="74">
        <f t="shared" si="486"/>
        <v>28</v>
      </c>
      <c r="UF12" s="68">
        <v>65</v>
      </c>
      <c r="UG12" s="58"/>
      <c r="UH12" s="73">
        <f t="shared" si="283"/>
        <v>-14</v>
      </c>
      <c r="UI12" s="65"/>
      <c r="UJ12" s="74">
        <f t="shared" si="487"/>
        <v>14</v>
      </c>
      <c r="UL12" s="68">
        <v>11</v>
      </c>
      <c r="UM12" s="58"/>
      <c r="UN12" s="73">
        <f t="shared" si="284"/>
        <v>54</v>
      </c>
      <c r="UO12" s="65"/>
      <c r="UP12" s="74">
        <f t="shared" si="488"/>
        <v>-54</v>
      </c>
      <c r="UR12" s="68">
        <v>59</v>
      </c>
      <c r="US12" s="58"/>
      <c r="UT12" s="73">
        <f t="shared" si="285"/>
        <v>-48</v>
      </c>
      <c r="UU12" s="65"/>
      <c r="UV12" s="74">
        <f t="shared" si="489"/>
        <v>48</v>
      </c>
      <c r="UX12" s="68">
        <v>15</v>
      </c>
      <c r="UY12" s="58"/>
      <c r="UZ12" s="73">
        <f t="shared" si="286"/>
        <v>44</v>
      </c>
      <c r="VA12" s="65"/>
      <c r="VB12" s="74">
        <f t="shared" si="490"/>
        <v>-44</v>
      </c>
      <c r="VD12" s="68">
        <v>15</v>
      </c>
      <c r="VE12" s="58"/>
      <c r="VF12" s="73">
        <f t="shared" si="287"/>
        <v>0</v>
      </c>
      <c r="VG12" s="65"/>
      <c r="VH12" s="74">
        <f t="shared" si="491"/>
        <v>0</v>
      </c>
      <c r="VJ12" s="68">
        <v>0</v>
      </c>
      <c r="VK12" s="58"/>
      <c r="VL12" s="73">
        <f t="shared" si="288"/>
        <v>15</v>
      </c>
      <c r="VM12" s="65"/>
      <c r="VN12" s="74">
        <f t="shared" si="492"/>
        <v>-15</v>
      </c>
      <c r="VP12" s="68">
        <v>33</v>
      </c>
      <c r="VQ12" s="58"/>
      <c r="VR12" s="73">
        <f t="shared" si="289"/>
        <v>-33</v>
      </c>
      <c r="VS12" s="65"/>
      <c r="VT12" s="74">
        <f t="shared" si="493"/>
        <v>33</v>
      </c>
      <c r="VV12" s="68">
        <v>19</v>
      </c>
      <c r="VW12" s="58"/>
      <c r="VX12" s="73">
        <f t="shared" si="290"/>
        <v>14</v>
      </c>
      <c r="VY12" s="65"/>
      <c r="VZ12" s="74">
        <f t="shared" si="494"/>
        <v>-14</v>
      </c>
      <c r="WB12" s="68">
        <v>0</v>
      </c>
      <c r="WC12" s="58">
        <v>3</v>
      </c>
      <c r="WD12" s="73">
        <f t="shared" si="291"/>
        <v>19</v>
      </c>
      <c r="WE12" s="65"/>
      <c r="WF12" s="74">
        <f t="shared" si="495"/>
        <v>19</v>
      </c>
      <c r="WH12" s="68">
        <v>67</v>
      </c>
      <c r="WI12" s="58"/>
      <c r="WJ12" s="73">
        <f t="shared" si="292"/>
        <v>5</v>
      </c>
      <c r="WK12" s="65"/>
      <c r="WL12" s="74">
        <f t="shared" si="496"/>
        <v>5</v>
      </c>
      <c r="WN12" s="68">
        <v>43</v>
      </c>
      <c r="WO12" s="58"/>
      <c r="WP12" s="73">
        <f t="shared" si="293"/>
        <v>24</v>
      </c>
      <c r="WQ12" s="65"/>
      <c r="WR12" s="74">
        <f t="shared" si="497"/>
        <v>24</v>
      </c>
      <c r="WT12" s="68">
        <v>12</v>
      </c>
      <c r="WU12" s="58">
        <v>2</v>
      </c>
      <c r="WV12" s="73">
        <f t="shared" si="294"/>
        <v>31</v>
      </c>
      <c r="WW12" s="65"/>
      <c r="WX12" s="74">
        <f t="shared" si="498"/>
        <v>31</v>
      </c>
      <c r="WZ12" s="68">
        <v>33</v>
      </c>
      <c r="XA12" s="58"/>
      <c r="XB12" s="73">
        <f t="shared" si="295"/>
        <v>27</v>
      </c>
      <c r="XC12" s="65"/>
      <c r="XD12" s="74">
        <f t="shared" si="499"/>
        <v>27</v>
      </c>
      <c r="XF12" s="68">
        <v>65</v>
      </c>
      <c r="XG12" s="58"/>
      <c r="XH12" s="73">
        <f t="shared" si="296"/>
        <v>-32</v>
      </c>
      <c r="XI12" s="65"/>
      <c r="XJ12" s="74">
        <f t="shared" si="500"/>
        <v>-32</v>
      </c>
      <c r="XL12" s="68">
        <v>84</v>
      </c>
      <c r="XM12" s="58"/>
      <c r="XN12" s="73">
        <f t="shared" si="297"/>
        <v>-19</v>
      </c>
      <c r="XO12" s="65"/>
      <c r="XP12" s="74">
        <f t="shared" si="501"/>
        <v>-19</v>
      </c>
      <c r="XR12" s="68">
        <v>96</v>
      </c>
      <c r="XS12" s="58"/>
      <c r="XT12" s="73">
        <f t="shared" si="298"/>
        <v>-12</v>
      </c>
      <c r="XU12" s="65"/>
      <c r="XV12" s="74">
        <f t="shared" si="502"/>
        <v>-12</v>
      </c>
      <c r="XX12" s="68">
        <v>112</v>
      </c>
      <c r="XY12" s="58"/>
      <c r="XZ12" s="73">
        <f t="shared" si="299"/>
        <v>-16</v>
      </c>
      <c r="YA12" s="65"/>
      <c r="YB12" s="74">
        <f t="shared" si="503"/>
        <v>-16</v>
      </c>
      <c r="YD12" s="68">
        <v>93</v>
      </c>
      <c r="YE12" s="58"/>
      <c r="YF12" s="73">
        <f t="shared" si="300"/>
        <v>19</v>
      </c>
      <c r="YG12" s="65"/>
      <c r="YH12" s="74">
        <f t="shared" si="504"/>
        <v>19</v>
      </c>
      <c r="YJ12" s="68">
        <v>62</v>
      </c>
      <c r="YK12" s="58"/>
      <c r="YL12" s="73">
        <f t="shared" si="301"/>
        <v>31</v>
      </c>
      <c r="YM12" s="65"/>
      <c r="YN12" s="74">
        <f t="shared" si="505"/>
        <v>31</v>
      </c>
      <c r="YP12" s="68">
        <v>29</v>
      </c>
      <c r="YQ12" s="58"/>
      <c r="YR12" s="73">
        <f t="shared" si="302"/>
        <v>33</v>
      </c>
      <c r="YS12" s="65"/>
      <c r="YT12" s="74">
        <f t="shared" si="506"/>
        <v>33</v>
      </c>
      <c r="YV12" s="68">
        <v>2</v>
      </c>
      <c r="YW12" s="58"/>
      <c r="YX12" s="73">
        <f t="shared" si="303"/>
        <v>27</v>
      </c>
      <c r="YY12" s="65"/>
      <c r="YZ12" s="74">
        <f t="shared" si="507"/>
        <v>27</v>
      </c>
      <c r="ZB12" s="68">
        <v>0</v>
      </c>
      <c r="ZC12" s="58"/>
      <c r="ZD12" s="73">
        <f t="shared" si="304"/>
        <v>2</v>
      </c>
      <c r="ZE12" s="65"/>
      <c r="ZF12" s="74">
        <f t="shared" si="508"/>
        <v>2</v>
      </c>
      <c r="ZH12" s="68">
        <v>37</v>
      </c>
      <c r="ZI12" s="58"/>
      <c r="ZJ12" s="73">
        <f t="shared" si="305"/>
        <v>-37</v>
      </c>
      <c r="ZK12" s="65"/>
      <c r="ZL12" s="74">
        <f t="shared" si="509"/>
        <v>-37</v>
      </c>
      <c r="ZN12" s="68">
        <v>7</v>
      </c>
      <c r="ZO12" s="58"/>
      <c r="ZP12" s="73">
        <f t="shared" si="306"/>
        <v>30</v>
      </c>
      <c r="ZQ12" s="65"/>
      <c r="ZR12" s="74">
        <f t="shared" si="510"/>
        <v>30</v>
      </c>
      <c r="ZT12" s="68">
        <v>0</v>
      </c>
      <c r="ZU12" s="58"/>
      <c r="ZV12" s="73">
        <f t="shared" si="307"/>
        <v>7</v>
      </c>
      <c r="ZW12" s="65"/>
      <c r="ZX12" s="74">
        <f t="shared" si="511"/>
        <v>7</v>
      </c>
      <c r="ZZ12" s="68">
        <v>28</v>
      </c>
      <c r="AAA12" s="58"/>
      <c r="AAB12" s="73">
        <f t="shared" si="308"/>
        <v>-28</v>
      </c>
      <c r="AAC12" s="65"/>
      <c r="AAD12" s="74">
        <f t="shared" si="512"/>
        <v>-28</v>
      </c>
      <c r="AAF12" s="68">
        <v>18</v>
      </c>
      <c r="AAG12" s="58"/>
      <c r="AAH12" s="73">
        <f t="shared" si="309"/>
        <v>10</v>
      </c>
      <c r="AAI12" s="65"/>
      <c r="AAJ12" s="74">
        <f t="shared" si="513"/>
        <v>10</v>
      </c>
      <c r="AAL12" s="68">
        <v>43</v>
      </c>
      <c r="AAM12" s="58"/>
      <c r="AAN12" s="73">
        <f t="shared" si="310"/>
        <v>-25</v>
      </c>
      <c r="AAO12" s="65"/>
      <c r="AAP12" s="74">
        <f t="shared" si="514"/>
        <v>-25</v>
      </c>
      <c r="AAR12" s="68">
        <v>20</v>
      </c>
      <c r="AAS12" s="58"/>
      <c r="AAT12" s="73">
        <f t="shared" si="311"/>
        <v>23</v>
      </c>
      <c r="AAU12" s="65"/>
      <c r="AAV12" s="74">
        <f t="shared" si="515"/>
        <v>23</v>
      </c>
      <c r="AAX12" s="68">
        <v>0</v>
      </c>
      <c r="AAY12" s="58"/>
      <c r="AAZ12" s="73">
        <f t="shared" si="312"/>
        <v>20</v>
      </c>
      <c r="ABA12" s="65"/>
      <c r="ABB12" s="74">
        <f t="shared" si="516"/>
        <v>20</v>
      </c>
      <c r="ABD12" s="68">
        <v>38</v>
      </c>
      <c r="ABE12" s="58"/>
      <c r="ABF12" s="73">
        <f t="shared" si="313"/>
        <v>-38</v>
      </c>
      <c r="ABG12" s="65"/>
      <c r="ABH12" s="74">
        <f t="shared" si="517"/>
        <v>-38</v>
      </c>
      <c r="ABJ12" s="68">
        <v>60</v>
      </c>
      <c r="ABK12" s="58"/>
      <c r="ABL12" s="73">
        <f t="shared" si="314"/>
        <v>-22</v>
      </c>
      <c r="ABM12" s="65"/>
      <c r="ABN12" s="74">
        <f t="shared" si="518"/>
        <v>-22</v>
      </c>
      <c r="ABP12" s="68">
        <v>47</v>
      </c>
      <c r="ABQ12" s="58"/>
      <c r="ABR12" s="73">
        <f t="shared" si="315"/>
        <v>13</v>
      </c>
      <c r="ABS12" s="65"/>
      <c r="ABT12" s="74">
        <f t="shared" si="519"/>
        <v>13</v>
      </c>
      <c r="ABV12" s="68">
        <v>89</v>
      </c>
      <c r="ABW12" s="58"/>
      <c r="ABX12" s="73">
        <f t="shared" si="316"/>
        <v>-42</v>
      </c>
      <c r="ABY12" s="65"/>
      <c r="ABZ12" s="74">
        <f t="shared" si="520"/>
        <v>-42</v>
      </c>
      <c r="ACB12" s="68">
        <v>88</v>
      </c>
      <c r="ACC12" s="58"/>
      <c r="ACD12" s="73">
        <f t="shared" si="317"/>
        <v>1</v>
      </c>
      <c r="ACE12" s="65"/>
      <c r="ACF12" s="74">
        <f t="shared" si="521"/>
        <v>1</v>
      </c>
      <c r="ACH12" s="68">
        <v>70</v>
      </c>
      <c r="ACI12" s="58"/>
      <c r="ACJ12" s="73">
        <f t="shared" si="318"/>
        <v>18</v>
      </c>
      <c r="ACK12" s="65"/>
      <c r="ACL12" s="74">
        <f t="shared" si="522"/>
        <v>18</v>
      </c>
      <c r="ACN12" s="68">
        <v>105</v>
      </c>
      <c r="ACO12" s="58"/>
      <c r="ACP12" s="73">
        <f t="shared" si="319"/>
        <v>-35</v>
      </c>
      <c r="ACQ12" s="65"/>
      <c r="ACR12" s="74">
        <f t="shared" si="523"/>
        <v>-35</v>
      </c>
      <c r="ACT12" s="68">
        <v>78</v>
      </c>
      <c r="ACU12" s="58"/>
      <c r="ACV12" s="73">
        <f t="shared" si="320"/>
        <v>27</v>
      </c>
      <c r="ACW12" s="65"/>
      <c r="ACX12" s="74">
        <f t="shared" si="524"/>
        <v>27</v>
      </c>
      <c r="ACZ12" s="68">
        <v>47</v>
      </c>
      <c r="ADA12" s="58"/>
      <c r="ADB12" s="73">
        <f t="shared" si="321"/>
        <v>31</v>
      </c>
      <c r="ADC12" s="65"/>
      <c r="ADD12" s="74">
        <f t="shared" si="525"/>
        <v>31</v>
      </c>
      <c r="ADF12" s="68">
        <v>62</v>
      </c>
      <c r="ADG12" s="58"/>
      <c r="ADH12" s="73">
        <f t="shared" si="322"/>
        <v>-15</v>
      </c>
      <c r="ADI12" s="65"/>
      <c r="ADJ12" s="74">
        <f t="shared" si="526"/>
        <v>-15</v>
      </c>
      <c r="ADL12" s="68">
        <v>68</v>
      </c>
      <c r="ADM12" s="58"/>
      <c r="ADN12" s="73">
        <f t="shared" si="323"/>
        <v>-6</v>
      </c>
      <c r="ADO12" s="65"/>
      <c r="ADP12" s="74">
        <f t="shared" si="527"/>
        <v>-6</v>
      </c>
      <c r="ADR12" s="68">
        <v>84</v>
      </c>
      <c r="ADS12" s="58"/>
      <c r="ADT12" s="73">
        <f t="shared" si="324"/>
        <v>-16</v>
      </c>
      <c r="ADU12" s="65"/>
      <c r="ADV12" s="74">
        <f t="shared" si="528"/>
        <v>-16</v>
      </c>
      <c r="ADX12" s="68">
        <v>60</v>
      </c>
      <c r="ADY12" s="58"/>
      <c r="ADZ12" s="73">
        <f t="shared" si="325"/>
        <v>24</v>
      </c>
      <c r="AEA12" s="65"/>
      <c r="AEB12" s="74">
        <f t="shared" si="529"/>
        <v>24</v>
      </c>
      <c r="AED12" s="68">
        <v>36</v>
      </c>
      <c r="AEE12" s="58"/>
      <c r="AEF12" s="73">
        <f t="shared" si="326"/>
        <v>24</v>
      </c>
      <c r="AEG12" s="65"/>
      <c r="AEH12" s="74">
        <f t="shared" si="530"/>
        <v>24</v>
      </c>
      <c r="AEJ12" s="68">
        <v>37</v>
      </c>
      <c r="AEK12" s="58"/>
      <c r="AEL12" s="73">
        <f t="shared" si="327"/>
        <v>-1</v>
      </c>
      <c r="AEM12" s="65"/>
      <c r="AEN12" s="74">
        <f t="shared" si="531"/>
        <v>-1</v>
      </c>
      <c r="AEP12" s="68">
        <v>45</v>
      </c>
      <c r="AEQ12" s="58"/>
      <c r="AER12" s="73">
        <f t="shared" si="328"/>
        <v>-8</v>
      </c>
      <c r="AES12" s="65"/>
      <c r="AET12" s="74">
        <f t="shared" si="532"/>
        <v>-8</v>
      </c>
      <c r="AEV12" s="68">
        <v>43</v>
      </c>
      <c r="AEW12" s="58"/>
      <c r="AEX12" s="73">
        <f t="shared" si="329"/>
        <v>2</v>
      </c>
      <c r="AEY12" s="65"/>
      <c r="AEZ12" s="74">
        <f t="shared" si="533"/>
        <v>2</v>
      </c>
      <c r="AFB12" s="68">
        <v>39</v>
      </c>
      <c r="AFC12" s="58"/>
      <c r="AFD12" s="73">
        <f t="shared" si="330"/>
        <v>4</v>
      </c>
      <c r="AFE12" s="65"/>
      <c r="AFF12" s="74">
        <f t="shared" si="534"/>
        <v>4</v>
      </c>
      <c r="AFH12" s="68">
        <v>39</v>
      </c>
      <c r="AFI12" s="58"/>
      <c r="AFJ12" s="73">
        <f t="shared" si="331"/>
        <v>0</v>
      </c>
      <c r="AFK12" s="65"/>
      <c r="AFL12" s="74">
        <f t="shared" si="535"/>
        <v>0</v>
      </c>
      <c r="AFN12" s="68">
        <v>62</v>
      </c>
      <c r="AFO12" s="58"/>
      <c r="AFP12" s="73">
        <f t="shared" si="332"/>
        <v>-23</v>
      </c>
      <c r="AFQ12" s="65"/>
      <c r="AFR12" s="74">
        <f t="shared" si="536"/>
        <v>-23</v>
      </c>
      <c r="AFT12" s="68">
        <v>40</v>
      </c>
      <c r="AFU12" s="58"/>
      <c r="AFV12" s="73">
        <f t="shared" si="333"/>
        <v>22</v>
      </c>
      <c r="AFW12" s="65"/>
      <c r="AFX12" s="74">
        <f t="shared" si="537"/>
        <v>22</v>
      </c>
      <c r="AFZ12" s="68">
        <v>44</v>
      </c>
      <c r="AGA12" s="58"/>
      <c r="AGB12" s="73">
        <f t="shared" si="334"/>
        <v>-4</v>
      </c>
      <c r="AGC12" s="65"/>
      <c r="AGD12" s="74">
        <f t="shared" si="538"/>
        <v>-4</v>
      </c>
      <c r="AGF12" s="68">
        <v>50</v>
      </c>
      <c r="AGG12" s="58"/>
      <c r="AGH12" s="73">
        <f t="shared" si="335"/>
        <v>-6</v>
      </c>
      <c r="AGI12" s="65"/>
      <c r="AGJ12" s="74">
        <f t="shared" si="539"/>
        <v>-6</v>
      </c>
      <c r="AGL12" s="68">
        <v>48</v>
      </c>
      <c r="AGM12" s="58"/>
      <c r="AGN12" s="73">
        <f t="shared" si="336"/>
        <v>2</v>
      </c>
      <c r="AGO12" s="65"/>
      <c r="AGP12" s="74">
        <f t="shared" si="540"/>
        <v>2</v>
      </c>
      <c r="AGR12" s="68">
        <v>31</v>
      </c>
      <c r="AGS12" s="58"/>
      <c r="AGT12" s="73">
        <f t="shared" si="337"/>
        <v>17</v>
      </c>
      <c r="AGU12" s="65"/>
      <c r="AGV12" s="74">
        <f t="shared" si="541"/>
        <v>17</v>
      </c>
      <c r="AGX12" s="68">
        <v>66</v>
      </c>
      <c r="AGY12" s="58"/>
      <c r="AGZ12" s="73">
        <f t="shared" si="338"/>
        <v>-35</v>
      </c>
      <c r="AHA12" s="65"/>
      <c r="AHB12" s="74">
        <f t="shared" si="542"/>
        <v>-35</v>
      </c>
      <c r="AHD12" s="68">
        <v>42</v>
      </c>
      <c r="AHE12" s="58"/>
      <c r="AHF12" s="73">
        <f t="shared" si="339"/>
        <v>24</v>
      </c>
      <c r="AHG12" s="65"/>
      <c r="AHH12" s="74">
        <f t="shared" si="543"/>
        <v>24</v>
      </c>
      <c r="AHJ12" s="68">
        <v>38</v>
      </c>
      <c r="AHK12" s="58"/>
      <c r="AHL12" s="73">
        <f t="shared" si="340"/>
        <v>4</v>
      </c>
      <c r="AHM12" s="65"/>
      <c r="AHN12" s="74">
        <f t="shared" si="544"/>
        <v>4</v>
      </c>
      <c r="AHP12" s="68">
        <v>44</v>
      </c>
      <c r="AHQ12" s="58"/>
      <c r="AHR12" s="73">
        <f t="shared" si="341"/>
        <v>-6</v>
      </c>
      <c r="AHS12" s="65"/>
      <c r="AHT12" s="74">
        <f t="shared" si="545"/>
        <v>-6</v>
      </c>
      <c r="AHV12" s="68">
        <v>47</v>
      </c>
      <c r="AHW12" s="58"/>
      <c r="AHX12" s="73">
        <f t="shared" si="342"/>
        <v>-3</v>
      </c>
      <c r="AHY12" s="65"/>
      <c r="AHZ12" s="74">
        <f t="shared" si="546"/>
        <v>-3</v>
      </c>
      <c r="AIB12" s="68">
        <v>57</v>
      </c>
      <c r="AIC12" s="58"/>
      <c r="AID12" s="73">
        <f t="shared" si="343"/>
        <v>-10</v>
      </c>
      <c r="AIE12" s="65"/>
      <c r="AIF12" s="74">
        <f t="shared" si="547"/>
        <v>-10</v>
      </c>
      <c r="AIH12" s="68">
        <v>72</v>
      </c>
      <c r="AII12" s="58"/>
      <c r="AIJ12" s="73">
        <f t="shared" si="344"/>
        <v>-15</v>
      </c>
      <c r="AIK12" s="65"/>
      <c r="AIL12" s="74">
        <f t="shared" si="548"/>
        <v>-15</v>
      </c>
      <c r="AIN12" s="68">
        <v>48</v>
      </c>
      <c r="AIO12" s="58"/>
      <c r="AIP12" s="73">
        <f t="shared" si="345"/>
        <v>24</v>
      </c>
      <c r="AIQ12" s="65"/>
      <c r="AIR12" s="74">
        <f t="shared" si="549"/>
        <v>24</v>
      </c>
      <c r="AIT12" s="68">
        <v>56</v>
      </c>
      <c r="AIU12" s="58"/>
      <c r="AIV12" s="73">
        <f t="shared" si="346"/>
        <v>-8</v>
      </c>
      <c r="AIW12" s="65"/>
      <c r="AIX12" s="74">
        <f t="shared" si="550"/>
        <v>-8</v>
      </c>
      <c r="AIZ12" s="68">
        <v>35</v>
      </c>
      <c r="AJA12" s="58"/>
      <c r="AJB12" s="73">
        <f t="shared" si="347"/>
        <v>21</v>
      </c>
      <c r="AJC12" s="65"/>
      <c r="AJD12" s="74">
        <f t="shared" si="551"/>
        <v>21</v>
      </c>
      <c r="AJF12" s="68">
        <v>65</v>
      </c>
      <c r="AJG12" s="58"/>
      <c r="AJH12" s="73">
        <f t="shared" si="348"/>
        <v>-30</v>
      </c>
      <c r="AJI12" s="65"/>
      <c r="AJJ12" s="74">
        <f t="shared" si="552"/>
        <v>-30</v>
      </c>
      <c r="AJL12" s="68">
        <v>51</v>
      </c>
      <c r="AJM12" s="58"/>
      <c r="AJN12" s="73">
        <f t="shared" si="349"/>
        <v>14</v>
      </c>
      <c r="AJO12" s="65"/>
      <c r="AJP12" s="74">
        <f t="shared" si="553"/>
        <v>14</v>
      </c>
      <c r="AJR12" s="68">
        <v>66</v>
      </c>
      <c r="AJS12" s="58"/>
      <c r="AJT12" s="73">
        <f t="shared" si="350"/>
        <v>-15</v>
      </c>
      <c r="AJU12" s="65"/>
      <c r="AJV12" s="74">
        <f t="shared" si="554"/>
        <v>-15</v>
      </c>
      <c r="AJX12" s="68">
        <v>64</v>
      </c>
      <c r="AJY12" s="58"/>
      <c r="AJZ12" s="73">
        <f t="shared" si="351"/>
        <v>2</v>
      </c>
      <c r="AKA12" s="65"/>
      <c r="AKB12" s="74">
        <f t="shared" si="555"/>
        <v>2</v>
      </c>
      <c r="AKD12" s="68">
        <v>74</v>
      </c>
      <c r="AKE12" s="58"/>
      <c r="AKF12" s="73">
        <f t="shared" si="352"/>
        <v>-10</v>
      </c>
      <c r="AKG12" s="65"/>
      <c r="AKH12" s="74">
        <f t="shared" si="556"/>
        <v>-10</v>
      </c>
      <c r="AKJ12" s="68">
        <v>73</v>
      </c>
      <c r="AKK12" s="58"/>
      <c r="AKL12" s="73">
        <f t="shared" si="353"/>
        <v>1</v>
      </c>
      <c r="AKM12" s="65"/>
      <c r="AKN12" s="74">
        <f t="shared" si="557"/>
        <v>1</v>
      </c>
      <c r="AKP12" s="68">
        <v>61</v>
      </c>
      <c r="AKQ12" s="58"/>
      <c r="AKR12" s="73">
        <f t="shared" si="354"/>
        <v>12</v>
      </c>
      <c r="AKS12" s="65"/>
      <c r="AKT12" s="74">
        <f t="shared" si="558"/>
        <v>12</v>
      </c>
      <c r="AKV12" s="68">
        <v>67</v>
      </c>
      <c r="AKW12" s="58"/>
      <c r="AKX12" s="73">
        <f t="shared" si="355"/>
        <v>-6</v>
      </c>
      <c r="AKY12" s="65"/>
      <c r="AKZ12" s="74">
        <f t="shared" si="559"/>
        <v>-6</v>
      </c>
      <c r="ALB12" s="68">
        <v>46</v>
      </c>
      <c r="ALC12" s="58"/>
      <c r="ALD12" s="73">
        <f t="shared" si="356"/>
        <v>21</v>
      </c>
      <c r="ALE12" s="65"/>
      <c r="ALF12" s="74">
        <f t="shared" si="560"/>
        <v>21</v>
      </c>
      <c r="ALH12" s="68">
        <v>49</v>
      </c>
      <c r="ALI12" s="58"/>
      <c r="ALJ12" s="73">
        <f t="shared" si="357"/>
        <v>-3</v>
      </c>
      <c r="ALK12" s="65"/>
      <c r="ALL12" s="74">
        <f t="shared" si="561"/>
        <v>-3</v>
      </c>
      <c r="ALN12" s="68">
        <v>4</v>
      </c>
      <c r="ALO12" s="58"/>
      <c r="ALP12" s="73">
        <f t="shared" si="358"/>
        <v>45</v>
      </c>
      <c r="ALQ12" s="65"/>
      <c r="ALR12" s="74">
        <f t="shared" si="562"/>
        <v>45</v>
      </c>
      <c r="ALT12" s="68">
        <v>62</v>
      </c>
      <c r="ALU12" s="58"/>
      <c r="ALV12" s="73">
        <f t="shared" si="359"/>
        <v>-58</v>
      </c>
      <c r="ALW12" s="65"/>
      <c r="ALX12" s="74">
        <f t="shared" si="563"/>
        <v>-58</v>
      </c>
      <c r="ALZ12" s="68">
        <v>29</v>
      </c>
      <c r="AMA12" s="58"/>
      <c r="AMB12" s="73">
        <f t="shared" si="360"/>
        <v>33</v>
      </c>
      <c r="AMC12" s="65"/>
      <c r="AMD12" s="74">
        <f t="shared" si="564"/>
        <v>33</v>
      </c>
      <c r="AMF12" s="68">
        <v>50</v>
      </c>
      <c r="AMG12" s="58"/>
      <c r="AMH12" s="73">
        <f t="shared" si="361"/>
        <v>-21</v>
      </c>
      <c r="AMI12" s="65"/>
      <c r="AMJ12" s="74">
        <f t="shared" si="565"/>
        <v>-21</v>
      </c>
      <c r="AML12" s="68">
        <v>55</v>
      </c>
      <c r="AMM12" s="58"/>
      <c r="AMN12" s="73">
        <f t="shared" si="362"/>
        <v>-5</v>
      </c>
      <c r="AMO12" s="65"/>
      <c r="AMP12" s="74">
        <f t="shared" si="566"/>
        <v>-5</v>
      </c>
      <c r="AMR12" s="68">
        <v>50</v>
      </c>
      <c r="AMS12" s="58"/>
      <c r="AMT12" s="73">
        <f t="shared" si="363"/>
        <v>5</v>
      </c>
      <c r="AMU12" s="65"/>
      <c r="AMV12" s="74">
        <f t="shared" si="567"/>
        <v>5</v>
      </c>
      <c r="AMX12" s="68">
        <v>52</v>
      </c>
      <c r="AMY12" s="58"/>
      <c r="AMZ12" s="73">
        <f t="shared" si="364"/>
        <v>-2</v>
      </c>
      <c r="ANA12" s="65"/>
      <c r="ANB12" s="74">
        <f t="shared" si="568"/>
        <v>-2</v>
      </c>
      <c r="AND12" s="68">
        <v>32</v>
      </c>
      <c r="ANE12" s="58"/>
      <c r="ANF12" s="73">
        <f t="shared" si="365"/>
        <v>20</v>
      </c>
      <c r="ANG12" s="65"/>
      <c r="ANH12" s="74">
        <f t="shared" si="569"/>
        <v>20</v>
      </c>
      <c r="ANJ12" s="68">
        <v>44</v>
      </c>
      <c r="ANK12" s="58"/>
      <c r="ANL12" s="73">
        <f t="shared" si="366"/>
        <v>-12</v>
      </c>
      <c r="ANM12" s="65"/>
      <c r="ANN12" s="74">
        <f t="shared" si="570"/>
        <v>-12</v>
      </c>
      <c r="ANP12" s="68">
        <v>64</v>
      </c>
      <c r="ANQ12" s="58"/>
      <c r="ANR12" s="73">
        <f t="shared" si="367"/>
        <v>-20</v>
      </c>
      <c r="ANS12" s="65"/>
      <c r="ANT12" s="74">
        <f t="shared" si="571"/>
        <v>-20</v>
      </c>
      <c r="ANV12" s="68">
        <v>49</v>
      </c>
      <c r="ANW12" s="58"/>
      <c r="ANX12" s="73">
        <f t="shared" si="368"/>
        <v>15</v>
      </c>
      <c r="ANY12" s="65"/>
      <c r="ANZ12" s="74">
        <f t="shared" si="572"/>
        <v>15</v>
      </c>
      <c r="AOB12" s="68">
        <v>41</v>
      </c>
      <c r="AOC12" s="58">
        <v>24</v>
      </c>
      <c r="AOD12" s="73">
        <f t="shared" si="369"/>
        <v>8</v>
      </c>
      <c r="AOE12" s="65"/>
      <c r="AOF12" s="74">
        <f t="shared" si="573"/>
        <v>8</v>
      </c>
      <c r="AOH12" s="68">
        <v>38</v>
      </c>
      <c r="AOI12" s="58">
        <v>24</v>
      </c>
      <c r="AOJ12" s="73">
        <f t="shared" si="370"/>
        <v>579</v>
      </c>
      <c r="AOK12" s="65"/>
      <c r="AOL12" s="74">
        <f t="shared" si="574"/>
        <v>579</v>
      </c>
      <c r="AON12" s="68">
        <v>13</v>
      </c>
      <c r="AOO12" s="58">
        <v>24</v>
      </c>
      <c r="AOP12" s="73">
        <f t="shared" si="371"/>
        <v>601</v>
      </c>
      <c r="AOQ12" s="65"/>
      <c r="AOR12" s="74">
        <f t="shared" si="575"/>
        <v>601</v>
      </c>
    </row>
    <row r="13" spans="1:1024 1026:1085" x14ac:dyDescent="0.25">
      <c r="A13" s="3" t="s">
        <v>29</v>
      </c>
      <c r="B13" s="3">
        <v>10580</v>
      </c>
      <c r="C13" s="5" t="s">
        <v>26</v>
      </c>
      <c r="D13" s="27">
        <v>48</v>
      </c>
      <c r="F13" s="16">
        <v>6</v>
      </c>
      <c r="G13" s="15"/>
      <c r="H13" s="11"/>
      <c r="I13" s="15"/>
      <c r="J13" s="15"/>
      <c r="L13" s="16">
        <v>0</v>
      </c>
      <c r="M13" s="15">
        <v>2</v>
      </c>
      <c r="N13" s="13">
        <f t="shared" si="372"/>
        <v>6</v>
      </c>
      <c r="O13" s="15"/>
      <c r="P13" s="21">
        <f t="shared" si="373"/>
        <v>-6</v>
      </c>
      <c r="R13" s="16">
        <v>41</v>
      </c>
      <c r="S13" s="15"/>
      <c r="T13" s="13">
        <f t="shared" si="374"/>
        <v>7</v>
      </c>
      <c r="U13" s="15">
        <v>7</v>
      </c>
      <c r="V13" s="21">
        <f t="shared" si="375"/>
        <v>0</v>
      </c>
      <c r="X13" s="16">
        <v>15</v>
      </c>
      <c r="Y13" s="15">
        <v>1</v>
      </c>
      <c r="Z13" s="13">
        <f t="shared" si="376"/>
        <v>26</v>
      </c>
      <c r="AA13" s="15">
        <v>27</v>
      </c>
      <c r="AB13" s="21">
        <f t="shared" si="377"/>
        <v>1</v>
      </c>
      <c r="AD13" s="16">
        <v>17</v>
      </c>
      <c r="AE13" s="15">
        <v>1</v>
      </c>
      <c r="AF13" s="13">
        <f t="shared" si="378"/>
        <v>22</v>
      </c>
      <c r="AG13" s="15">
        <v>22</v>
      </c>
      <c r="AH13" s="21">
        <f t="shared" si="379"/>
        <v>0</v>
      </c>
      <c r="AJ13" s="16">
        <v>14</v>
      </c>
      <c r="AK13" s="15">
        <v>1</v>
      </c>
      <c r="AL13" s="13">
        <f t="shared" si="380"/>
        <v>27</v>
      </c>
      <c r="AM13" s="15">
        <v>27</v>
      </c>
      <c r="AN13" s="21">
        <f t="shared" si="381"/>
        <v>0</v>
      </c>
      <c r="AP13" s="16">
        <v>25</v>
      </c>
      <c r="AQ13" s="15">
        <v>1</v>
      </c>
      <c r="AR13" s="13">
        <f t="shared" si="382"/>
        <v>13</v>
      </c>
      <c r="AS13" s="15">
        <v>15</v>
      </c>
      <c r="AT13" s="21">
        <f t="shared" si="383"/>
        <v>2</v>
      </c>
      <c r="AV13" s="16">
        <v>31</v>
      </c>
      <c r="AW13" s="15"/>
      <c r="AX13" s="13">
        <f t="shared" si="384"/>
        <v>18</v>
      </c>
      <c r="AY13" s="15">
        <v>11</v>
      </c>
      <c r="AZ13" s="21">
        <f t="shared" si="385"/>
        <v>-7</v>
      </c>
      <c r="BB13" s="16">
        <v>7</v>
      </c>
      <c r="BC13" s="15">
        <v>2</v>
      </c>
      <c r="BD13" s="13">
        <f t="shared" si="386"/>
        <v>24</v>
      </c>
      <c r="BE13" s="15">
        <v>23</v>
      </c>
      <c r="BF13" s="21">
        <f t="shared" si="387"/>
        <v>-1</v>
      </c>
      <c r="BH13" s="16">
        <v>43</v>
      </c>
      <c r="BI13" s="15"/>
      <c r="BJ13" s="13">
        <f t="shared" si="388"/>
        <v>12</v>
      </c>
      <c r="BK13" s="15">
        <v>9</v>
      </c>
      <c r="BL13" s="21">
        <f t="shared" si="389"/>
        <v>-3</v>
      </c>
      <c r="BN13" s="16">
        <v>31</v>
      </c>
      <c r="BO13" s="15"/>
      <c r="BP13" s="13">
        <f t="shared" si="390"/>
        <v>12</v>
      </c>
      <c r="BQ13" s="15">
        <v>13</v>
      </c>
      <c r="BR13" s="21">
        <f t="shared" si="391"/>
        <v>1</v>
      </c>
      <c r="BT13" s="16">
        <v>4</v>
      </c>
      <c r="BU13" s="15">
        <v>2</v>
      </c>
      <c r="BV13" s="13">
        <f t="shared" si="392"/>
        <v>27</v>
      </c>
      <c r="BW13" s="15">
        <v>28</v>
      </c>
      <c r="BX13" s="21">
        <f t="shared" si="393"/>
        <v>1</v>
      </c>
      <c r="BZ13" s="16">
        <v>35</v>
      </c>
      <c r="CA13" s="15"/>
      <c r="CB13" s="13">
        <f t="shared" si="394"/>
        <v>17</v>
      </c>
      <c r="CC13" s="15">
        <v>14</v>
      </c>
      <c r="CD13" s="21">
        <f t="shared" si="395"/>
        <v>-3</v>
      </c>
      <c r="CF13" s="16">
        <v>19</v>
      </c>
      <c r="CG13" s="15">
        <v>2</v>
      </c>
      <c r="CH13" s="13">
        <f t="shared" si="396"/>
        <v>16</v>
      </c>
      <c r="CI13" s="5">
        <v>15</v>
      </c>
      <c r="CJ13" s="21">
        <f t="shared" si="397"/>
        <v>-1</v>
      </c>
      <c r="CL13" s="16">
        <v>53</v>
      </c>
      <c r="CM13" s="15"/>
      <c r="CN13" s="13">
        <f t="shared" si="398"/>
        <v>14</v>
      </c>
      <c r="CO13" s="5">
        <v>14</v>
      </c>
      <c r="CP13" s="21">
        <f t="shared" si="399"/>
        <v>0</v>
      </c>
      <c r="CR13" s="16">
        <v>25</v>
      </c>
      <c r="CS13" s="15">
        <v>1</v>
      </c>
      <c r="CT13" s="13">
        <f t="shared" si="400"/>
        <v>28</v>
      </c>
      <c r="CU13" s="5">
        <v>25</v>
      </c>
      <c r="CV13" s="21">
        <f t="shared" si="401"/>
        <v>-3</v>
      </c>
      <c r="CX13" s="16">
        <v>30</v>
      </c>
      <c r="CY13" s="33">
        <v>1</v>
      </c>
      <c r="CZ13" s="39">
        <f t="shared" si="402"/>
        <v>19</v>
      </c>
      <c r="DA13" s="5"/>
      <c r="DB13" s="40">
        <f t="shared" si="403"/>
        <v>-19</v>
      </c>
      <c r="DD13" s="16">
        <v>33</v>
      </c>
      <c r="DE13" s="33">
        <v>1</v>
      </c>
      <c r="DF13" s="39">
        <f t="shared" si="404"/>
        <v>21</v>
      </c>
      <c r="DG13" s="5"/>
      <c r="DH13" s="40">
        <f t="shared" si="405"/>
        <v>-21</v>
      </c>
      <c r="DJ13" s="16">
        <v>36</v>
      </c>
      <c r="DK13" s="33"/>
      <c r="DL13" s="39">
        <f t="shared" si="406"/>
        <v>21</v>
      </c>
      <c r="DM13" s="5">
        <v>19</v>
      </c>
      <c r="DN13" s="40">
        <f t="shared" si="407"/>
        <v>-2</v>
      </c>
      <c r="DP13" s="16">
        <v>11</v>
      </c>
      <c r="DQ13" s="33">
        <v>2</v>
      </c>
      <c r="DR13" s="39">
        <f t="shared" si="408"/>
        <v>25</v>
      </c>
      <c r="DS13" s="5">
        <v>25</v>
      </c>
      <c r="DT13" s="40">
        <f t="shared" si="409"/>
        <v>0</v>
      </c>
      <c r="DV13" s="16">
        <v>34</v>
      </c>
      <c r="DW13" s="33">
        <v>1</v>
      </c>
      <c r="DX13" s="39">
        <f t="shared" si="410"/>
        <v>25</v>
      </c>
      <c r="DY13" s="5">
        <v>23</v>
      </c>
      <c r="DZ13" s="40">
        <f t="shared" si="411"/>
        <v>-2</v>
      </c>
      <c r="EB13" s="16">
        <v>35</v>
      </c>
      <c r="EC13" s="33">
        <v>1</v>
      </c>
      <c r="ED13" s="39">
        <f t="shared" si="412"/>
        <v>23</v>
      </c>
      <c r="EE13" s="5">
        <v>21</v>
      </c>
      <c r="EF13" s="40">
        <f t="shared" si="413"/>
        <v>-2</v>
      </c>
      <c r="EH13" s="16">
        <v>39</v>
      </c>
      <c r="EI13" s="33"/>
      <c r="EJ13" s="39">
        <f t="shared" si="414"/>
        <v>20</v>
      </c>
      <c r="EK13" s="5">
        <v>20</v>
      </c>
      <c r="EL13" s="40">
        <f t="shared" si="415"/>
        <v>0</v>
      </c>
      <c r="EN13" s="16">
        <v>21</v>
      </c>
      <c r="EO13" s="33">
        <v>1</v>
      </c>
      <c r="EP13" s="39">
        <f t="shared" si="416"/>
        <v>18</v>
      </c>
      <c r="EQ13" s="5">
        <v>21</v>
      </c>
      <c r="ER13" s="40">
        <f t="shared" si="417"/>
        <v>3</v>
      </c>
      <c r="ET13" s="16">
        <v>26</v>
      </c>
      <c r="EU13" s="33">
        <v>1</v>
      </c>
      <c r="EV13" s="39">
        <f t="shared" si="418"/>
        <v>19</v>
      </c>
      <c r="EW13" s="5">
        <v>16</v>
      </c>
      <c r="EX13" s="40">
        <f t="shared" si="419"/>
        <v>-3</v>
      </c>
      <c r="EZ13" s="16">
        <v>34</v>
      </c>
      <c r="FA13" s="33">
        <v>1</v>
      </c>
      <c r="FB13" s="39">
        <f t="shared" si="420"/>
        <v>16</v>
      </c>
      <c r="FC13" s="5">
        <v>18</v>
      </c>
      <c r="FD13" s="40">
        <f t="shared" si="421"/>
        <v>2</v>
      </c>
      <c r="FF13" s="16">
        <v>27</v>
      </c>
      <c r="FG13" s="33">
        <v>1</v>
      </c>
      <c r="FH13" s="39">
        <f t="shared" si="218"/>
        <v>31</v>
      </c>
      <c r="FI13" s="5">
        <v>22</v>
      </c>
      <c r="FJ13" s="40">
        <f t="shared" si="422"/>
        <v>-9</v>
      </c>
      <c r="FL13" s="16">
        <v>42</v>
      </c>
      <c r="FM13" s="33">
        <v>1</v>
      </c>
      <c r="FN13" s="39">
        <f t="shared" si="219"/>
        <v>9</v>
      </c>
      <c r="FO13" s="5">
        <v>9</v>
      </c>
      <c r="FP13" s="40">
        <f t="shared" si="423"/>
        <v>0</v>
      </c>
      <c r="FR13" s="16">
        <v>42</v>
      </c>
      <c r="FS13" s="33"/>
      <c r="FT13" s="39">
        <f t="shared" si="220"/>
        <v>24</v>
      </c>
      <c r="FU13" s="5"/>
      <c r="FV13" s="40">
        <f t="shared" si="424"/>
        <v>-24</v>
      </c>
      <c r="FX13" s="16">
        <v>26</v>
      </c>
      <c r="FY13" s="33">
        <v>1</v>
      </c>
      <c r="FZ13" s="39">
        <f t="shared" si="221"/>
        <v>16</v>
      </c>
      <c r="GA13" s="5">
        <v>14</v>
      </c>
      <c r="GB13" s="40">
        <f t="shared" si="425"/>
        <v>-2</v>
      </c>
      <c r="GD13" s="16">
        <v>34</v>
      </c>
      <c r="GE13" s="33">
        <v>1</v>
      </c>
      <c r="GF13" s="39">
        <f t="shared" si="222"/>
        <v>16</v>
      </c>
      <c r="GG13" s="5">
        <v>20</v>
      </c>
      <c r="GH13" s="40">
        <f t="shared" si="426"/>
        <v>4</v>
      </c>
      <c r="GJ13" s="16">
        <v>28</v>
      </c>
      <c r="GK13" s="33">
        <v>1</v>
      </c>
      <c r="GL13" s="39">
        <f t="shared" si="223"/>
        <v>30</v>
      </c>
      <c r="GM13" s="5">
        <v>29</v>
      </c>
      <c r="GN13" s="40">
        <f t="shared" si="427"/>
        <v>-1</v>
      </c>
      <c r="GP13" s="16">
        <v>34</v>
      </c>
      <c r="GQ13" s="33">
        <v>1</v>
      </c>
      <c r="GR13" s="39">
        <f t="shared" si="224"/>
        <v>18</v>
      </c>
      <c r="GS13" s="5">
        <v>18</v>
      </c>
      <c r="GT13" s="40">
        <f t="shared" si="428"/>
        <v>0</v>
      </c>
      <c r="GV13" s="16">
        <v>46</v>
      </c>
      <c r="GW13" s="33"/>
      <c r="GX13" s="39">
        <f t="shared" si="225"/>
        <v>12</v>
      </c>
      <c r="GY13" s="5">
        <v>14</v>
      </c>
      <c r="GZ13" s="40">
        <f t="shared" si="429"/>
        <v>2</v>
      </c>
      <c r="HB13" s="16">
        <v>22</v>
      </c>
      <c r="HC13" s="33">
        <v>1</v>
      </c>
      <c r="HD13" s="39">
        <f t="shared" si="226"/>
        <v>24</v>
      </c>
      <c r="HE13" s="5">
        <v>20</v>
      </c>
      <c r="HF13" s="40">
        <f t="shared" si="430"/>
        <v>-4</v>
      </c>
      <c r="HH13" s="16">
        <v>27</v>
      </c>
      <c r="HI13" s="33">
        <v>1</v>
      </c>
      <c r="HJ13" s="39">
        <f t="shared" si="227"/>
        <v>19</v>
      </c>
      <c r="HK13" s="5">
        <v>18</v>
      </c>
      <c r="HL13" s="40">
        <f t="shared" si="431"/>
        <v>-1</v>
      </c>
      <c r="HN13" s="16">
        <v>28</v>
      </c>
      <c r="HO13" s="33">
        <v>1</v>
      </c>
      <c r="HP13" s="39">
        <f t="shared" si="228"/>
        <v>23</v>
      </c>
      <c r="HQ13" s="5">
        <v>21</v>
      </c>
      <c r="HR13" s="40">
        <f t="shared" si="432"/>
        <v>-2</v>
      </c>
      <c r="HT13" s="16">
        <v>34</v>
      </c>
      <c r="HU13" s="33">
        <v>1</v>
      </c>
      <c r="HV13" s="39">
        <f t="shared" si="229"/>
        <v>18</v>
      </c>
      <c r="HW13" s="5">
        <v>17</v>
      </c>
      <c r="HX13" s="40">
        <f t="shared" si="433"/>
        <v>-1</v>
      </c>
      <c r="HZ13" s="16">
        <v>38</v>
      </c>
      <c r="IA13" s="33"/>
      <c r="IB13" s="39">
        <f t="shared" si="230"/>
        <v>20</v>
      </c>
      <c r="IC13" s="5">
        <v>18</v>
      </c>
      <c r="ID13" s="40">
        <f t="shared" si="434"/>
        <v>-2</v>
      </c>
      <c r="IF13" s="16">
        <v>15</v>
      </c>
      <c r="IG13" s="33">
        <v>2</v>
      </c>
      <c r="IH13" s="39">
        <f t="shared" si="231"/>
        <v>23</v>
      </c>
      <c r="II13" s="5">
        <v>18</v>
      </c>
      <c r="IJ13" s="40">
        <f t="shared" si="435"/>
        <v>-5</v>
      </c>
      <c r="IL13" s="16">
        <v>42</v>
      </c>
      <c r="IM13" s="33">
        <v>1</v>
      </c>
      <c r="IN13" s="39">
        <f t="shared" si="232"/>
        <v>21</v>
      </c>
      <c r="IO13" s="5">
        <v>17</v>
      </c>
      <c r="IP13" s="40">
        <f t="shared" si="436"/>
        <v>-4</v>
      </c>
      <c r="IR13" s="16">
        <v>42</v>
      </c>
      <c r="IS13" s="33">
        <v>1</v>
      </c>
      <c r="IT13" s="39">
        <f t="shared" si="233"/>
        <v>24</v>
      </c>
      <c r="IU13" s="5">
        <v>21</v>
      </c>
      <c r="IV13" s="40">
        <f t="shared" si="437"/>
        <v>-3</v>
      </c>
      <c r="IX13" s="16">
        <v>47</v>
      </c>
      <c r="IY13" s="33">
        <v>1</v>
      </c>
      <c r="IZ13" s="39">
        <f t="shared" si="234"/>
        <v>19</v>
      </c>
      <c r="JA13" s="5">
        <v>18</v>
      </c>
      <c r="JB13" s="40">
        <f t="shared" si="438"/>
        <v>-1</v>
      </c>
      <c r="JD13" s="16">
        <v>57</v>
      </c>
      <c r="JE13" s="33"/>
      <c r="JF13" s="39">
        <f t="shared" si="235"/>
        <v>14</v>
      </c>
      <c r="JG13" s="5">
        <v>15</v>
      </c>
      <c r="JH13" s="40">
        <f t="shared" si="439"/>
        <v>1</v>
      </c>
      <c r="JJ13" s="16">
        <v>46</v>
      </c>
      <c r="JK13" s="33"/>
      <c r="JL13" s="39">
        <f t="shared" si="236"/>
        <v>11</v>
      </c>
      <c r="JM13" s="5">
        <v>12</v>
      </c>
      <c r="JN13" s="40">
        <f t="shared" si="440"/>
        <v>1</v>
      </c>
      <c r="JP13" s="16">
        <v>26</v>
      </c>
      <c r="JQ13" s="33">
        <v>1</v>
      </c>
      <c r="JR13" s="39">
        <f t="shared" si="237"/>
        <v>20</v>
      </c>
      <c r="JS13" s="5">
        <v>20</v>
      </c>
      <c r="JT13" s="40">
        <f t="shared" si="441"/>
        <v>0</v>
      </c>
      <c r="JV13" s="16">
        <v>36</v>
      </c>
      <c r="JW13" s="33">
        <v>1</v>
      </c>
      <c r="JX13" s="39">
        <f t="shared" si="238"/>
        <v>14</v>
      </c>
      <c r="JY13" s="5">
        <v>15</v>
      </c>
      <c r="JZ13" s="40">
        <f t="shared" si="442"/>
        <v>1</v>
      </c>
      <c r="KB13" s="16">
        <v>34</v>
      </c>
      <c r="KC13" s="33">
        <v>1</v>
      </c>
      <c r="KD13" s="39">
        <f t="shared" si="239"/>
        <v>26</v>
      </c>
      <c r="KE13" s="5">
        <v>20</v>
      </c>
      <c r="KF13" s="40">
        <f t="shared" si="443"/>
        <v>-6</v>
      </c>
      <c r="KH13" s="16">
        <v>41</v>
      </c>
      <c r="KI13" s="33">
        <v>1</v>
      </c>
      <c r="KJ13" s="39">
        <f t="shared" si="240"/>
        <v>17</v>
      </c>
      <c r="KK13" s="5">
        <v>19</v>
      </c>
      <c r="KL13" s="40">
        <f t="shared" si="444"/>
        <v>2</v>
      </c>
      <c r="KN13" s="16">
        <v>48</v>
      </c>
      <c r="KO13" s="33">
        <v>1</v>
      </c>
      <c r="KP13" s="39">
        <f t="shared" si="241"/>
        <v>17</v>
      </c>
      <c r="KQ13" s="5">
        <v>12</v>
      </c>
      <c r="KR13" s="40">
        <f t="shared" si="445"/>
        <v>-5</v>
      </c>
      <c r="KT13" s="16">
        <v>56</v>
      </c>
      <c r="KU13" s="33"/>
      <c r="KV13" s="39">
        <f t="shared" si="242"/>
        <v>16</v>
      </c>
      <c r="KW13" s="5">
        <v>13</v>
      </c>
      <c r="KX13" s="40">
        <f t="shared" si="446"/>
        <v>-3</v>
      </c>
      <c r="KZ13" s="16">
        <v>43</v>
      </c>
      <c r="LA13" s="33">
        <v>1</v>
      </c>
      <c r="LB13" s="39">
        <f t="shared" si="243"/>
        <v>13</v>
      </c>
      <c r="LC13" s="5">
        <v>18</v>
      </c>
      <c r="LD13" s="40">
        <f t="shared" si="447"/>
        <v>5</v>
      </c>
      <c r="LF13" s="16">
        <v>51</v>
      </c>
      <c r="LG13" s="33"/>
      <c r="LH13" s="39">
        <f t="shared" si="244"/>
        <v>16</v>
      </c>
      <c r="LI13" s="5"/>
      <c r="LJ13" s="40">
        <f t="shared" si="448"/>
        <v>-16</v>
      </c>
      <c r="LL13" s="16">
        <v>61</v>
      </c>
      <c r="LM13" s="33">
        <v>3</v>
      </c>
      <c r="LN13" s="39">
        <f t="shared" si="245"/>
        <v>-10</v>
      </c>
      <c r="LO13" s="5"/>
      <c r="LP13" s="40">
        <f t="shared" si="449"/>
        <v>10</v>
      </c>
      <c r="LR13" s="16">
        <v>49</v>
      </c>
      <c r="LS13" s="33"/>
      <c r="LT13" s="39">
        <f t="shared" si="246"/>
        <v>84</v>
      </c>
      <c r="LU13" s="5">
        <v>19</v>
      </c>
      <c r="LV13" s="40">
        <f t="shared" si="450"/>
        <v>-65</v>
      </c>
      <c r="LX13" s="16">
        <v>34</v>
      </c>
      <c r="LY13" s="33">
        <v>1</v>
      </c>
      <c r="LZ13" s="39">
        <f t="shared" si="247"/>
        <v>15</v>
      </c>
      <c r="MA13" s="5">
        <v>7</v>
      </c>
      <c r="MB13" s="40">
        <f t="shared" si="451"/>
        <v>-8</v>
      </c>
      <c r="MD13" s="16">
        <v>30</v>
      </c>
      <c r="ME13" s="33">
        <v>2</v>
      </c>
      <c r="MF13" s="39">
        <f t="shared" si="248"/>
        <v>28</v>
      </c>
      <c r="MG13" s="5"/>
      <c r="MH13" s="40">
        <f t="shared" si="452"/>
        <v>-28</v>
      </c>
      <c r="MJ13" s="16">
        <v>7</v>
      </c>
      <c r="MK13" s="33">
        <v>4</v>
      </c>
      <c r="ML13" s="39">
        <f t="shared" si="249"/>
        <v>71</v>
      </c>
      <c r="MM13" s="5"/>
      <c r="MN13" s="40">
        <f t="shared" si="453"/>
        <v>-71</v>
      </c>
      <c r="MP13" s="16">
        <v>42</v>
      </c>
      <c r="MQ13" s="33">
        <v>2</v>
      </c>
      <c r="MR13" s="39">
        <f t="shared" si="250"/>
        <v>61</v>
      </c>
      <c r="MS13" s="5"/>
      <c r="MT13" s="40">
        <f t="shared" si="454"/>
        <v>-61</v>
      </c>
      <c r="MV13" s="16">
        <v>124</v>
      </c>
      <c r="MW13" s="33"/>
      <c r="MX13" s="39">
        <f t="shared" si="251"/>
        <v>-34</v>
      </c>
      <c r="MY13" s="5"/>
      <c r="MZ13" s="40">
        <f t="shared" si="455"/>
        <v>34</v>
      </c>
      <c r="NB13" s="16">
        <v>107</v>
      </c>
      <c r="NC13" s="33"/>
      <c r="ND13" s="39">
        <f t="shared" si="252"/>
        <v>17</v>
      </c>
      <c r="NE13" s="5"/>
      <c r="NF13" s="40">
        <f>(NE13-ND13)</f>
        <v>-17</v>
      </c>
      <c r="NH13" s="16">
        <v>91</v>
      </c>
      <c r="NI13" s="33"/>
      <c r="NJ13" s="39">
        <f t="shared" si="253"/>
        <v>16</v>
      </c>
      <c r="NK13" s="5"/>
      <c r="NL13" s="40">
        <f>(NK13-NJ13)</f>
        <v>-16</v>
      </c>
      <c r="NN13" s="16">
        <v>57</v>
      </c>
      <c r="NO13" s="33"/>
      <c r="NP13" s="39">
        <f t="shared" si="254"/>
        <v>34</v>
      </c>
      <c r="NQ13" s="5"/>
      <c r="NR13" s="40">
        <f>(NQ13-NP13)</f>
        <v>-34</v>
      </c>
      <c r="NT13" s="16">
        <v>45</v>
      </c>
      <c r="NU13" s="33">
        <v>1</v>
      </c>
      <c r="NV13" s="39">
        <f t="shared" si="255"/>
        <v>12</v>
      </c>
      <c r="NW13" s="5"/>
      <c r="NX13" s="40">
        <f>(NW13-NV13)</f>
        <v>-12</v>
      </c>
      <c r="NZ13" s="16">
        <v>52</v>
      </c>
      <c r="OA13" s="33"/>
      <c r="OB13" s="39">
        <f t="shared" si="256"/>
        <v>17</v>
      </c>
      <c r="OC13" s="5"/>
      <c r="OD13" s="40">
        <f>(OC13-OB13)</f>
        <v>-17</v>
      </c>
      <c r="OF13" s="16">
        <v>44</v>
      </c>
      <c r="OG13" s="33">
        <v>1</v>
      </c>
      <c r="OH13" s="39">
        <f t="shared" si="257"/>
        <v>8</v>
      </c>
      <c r="OI13" s="5"/>
      <c r="OJ13" s="40">
        <f>(OI13-OH13)</f>
        <v>-8</v>
      </c>
      <c r="OL13" s="16">
        <v>50</v>
      </c>
      <c r="OM13" s="33">
        <v>1</v>
      </c>
      <c r="ON13" s="39">
        <f t="shared" si="258"/>
        <v>18</v>
      </c>
      <c r="OO13" s="5"/>
      <c r="OP13" s="40">
        <f>(OO13-ON13)</f>
        <v>-18</v>
      </c>
      <c r="OR13" s="16">
        <v>55</v>
      </c>
      <c r="OS13" s="33"/>
      <c r="OT13" s="39">
        <f t="shared" si="259"/>
        <v>19</v>
      </c>
      <c r="OU13" s="5"/>
      <c r="OV13" s="40">
        <f>(OU13-OT13)</f>
        <v>-19</v>
      </c>
      <c r="OX13" s="16">
        <v>41</v>
      </c>
      <c r="OY13" s="33">
        <v>1</v>
      </c>
      <c r="OZ13" s="39">
        <f t="shared" si="260"/>
        <v>14</v>
      </c>
      <c r="PA13" s="5"/>
      <c r="PB13" s="40">
        <f>(PA13-OZ13)</f>
        <v>-14</v>
      </c>
      <c r="PD13" s="16">
        <v>64</v>
      </c>
      <c r="PE13" s="33"/>
      <c r="PF13" s="39">
        <f t="shared" si="261"/>
        <v>1</v>
      </c>
      <c r="PG13" s="5"/>
      <c r="PH13" s="40">
        <f>(PG13-PF13)</f>
        <v>-1</v>
      </c>
      <c r="PJ13" s="16">
        <v>36</v>
      </c>
      <c r="PK13" s="33">
        <v>1</v>
      </c>
      <c r="PL13" s="39">
        <f t="shared" si="262"/>
        <v>28</v>
      </c>
      <c r="PM13" s="5"/>
      <c r="PN13" s="40">
        <f>(PM13-PL13)</f>
        <v>-28</v>
      </c>
      <c r="PP13" s="16">
        <v>44</v>
      </c>
      <c r="PQ13" s="33"/>
      <c r="PR13" s="39">
        <f t="shared" si="263"/>
        <v>16</v>
      </c>
      <c r="PS13" s="5"/>
      <c r="PT13" s="40">
        <f>(PS13-PR13)</f>
        <v>-16</v>
      </c>
      <c r="PV13" s="16">
        <v>28</v>
      </c>
      <c r="PW13" s="33">
        <v>1</v>
      </c>
      <c r="PX13" s="39">
        <f t="shared" si="264"/>
        <v>16</v>
      </c>
      <c r="PY13" s="5"/>
      <c r="PZ13" s="40">
        <f>(PY13-PX13)</f>
        <v>-16</v>
      </c>
      <c r="QB13" s="16">
        <v>42</v>
      </c>
      <c r="QC13" s="33">
        <v>1</v>
      </c>
      <c r="QD13" s="39">
        <f t="shared" si="265"/>
        <v>10</v>
      </c>
      <c r="QE13" s="5"/>
      <c r="QF13" s="40">
        <f>(QE13-QD13)</f>
        <v>-10</v>
      </c>
      <c r="QH13" s="16">
        <v>20</v>
      </c>
      <c r="QI13" s="33">
        <v>2</v>
      </c>
      <c r="QJ13" s="39">
        <f t="shared" si="266"/>
        <v>46</v>
      </c>
      <c r="QK13" s="5"/>
      <c r="QL13" s="40">
        <f>(QK13-QJ13)</f>
        <v>-46</v>
      </c>
      <c r="QN13" s="16">
        <v>54</v>
      </c>
      <c r="QO13" s="33"/>
      <c r="QP13" s="39">
        <f t="shared" si="267"/>
        <v>14</v>
      </c>
      <c r="QQ13" s="5"/>
      <c r="QR13" s="40">
        <f>(QQ13-QP13)</f>
        <v>-14</v>
      </c>
      <c r="QT13" s="16">
        <v>37</v>
      </c>
      <c r="QU13" s="33">
        <v>1</v>
      </c>
      <c r="QV13" s="39">
        <f t="shared" si="268"/>
        <v>17</v>
      </c>
      <c r="QW13" s="5"/>
      <c r="QX13" s="40">
        <f>(QW13-QV13)</f>
        <v>-17</v>
      </c>
      <c r="QZ13" s="16">
        <v>50</v>
      </c>
      <c r="RA13" s="33"/>
      <c r="RB13" s="39">
        <f t="shared" si="269"/>
        <v>11</v>
      </c>
      <c r="RC13" s="5"/>
      <c r="RD13" s="40">
        <f>(RC13-RB13)</f>
        <v>-11</v>
      </c>
      <c r="RF13" s="16">
        <v>38</v>
      </c>
      <c r="RG13" s="33">
        <v>1</v>
      </c>
      <c r="RH13" s="39">
        <f t="shared" si="270"/>
        <v>12</v>
      </c>
      <c r="RI13" s="5"/>
      <c r="RJ13" s="40">
        <f>(RI13-RH13)</f>
        <v>-12</v>
      </c>
      <c r="RL13" s="16">
        <v>17</v>
      </c>
      <c r="RM13" s="33">
        <v>2</v>
      </c>
      <c r="RN13" s="39">
        <f t="shared" si="271"/>
        <v>45</v>
      </c>
      <c r="RO13" s="5"/>
      <c r="RP13" s="40">
        <f>(RO13-RN13)</f>
        <v>-45</v>
      </c>
      <c r="RR13" s="16">
        <v>51</v>
      </c>
      <c r="RS13" s="33"/>
      <c r="RT13" s="39">
        <f t="shared" si="272"/>
        <v>14</v>
      </c>
      <c r="RU13" s="5"/>
      <c r="RV13" s="40">
        <f>(RU13-RT13)</f>
        <v>-14</v>
      </c>
      <c r="RX13" s="16">
        <v>35</v>
      </c>
      <c r="RY13" s="33">
        <v>1</v>
      </c>
      <c r="RZ13" s="39">
        <f t="shared" si="273"/>
        <v>16</v>
      </c>
      <c r="SA13" s="5"/>
      <c r="SB13" s="40">
        <f>(SA13-RZ13)</f>
        <v>-16</v>
      </c>
      <c r="SD13" s="16">
        <v>39</v>
      </c>
      <c r="SE13" s="33"/>
      <c r="SF13" s="39">
        <f t="shared" si="274"/>
        <v>20</v>
      </c>
      <c r="SG13" s="5"/>
      <c r="SH13" s="40">
        <f>(SG13-SF13)</f>
        <v>-20</v>
      </c>
      <c r="SJ13" s="16">
        <v>18</v>
      </c>
      <c r="SK13" s="33">
        <v>2</v>
      </c>
      <c r="SL13" s="39">
        <f t="shared" si="275"/>
        <v>21</v>
      </c>
      <c r="SM13" s="5"/>
      <c r="SN13" s="40">
        <f>(SM13-SL13)</f>
        <v>-21</v>
      </c>
      <c r="SP13" s="16">
        <v>48</v>
      </c>
      <c r="SQ13" s="33"/>
      <c r="SR13" s="39">
        <f t="shared" si="276"/>
        <v>18</v>
      </c>
      <c r="SS13" s="5"/>
      <c r="ST13" s="40">
        <f>(SS13-SR13)</f>
        <v>-18</v>
      </c>
      <c r="SV13" s="16">
        <v>11</v>
      </c>
      <c r="SW13" s="33">
        <v>2</v>
      </c>
      <c r="SX13" s="39">
        <f t="shared" si="277"/>
        <v>37</v>
      </c>
      <c r="SY13" s="5"/>
      <c r="SZ13" s="40">
        <f>(SY13-SX13)</f>
        <v>-37</v>
      </c>
      <c r="TB13" s="16">
        <v>38</v>
      </c>
      <c r="TC13" s="33">
        <v>1</v>
      </c>
      <c r="TD13" s="39">
        <f t="shared" si="278"/>
        <v>21</v>
      </c>
      <c r="TE13" s="5"/>
      <c r="TF13" s="40">
        <f>(TE13-TD13)</f>
        <v>-21</v>
      </c>
      <c r="TH13" s="16">
        <v>43</v>
      </c>
      <c r="TI13" s="33"/>
      <c r="TJ13" s="39">
        <f t="shared" si="279"/>
        <v>19</v>
      </c>
      <c r="TK13" s="5"/>
      <c r="TL13" s="40">
        <f>(TK13-TJ13)</f>
        <v>-19</v>
      </c>
      <c r="TN13" s="16">
        <v>17</v>
      </c>
      <c r="TO13" s="33">
        <v>1</v>
      </c>
      <c r="TP13" s="39">
        <f t="shared" si="280"/>
        <v>26</v>
      </c>
      <c r="TQ13" s="5"/>
      <c r="TR13" s="40">
        <f>(TQ13-TP13)</f>
        <v>-26</v>
      </c>
      <c r="TT13" s="16">
        <v>31</v>
      </c>
      <c r="TU13" s="33">
        <v>1</v>
      </c>
      <c r="TV13" s="39">
        <f t="shared" si="281"/>
        <v>10</v>
      </c>
      <c r="TW13" s="5"/>
      <c r="TX13" s="40">
        <f>(TW13-TV13)</f>
        <v>-10</v>
      </c>
      <c r="TZ13" s="16">
        <v>33</v>
      </c>
      <c r="UA13" s="33">
        <v>1</v>
      </c>
      <c r="UB13" s="39">
        <f t="shared" si="282"/>
        <v>22</v>
      </c>
      <c r="UC13" s="5"/>
      <c r="UD13" s="40">
        <f>(UC13-UB13)</f>
        <v>-22</v>
      </c>
      <c r="UF13" s="16">
        <v>40</v>
      </c>
      <c r="UG13" s="33">
        <v>1</v>
      </c>
      <c r="UH13" s="39">
        <f t="shared" si="283"/>
        <v>17</v>
      </c>
      <c r="UI13" s="5"/>
      <c r="UJ13" s="40">
        <f>(UI13-UH13)</f>
        <v>-17</v>
      </c>
      <c r="UL13" s="16">
        <v>53</v>
      </c>
      <c r="UM13" s="33"/>
      <c r="UN13" s="39">
        <f t="shared" si="284"/>
        <v>11</v>
      </c>
      <c r="UO13" s="5"/>
      <c r="UP13" s="40">
        <f>(UO13-UN13)</f>
        <v>-11</v>
      </c>
      <c r="UR13" s="16">
        <v>34</v>
      </c>
      <c r="US13" s="33">
        <v>1</v>
      </c>
      <c r="UT13" s="39">
        <f t="shared" si="285"/>
        <v>19</v>
      </c>
      <c r="UU13" s="5"/>
      <c r="UV13" s="40">
        <f>(UU13-UT13)</f>
        <v>-19</v>
      </c>
      <c r="UX13" s="16">
        <v>39</v>
      </c>
      <c r="UY13" s="33"/>
      <c r="UZ13" s="39">
        <f t="shared" si="286"/>
        <v>19</v>
      </c>
      <c r="VA13" s="5"/>
      <c r="VB13" s="40">
        <f>(VA13-UZ13)</f>
        <v>-19</v>
      </c>
      <c r="VD13" s="16">
        <v>18</v>
      </c>
      <c r="VE13" s="33">
        <v>1</v>
      </c>
      <c r="VF13" s="39">
        <f t="shared" si="287"/>
        <v>21</v>
      </c>
      <c r="VG13" s="5"/>
      <c r="VH13" s="40">
        <f>(VG13-VF13)</f>
        <v>-21</v>
      </c>
      <c r="VJ13" s="16">
        <v>26</v>
      </c>
      <c r="VK13" s="33">
        <v>2</v>
      </c>
      <c r="VL13" s="39">
        <f t="shared" si="288"/>
        <v>16</v>
      </c>
      <c r="VM13" s="5"/>
      <c r="VN13" s="40">
        <f>(VM13-VL13)</f>
        <v>-16</v>
      </c>
      <c r="VP13" s="16">
        <v>30</v>
      </c>
      <c r="VQ13" s="33">
        <v>1</v>
      </c>
      <c r="VR13" s="39">
        <f t="shared" si="289"/>
        <v>44</v>
      </c>
      <c r="VS13" s="5"/>
      <c r="VT13" s="40">
        <f>(VS13-VR13)</f>
        <v>-44</v>
      </c>
      <c r="VV13" s="16">
        <v>31</v>
      </c>
      <c r="VW13" s="33">
        <v>1</v>
      </c>
      <c r="VX13" s="39">
        <f t="shared" si="290"/>
        <v>23</v>
      </c>
      <c r="VY13" s="5"/>
      <c r="VZ13" s="40">
        <f>(VY13-VX13)</f>
        <v>-23</v>
      </c>
      <c r="WB13" s="16">
        <v>30</v>
      </c>
      <c r="WC13" s="33">
        <v>1</v>
      </c>
      <c r="WD13" s="39">
        <f t="shared" si="291"/>
        <v>25</v>
      </c>
      <c r="WE13" s="5"/>
      <c r="WF13" s="40">
        <f t="shared" si="495"/>
        <v>25</v>
      </c>
      <c r="WH13" s="16">
        <v>38</v>
      </c>
      <c r="WI13" s="33">
        <v>1</v>
      </c>
      <c r="WJ13" s="39">
        <f t="shared" si="292"/>
        <v>16</v>
      </c>
      <c r="WK13" s="5"/>
      <c r="WL13" s="40">
        <f t="shared" si="496"/>
        <v>16</v>
      </c>
      <c r="WN13" s="16">
        <v>24</v>
      </c>
      <c r="WO13" s="33">
        <v>1</v>
      </c>
      <c r="WP13" s="39">
        <f t="shared" si="293"/>
        <v>38</v>
      </c>
      <c r="WQ13" s="5"/>
      <c r="WR13" s="40">
        <f t="shared" si="497"/>
        <v>38</v>
      </c>
      <c r="WT13" s="16">
        <v>34</v>
      </c>
      <c r="WU13" s="33">
        <v>1</v>
      </c>
      <c r="WV13" s="39">
        <f t="shared" si="294"/>
        <v>14</v>
      </c>
      <c r="WW13" s="5"/>
      <c r="WX13" s="40">
        <f t="shared" si="498"/>
        <v>14</v>
      </c>
      <c r="WZ13" s="16">
        <v>49</v>
      </c>
      <c r="XA13" s="33">
        <v>1</v>
      </c>
      <c r="XB13" s="39">
        <f t="shared" si="295"/>
        <v>9</v>
      </c>
      <c r="XC13" s="5"/>
      <c r="XD13" s="40">
        <f t="shared" si="499"/>
        <v>9</v>
      </c>
      <c r="XF13" s="16">
        <v>60</v>
      </c>
      <c r="XG13" s="33"/>
      <c r="XH13" s="39">
        <f t="shared" si="296"/>
        <v>13</v>
      </c>
      <c r="XI13" s="5"/>
      <c r="XJ13" s="40">
        <f t="shared" si="500"/>
        <v>13</v>
      </c>
      <c r="XL13" s="16">
        <v>54</v>
      </c>
      <c r="XM13" s="33"/>
      <c r="XN13" s="39">
        <f t="shared" si="297"/>
        <v>6</v>
      </c>
      <c r="XO13" s="5"/>
      <c r="XP13" s="40">
        <f t="shared" si="501"/>
        <v>6</v>
      </c>
      <c r="XR13" s="16">
        <v>38</v>
      </c>
      <c r="XS13" s="33">
        <v>2</v>
      </c>
      <c r="XT13" s="39">
        <f t="shared" si="298"/>
        <v>16</v>
      </c>
      <c r="XU13" s="5"/>
      <c r="XV13" s="40">
        <f t="shared" si="502"/>
        <v>16</v>
      </c>
      <c r="XX13" s="16">
        <v>51</v>
      </c>
      <c r="XY13" s="33">
        <v>2</v>
      </c>
      <c r="XZ13" s="39">
        <f t="shared" si="299"/>
        <v>35</v>
      </c>
      <c r="YA13" s="5"/>
      <c r="YB13" s="40">
        <f t="shared" si="503"/>
        <v>35</v>
      </c>
      <c r="YD13" s="16">
        <v>79</v>
      </c>
      <c r="YE13" s="33"/>
      <c r="YF13" s="39">
        <f t="shared" si="300"/>
        <v>20</v>
      </c>
      <c r="YG13" s="5"/>
      <c r="YH13" s="40">
        <f t="shared" si="504"/>
        <v>20</v>
      </c>
      <c r="YJ13" s="16">
        <v>55</v>
      </c>
      <c r="YK13" s="33"/>
      <c r="YL13" s="39">
        <f t="shared" si="301"/>
        <v>24</v>
      </c>
      <c r="YM13" s="5"/>
      <c r="YN13" s="40">
        <f t="shared" si="505"/>
        <v>24</v>
      </c>
      <c r="YP13" s="16">
        <v>46</v>
      </c>
      <c r="YQ13" s="33">
        <v>1</v>
      </c>
      <c r="YR13" s="39">
        <f t="shared" si="302"/>
        <v>9</v>
      </c>
      <c r="YS13" s="5"/>
      <c r="YT13" s="40">
        <f t="shared" si="506"/>
        <v>9</v>
      </c>
      <c r="YV13" s="16">
        <v>53</v>
      </c>
      <c r="YW13" s="33"/>
      <c r="YX13" s="39">
        <f t="shared" si="303"/>
        <v>17</v>
      </c>
      <c r="YY13" s="5"/>
      <c r="YZ13" s="40">
        <f t="shared" si="507"/>
        <v>17</v>
      </c>
      <c r="ZB13" s="16">
        <v>34</v>
      </c>
      <c r="ZC13" s="33">
        <v>1</v>
      </c>
      <c r="ZD13" s="39">
        <f t="shared" si="304"/>
        <v>19</v>
      </c>
      <c r="ZE13" s="5"/>
      <c r="ZF13" s="40">
        <f t="shared" si="508"/>
        <v>19</v>
      </c>
      <c r="ZH13" s="16">
        <v>43</v>
      </c>
      <c r="ZI13" s="33"/>
      <c r="ZJ13" s="39">
        <f t="shared" si="305"/>
        <v>15</v>
      </c>
      <c r="ZK13" s="5"/>
      <c r="ZL13" s="40">
        <f t="shared" si="509"/>
        <v>15</v>
      </c>
      <c r="ZN13" s="16">
        <v>31</v>
      </c>
      <c r="ZO13" s="33">
        <v>1</v>
      </c>
      <c r="ZP13" s="39">
        <f t="shared" si="306"/>
        <v>12</v>
      </c>
      <c r="ZQ13" s="5"/>
      <c r="ZR13" s="40">
        <f t="shared" si="510"/>
        <v>12</v>
      </c>
      <c r="ZT13" s="16">
        <v>25</v>
      </c>
      <c r="ZU13" s="33">
        <v>1</v>
      </c>
      <c r="ZV13" s="39">
        <f t="shared" si="307"/>
        <v>30</v>
      </c>
      <c r="ZW13" s="5"/>
      <c r="ZX13" s="40">
        <f t="shared" si="511"/>
        <v>30</v>
      </c>
      <c r="ZZ13" s="16">
        <v>24</v>
      </c>
      <c r="AAA13" s="33">
        <v>1</v>
      </c>
      <c r="AAB13" s="39">
        <f t="shared" si="308"/>
        <v>25</v>
      </c>
      <c r="AAC13" s="5"/>
      <c r="AAD13" s="40">
        <f t="shared" si="512"/>
        <v>25</v>
      </c>
      <c r="AAF13" s="16">
        <v>21</v>
      </c>
      <c r="AAG13" s="33">
        <v>1</v>
      </c>
      <c r="AAH13" s="39">
        <f t="shared" si="309"/>
        <v>27</v>
      </c>
      <c r="AAI13" s="5"/>
      <c r="AAJ13" s="40">
        <f t="shared" si="513"/>
        <v>27</v>
      </c>
      <c r="AAL13" s="16">
        <v>15</v>
      </c>
      <c r="AAM13" s="33">
        <v>2</v>
      </c>
      <c r="AAN13" s="39">
        <f t="shared" si="310"/>
        <v>30</v>
      </c>
      <c r="AAO13" s="5"/>
      <c r="AAP13" s="40">
        <f t="shared" si="514"/>
        <v>30</v>
      </c>
      <c r="AAR13" s="16">
        <v>48</v>
      </c>
      <c r="AAS13" s="33"/>
      <c r="AAT13" s="39">
        <f t="shared" si="311"/>
        <v>15</v>
      </c>
      <c r="AAU13" s="5"/>
      <c r="AAV13" s="40">
        <f t="shared" si="515"/>
        <v>15</v>
      </c>
      <c r="AAX13" s="16">
        <v>21</v>
      </c>
      <c r="AAY13" s="33">
        <v>2</v>
      </c>
      <c r="AAZ13" s="39">
        <f t="shared" si="312"/>
        <v>27</v>
      </c>
      <c r="ABA13" s="5"/>
      <c r="ABB13" s="40">
        <f t="shared" si="516"/>
        <v>27</v>
      </c>
      <c r="ABD13" s="16">
        <v>44</v>
      </c>
      <c r="ABE13" s="33"/>
      <c r="ABF13" s="39">
        <f t="shared" si="313"/>
        <v>25</v>
      </c>
      <c r="ABG13" s="5"/>
      <c r="ABH13" s="40">
        <f t="shared" si="517"/>
        <v>25</v>
      </c>
      <c r="ABJ13" s="16">
        <v>21</v>
      </c>
      <c r="ABK13" s="33">
        <v>1</v>
      </c>
      <c r="ABL13" s="39">
        <f t="shared" si="314"/>
        <v>23</v>
      </c>
      <c r="ABM13" s="5"/>
      <c r="ABN13" s="40">
        <f t="shared" si="518"/>
        <v>23</v>
      </c>
      <c r="ABP13" s="16">
        <v>15</v>
      </c>
      <c r="ABQ13" s="33"/>
      <c r="ABR13" s="39">
        <f t="shared" si="315"/>
        <v>30</v>
      </c>
      <c r="ABS13" s="5"/>
      <c r="ABT13" s="40">
        <f t="shared" si="519"/>
        <v>30</v>
      </c>
      <c r="ABV13" s="16">
        <v>0</v>
      </c>
      <c r="ABW13" s="33">
        <v>2</v>
      </c>
      <c r="ABX13" s="39">
        <f t="shared" si="316"/>
        <v>15</v>
      </c>
      <c r="ABY13" s="5"/>
      <c r="ABZ13" s="40">
        <f t="shared" si="520"/>
        <v>15</v>
      </c>
      <c r="ACB13" s="16">
        <v>26</v>
      </c>
      <c r="ACC13" s="33">
        <v>2</v>
      </c>
      <c r="ACD13" s="39">
        <f t="shared" si="317"/>
        <v>22</v>
      </c>
      <c r="ACE13" s="5"/>
      <c r="ACF13" s="40">
        <f t="shared" si="521"/>
        <v>22</v>
      </c>
      <c r="ACH13" s="16">
        <v>66</v>
      </c>
      <c r="ACI13" s="33"/>
      <c r="ACJ13" s="39">
        <f t="shared" si="318"/>
        <v>8</v>
      </c>
      <c r="ACK13" s="5"/>
      <c r="ACL13" s="40">
        <f t="shared" si="522"/>
        <v>8</v>
      </c>
      <c r="ACN13" s="16">
        <v>54</v>
      </c>
      <c r="ACO13" s="33"/>
      <c r="ACP13" s="39">
        <f t="shared" si="319"/>
        <v>12</v>
      </c>
      <c r="ACQ13" s="5"/>
      <c r="ACR13" s="40">
        <f t="shared" si="523"/>
        <v>12</v>
      </c>
      <c r="ACT13" s="16">
        <v>26</v>
      </c>
      <c r="ACU13" s="33">
        <v>1</v>
      </c>
      <c r="ACV13" s="39">
        <f t="shared" si="320"/>
        <v>28</v>
      </c>
      <c r="ACW13" s="5"/>
      <c r="ACX13" s="40">
        <f t="shared" si="524"/>
        <v>28</v>
      </c>
      <c r="ACZ13" s="16">
        <v>35</v>
      </c>
      <c r="ADA13" s="33">
        <v>1</v>
      </c>
      <c r="ADB13" s="39">
        <f t="shared" si="321"/>
        <v>15</v>
      </c>
      <c r="ADC13" s="5"/>
      <c r="ADD13" s="40">
        <f t="shared" si="525"/>
        <v>15</v>
      </c>
      <c r="ADF13" s="16">
        <v>36</v>
      </c>
      <c r="ADG13" s="33">
        <v>1</v>
      </c>
      <c r="ADH13" s="39">
        <f t="shared" si="322"/>
        <v>23</v>
      </c>
      <c r="ADI13" s="5"/>
      <c r="ADJ13" s="40">
        <f t="shared" si="526"/>
        <v>23</v>
      </c>
      <c r="ADL13" s="16">
        <v>40</v>
      </c>
      <c r="ADM13" s="33">
        <v>1</v>
      </c>
      <c r="ADN13" s="39">
        <f t="shared" si="323"/>
        <v>20</v>
      </c>
      <c r="ADO13" s="5"/>
      <c r="ADP13" s="40">
        <f t="shared" si="527"/>
        <v>20</v>
      </c>
      <c r="ADR13" s="16">
        <v>39</v>
      </c>
      <c r="ADS13" s="33">
        <v>1</v>
      </c>
      <c r="ADT13" s="39">
        <f t="shared" si="324"/>
        <v>25</v>
      </c>
      <c r="ADU13" s="5"/>
      <c r="ADV13" s="40">
        <f t="shared" si="528"/>
        <v>25</v>
      </c>
      <c r="ADX13" s="16">
        <v>22</v>
      </c>
      <c r="ADY13" s="33">
        <v>1</v>
      </c>
      <c r="ADZ13" s="39">
        <f t="shared" si="325"/>
        <v>41</v>
      </c>
      <c r="AEA13" s="5"/>
      <c r="AEB13" s="40">
        <f t="shared" si="529"/>
        <v>41</v>
      </c>
      <c r="AED13" s="16">
        <v>26</v>
      </c>
      <c r="AEE13" s="33">
        <v>2</v>
      </c>
      <c r="AEF13" s="39">
        <f t="shared" si="326"/>
        <v>20</v>
      </c>
      <c r="AEG13" s="5"/>
      <c r="AEH13" s="40">
        <f t="shared" si="530"/>
        <v>20</v>
      </c>
      <c r="AEJ13" s="16">
        <v>45</v>
      </c>
      <c r="AEK13" s="33"/>
      <c r="AEL13" s="39">
        <f t="shared" si="327"/>
        <v>29</v>
      </c>
      <c r="AEM13" s="5"/>
      <c r="AEN13" s="40">
        <f t="shared" si="531"/>
        <v>29</v>
      </c>
      <c r="AEP13" s="16">
        <v>36</v>
      </c>
      <c r="AEQ13" s="33">
        <v>1</v>
      </c>
      <c r="AER13" s="39">
        <f t="shared" si="328"/>
        <v>9</v>
      </c>
      <c r="AES13" s="5"/>
      <c r="AET13" s="40">
        <f t="shared" si="532"/>
        <v>9</v>
      </c>
      <c r="AEV13" s="16">
        <v>55</v>
      </c>
      <c r="AEW13" s="33"/>
      <c r="AEX13" s="39">
        <f t="shared" si="329"/>
        <v>5</v>
      </c>
      <c r="AEY13" s="5"/>
      <c r="AEZ13" s="40">
        <f t="shared" si="533"/>
        <v>5</v>
      </c>
      <c r="AFB13" s="16">
        <v>35</v>
      </c>
      <c r="AFC13" s="33">
        <v>1</v>
      </c>
      <c r="AFD13" s="39">
        <f t="shared" si="330"/>
        <v>20</v>
      </c>
      <c r="AFE13" s="5"/>
      <c r="AFF13" s="40">
        <f t="shared" si="534"/>
        <v>20</v>
      </c>
      <c r="AFH13" s="16">
        <v>48</v>
      </c>
      <c r="AFI13" s="33"/>
      <c r="AFJ13" s="39">
        <f t="shared" si="331"/>
        <v>11</v>
      </c>
      <c r="AFK13" s="5"/>
      <c r="AFL13" s="40">
        <f t="shared" si="535"/>
        <v>11</v>
      </c>
      <c r="AFN13" s="16">
        <v>39</v>
      </c>
      <c r="AFO13" s="33"/>
      <c r="AFP13" s="39">
        <f t="shared" si="332"/>
        <v>9</v>
      </c>
      <c r="AFQ13" s="5"/>
      <c r="AFR13" s="40">
        <f t="shared" si="536"/>
        <v>9</v>
      </c>
      <c r="AFT13" s="16">
        <v>29</v>
      </c>
      <c r="AFU13" s="33"/>
      <c r="AFV13" s="39">
        <f t="shared" si="333"/>
        <v>10</v>
      </c>
      <c r="AFW13" s="5"/>
      <c r="AFX13" s="40">
        <f t="shared" si="537"/>
        <v>10</v>
      </c>
      <c r="AFZ13" s="16">
        <v>16</v>
      </c>
      <c r="AGA13" s="33">
        <v>2</v>
      </c>
      <c r="AGB13" s="39">
        <f t="shared" si="334"/>
        <v>13</v>
      </c>
      <c r="AGC13" s="5"/>
      <c r="AGD13" s="40">
        <f t="shared" si="538"/>
        <v>13</v>
      </c>
      <c r="AGF13" s="16">
        <v>39</v>
      </c>
      <c r="AGG13" s="33">
        <v>1</v>
      </c>
      <c r="AGH13" s="39">
        <f t="shared" si="335"/>
        <v>25</v>
      </c>
      <c r="AGI13" s="5"/>
      <c r="AGJ13" s="40">
        <f t="shared" si="539"/>
        <v>25</v>
      </c>
      <c r="AGL13" s="16">
        <v>47</v>
      </c>
      <c r="AGM13" s="33"/>
      <c r="AGN13" s="39">
        <f t="shared" si="336"/>
        <v>16</v>
      </c>
      <c r="AGO13" s="5"/>
      <c r="AGP13" s="40">
        <f t="shared" si="540"/>
        <v>16</v>
      </c>
      <c r="AGR13" s="16">
        <v>55</v>
      </c>
      <c r="AGS13" s="33"/>
      <c r="AGT13" s="39">
        <f t="shared" si="337"/>
        <v>-8</v>
      </c>
      <c r="AGU13" s="5"/>
      <c r="AGV13" s="40">
        <f t="shared" si="541"/>
        <v>-8</v>
      </c>
      <c r="AGX13" s="16">
        <v>37</v>
      </c>
      <c r="AGY13" s="33">
        <v>1</v>
      </c>
      <c r="AGZ13" s="39">
        <f t="shared" si="338"/>
        <v>18</v>
      </c>
      <c r="AHA13" s="5"/>
      <c r="AHB13" s="40">
        <f t="shared" si="542"/>
        <v>18</v>
      </c>
      <c r="AHD13" s="16">
        <v>36</v>
      </c>
      <c r="AHE13" s="33"/>
      <c r="AHF13" s="39">
        <f t="shared" si="339"/>
        <v>25</v>
      </c>
      <c r="AHG13" s="5"/>
      <c r="AHH13" s="40">
        <f t="shared" si="543"/>
        <v>25</v>
      </c>
      <c r="AHJ13" s="16">
        <v>32</v>
      </c>
      <c r="AHK13" s="33">
        <v>1</v>
      </c>
      <c r="AHL13" s="39">
        <f t="shared" si="340"/>
        <v>4</v>
      </c>
      <c r="AHM13" s="5"/>
      <c r="AHN13" s="40">
        <f t="shared" si="544"/>
        <v>4</v>
      </c>
      <c r="AHP13" s="16">
        <v>36</v>
      </c>
      <c r="AHQ13" s="33">
        <v>1</v>
      </c>
      <c r="AHR13" s="39">
        <f t="shared" si="341"/>
        <v>20</v>
      </c>
      <c r="AHS13" s="5"/>
      <c r="AHT13" s="40">
        <f t="shared" si="545"/>
        <v>20</v>
      </c>
      <c r="AHV13" s="16">
        <v>45</v>
      </c>
      <c r="AHW13" s="33"/>
      <c r="AHX13" s="39">
        <f t="shared" si="342"/>
        <v>15</v>
      </c>
      <c r="AHY13" s="5"/>
      <c r="AHZ13" s="40">
        <f t="shared" si="546"/>
        <v>15</v>
      </c>
      <c r="AIB13" s="16">
        <v>25</v>
      </c>
      <c r="AIC13" s="33">
        <v>1</v>
      </c>
      <c r="AID13" s="39">
        <f t="shared" si="343"/>
        <v>20</v>
      </c>
      <c r="AIE13" s="5"/>
      <c r="AIF13" s="40">
        <f t="shared" si="547"/>
        <v>20</v>
      </c>
      <c r="AIH13" s="16">
        <v>31</v>
      </c>
      <c r="AII13" s="33">
        <v>1</v>
      </c>
      <c r="AIJ13" s="39">
        <f t="shared" si="344"/>
        <v>18</v>
      </c>
      <c r="AIK13" s="5"/>
      <c r="AIL13" s="40">
        <f t="shared" si="548"/>
        <v>18</v>
      </c>
      <c r="AIN13" s="16">
        <v>47</v>
      </c>
      <c r="AIO13" s="33"/>
      <c r="AIP13" s="39">
        <f t="shared" si="345"/>
        <v>8</v>
      </c>
      <c r="AIQ13" s="5"/>
      <c r="AIR13" s="40">
        <f t="shared" si="549"/>
        <v>8</v>
      </c>
      <c r="AIT13" s="16">
        <v>36</v>
      </c>
      <c r="AIU13" s="33">
        <v>1</v>
      </c>
      <c r="AIV13" s="39">
        <f t="shared" si="346"/>
        <v>11</v>
      </c>
      <c r="AIW13" s="5"/>
      <c r="AIX13" s="40">
        <f t="shared" si="550"/>
        <v>11</v>
      </c>
      <c r="AIZ13" s="16">
        <v>46</v>
      </c>
      <c r="AJA13" s="33"/>
      <c r="AJB13" s="39">
        <f t="shared" si="347"/>
        <v>14</v>
      </c>
      <c r="AJC13" s="5"/>
      <c r="AJD13" s="40">
        <f t="shared" si="551"/>
        <v>14</v>
      </c>
      <c r="AJF13" s="16">
        <v>31</v>
      </c>
      <c r="AJG13" s="33">
        <v>1</v>
      </c>
      <c r="AJH13" s="39">
        <f t="shared" si="348"/>
        <v>15</v>
      </c>
      <c r="AJI13" s="5"/>
      <c r="AJJ13" s="40">
        <f t="shared" si="552"/>
        <v>15</v>
      </c>
      <c r="AJL13" s="16">
        <v>40</v>
      </c>
      <c r="AJM13" s="33"/>
      <c r="AJN13" s="39">
        <f t="shared" si="349"/>
        <v>15</v>
      </c>
      <c r="AJO13" s="5"/>
      <c r="AJP13" s="40">
        <f t="shared" si="553"/>
        <v>15</v>
      </c>
      <c r="AJR13" s="16">
        <v>53</v>
      </c>
      <c r="AJS13" s="33"/>
      <c r="AJT13" s="39">
        <f t="shared" si="350"/>
        <v>-13</v>
      </c>
      <c r="AJU13" s="5"/>
      <c r="AJV13" s="40">
        <f t="shared" si="554"/>
        <v>-13</v>
      </c>
      <c r="AJX13" s="16">
        <v>43</v>
      </c>
      <c r="AJY13" s="33"/>
      <c r="AJZ13" s="39">
        <f t="shared" si="351"/>
        <v>10</v>
      </c>
      <c r="AKA13" s="5"/>
      <c r="AKB13" s="40">
        <f t="shared" si="555"/>
        <v>10</v>
      </c>
      <c r="AKD13" s="16">
        <v>40</v>
      </c>
      <c r="AKE13" s="33"/>
      <c r="AKF13" s="39">
        <f t="shared" si="352"/>
        <v>3</v>
      </c>
      <c r="AKG13" s="5"/>
      <c r="AKH13" s="40">
        <f t="shared" si="556"/>
        <v>3</v>
      </c>
      <c r="AKJ13" s="16">
        <v>25</v>
      </c>
      <c r="AKK13" s="33">
        <v>1</v>
      </c>
      <c r="AKL13" s="39">
        <f t="shared" si="353"/>
        <v>15</v>
      </c>
      <c r="AKM13" s="5"/>
      <c r="AKN13" s="40">
        <f t="shared" si="557"/>
        <v>15</v>
      </c>
      <c r="AKP13" s="16">
        <v>32</v>
      </c>
      <c r="AKQ13" s="33"/>
      <c r="AKR13" s="39">
        <f t="shared" si="354"/>
        <v>17</v>
      </c>
      <c r="AKS13" s="5"/>
      <c r="AKT13" s="40">
        <f t="shared" si="558"/>
        <v>17</v>
      </c>
      <c r="AKV13" s="16">
        <v>22</v>
      </c>
      <c r="AKW13" s="33">
        <v>1</v>
      </c>
      <c r="AKX13" s="39">
        <f t="shared" si="355"/>
        <v>10</v>
      </c>
      <c r="AKY13" s="5"/>
      <c r="AKZ13" s="40">
        <f t="shared" si="559"/>
        <v>10</v>
      </c>
      <c r="ALB13" s="16">
        <v>29</v>
      </c>
      <c r="ALC13" s="33"/>
      <c r="ALD13" s="39">
        <f t="shared" si="356"/>
        <v>17</v>
      </c>
      <c r="ALE13" s="5"/>
      <c r="ALF13" s="40">
        <f t="shared" si="560"/>
        <v>17</v>
      </c>
      <c r="ALH13" s="16">
        <v>18</v>
      </c>
      <c r="ALI13" s="33">
        <v>1</v>
      </c>
      <c r="ALJ13" s="39">
        <f t="shared" si="357"/>
        <v>11</v>
      </c>
      <c r="ALK13" s="5"/>
      <c r="ALL13" s="40">
        <f t="shared" si="561"/>
        <v>11</v>
      </c>
      <c r="ALN13" s="16">
        <v>34</v>
      </c>
      <c r="ALO13" s="33"/>
      <c r="ALP13" s="39">
        <f t="shared" si="358"/>
        <v>8</v>
      </c>
      <c r="ALQ13" s="5"/>
      <c r="ALR13" s="40">
        <f t="shared" si="562"/>
        <v>8</v>
      </c>
      <c r="ALT13" s="16">
        <v>27</v>
      </c>
      <c r="ALU13" s="33">
        <v>1</v>
      </c>
      <c r="ALV13" s="39">
        <f t="shared" si="359"/>
        <v>7</v>
      </c>
      <c r="ALW13" s="5"/>
      <c r="ALX13" s="40">
        <f t="shared" si="563"/>
        <v>7</v>
      </c>
      <c r="ALZ13" s="16">
        <v>44</v>
      </c>
      <c r="AMA13" s="33"/>
      <c r="AMB13" s="39">
        <f t="shared" si="360"/>
        <v>7</v>
      </c>
      <c r="AMC13" s="5"/>
      <c r="AMD13" s="40">
        <f t="shared" si="564"/>
        <v>7</v>
      </c>
      <c r="AMF13" s="16">
        <v>39</v>
      </c>
      <c r="AMG13" s="33"/>
      <c r="AMH13" s="39">
        <f t="shared" si="361"/>
        <v>5</v>
      </c>
      <c r="AMI13" s="5"/>
      <c r="AMJ13" s="40">
        <f t="shared" si="565"/>
        <v>5</v>
      </c>
      <c r="AML13" s="16">
        <v>27</v>
      </c>
      <c r="AMM13" s="33">
        <v>1</v>
      </c>
      <c r="AMN13" s="39">
        <f t="shared" si="362"/>
        <v>12</v>
      </c>
      <c r="AMO13" s="5"/>
      <c r="AMP13" s="40">
        <f t="shared" si="566"/>
        <v>12</v>
      </c>
      <c r="AMR13" s="16">
        <v>47</v>
      </c>
      <c r="AMS13" s="33"/>
      <c r="AMT13" s="39">
        <f t="shared" si="363"/>
        <v>4</v>
      </c>
      <c r="AMU13" s="5"/>
      <c r="AMV13" s="40">
        <f t="shared" si="567"/>
        <v>4</v>
      </c>
      <c r="AMX13" s="16">
        <v>32</v>
      </c>
      <c r="AMY13" s="33">
        <v>1</v>
      </c>
      <c r="AMZ13" s="39">
        <f t="shared" si="364"/>
        <v>15</v>
      </c>
      <c r="ANA13" s="5"/>
      <c r="ANB13" s="40">
        <f t="shared" si="568"/>
        <v>15</v>
      </c>
      <c r="AND13" s="16">
        <v>35</v>
      </c>
      <c r="ANE13" s="33"/>
      <c r="ANF13" s="39">
        <f t="shared" si="365"/>
        <v>21</v>
      </c>
      <c r="ANG13" s="5"/>
      <c r="ANH13" s="40">
        <f t="shared" si="569"/>
        <v>21</v>
      </c>
      <c r="ANJ13" s="16">
        <v>29</v>
      </c>
      <c r="ANK13" s="33">
        <v>1</v>
      </c>
      <c r="ANL13" s="39">
        <f t="shared" si="366"/>
        <v>6</v>
      </c>
      <c r="ANM13" s="5"/>
      <c r="ANN13" s="40">
        <f t="shared" si="570"/>
        <v>6</v>
      </c>
      <c r="ANP13" s="16">
        <v>41</v>
      </c>
      <c r="ANQ13" s="33"/>
      <c r="ANR13" s="39">
        <f t="shared" si="367"/>
        <v>12</v>
      </c>
      <c r="ANS13" s="5"/>
      <c r="ANT13" s="40">
        <f t="shared" si="571"/>
        <v>12</v>
      </c>
      <c r="ANV13" s="16">
        <v>18</v>
      </c>
      <c r="ANW13" s="33">
        <v>2</v>
      </c>
      <c r="ANX13" s="39">
        <f t="shared" si="368"/>
        <v>23</v>
      </c>
      <c r="ANY13" s="5"/>
      <c r="ANZ13" s="40">
        <f t="shared" si="572"/>
        <v>23</v>
      </c>
      <c r="AOB13" s="16"/>
      <c r="AOC13" s="33"/>
      <c r="AOD13" s="39">
        <f t="shared" si="369"/>
        <v>66</v>
      </c>
      <c r="AOE13" s="5"/>
      <c r="AOF13" s="40">
        <f t="shared" si="573"/>
        <v>66</v>
      </c>
      <c r="AOH13" s="16"/>
      <c r="AOI13" s="33"/>
      <c r="AOJ13" s="39">
        <f t="shared" si="370"/>
        <v>0</v>
      </c>
      <c r="AOK13" s="5"/>
      <c r="AOL13" s="40">
        <f t="shared" si="574"/>
        <v>0</v>
      </c>
      <c r="AON13" s="16"/>
      <c r="AOO13" s="33"/>
      <c r="AOP13" s="39">
        <f t="shared" si="371"/>
        <v>0</v>
      </c>
      <c r="AOQ13" s="5"/>
      <c r="AOR13" s="40">
        <f t="shared" si="575"/>
        <v>0</v>
      </c>
    </row>
    <row r="14" spans="1:1024 1026:1085" x14ac:dyDescent="0.25">
      <c r="A14" s="3" t="s">
        <v>30</v>
      </c>
      <c r="B14" s="3">
        <v>10607</v>
      </c>
      <c r="C14" s="5" t="s">
        <v>26</v>
      </c>
      <c r="D14" s="27">
        <v>48</v>
      </c>
      <c r="F14" s="16">
        <v>25</v>
      </c>
      <c r="G14" s="15"/>
      <c r="H14" s="11"/>
      <c r="I14" s="15"/>
      <c r="J14" s="15"/>
      <c r="L14" s="16">
        <v>0</v>
      </c>
      <c r="M14" s="15">
        <v>2</v>
      </c>
      <c r="N14" s="13">
        <f t="shared" si="372"/>
        <v>25</v>
      </c>
      <c r="O14" s="15"/>
      <c r="P14" s="21">
        <f t="shared" si="373"/>
        <v>-25</v>
      </c>
      <c r="R14" s="16">
        <v>33</v>
      </c>
      <c r="S14" s="15">
        <v>1</v>
      </c>
      <c r="T14" s="13">
        <f t="shared" si="374"/>
        <v>15</v>
      </c>
      <c r="U14" s="15">
        <v>17</v>
      </c>
      <c r="V14" s="21">
        <f t="shared" si="375"/>
        <v>2</v>
      </c>
      <c r="X14" s="16">
        <v>26</v>
      </c>
      <c r="Y14" s="15">
        <v>1</v>
      </c>
      <c r="Z14" s="13">
        <f t="shared" si="376"/>
        <v>31</v>
      </c>
      <c r="AA14" s="15">
        <v>31</v>
      </c>
      <c r="AB14" s="21">
        <f t="shared" si="377"/>
        <v>0</v>
      </c>
      <c r="AD14" s="16">
        <v>19</v>
      </c>
      <c r="AE14" s="15"/>
      <c r="AF14" s="13">
        <f t="shared" si="378"/>
        <v>31</v>
      </c>
      <c r="AG14" s="15">
        <v>31</v>
      </c>
      <c r="AH14" s="21">
        <f t="shared" si="379"/>
        <v>0</v>
      </c>
      <c r="AJ14" s="16">
        <v>0</v>
      </c>
      <c r="AK14" s="15">
        <v>2</v>
      </c>
      <c r="AL14" s="13">
        <f t="shared" si="380"/>
        <v>19</v>
      </c>
      <c r="AM14" s="15">
        <v>14</v>
      </c>
      <c r="AN14" s="21">
        <f t="shared" si="381"/>
        <v>-5</v>
      </c>
      <c r="AP14" s="16">
        <v>35</v>
      </c>
      <c r="AQ14" s="15">
        <v>1</v>
      </c>
      <c r="AR14" s="13">
        <f t="shared" si="382"/>
        <v>13</v>
      </c>
      <c r="AS14" s="15">
        <v>15</v>
      </c>
      <c r="AT14" s="21">
        <f t="shared" si="383"/>
        <v>2</v>
      </c>
      <c r="AV14" s="16">
        <v>30</v>
      </c>
      <c r="AW14" s="15">
        <v>1</v>
      </c>
      <c r="AX14" s="13">
        <f t="shared" si="384"/>
        <v>29</v>
      </c>
      <c r="AY14" s="15">
        <v>30</v>
      </c>
      <c r="AZ14" s="21">
        <f t="shared" si="385"/>
        <v>1</v>
      </c>
      <c r="BB14" s="16">
        <v>32</v>
      </c>
      <c r="BC14" s="15">
        <v>1</v>
      </c>
      <c r="BD14" s="13">
        <f t="shared" si="386"/>
        <v>22</v>
      </c>
      <c r="BE14" s="15">
        <v>19</v>
      </c>
      <c r="BF14" s="21">
        <f t="shared" si="387"/>
        <v>-3</v>
      </c>
      <c r="BH14" s="16">
        <v>40</v>
      </c>
      <c r="BI14" s="15"/>
      <c r="BJ14" s="13">
        <f t="shared" si="388"/>
        <v>16</v>
      </c>
      <c r="BK14" s="15">
        <v>15</v>
      </c>
      <c r="BL14" s="21">
        <f t="shared" si="389"/>
        <v>-1</v>
      </c>
      <c r="BN14" s="16">
        <v>20</v>
      </c>
      <c r="BO14" s="15">
        <v>1</v>
      </c>
      <c r="BP14" s="13">
        <f t="shared" si="390"/>
        <v>20</v>
      </c>
      <c r="BQ14" s="15">
        <v>21</v>
      </c>
      <c r="BR14" s="21">
        <f t="shared" si="391"/>
        <v>1</v>
      </c>
      <c r="BT14" s="16">
        <v>27</v>
      </c>
      <c r="BU14" s="15">
        <v>1</v>
      </c>
      <c r="BV14" s="13">
        <f t="shared" si="392"/>
        <v>17</v>
      </c>
      <c r="BW14" s="15">
        <v>18</v>
      </c>
      <c r="BX14" s="21">
        <f t="shared" si="393"/>
        <v>1</v>
      </c>
      <c r="BZ14" s="16">
        <v>31</v>
      </c>
      <c r="CA14" s="15">
        <v>1</v>
      </c>
      <c r="CB14" s="13">
        <f t="shared" si="394"/>
        <v>20</v>
      </c>
      <c r="CC14" s="15">
        <v>17</v>
      </c>
      <c r="CD14" s="21">
        <f t="shared" si="395"/>
        <v>-3</v>
      </c>
      <c r="CF14" s="16">
        <v>40</v>
      </c>
      <c r="CG14" s="15"/>
      <c r="CH14" s="13">
        <f t="shared" si="396"/>
        <v>15</v>
      </c>
      <c r="CI14" s="5">
        <v>14</v>
      </c>
      <c r="CJ14" s="21">
        <f t="shared" si="397"/>
        <v>-1</v>
      </c>
      <c r="CL14" s="16">
        <v>26</v>
      </c>
      <c r="CM14" s="15">
        <v>1</v>
      </c>
      <c r="CN14" s="13">
        <f t="shared" si="398"/>
        <v>14</v>
      </c>
      <c r="CO14" s="5">
        <v>17</v>
      </c>
      <c r="CP14" s="21">
        <f t="shared" si="399"/>
        <v>3</v>
      </c>
      <c r="CR14" s="16">
        <v>28</v>
      </c>
      <c r="CS14" s="15">
        <v>1</v>
      </c>
      <c r="CT14" s="13">
        <f t="shared" si="400"/>
        <v>22</v>
      </c>
      <c r="CU14" s="5">
        <v>23</v>
      </c>
      <c r="CV14" s="21">
        <f t="shared" si="401"/>
        <v>1</v>
      </c>
      <c r="CX14" s="16">
        <v>28</v>
      </c>
      <c r="CY14" s="33">
        <v>1</v>
      </c>
      <c r="CZ14" s="39">
        <f t="shared" si="402"/>
        <v>24</v>
      </c>
      <c r="DA14" s="5"/>
      <c r="DB14" s="40">
        <f t="shared" si="403"/>
        <v>-24</v>
      </c>
      <c r="DD14" s="16">
        <v>35</v>
      </c>
      <c r="DE14" s="33">
        <v>1</v>
      </c>
      <c r="DF14" s="39">
        <f t="shared" si="404"/>
        <v>17</v>
      </c>
      <c r="DG14" s="5"/>
      <c r="DH14" s="40">
        <f t="shared" si="405"/>
        <v>-17</v>
      </c>
      <c r="DJ14" s="16">
        <v>50</v>
      </c>
      <c r="DK14" s="33"/>
      <c r="DL14" s="39">
        <f t="shared" si="406"/>
        <v>9</v>
      </c>
      <c r="DM14" s="5">
        <v>9</v>
      </c>
      <c r="DN14" s="40">
        <f t="shared" si="407"/>
        <v>0</v>
      </c>
      <c r="DP14" s="16">
        <v>35</v>
      </c>
      <c r="DQ14" s="33">
        <v>1</v>
      </c>
      <c r="DR14" s="39">
        <f t="shared" si="408"/>
        <v>15</v>
      </c>
      <c r="DS14" s="5">
        <v>14</v>
      </c>
      <c r="DT14" s="40">
        <f t="shared" si="409"/>
        <v>-1</v>
      </c>
      <c r="DV14" s="16">
        <v>31</v>
      </c>
      <c r="DW14" s="33">
        <v>1</v>
      </c>
      <c r="DX14" s="39">
        <f t="shared" si="410"/>
        <v>28</v>
      </c>
      <c r="DY14" s="5">
        <v>25</v>
      </c>
      <c r="DZ14" s="40">
        <f t="shared" si="411"/>
        <v>-3</v>
      </c>
      <c r="EB14" s="16">
        <v>31</v>
      </c>
      <c r="EC14" s="33">
        <v>1</v>
      </c>
      <c r="ED14" s="39">
        <f t="shared" si="412"/>
        <v>24</v>
      </c>
      <c r="EE14" s="5">
        <v>22</v>
      </c>
      <c r="EF14" s="40">
        <f t="shared" si="413"/>
        <v>-2</v>
      </c>
      <c r="EH14" s="16">
        <v>40</v>
      </c>
      <c r="EI14" s="33">
        <v>1</v>
      </c>
      <c r="EJ14" s="39">
        <f t="shared" si="414"/>
        <v>15</v>
      </c>
      <c r="EK14" s="5">
        <v>14</v>
      </c>
      <c r="EL14" s="40">
        <f t="shared" si="415"/>
        <v>-1</v>
      </c>
      <c r="EN14" s="16">
        <v>43</v>
      </c>
      <c r="EO14" s="33"/>
      <c r="EP14" s="39">
        <f t="shared" si="416"/>
        <v>21</v>
      </c>
      <c r="EQ14" s="5">
        <v>24</v>
      </c>
      <c r="ER14" s="40">
        <f t="shared" si="417"/>
        <v>3</v>
      </c>
      <c r="ET14" s="16">
        <v>30</v>
      </c>
      <c r="EU14" s="33">
        <v>1</v>
      </c>
      <c r="EV14" s="39">
        <f t="shared" si="418"/>
        <v>13</v>
      </c>
      <c r="EW14" s="5">
        <v>15</v>
      </c>
      <c r="EX14" s="40">
        <f t="shared" si="419"/>
        <v>2</v>
      </c>
      <c r="EZ14" s="16">
        <v>36</v>
      </c>
      <c r="FA14" s="33"/>
      <c r="FB14" s="39">
        <f t="shared" si="420"/>
        <v>18</v>
      </c>
      <c r="FC14" s="5">
        <v>16</v>
      </c>
      <c r="FD14" s="40">
        <f t="shared" si="421"/>
        <v>-2</v>
      </c>
      <c r="FF14" s="16">
        <v>24</v>
      </c>
      <c r="FG14" s="33">
        <v>1</v>
      </c>
      <c r="FH14" s="39">
        <f t="shared" si="218"/>
        <v>12</v>
      </c>
      <c r="FI14" s="5">
        <v>12</v>
      </c>
      <c r="FJ14" s="40">
        <f t="shared" si="422"/>
        <v>0</v>
      </c>
      <c r="FL14" s="16">
        <v>45</v>
      </c>
      <c r="FM14" s="33">
        <v>1</v>
      </c>
      <c r="FN14" s="39">
        <f t="shared" si="219"/>
        <v>3</v>
      </c>
      <c r="FO14" s="5">
        <v>3</v>
      </c>
      <c r="FP14" s="40">
        <f t="shared" si="423"/>
        <v>0</v>
      </c>
      <c r="FR14" s="16">
        <v>29</v>
      </c>
      <c r="FS14" s="33"/>
      <c r="FT14" s="39">
        <f t="shared" si="220"/>
        <v>40</v>
      </c>
      <c r="FU14" s="5"/>
      <c r="FV14" s="40">
        <f t="shared" si="424"/>
        <v>-40</v>
      </c>
      <c r="FX14" s="16">
        <v>14</v>
      </c>
      <c r="FY14" s="33">
        <v>1</v>
      </c>
      <c r="FZ14" s="39">
        <f t="shared" si="221"/>
        <v>15</v>
      </c>
      <c r="GA14" s="5">
        <v>17</v>
      </c>
      <c r="GB14" s="40">
        <f t="shared" si="425"/>
        <v>2</v>
      </c>
      <c r="GD14" s="16">
        <v>26</v>
      </c>
      <c r="GE14" s="33">
        <v>1</v>
      </c>
      <c r="GF14" s="39">
        <f t="shared" si="222"/>
        <v>12</v>
      </c>
      <c r="GG14" s="5">
        <v>13</v>
      </c>
      <c r="GH14" s="40">
        <f t="shared" si="426"/>
        <v>1</v>
      </c>
      <c r="GJ14" s="16">
        <v>34</v>
      </c>
      <c r="GK14" s="33"/>
      <c r="GL14" s="39">
        <f t="shared" si="223"/>
        <v>16</v>
      </c>
      <c r="GM14" s="5">
        <v>15</v>
      </c>
      <c r="GN14" s="40">
        <f t="shared" si="427"/>
        <v>-1</v>
      </c>
      <c r="GP14" s="16">
        <v>20</v>
      </c>
      <c r="GQ14" s="33"/>
      <c r="GR14" s="39">
        <f t="shared" si="224"/>
        <v>14</v>
      </c>
      <c r="GS14" s="5">
        <v>14</v>
      </c>
      <c r="GT14" s="40">
        <f t="shared" si="428"/>
        <v>0</v>
      </c>
      <c r="GV14" s="16">
        <v>53</v>
      </c>
      <c r="GW14" s="33">
        <v>1</v>
      </c>
      <c r="GX14" s="39">
        <f t="shared" si="225"/>
        <v>-33</v>
      </c>
      <c r="GY14" s="5">
        <v>8</v>
      </c>
      <c r="GZ14" s="40">
        <f t="shared" si="429"/>
        <v>41</v>
      </c>
      <c r="HB14" s="16">
        <v>55</v>
      </c>
      <c r="HC14" s="33">
        <v>1</v>
      </c>
      <c r="HD14" s="39">
        <f t="shared" si="226"/>
        <v>22</v>
      </c>
      <c r="HE14" s="5">
        <v>9</v>
      </c>
      <c r="HF14" s="40">
        <f t="shared" si="430"/>
        <v>-13</v>
      </c>
      <c r="HH14" s="16">
        <v>72</v>
      </c>
      <c r="HI14" s="33"/>
      <c r="HJ14" s="39">
        <f t="shared" si="227"/>
        <v>7</v>
      </c>
      <c r="HK14" s="5">
        <v>6</v>
      </c>
      <c r="HL14" s="40">
        <f t="shared" si="431"/>
        <v>-1</v>
      </c>
      <c r="HN14" s="16">
        <v>66</v>
      </c>
      <c r="HO14" s="33"/>
      <c r="HP14" s="39">
        <f t="shared" si="228"/>
        <v>6</v>
      </c>
      <c r="HQ14" s="5">
        <v>5</v>
      </c>
      <c r="HR14" s="40">
        <f t="shared" si="432"/>
        <v>-1</v>
      </c>
      <c r="HT14" s="16">
        <v>52</v>
      </c>
      <c r="HU14" s="33"/>
      <c r="HV14" s="39">
        <f t="shared" si="229"/>
        <v>14</v>
      </c>
      <c r="HW14" s="5">
        <v>14</v>
      </c>
      <c r="HX14" s="40">
        <f t="shared" si="433"/>
        <v>0</v>
      </c>
      <c r="HZ14" s="16">
        <v>43</v>
      </c>
      <c r="IA14" s="33"/>
      <c r="IB14" s="39">
        <f t="shared" si="230"/>
        <v>9</v>
      </c>
      <c r="IC14" s="5">
        <v>8</v>
      </c>
      <c r="ID14" s="40">
        <f t="shared" si="434"/>
        <v>-1</v>
      </c>
      <c r="IF14" s="16">
        <v>24</v>
      </c>
      <c r="IG14" s="33">
        <v>1</v>
      </c>
      <c r="IH14" s="39">
        <f t="shared" si="231"/>
        <v>19</v>
      </c>
      <c r="II14" s="5">
        <v>19</v>
      </c>
      <c r="IJ14" s="40">
        <f t="shared" si="435"/>
        <v>0</v>
      </c>
      <c r="IL14" s="16">
        <v>28</v>
      </c>
      <c r="IM14" s="33">
        <v>1</v>
      </c>
      <c r="IN14" s="39">
        <f t="shared" si="232"/>
        <v>20</v>
      </c>
      <c r="IO14" s="5">
        <v>22</v>
      </c>
      <c r="IP14" s="40">
        <f t="shared" si="436"/>
        <v>2</v>
      </c>
      <c r="IR14" s="16">
        <v>43</v>
      </c>
      <c r="IS14" s="33"/>
      <c r="IT14" s="39">
        <f t="shared" si="233"/>
        <v>9</v>
      </c>
      <c r="IU14" s="5">
        <v>9</v>
      </c>
      <c r="IV14" s="40">
        <f t="shared" si="437"/>
        <v>0</v>
      </c>
      <c r="IX14" s="16">
        <v>35</v>
      </c>
      <c r="IY14" s="33">
        <v>1</v>
      </c>
      <c r="IZ14" s="39">
        <f t="shared" si="234"/>
        <v>8</v>
      </c>
      <c r="JA14" s="5">
        <v>8</v>
      </c>
      <c r="JB14" s="40">
        <f t="shared" si="438"/>
        <v>0</v>
      </c>
      <c r="JD14" s="16">
        <v>52</v>
      </c>
      <c r="JE14" s="33"/>
      <c r="JF14" s="39">
        <f t="shared" si="235"/>
        <v>7</v>
      </c>
      <c r="JG14" s="5">
        <v>6</v>
      </c>
      <c r="JH14" s="40">
        <f t="shared" si="439"/>
        <v>-1</v>
      </c>
      <c r="JJ14" s="16">
        <v>34</v>
      </c>
      <c r="JK14" s="33"/>
      <c r="JL14" s="39">
        <f t="shared" si="236"/>
        <v>18</v>
      </c>
      <c r="JM14" s="5">
        <v>14</v>
      </c>
      <c r="JN14" s="40">
        <f t="shared" si="440"/>
        <v>-4</v>
      </c>
      <c r="JP14" s="16">
        <v>24</v>
      </c>
      <c r="JQ14" s="33">
        <v>1</v>
      </c>
      <c r="JR14" s="39">
        <f t="shared" si="237"/>
        <v>10</v>
      </c>
      <c r="JS14" s="5">
        <v>15</v>
      </c>
      <c r="JT14" s="40">
        <f t="shared" si="441"/>
        <v>5</v>
      </c>
      <c r="JV14" s="16">
        <v>40</v>
      </c>
      <c r="JW14" s="33"/>
      <c r="JX14" s="39">
        <f t="shared" si="238"/>
        <v>8</v>
      </c>
      <c r="JY14" s="5">
        <v>4</v>
      </c>
      <c r="JZ14" s="40">
        <f t="shared" si="442"/>
        <v>-4</v>
      </c>
      <c r="KB14" s="16">
        <v>25</v>
      </c>
      <c r="KC14" s="33">
        <v>1</v>
      </c>
      <c r="KD14" s="39">
        <f t="shared" si="239"/>
        <v>15</v>
      </c>
      <c r="KE14" s="5">
        <v>12</v>
      </c>
      <c r="KF14" s="40">
        <f t="shared" si="443"/>
        <v>-3</v>
      </c>
      <c r="KH14" s="16">
        <v>38</v>
      </c>
      <c r="KI14" s="33"/>
      <c r="KJ14" s="39">
        <f t="shared" si="240"/>
        <v>11</v>
      </c>
      <c r="KK14" s="5">
        <v>7</v>
      </c>
      <c r="KL14" s="40">
        <f t="shared" si="444"/>
        <v>-4</v>
      </c>
      <c r="KN14" s="16">
        <v>19</v>
      </c>
      <c r="KO14" s="33">
        <v>1</v>
      </c>
      <c r="KP14" s="39">
        <f t="shared" si="241"/>
        <v>19</v>
      </c>
      <c r="KQ14" s="5">
        <v>18</v>
      </c>
      <c r="KR14" s="40">
        <f t="shared" si="445"/>
        <v>-1</v>
      </c>
      <c r="KT14" s="16">
        <v>23</v>
      </c>
      <c r="KU14" s="33"/>
      <c r="KV14" s="39">
        <f t="shared" si="242"/>
        <v>20</v>
      </c>
      <c r="KW14" s="5">
        <v>14</v>
      </c>
      <c r="KX14" s="40">
        <f t="shared" si="446"/>
        <v>-6</v>
      </c>
      <c r="KZ14" s="16">
        <v>13</v>
      </c>
      <c r="LA14" s="33">
        <v>2</v>
      </c>
      <c r="LB14" s="39">
        <f t="shared" si="243"/>
        <v>10</v>
      </c>
      <c r="LC14" s="5">
        <v>12</v>
      </c>
      <c r="LD14" s="40">
        <f t="shared" si="447"/>
        <v>2</v>
      </c>
      <c r="LF14" s="16">
        <v>41</v>
      </c>
      <c r="LG14" s="33"/>
      <c r="LH14" s="39">
        <f t="shared" si="244"/>
        <v>20</v>
      </c>
      <c r="LI14" s="5"/>
      <c r="LJ14" s="40">
        <f t="shared" si="448"/>
        <v>-20</v>
      </c>
      <c r="LL14" s="16">
        <v>46</v>
      </c>
      <c r="LM14" s="33">
        <v>2</v>
      </c>
      <c r="LN14" s="39">
        <f t="shared" si="245"/>
        <v>-5</v>
      </c>
      <c r="LO14" s="5"/>
      <c r="LP14" s="40">
        <f t="shared" si="449"/>
        <v>5</v>
      </c>
      <c r="LR14" s="16">
        <v>72</v>
      </c>
      <c r="LS14" s="33"/>
      <c r="LT14" s="39">
        <f t="shared" si="246"/>
        <v>22</v>
      </c>
      <c r="LU14" s="5">
        <v>26</v>
      </c>
      <c r="LV14" s="40">
        <f t="shared" si="450"/>
        <v>4</v>
      </c>
      <c r="LX14" s="16">
        <v>48</v>
      </c>
      <c r="LY14" s="33">
        <v>1</v>
      </c>
      <c r="LZ14" s="39">
        <f t="shared" si="247"/>
        <v>24</v>
      </c>
      <c r="MA14" s="5">
        <v>24</v>
      </c>
      <c r="MB14" s="40">
        <f t="shared" si="451"/>
        <v>0</v>
      </c>
      <c r="MD14" s="16">
        <v>72</v>
      </c>
      <c r="ME14" s="33"/>
      <c r="MF14" s="39">
        <f t="shared" si="248"/>
        <v>0</v>
      </c>
      <c r="MG14" s="5"/>
      <c r="MH14" s="40">
        <f t="shared" si="452"/>
        <v>0</v>
      </c>
      <c r="MJ14" s="16">
        <v>31</v>
      </c>
      <c r="MK14" s="33">
        <v>2</v>
      </c>
      <c r="ML14" s="39">
        <f t="shared" si="249"/>
        <v>41</v>
      </c>
      <c r="MM14" s="5"/>
      <c r="MN14" s="40">
        <f t="shared" si="453"/>
        <v>-41</v>
      </c>
      <c r="MP14" s="16">
        <v>38</v>
      </c>
      <c r="MQ14" s="33"/>
      <c r="MR14" s="39">
        <f t="shared" si="250"/>
        <v>41</v>
      </c>
      <c r="MS14" s="5"/>
      <c r="MT14" s="40">
        <f t="shared" si="454"/>
        <v>-41</v>
      </c>
      <c r="MV14" s="16">
        <v>23</v>
      </c>
      <c r="MW14" s="33">
        <v>1</v>
      </c>
      <c r="MX14" s="39">
        <f t="shared" si="251"/>
        <v>15</v>
      </c>
      <c r="MY14" s="5"/>
      <c r="MZ14" s="40">
        <f t="shared" si="455"/>
        <v>-15</v>
      </c>
      <c r="NB14" s="16">
        <v>24</v>
      </c>
      <c r="NC14" s="33">
        <v>2</v>
      </c>
      <c r="ND14" s="39">
        <f t="shared" si="252"/>
        <v>23</v>
      </c>
      <c r="NE14" s="5"/>
      <c r="NF14" s="40">
        <f t="shared" si="456"/>
        <v>-23</v>
      </c>
      <c r="NH14" s="16">
        <v>48</v>
      </c>
      <c r="NI14" s="33"/>
      <c r="NJ14" s="39">
        <f t="shared" si="253"/>
        <v>24</v>
      </c>
      <c r="NK14" s="5"/>
      <c r="NL14" s="40">
        <f t="shared" ref="NL14:NL17" si="576">(NK14-NJ14)</f>
        <v>-24</v>
      </c>
      <c r="NN14" s="16">
        <v>26</v>
      </c>
      <c r="NO14" s="33"/>
      <c r="NP14" s="39">
        <f t="shared" si="254"/>
        <v>22</v>
      </c>
      <c r="NQ14" s="5"/>
      <c r="NR14" s="40">
        <f t="shared" ref="NR14:NR17" si="577">(NQ14-NP14)</f>
        <v>-22</v>
      </c>
      <c r="NT14" s="16">
        <v>5</v>
      </c>
      <c r="NU14" s="33">
        <v>2</v>
      </c>
      <c r="NV14" s="39">
        <f t="shared" si="255"/>
        <v>21</v>
      </c>
      <c r="NW14" s="5"/>
      <c r="NX14" s="40">
        <f t="shared" ref="NX14:NX17" si="578">(NW14-NV14)</f>
        <v>-21</v>
      </c>
      <c r="NZ14" s="16">
        <v>53</v>
      </c>
      <c r="OA14" s="33"/>
      <c r="OB14" s="39">
        <f t="shared" si="256"/>
        <v>0</v>
      </c>
      <c r="OC14" s="5"/>
      <c r="OD14" s="40">
        <f t="shared" ref="OD14:OD17" si="579">(OC14-OB14)</f>
        <v>0</v>
      </c>
      <c r="OF14" s="16">
        <v>19</v>
      </c>
      <c r="OG14" s="33">
        <v>2</v>
      </c>
      <c r="OH14" s="39">
        <f t="shared" si="257"/>
        <v>34</v>
      </c>
      <c r="OI14" s="5"/>
      <c r="OJ14" s="40">
        <f t="shared" ref="OJ14:OJ17" si="580">(OI14-OH14)</f>
        <v>-34</v>
      </c>
      <c r="OL14" s="16">
        <v>45</v>
      </c>
      <c r="OM14" s="33">
        <v>1</v>
      </c>
      <c r="ON14" s="39">
        <f t="shared" si="258"/>
        <v>22</v>
      </c>
      <c r="OO14" s="5"/>
      <c r="OP14" s="40">
        <f t="shared" ref="OP14:OP17" si="581">(OO14-ON14)</f>
        <v>-22</v>
      </c>
      <c r="OR14" s="16">
        <v>53</v>
      </c>
      <c r="OS14" s="33"/>
      <c r="OT14" s="39">
        <f t="shared" si="259"/>
        <v>16</v>
      </c>
      <c r="OU14" s="5"/>
      <c r="OV14" s="40">
        <f t="shared" ref="OV14:OV17" si="582">(OU14-OT14)</f>
        <v>-16</v>
      </c>
      <c r="OX14" s="16">
        <v>42</v>
      </c>
      <c r="OY14" s="33">
        <v>1</v>
      </c>
      <c r="OZ14" s="39">
        <f t="shared" si="260"/>
        <v>11</v>
      </c>
      <c r="PA14" s="5"/>
      <c r="PB14" s="40">
        <f t="shared" ref="PB14:PB17" si="583">(PA14-OZ14)</f>
        <v>-11</v>
      </c>
      <c r="PD14" s="16">
        <v>43</v>
      </c>
      <c r="PE14" s="33">
        <v>1</v>
      </c>
      <c r="PF14" s="39">
        <f t="shared" si="261"/>
        <v>23</v>
      </c>
      <c r="PG14" s="5"/>
      <c r="PH14" s="40">
        <f t="shared" ref="PH14:PH17" si="584">(PG14-PF14)</f>
        <v>-23</v>
      </c>
      <c r="PJ14" s="16">
        <v>26</v>
      </c>
      <c r="PK14" s="33">
        <v>1</v>
      </c>
      <c r="PL14" s="39">
        <f t="shared" si="262"/>
        <v>41</v>
      </c>
      <c r="PM14" s="5"/>
      <c r="PN14" s="40">
        <f t="shared" ref="PN14:PN17" si="585">(PM14-PL14)</f>
        <v>-41</v>
      </c>
      <c r="PP14" s="16">
        <v>39</v>
      </c>
      <c r="PQ14" s="33"/>
      <c r="PR14" s="39">
        <f t="shared" si="263"/>
        <v>11</v>
      </c>
      <c r="PS14" s="5"/>
      <c r="PT14" s="40">
        <f t="shared" ref="PT14:PT17" si="586">(PS14-PR14)</f>
        <v>-11</v>
      </c>
      <c r="PV14" s="16">
        <v>16</v>
      </c>
      <c r="PW14" s="33">
        <v>1</v>
      </c>
      <c r="PX14" s="39">
        <f t="shared" si="264"/>
        <v>23</v>
      </c>
      <c r="PY14" s="5"/>
      <c r="PZ14" s="40">
        <f t="shared" ref="PZ14:PZ17" si="587">(PY14-PX14)</f>
        <v>-23</v>
      </c>
      <c r="QB14" s="16">
        <v>27</v>
      </c>
      <c r="QC14" s="33">
        <v>1</v>
      </c>
      <c r="QD14" s="39">
        <f t="shared" si="265"/>
        <v>13</v>
      </c>
      <c r="QE14" s="5"/>
      <c r="QF14" s="40">
        <f t="shared" ref="QF14:QF17" si="588">(QE14-QD14)</f>
        <v>-13</v>
      </c>
      <c r="QH14" s="16">
        <v>0</v>
      </c>
      <c r="QI14" s="33">
        <v>2</v>
      </c>
      <c r="QJ14" s="39">
        <f t="shared" si="266"/>
        <v>51</v>
      </c>
      <c r="QK14" s="5"/>
      <c r="QL14" s="40">
        <f t="shared" ref="QL14:QL17" si="589">(QK14-QJ14)</f>
        <v>-51</v>
      </c>
      <c r="QN14" s="16">
        <v>37</v>
      </c>
      <c r="QO14" s="33">
        <v>1</v>
      </c>
      <c r="QP14" s="39">
        <f t="shared" si="267"/>
        <v>11</v>
      </c>
      <c r="QQ14" s="5"/>
      <c r="QR14" s="40">
        <f t="shared" ref="QR14:QR17" si="590">(QQ14-QP14)</f>
        <v>-11</v>
      </c>
      <c r="QT14" s="16">
        <v>42</v>
      </c>
      <c r="QU14" s="33"/>
      <c r="QV14" s="39">
        <f t="shared" si="268"/>
        <v>19</v>
      </c>
      <c r="QW14" s="5"/>
      <c r="QX14" s="40">
        <f t="shared" ref="QX14:QX17" si="591">(QW14-QV14)</f>
        <v>-19</v>
      </c>
      <c r="QZ14" s="16">
        <v>28</v>
      </c>
      <c r="RA14" s="33">
        <v>1</v>
      </c>
      <c r="RB14" s="39">
        <f t="shared" si="269"/>
        <v>14</v>
      </c>
      <c r="RC14" s="5"/>
      <c r="RD14" s="40">
        <f t="shared" ref="RD14:RD17" si="592">(RC14-RB14)</f>
        <v>-14</v>
      </c>
      <c r="RF14" s="16">
        <v>23</v>
      </c>
      <c r="RG14" s="33">
        <v>1</v>
      </c>
      <c r="RH14" s="39">
        <f t="shared" si="270"/>
        <v>29</v>
      </c>
      <c r="RI14" s="5"/>
      <c r="RJ14" s="40">
        <f t="shared" ref="RJ14:RJ17" si="593">(RI14-RH14)</f>
        <v>-29</v>
      </c>
      <c r="RL14" s="16">
        <v>26</v>
      </c>
      <c r="RM14" s="33">
        <v>1</v>
      </c>
      <c r="RN14" s="39">
        <f t="shared" si="271"/>
        <v>21</v>
      </c>
      <c r="RO14" s="5"/>
      <c r="RP14" s="40">
        <f t="shared" ref="RP14:RP17" si="594">(RO14-RN14)</f>
        <v>-21</v>
      </c>
      <c r="RR14" s="16">
        <v>38</v>
      </c>
      <c r="RS14" s="33"/>
      <c r="RT14" s="39">
        <f t="shared" si="272"/>
        <v>12</v>
      </c>
      <c r="RU14" s="5"/>
      <c r="RV14" s="40">
        <f t="shared" ref="RV14:RV17" si="595">(RU14-RT14)</f>
        <v>-12</v>
      </c>
      <c r="RX14" s="16">
        <v>27</v>
      </c>
      <c r="RY14" s="33">
        <v>1</v>
      </c>
      <c r="RZ14" s="39">
        <f t="shared" si="273"/>
        <v>11</v>
      </c>
      <c r="SA14" s="5"/>
      <c r="SB14" s="40">
        <f t="shared" ref="SB14:SB17" si="596">(SA14-RZ14)</f>
        <v>-11</v>
      </c>
      <c r="SD14" s="16">
        <v>47</v>
      </c>
      <c r="SE14" s="33"/>
      <c r="SF14" s="39">
        <f t="shared" si="274"/>
        <v>4</v>
      </c>
      <c r="SG14" s="5"/>
      <c r="SH14" s="40">
        <f t="shared" ref="SH14:SH17" si="597">(SG14-SF14)</f>
        <v>-4</v>
      </c>
      <c r="SJ14" s="16">
        <v>27</v>
      </c>
      <c r="SK14" s="33">
        <v>1</v>
      </c>
      <c r="SL14" s="39">
        <f t="shared" si="275"/>
        <v>20</v>
      </c>
      <c r="SM14" s="5"/>
      <c r="SN14" s="40">
        <f t="shared" ref="SN14:SN17" si="598">(SM14-SL14)</f>
        <v>-20</v>
      </c>
      <c r="SP14" s="16">
        <v>42</v>
      </c>
      <c r="SQ14" s="33">
        <v>1</v>
      </c>
      <c r="SR14" s="39">
        <f t="shared" si="276"/>
        <v>9</v>
      </c>
      <c r="SS14" s="5"/>
      <c r="ST14" s="40">
        <f t="shared" ref="ST14:ST17" si="599">(SS14-SR14)</f>
        <v>-9</v>
      </c>
      <c r="SV14" s="16">
        <v>40</v>
      </c>
      <c r="SW14" s="33"/>
      <c r="SX14" s="39">
        <f t="shared" si="277"/>
        <v>26</v>
      </c>
      <c r="SY14" s="5"/>
      <c r="SZ14" s="40">
        <f t="shared" ref="SZ14:SZ17" si="600">(SY14-SX14)</f>
        <v>-26</v>
      </c>
      <c r="TB14" s="16">
        <v>26</v>
      </c>
      <c r="TC14" s="33">
        <v>1</v>
      </c>
      <c r="TD14" s="39">
        <f t="shared" si="278"/>
        <v>14</v>
      </c>
      <c r="TE14" s="5"/>
      <c r="TF14" s="40">
        <f t="shared" ref="TF14:TF17" si="601">(TE14-TD14)</f>
        <v>-14</v>
      </c>
      <c r="TH14" s="16">
        <v>37</v>
      </c>
      <c r="TI14" s="33"/>
      <c r="TJ14" s="39">
        <f t="shared" si="279"/>
        <v>13</v>
      </c>
      <c r="TK14" s="5"/>
      <c r="TL14" s="40">
        <f t="shared" ref="TL14:TL17" si="602">(TK14-TJ14)</f>
        <v>-13</v>
      </c>
      <c r="TN14" s="16">
        <v>25</v>
      </c>
      <c r="TO14" s="33">
        <v>1</v>
      </c>
      <c r="TP14" s="39">
        <f t="shared" si="280"/>
        <v>12</v>
      </c>
      <c r="TQ14" s="5"/>
      <c r="TR14" s="40">
        <f t="shared" ref="TR14:TR17" si="603">(TQ14-TP14)</f>
        <v>-12</v>
      </c>
      <c r="TT14" s="16">
        <v>29</v>
      </c>
      <c r="TU14" s="33">
        <v>1</v>
      </c>
      <c r="TV14" s="39">
        <f t="shared" si="281"/>
        <v>20</v>
      </c>
      <c r="TW14" s="5"/>
      <c r="TX14" s="40">
        <f t="shared" ref="TX14:TX17" si="604">(TW14-TV14)</f>
        <v>-20</v>
      </c>
      <c r="TZ14" s="16">
        <v>38</v>
      </c>
      <c r="UA14" s="33"/>
      <c r="UB14" s="39">
        <f t="shared" si="282"/>
        <v>15</v>
      </c>
      <c r="UC14" s="5"/>
      <c r="UD14" s="40">
        <f t="shared" ref="UD14:UD17" si="605">(UC14-UB14)</f>
        <v>-15</v>
      </c>
      <c r="UF14" s="16">
        <v>23</v>
      </c>
      <c r="UG14" s="33">
        <v>1</v>
      </c>
      <c r="UH14" s="39">
        <f t="shared" si="283"/>
        <v>15</v>
      </c>
      <c r="UI14" s="5"/>
      <c r="UJ14" s="40">
        <f t="shared" ref="UJ14:UJ17" si="606">(UI14-UH14)</f>
        <v>-15</v>
      </c>
      <c r="UL14" s="16">
        <v>30</v>
      </c>
      <c r="UM14" s="33">
        <v>1</v>
      </c>
      <c r="UN14" s="39">
        <f t="shared" si="284"/>
        <v>17</v>
      </c>
      <c r="UO14" s="5"/>
      <c r="UP14" s="40">
        <f t="shared" ref="UP14:UP17" si="607">(UO14-UN14)</f>
        <v>-17</v>
      </c>
      <c r="UR14" s="16">
        <v>60</v>
      </c>
      <c r="US14" s="33"/>
      <c r="UT14" s="39">
        <f t="shared" si="285"/>
        <v>-6</v>
      </c>
      <c r="UU14" s="5"/>
      <c r="UV14" s="40">
        <f t="shared" ref="UV14:UV17" si="608">(UU14-UT14)</f>
        <v>6</v>
      </c>
      <c r="UX14" s="16">
        <v>10</v>
      </c>
      <c r="UY14" s="33">
        <v>2</v>
      </c>
      <c r="UZ14" s="39">
        <f t="shared" si="286"/>
        <v>50</v>
      </c>
      <c r="VA14" s="5"/>
      <c r="VB14" s="40">
        <f t="shared" ref="VB14:VB17" si="609">(VA14-UZ14)</f>
        <v>-50</v>
      </c>
      <c r="VD14" s="16">
        <v>38</v>
      </c>
      <c r="VE14" s="33"/>
      <c r="VF14" s="39">
        <f t="shared" si="287"/>
        <v>20</v>
      </c>
      <c r="VG14" s="5"/>
      <c r="VH14" s="40">
        <f t="shared" ref="VH14:VH17" si="610">(VG14-VF14)</f>
        <v>-20</v>
      </c>
      <c r="VJ14" s="16">
        <v>21</v>
      </c>
      <c r="VK14" s="33">
        <v>1</v>
      </c>
      <c r="VL14" s="39">
        <f t="shared" si="288"/>
        <v>17</v>
      </c>
      <c r="VM14" s="5"/>
      <c r="VN14" s="40">
        <f t="shared" ref="VN14:VN17" si="611">(VM14-VL14)</f>
        <v>-17</v>
      </c>
      <c r="VP14" s="16"/>
      <c r="VQ14" s="33">
        <v>2</v>
      </c>
      <c r="VR14" s="39">
        <f t="shared" si="289"/>
        <v>45</v>
      </c>
      <c r="VS14" s="5"/>
      <c r="VT14" s="40">
        <f t="shared" ref="VT14:VT17" si="612">(VS14-VR14)</f>
        <v>-45</v>
      </c>
      <c r="VV14" s="16">
        <v>0</v>
      </c>
      <c r="VW14" s="33">
        <v>2</v>
      </c>
      <c r="VX14" s="39">
        <f t="shared" si="290"/>
        <v>48</v>
      </c>
      <c r="VY14" s="5"/>
      <c r="VZ14" s="40">
        <f t="shared" ref="VZ14:VZ17" si="613">(VY14-VX14)</f>
        <v>-48</v>
      </c>
      <c r="WB14" s="16">
        <v>12</v>
      </c>
      <c r="WC14" s="33">
        <v>2</v>
      </c>
      <c r="WD14" s="39">
        <f t="shared" si="291"/>
        <v>36</v>
      </c>
      <c r="WE14" s="5"/>
      <c r="WF14" s="40">
        <f t="shared" si="495"/>
        <v>36</v>
      </c>
      <c r="WH14" s="16">
        <v>30</v>
      </c>
      <c r="WI14" s="33">
        <v>1</v>
      </c>
      <c r="WJ14" s="39">
        <f t="shared" si="292"/>
        <v>30</v>
      </c>
      <c r="WK14" s="5"/>
      <c r="WL14" s="40">
        <f t="shared" si="496"/>
        <v>30</v>
      </c>
      <c r="WN14" s="16">
        <v>10</v>
      </c>
      <c r="WO14" s="33">
        <v>2</v>
      </c>
      <c r="WP14" s="39">
        <f t="shared" si="293"/>
        <v>44</v>
      </c>
      <c r="WQ14" s="5"/>
      <c r="WR14" s="40">
        <f t="shared" si="497"/>
        <v>44</v>
      </c>
      <c r="WT14" s="16">
        <v>5</v>
      </c>
      <c r="WU14" s="33">
        <v>2</v>
      </c>
      <c r="WV14" s="39">
        <f t="shared" si="294"/>
        <v>53</v>
      </c>
      <c r="WW14" s="5"/>
      <c r="WX14" s="40">
        <f t="shared" si="498"/>
        <v>53</v>
      </c>
      <c r="WZ14" s="16">
        <v>32</v>
      </c>
      <c r="XA14" s="33">
        <v>1</v>
      </c>
      <c r="XB14" s="39">
        <f t="shared" si="295"/>
        <v>21</v>
      </c>
      <c r="XC14" s="5"/>
      <c r="XD14" s="40">
        <f t="shared" si="499"/>
        <v>21</v>
      </c>
      <c r="XF14" s="16">
        <v>39</v>
      </c>
      <c r="XG14" s="33">
        <v>1</v>
      </c>
      <c r="XH14" s="39">
        <f t="shared" si="296"/>
        <v>17</v>
      </c>
      <c r="XI14" s="5"/>
      <c r="XJ14" s="40">
        <f t="shared" si="500"/>
        <v>17</v>
      </c>
      <c r="XL14" s="16">
        <v>38</v>
      </c>
      <c r="XM14" s="33">
        <v>1</v>
      </c>
      <c r="XN14" s="39">
        <f t="shared" si="297"/>
        <v>25</v>
      </c>
      <c r="XO14" s="5"/>
      <c r="XP14" s="40">
        <f t="shared" si="501"/>
        <v>25</v>
      </c>
      <c r="XR14" s="16">
        <v>8</v>
      </c>
      <c r="XS14" s="33">
        <v>2</v>
      </c>
      <c r="XT14" s="39">
        <f t="shared" si="298"/>
        <v>54</v>
      </c>
      <c r="XU14" s="5"/>
      <c r="XV14" s="40">
        <f t="shared" si="502"/>
        <v>54</v>
      </c>
      <c r="XX14" s="16">
        <v>54</v>
      </c>
      <c r="XY14" s="33">
        <v>2</v>
      </c>
      <c r="XZ14" s="39">
        <f t="shared" si="299"/>
        <v>2</v>
      </c>
      <c r="YA14" s="5"/>
      <c r="YB14" s="40">
        <f t="shared" si="503"/>
        <v>2</v>
      </c>
      <c r="YD14" s="16">
        <v>54</v>
      </c>
      <c r="YE14" s="33"/>
      <c r="YF14" s="39">
        <f t="shared" si="300"/>
        <v>48</v>
      </c>
      <c r="YG14" s="5"/>
      <c r="YH14" s="40">
        <f t="shared" si="504"/>
        <v>48</v>
      </c>
      <c r="YJ14" s="16">
        <v>18</v>
      </c>
      <c r="YK14" s="33">
        <v>2</v>
      </c>
      <c r="YL14" s="39">
        <f t="shared" si="301"/>
        <v>36</v>
      </c>
      <c r="YM14" s="5"/>
      <c r="YN14" s="40">
        <f t="shared" si="505"/>
        <v>36</v>
      </c>
      <c r="YP14" s="16">
        <v>26</v>
      </c>
      <c r="YQ14" s="33">
        <v>1</v>
      </c>
      <c r="YR14" s="39">
        <f t="shared" si="302"/>
        <v>40</v>
      </c>
      <c r="YS14" s="5"/>
      <c r="YT14" s="40">
        <f t="shared" si="506"/>
        <v>40</v>
      </c>
      <c r="YV14" s="16">
        <v>29</v>
      </c>
      <c r="YW14" s="33">
        <v>1</v>
      </c>
      <c r="YX14" s="39">
        <f t="shared" si="303"/>
        <v>21</v>
      </c>
      <c r="YY14" s="5"/>
      <c r="YZ14" s="40">
        <f t="shared" si="507"/>
        <v>21</v>
      </c>
      <c r="ZB14" s="16">
        <v>27</v>
      </c>
      <c r="ZC14" s="33">
        <v>1</v>
      </c>
      <c r="ZD14" s="39">
        <f t="shared" si="304"/>
        <v>26</v>
      </c>
      <c r="ZE14" s="5"/>
      <c r="ZF14" s="40">
        <f t="shared" si="508"/>
        <v>26</v>
      </c>
      <c r="ZH14" s="16">
        <v>30</v>
      </c>
      <c r="ZI14" s="33">
        <v>1</v>
      </c>
      <c r="ZJ14" s="39">
        <f t="shared" si="305"/>
        <v>21</v>
      </c>
      <c r="ZK14" s="5"/>
      <c r="ZL14" s="40">
        <f t="shared" si="509"/>
        <v>21</v>
      </c>
      <c r="ZN14" s="16">
        <v>22</v>
      </c>
      <c r="ZO14" s="33">
        <v>1</v>
      </c>
      <c r="ZP14" s="39">
        <f t="shared" si="306"/>
        <v>32</v>
      </c>
      <c r="ZQ14" s="5"/>
      <c r="ZR14" s="40">
        <f t="shared" si="510"/>
        <v>32</v>
      </c>
      <c r="ZT14" s="16">
        <v>27</v>
      </c>
      <c r="ZU14" s="33">
        <v>1</v>
      </c>
      <c r="ZV14" s="39">
        <f t="shared" si="307"/>
        <v>19</v>
      </c>
      <c r="ZW14" s="5"/>
      <c r="ZX14" s="40">
        <f t="shared" si="511"/>
        <v>19</v>
      </c>
      <c r="ZZ14" s="16">
        <v>28</v>
      </c>
      <c r="AAA14" s="33">
        <v>1</v>
      </c>
      <c r="AAB14" s="39">
        <f t="shared" si="308"/>
        <v>23</v>
      </c>
      <c r="AAC14" s="5"/>
      <c r="AAD14" s="40">
        <f t="shared" si="512"/>
        <v>23</v>
      </c>
      <c r="AAF14" s="16">
        <v>33</v>
      </c>
      <c r="AAG14" s="33">
        <v>1</v>
      </c>
      <c r="AAH14" s="39">
        <f t="shared" si="309"/>
        <v>19</v>
      </c>
      <c r="AAI14" s="5"/>
      <c r="AAJ14" s="40">
        <f t="shared" si="513"/>
        <v>19</v>
      </c>
      <c r="AAL14" s="16">
        <v>31</v>
      </c>
      <c r="AAM14" s="33">
        <v>1</v>
      </c>
      <c r="AAN14" s="39">
        <f t="shared" si="310"/>
        <v>26</v>
      </c>
      <c r="AAO14" s="5"/>
      <c r="AAP14" s="40">
        <f t="shared" si="514"/>
        <v>26</v>
      </c>
      <c r="AAR14" s="16">
        <v>38</v>
      </c>
      <c r="AAS14" s="33"/>
      <c r="AAT14" s="39">
        <f t="shared" si="311"/>
        <v>17</v>
      </c>
      <c r="AAU14" s="5"/>
      <c r="AAV14" s="40">
        <f t="shared" si="515"/>
        <v>17</v>
      </c>
      <c r="AAX14" s="16">
        <v>23</v>
      </c>
      <c r="AAY14" s="33">
        <v>1</v>
      </c>
      <c r="AAZ14" s="39">
        <f t="shared" si="312"/>
        <v>15</v>
      </c>
      <c r="ABA14" s="5"/>
      <c r="ABB14" s="40">
        <f t="shared" si="516"/>
        <v>15</v>
      </c>
      <c r="ABD14" s="16">
        <v>33</v>
      </c>
      <c r="ABE14" s="33">
        <v>1</v>
      </c>
      <c r="ABF14" s="39">
        <f t="shared" si="313"/>
        <v>14</v>
      </c>
      <c r="ABG14" s="5"/>
      <c r="ABH14" s="40">
        <f t="shared" si="517"/>
        <v>14</v>
      </c>
      <c r="ABJ14" s="16">
        <v>41</v>
      </c>
      <c r="ABK14" s="33"/>
      <c r="ABL14" s="39">
        <f t="shared" si="314"/>
        <v>16</v>
      </c>
      <c r="ABM14" s="5"/>
      <c r="ABN14" s="40">
        <f t="shared" si="518"/>
        <v>16</v>
      </c>
      <c r="ABP14" s="16">
        <v>25</v>
      </c>
      <c r="ABQ14" s="33"/>
      <c r="ABR14" s="39">
        <f t="shared" si="315"/>
        <v>16</v>
      </c>
      <c r="ABS14" s="5"/>
      <c r="ABT14" s="40">
        <f t="shared" si="519"/>
        <v>16</v>
      </c>
      <c r="ABV14" s="16">
        <v>14</v>
      </c>
      <c r="ABW14" s="33">
        <v>2</v>
      </c>
      <c r="ABX14" s="39">
        <f t="shared" si="316"/>
        <v>11</v>
      </c>
      <c r="ABY14" s="5"/>
      <c r="ABZ14" s="40">
        <f t="shared" si="520"/>
        <v>11</v>
      </c>
      <c r="ACB14" s="16">
        <v>20</v>
      </c>
      <c r="ACC14" s="33">
        <v>2</v>
      </c>
      <c r="ACD14" s="39">
        <f t="shared" si="317"/>
        <v>42</v>
      </c>
      <c r="ACE14" s="5"/>
      <c r="ACF14" s="40">
        <f t="shared" si="521"/>
        <v>42</v>
      </c>
      <c r="ACH14" s="16">
        <v>65</v>
      </c>
      <c r="ACI14" s="33"/>
      <c r="ACJ14" s="39">
        <f t="shared" si="318"/>
        <v>3</v>
      </c>
      <c r="ACK14" s="5"/>
      <c r="ACL14" s="40">
        <f t="shared" si="522"/>
        <v>3</v>
      </c>
      <c r="ACN14" s="16">
        <v>51</v>
      </c>
      <c r="ACO14" s="33"/>
      <c r="ACP14" s="39">
        <f t="shared" si="319"/>
        <v>14</v>
      </c>
      <c r="ACQ14" s="5"/>
      <c r="ACR14" s="40">
        <f t="shared" si="523"/>
        <v>14</v>
      </c>
      <c r="ACT14" s="16">
        <v>34</v>
      </c>
      <c r="ACU14" s="33">
        <v>1</v>
      </c>
      <c r="ACV14" s="39">
        <f t="shared" si="320"/>
        <v>17</v>
      </c>
      <c r="ACW14" s="5"/>
      <c r="ACX14" s="40">
        <f t="shared" si="524"/>
        <v>17</v>
      </c>
      <c r="ACZ14" s="16">
        <v>42</v>
      </c>
      <c r="ADA14" s="33">
        <v>1</v>
      </c>
      <c r="ADB14" s="39">
        <f t="shared" si="321"/>
        <v>16</v>
      </c>
      <c r="ADC14" s="5"/>
      <c r="ADD14" s="40">
        <f t="shared" si="525"/>
        <v>16</v>
      </c>
      <c r="ADF14" s="16">
        <v>54</v>
      </c>
      <c r="ADG14" s="33"/>
      <c r="ADH14" s="39">
        <f t="shared" si="322"/>
        <v>12</v>
      </c>
      <c r="ADI14" s="5"/>
      <c r="ADJ14" s="40">
        <f t="shared" si="526"/>
        <v>12</v>
      </c>
      <c r="ADL14" s="16">
        <v>38</v>
      </c>
      <c r="ADM14" s="33">
        <v>1</v>
      </c>
      <c r="ADN14" s="39">
        <f t="shared" si="323"/>
        <v>16</v>
      </c>
      <c r="ADO14" s="5"/>
      <c r="ADP14" s="40">
        <f t="shared" si="527"/>
        <v>16</v>
      </c>
      <c r="ADR14" s="16">
        <v>48</v>
      </c>
      <c r="ADS14" s="33"/>
      <c r="ADT14" s="39">
        <f t="shared" si="324"/>
        <v>14</v>
      </c>
      <c r="ADU14" s="5"/>
      <c r="ADV14" s="40">
        <f t="shared" si="528"/>
        <v>14</v>
      </c>
      <c r="ADX14" s="16">
        <v>47</v>
      </c>
      <c r="ADY14" s="33"/>
      <c r="ADZ14" s="39">
        <f t="shared" si="325"/>
        <v>1</v>
      </c>
      <c r="AEA14" s="5"/>
      <c r="AEB14" s="40">
        <f t="shared" si="529"/>
        <v>1</v>
      </c>
      <c r="AED14" s="16">
        <v>24</v>
      </c>
      <c r="AEE14" s="33">
        <v>1</v>
      </c>
      <c r="AEF14" s="39">
        <f t="shared" si="326"/>
        <v>23</v>
      </c>
      <c r="AEG14" s="5"/>
      <c r="AEH14" s="40">
        <f t="shared" si="530"/>
        <v>23</v>
      </c>
      <c r="AEJ14" s="16">
        <v>31</v>
      </c>
      <c r="AEK14" s="33"/>
      <c r="AEL14" s="39">
        <f t="shared" si="327"/>
        <v>17</v>
      </c>
      <c r="AEM14" s="5"/>
      <c r="AEN14" s="40">
        <f t="shared" si="531"/>
        <v>17</v>
      </c>
      <c r="AEP14" s="16">
        <v>11</v>
      </c>
      <c r="AEQ14" s="33">
        <v>2</v>
      </c>
      <c r="AER14" s="39">
        <f t="shared" si="328"/>
        <v>20</v>
      </c>
      <c r="AES14" s="5"/>
      <c r="AET14" s="40">
        <f t="shared" si="532"/>
        <v>20</v>
      </c>
      <c r="AEV14" s="16">
        <v>45</v>
      </c>
      <c r="AEW14" s="33"/>
      <c r="AEX14" s="39">
        <f t="shared" si="329"/>
        <v>14</v>
      </c>
      <c r="AEY14" s="5"/>
      <c r="AEZ14" s="40">
        <f t="shared" si="533"/>
        <v>14</v>
      </c>
      <c r="AFB14" s="16">
        <v>33</v>
      </c>
      <c r="AFC14" s="33">
        <v>1</v>
      </c>
      <c r="AFD14" s="39">
        <f t="shared" si="330"/>
        <v>12</v>
      </c>
      <c r="AFE14" s="5"/>
      <c r="AFF14" s="40">
        <f t="shared" si="534"/>
        <v>12</v>
      </c>
      <c r="AFH14" s="16">
        <v>48</v>
      </c>
      <c r="AFI14" s="33"/>
      <c r="AFJ14" s="39">
        <f t="shared" si="331"/>
        <v>9</v>
      </c>
      <c r="AFK14" s="5"/>
      <c r="AFL14" s="40">
        <f t="shared" si="535"/>
        <v>9</v>
      </c>
      <c r="AFN14" s="16">
        <v>30</v>
      </c>
      <c r="AFO14" s="33"/>
      <c r="AFP14" s="39">
        <f t="shared" si="332"/>
        <v>18</v>
      </c>
      <c r="AFQ14" s="5"/>
      <c r="AFR14" s="40">
        <f t="shared" si="536"/>
        <v>18</v>
      </c>
      <c r="AFT14" s="16">
        <v>15</v>
      </c>
      <c r="AFU14" s="33"/>
      <c r="AFV14" s="39">
        <f t="shared" si="333"/>
        <v>15</v>
      </c>
      <c r="AFW14" s="5"/>
      <c r="AFX14" s="40">
        <f t="shared" si="537"/>
        <v>15</v>
      </c>
      <c r="AFZ14" s="16">
        <v>2</v>
      </c>
      <c r="AGA14" s="33">
        <v>2</v>
      </c>
      <c r="AGB14" s="39">
        <f t="shared" si="334"/>
        <v>13</v>
      </c>
      <c r="AGC14" s="5"/>
      <c r="AGD14" s="40">
        <f t="shared" si="538"/>
        <v>13</v>
      </c>
      <c r="AGF14" s="16">
        <v>33</v>
      </c>
      <c r="AGG14" s="33">
        <v>1</v>
      </c>
      <c r="AGH14" s="39">
        <f t="shared" si="335"/>
        <v>17</v>
      </c>
      <c r="AGI14" s="5"/>
      <c r="AGJ14" s="40">
        <f t="shared" si="539"/>
        <v>17</v>
      </c>
      <c r="AGL14" s="16">
        <v>47</v>
      </c>
      <c r="AGM14" s="33"/>
      <c r="AGN14" s="39">
        <f t="shared" si="336"/>
        <v>10</v>
      </c>
      <c r="AGO14" s="5"/>
      <c r="AGP14" s="40">
        <f t="shared" si="540"/>
        <v>10</v>
      </c>
      <c r="AGR14" s="16">
        <v>28</v>
      </c>
      <c r="AGS14" s="33">
        <v>1</v>
      </c>
      <c r="AGT14" s="39">
        <f t="shared" si="337"/>
        <v>19</v>
      </c>
      <c r="AGU14" s="5"/>
      <c r="AGV14" s="40">
        <f t="shared" si="541"/>
        <v>19</v>
      </c>
      <c r="AGX14" s="16">
        <v>35</v>
      </c>
      <c r="AGY14" s="33">
        <v>1</v>
      </c>
      <c r="AGZ14" s="39">
        <f t="shared" si="338"/>
        <v>17</v>
      </c>
      <c r="AHA14" s="5"/>
      <c r="AHB14" s="40">
        <f t="shared" si="542"/>
        <v>17</v>
      </c>
      <c r="AHD14" s="16">
        <v>47</v>
      </c>
      <c r="AHE14" s="33"/>
      <c r="AHF14" s="39">
        <f t="shared" si="339"/>
        <v>12</v>
      </c>
      <c r="AHG14" s="5"/>
      <c r="AHH14" s="40">
        <f t="shared" si="543"/>
        <v>12</v>
      </c>
      <c r="AHJ14" s="16">
        <v>34</v>
      </c>
      <c r="AHK14" s="33">
        <v>1</v>
      </c>
      <c r="AHL14" s="39">
        <f t="shared" si="340"/>
        <v>13</v>
      </c>
      <c r="AHM14" s="5"/>
      <c r="AHN14" s="40">
        <f t="shared" si="544"/>
        <v>13</v>
      </c>
      <c r="AHP14" s="16">
        <v>30</v>
      </c>
      <c r="AHQ14" s="33">
        <v>1</v>
      </c>
      <c r="AHR14" s="39">
        <f t="shared" si="341"/>
        <v>28</v>
      </c>
      <c r="AHS14" s="5"/>
      <c r="AHT14" s="40">
        <f t="shared" si="545"/>
        <v>28</v>
      </c>
      <c r="AHV14" s="16">
        <v>45</v>
      </c>
      <c r="AHW14" s="33"/>
      <c r="AHX14" s="39">
        <f t="shared" si="342"/>
        <v>9</v>
      </c>
      <c r="AHY14" s="5"/>
      <c r="AHZ14" s="40">
        <f t="shared" si="546"/>
        <v>9</v>
      </c>
      <c r="AIB14" s="16">
        <v>21</v>
      </c>
      <c r="AIC14" s="33">
        <v>2</v>
      </c>
      <c r="AID14" s="39">
        <f t="shared" si="343"/>
        <v>24</v>
      </c>
      <c r="AIE14" s="5"/>
      <c r="AIF14" s="40">
        <f t="shared" si="547"/>
        <v>24</v>
      </c>
      <c r="AIH14" s="16">
        <v>27</v>
      </c>
      <c r="AII14" s="33">
        <v>1</v>
      </c>
      <c r="AIJ14" s="39">
        <f t="shared" si="344"/>
        <v>42</v>
      </c>
      <c r="AIK14" s="5"/>
      <c r="AIL14" s="40">
        <f t="shared" si="548"/>
        <v>42</v>
      </c>
      <c r="AIN14" s="16">
        <v>39</v>
      </c>
      <c r="AIO14" s="33"/>
      <c r="AIP14" s="39">
        <f t="shared" si="345"/>
        <v>12</v>
      </c>
      <c r="AIQ14" s="5"/>
      <c r="AIR14" s="40">
        <f t="shared" si="549"/>
        <v>12</v>
      </c>
      <c r="AIT14" s="16">
        <v>20</v>
      </c>
      <c r="AIU14" s="33">
        <v>1</v>
      </c>
      <c r="AIV14" s="39">
        <f t="shared" si="346"/>
        <v>19</v>
      </c>
      <c r="AIW14" s="5"/>
      <c r="AIX14" s="40">
        <f t="shared" si="550"/>
        <v>19</v>
      </c>
      <c r="AIZ14" s="16">
        <v>19</v>
      </c>
      <c r="AJA14" s="33">
        <v>1</v>
      </c>
      <c r="AJB14" s="39">
        <f t="shared" si="347"/>
        <v>25</v>
      </c>
      <c r="AJC14" s="5"/>
      <c r="AJD14" s="40">
        <f t="shared" si="551"/>
        <v>25</v>
      </c>
      <c r="AJF14" s="16">
        <v>20</v>
      </c>
      <c r="AJG14" s="33">
        <v>1</v>
      </c>
      <c r="AJH14" s="39">
        <f t="shared" si="348"/>
        <v>23</v>
      </c>
      <c r="AJI14" s="5"/>
      <c r="AJJ14" s="40">
        <f t="shared" si="552"/>
        <v>23</v>
      </c>
      <c r="AJL14" s="16">
        <v>23</v>
      </c>
      <c r="AJM14" s="33">
        <v>1</v>
      </c>
      <c r="AJN14" s="39">
        <f t="shared" si="349"/>
        <v>21</v>
      </c>
      <c r="AJO14" s="5"/>
      <c r="AJP14" s="40">
        <f t="shared" si="553"/>
        <v>21</v>
      </c>
      <c r="AJR14" s="16">
        <v>12</v>
      </c>
      <c r="AJS14" s="33">
        <v>2</v>
      </c>
      <c r="AJT14" s="39">
        <f t="shared" si="350"/>
        <v>35</v>
      </c>
      <c r="AJU14" s="5"/>
      <c r="AJV14" s="40">
        <f t="shared" si="554"/>
        <v>35</v>
      </c>
      <c r="AJX14" s="16">
        <v>46</v>
      </c>
      <c r="AJY14" s="33"/>
      <c r="AJZ14" s="39">
        <f t="shared" si="351"/>
        <v>14</v>
      </c>
      <c r="AKA14" s="5"/>
      <c r="AKB14" s="40">
        <f t="shared" si="555"/>
        <v>14</v>
      </c>
      <c r="AKD14" s="16">
        <v>32</v>
      </c>
      <c r="AKE14" s="33"/>
      <c r="AKF14" s="39">
        <f t="shared" si="352"/>
        <v>14</v>
      </c>
      <c r="AKG14" s="5"/>
      <c r="AKH14" s="40">
        <f t="shared" si="556"/>
        <v>14</v>
      </c>
      <c r="AKJ14" s="16">
        <v>9</v>
      </c>
      <c r="AKK14" s="33">
        <v>2</v>
      </c>
      <c r="AKL14" s="39">
        <f t="shared" si="353"/>
        <v>23</v>
      </c>
      <c r="AKM14" s="5"/>
      <c r="AKN14" s="40">
        <f t="shared" si="557"/>
        <v>23</v>
      </c>
      <c r="AKP14" s="16">
        <v>42</v>
      </c>
      <c r="AKQ14" s="33"/>
      <c r="AKR14" s="39">
        <f t="shared" si="354"/>
        <v>15</v>
      </c>
      <c r="AKS14" s="5"/>
      <c r="AKT14" s="40">
        <f t="shared" si="558"/>
        <v>15</v>
      </c>
      <c r="AKV14" s="16">
        <v>18</v>
      </c>
      <c r="AKW14" s="33">
        <v>1</v>
      </c>
      <c r="AKX14" s="39">
        <f t="shared" si="355"/>
        <v>24</v>
      </c>
      <c r="AKY14" s="5"/>
      <c r="AKZ14" s="40">
        <f t="shared" si="559"/>
        <v>24</v>
      </c>
      <c r="ALB14" s="16">
        <v>32</v>
      </c>
      <c r="ALC14" s="33"/>
      <c r="ALD14" s="39">
        <f t="shared" si="356"/>
        <v>10</v>
      </c>
      <c r="ALE14" s="5"/>
      <c r="ALF14" s="40">
        <f t="shared" si="560"/>
        <v>10</v>
      </c>
      <c r="ALH14" s="16">
        <v>12</v>
      </c>
      <c r="ALI14" s="33">
        <v>1</v>
      </c>
      <c r="ALJ14" s="39">
        <f t="shared" si="357"/>
        <v>20</v>
      </c>
      <c r="ALK14" s="5"/>
      <c r="ALL14" s="40">
        <f t="shared" si="561"/>
        <v>20</v>
      </c>
      <c r="ALN14" s="16">
        <v>16</v>
      </c>
      <c r="ALO14" s="33">
        <v>1</v>
      </c>
      <c r="ALP14" s="39">
        <f t="shared" si="358"/>
        <v>20</v>
      </c>
      <c r="ALQ14" s="5"/>
      <c r="ALR14" s="40">
        <f t="shared" si="562"/>
        <v>20</v>
      </c>
      <c r="ALT14" s="16">
        <v>12</v>
      </c>
      <c r="ALU14" s="33">
        <v>1</v>
      </c>
      <c r="ALV14" s="39">
        <f t="shared" si="359"/>
        <v>28</v>
      </c>
      <c r="ALW14" s="5"/>
      <c r="ALX14" s="40">
        <f t="shared" si="563"/>
        <v>28</v>
      </c>
      <c r="ALZ14" s="16">
        <v>31</v>
      </c>
      <c r="AMA14" s="33"/>
      <c r="AMB14" s="39">
        <f t="shared" si="360"/>
        <v>5</v>
      </c>
      <c r="AMC14" s="5"/>
      <c r="AMD14" s="40">
        <f t="shared" si="564"/>
        <v>5</v>
      </c>
      <c r="AMF14" s="16">
        <v>12</v>
      </c>
      <c r="AMG14" s="33">
        <v>1</v>
      </c>
      <c r="AMH14" s="39">
        <f t="shared" si="361"/>
        <v>19</v>
      </c>
      <c r="AMI14" s="5"/>
      <c r="AMJ14" s="40">
        <f t="shared" si="565"/>
        <v>19</v>
      </c>
      <c r="AML14" s="16">
        <v>27</v>
      </c>
      <c r="AMM14" s="33">
        <v>1</v>
      </c>
      <c r="AMN14" s="39">
        <f t="shared" si="362"/>
        <v>9</v>
      </c>
      <c r="AMO14" s="5"/>
      <c r="AMP14" s="40">
        <f t="shared" si="566"/>
        <v>9</v>
      </c>
      <c r="AMR14" s="16">
        <v>40</v>
      </c>
      <c r="AMS14" s="33"/>
      <c r="AMT14" s="39">
        <f t="shared" si="363"/>
        <v>11</v>
      </c>
      <c r="AMU14" s="5"/>
      <c r="AMV14" s="40">
        <f t="shared" si="567"/>
        <v>11</v>
      </c>
      <c r="AMX14" s="16">
        <v>29</v>
      </c>
      <c r="AMY14" s="33">
        <v>1</v>
      </c>
      <c r="AMZ14" s="39">
        <f t="shared" si="364"/>
        <v>11</v>
      </c>
      <c r="ANA14" s="5"/>
      <c r="ANB14" s="40">
        <f t="shared" si="568"/>
        <v>11</v>
      </c>
      <c r="AND14" s="16">
        <v>36</v>
      </c>
      <c r="ANE14" s="33"/>
      <c r="ANF14" s="39">
        <f t="shared" si="365"/>
        <v>17</v>
      </c>
      <c r="ANG14" s="5"/>
      <c r="ANH14" s="40">
        <f t="shared" si="569"/>
        <v>17</v>
      </c>
      <c r="ANJ14" s="16">
        <v>18</v>
      </c>
      <c r="ANK14" s="33">
        <v>1</v>
      </c>
      <c r="ANL14" s="39">
        <f t="shared" si="366"/>
        <v>18</v>
      </c>
      <c r="ANM14" s="5"/>
      <c r="ANN14" s="40">
        <f t="shared" si="570"/>
        <v>18</v>
      </c>
      <c r="ANP14" s="16">
        <v>28</v>
      </c>
      <c r="ANQ14" s="33"/>
      <c r="ANR14" s="39">
        <f t="shared" si="367"/>
        <v>14</v>
      </c>
      <c r="ANS14" s="5"/>
      <c r="ANT14" s="40">
        <f t="shared" si="571"/>
        <v>14</v>
      </c>
      <c r="ANV14" s="16">
        <v>16</v>
      </c>
      <c r="ANW14" s="33">
        <v>1</v>
      </c>
      <c r="ANX14" s="39">
        <f t="shared" si="368"/>
        <v>12</v>
      </c>
      <c r="ANY14" s="5"/>
      <c r="ANZ14" s="40">
        <f t="shared" si="572"/>
        <v>12</v>
      </c>
      <c r="AOB14" s="16"/>
      <c r="AOC14" s="33"/>
      <c r="AOD14" s="39">
        <f t="shared" si="369"/>
        <v>40</v>
      </c>
      <c r="AOE14" s="5"/>
      <c r="AOF14" s="40">
        <f t="shared" si="573"/>
        <v>40</v>
      </c>
      <c r="AOH14" s="16"/>
      <c r="AOI14" s="33"/>
      <c r="AOJ14" s="39">
        <f t="shared" si="370"/>
        <v>0</v>
      </c>
      <c r="AOK14" s="5"/>
      <c r="AOL14" s="40">
        <f t="shared" si="574"/>
        <v>0</v>
      </c>
      <c r="AON14" s="16"/>
      <c r="AOO14" s="33"/>
      <c r="AOP14" s="39">
        <f t="shared" si="371"/>
        <v>0</v>
      </c>
      <c r="AOQ14" s="5"/>
      <c r="AOR14" s="40">
        <f t="shared" si="575"/>
        <v>0</v>
      </c>
    </row>
    <row r="15" spans="1:1024 1026:1085" x14ac:dyDescent="0.25">
      <c r="A15" s="3" t="s">
        <v>31</v>
      </c>
      <c r="B15" s="3">
        <v>10608</v>
      </c>
      <c r="C15" s="5" t="s">
        <v>26</v>
      </c>
      <c r="D15" s="27">
        <v>36</v>
      </c>
      <c r="F15" s="16">
        <v>17</v>
      </c>
      <c r="G15" s="15"/>
      <c r="H15" s="11"/>
      <c r="I15" s="15"/>
      <c r="J15" s="15"/>
      <c r="L15" s="16">
        <v>4</v>
      </c>
      <c r="M15" s="15">
        <v>2</v>
      </c>
      <c r="N15" s="13">
        <f t="shared" si="372"/>
        <v>13</v>
      </c>
      <c r="O15" s="15"/>
      <c r="P15" s="21">
        <f t="shared" si="373"/>
        <v>-13</v>
      </c>
      <c r="R15" s="16">
        <v>35</v>
      </c>
      <c r="S15" s="15"/>
      <c r="T15" s="13">
        <f t="shared" si="374"/>
        <v>17</v>
      </c>
      <c r="U15" s="15">
        <v>12</v>
      </c>
      <c r="V15" s="21">
        <f t="shared" si="375"/>
        <v>-5</v>
      </c>
      <c r="X15" s="16">
        <v>5</v>
      </c>
      <c r="Y15" s="15">
        <v>2</v>
      </c>
      <c r="Z15" s="13">
        <f t="shared" si="376"/>
        <v>30</v>
      </c>
      <c r="AA15" s="15">
        <v>28</v>
      </c>
      <c r="AB15" s="21">
        <f t="shared" si="377"/>
        <v>-2</v>
      </c>
      <c r="AD15" s="16">
        <v>38</v>
      </c>
      <c r="AE15" s="15"/>
      <c r="AF15" s="13">
        <f t="shared" si="378"/>
        <v>15</v>
      </c>
      <c r="AG15" s="15">
        <v>14</v>
      </c>
      <c r="AH15" s="21">
        <f t="shared" si="379"/>
        <v>-1</v>
      </c>
      <c r="AJ15" s="16">
        <v>8</v>
      </c>
      <c r="AK15" s="15">
        <v>2</v>
      </c>
      <c r="AL15" s="13">
        <f t="shared" si="380"/>
        <v>30</v>
      </c>
      <c r="AM15" s="15">
        <v>30</v>
      </c>
      <c r="AN15" s="21">
        <f t="shared" si="381"/>
        <v>0</v>
      </c>
      <c r="AP15" s="16">
        <v>35</v>
      </c>
      <c r="AQ15" s="15">
        <v>1</v>
      </c>
      <c r="AR15" s="13">
        <f t="shared" si="382"/>
        <v>21</v>
      </c>
      <c r="AS15" s="15">
        <v>24</v>
      </c>
      <c r="AT15" s="21">
        <f t="shared" si="383"/>
        <v>3</v>
      </c>
      <c r="AV15" s="16">
        <v>22</v>
      </c>
      <c r="AW15" s="15">
        <v>2</v>
      </c>
      <c r="AX15" s="13">
        <f t="shared" si="384"/>
        <v>37</v>
      </c>
      <c r="AY15" s="15">
        <v>37</v>
      </c>
      <c r="AZ15" s="21">
        <f t="shared" si="385"/>
        <v>0</v>
      </c>
      <c r="BB15" s="16">
        <v>51</v>
      </c>
      <c r="BC15" s="15">
        <v>1</v>
      </c>
      <c r="BD15" s="13">
        <f t="shared" si="386"/>
        <v>19</v>
      </c>
      <c r="BE15" s="15">
        <v>17</v>
      </c>
      <c r="BF15" s="21">
        <f t="shared" si="387"/>
        <v>-2</v>
      </c>
      <c r="BH15" s="16">
        <v>56</v>
      </c>
      <c r="BI15" s="15"/>
      <c r="BJ15" s="13">
        <f t="shared" si="388"/>
        <v>19</v>
      </c>
      <c r="BK15" s="15">
        <v>17</v>
      </c>
      <c r="BL15" s="21">
        <f t="shared" si="389"/>
        <v>-2</v>
      </c>
      <c r="BN15" s="16">
        <v>36</v>
      </c>
      <c r="BO15" s="15"/>
      <c r="BP15" s="13">
        <f t="shared" si="390"/>
        <v>20</v>
      </c>
      <c r="BQ15" s="15">
        <v>18</v>
      </c>
      <c r="BR15" s="21">
        <f t="shared" si="391"/>
        <v>-2</v>
      </c>
      <c r="BT15" s="16">
        <v>13</v>
      </c>
      <c r="BU15" s="15">
        <v>1</v>
      </c>
      <c r="BV15" s="13">
        <f t="shared" si="392"/>
        <v>23</v>
      </c>
      <c r="BW15" s="15">
        <v>22</v>
      </c>
      <c r="BX15" s="21">
        <f t="shared" si="393"/>
        <v>-1</v>
      </c>
      <c r="BZ15" s="16">
        <v>22</v>
      </c>
      <c r="CA15" s="15">
        <v>1</v>
      </c>
      <c r="CB15" s="13">
        <f t="shared" si="394"/>
        <v>15</v>
      </c>
      <c r="CC15" s="15">
        <v>16</v>
      </c>
      <c r="CD15" s="21">
        <f t="shared" si="395"/>
        <v>1</v>
      </c>
      <c r="CF15" s="16">
        <v>27</v>
      </c>
      <c r="CG15" s="15">
        <v>1</v>
      </c>
      <c r="CH15" s="13">
        <f t="shared" si="396"/>
        <v>19</v>
      </c>
      <c r="CI15" s="5">
        <v>18</v>
      </c>
      <c r="CJ15" s="21">
        <f t="shared" si="397"/>
        <v>-1</v>
      </c>
      <c r="CL15" s="16">
        <v>41</v>
      </c>
      <c r="CM15" s="15"/>
      <c r="CN15" s="13">
        <f t="shared" si="398"/>
        <v>10</v>
      </c>
      <c r="CO15" s="5">
        <v>9</v>
      </c>
      <c r="CP15" s="21">
        <f t="shared" si="399"/>
        <v>-1</v>
      </c>
      <c r="CR15" s="16">
        <v>27</v>
      </c>
      <c r="CS15" s="15"/>
      <c r="CT15" s="13">
        <f t="shared" si="400"/>
        <v>14</v>
      </c>
      <c r="CU15" s="5">
        <v>19</v>
      </c>
      <c r="CV15" s="21">
        <f t="shared" si="401"/>
        <v>5</v>
      </c>
      <c r="CX15" s="16">
        <v>7</v>
      </c>
      <c r="CY15" s="33">
        <v>1</v>
      </c>
      <c r="CZ15" s="39">
        <f t="shared" si="402"/>
        <v>20</v>
      </c>
      <c r="DA15" s="5"/>
      <c r="DB15" s="40">
        <f t="shared" si="403"/>
        <v>-20</v>
      </c>
      <c r="DD15" s="16">
        <v>18</v>
      </c>
      <c r="DE15" s="33">
        <v>1</v>
      </c>
      <c r="DF15" s="39">
        <f t="shared" si="404"/>
        <v>13</v>
      </c>
      <c r="DG15" s="5"/>
      <c r="DH15" s="40">
        <f t="shared" si="405"/>
        <v>-13</v>
      </c>
      <c r="DJ15" s="16">
        <v>28</v>
      </c>
      <c r="DK15" s="33"/>
      <c r="DL15" s="39">
        <f t="shared" si="406"/>
        <v>14</v>
      </c>
      <c r="DM15" s="5">
        <v>16</v>
      </c>
      <c r="DN15" s="40">
        <f t="shared" si="407"/>
        <v>2</v>
      </c>
      <c r="DP15" s="16">
        <v>7</v>
      </c>
      <c r="DQ15" s="33">
        <v>2</v>
      </c>
      <c r="DR15" s="39">
        <f t="shared" si="408"/>
        <v>21</v>
      </c>
      <c r="DS15" s="5">
        <v>16</v>
      </c>
      <c r="DT15" s="40">
        <f t="shared" si="409"/>
        <v>-5</v>
      </c>
      <c r="DV15" s="16">
        <v>45</v>
      </c>
      <c r="DW15" s="33"/>
      <c r="DX15" s="39">
        <f t="shared" si="410"/>
        <v>10</v>
      </c>
      <c r="DY15" s="5">
        <v>10</v>
      </c>
      <c r="DZ15" s="40">
        <f t="shared" si="411"/>
        <v>0</v>
      </c>
      <c r="EB15" s="16">
        <v>28</v>
      </c>
      <c r="EC15" s="33"/>
      <c r="ED15" s="39">
        <f t="shared" si="412"/>
        <v>17</v>
      </c>
      <c r="EE15" s="5">
        <v>17</v>
      </c>
      <c r="EF15" s="40">
        <f t="shared" si="413"/>
        <v>0</v>
      </c>
      <c r="EH15" s="16">
        <v>10</v>
      </c>
      <c r="EI15" s="33">
        <v>1</v>
      </c>
      <c r="EJ15" s="39">
        <f t="shared" si="414"/>
        <v>18</v>
      </c>
      <c r="EK15" s="5">
        <v>16</v>
      </c>
      <c r="EL15" s="40">
        <f t="shared" si="415"/>
        <v>-2</v>
      </c>
      <c r="EN15" s="16">
        <v>22</v>
      </c>
      <c r="EO15" s="33"/>
      <c r="EP15" s="39">
        <f t="shared" si="416"/>
        <v>12</v>
      </c>
      <c r="EQ15" s="5">
        <v>13</v>
      </c>
      <c r="ER15" s="40">
        <f t="shared" si="417"/>
        <v>1</v>
      </c>
      <c r="ET15" s="16">
        <v>5</v>
      </c>
      <c r="EU15" s="33">
        <v>1</v>
      </c>
      <c r="EV15" s="39">
        <f t="shared" si="418"/>
        <v>17</v>
      </c>
      <c r="EW15" s="5">
        <v>17</v>
      </c>
      <c r="EX15" s="40">
        <f t="shared" si="419"/>
        <v>0</v>
      </c>
      <c r="EZ15" s="16">
        <v>21</v>
      </c>
      <c r="FA15" s="33"/>
      <c r="FB15" s="39">
        <f t="shared" si="420"/>
        <v>8</v>
      </c>
      <c r="FC15" s="5">
        <v>9</v>
      </c>
      <c r="FD15" s="40">
        <f t="shared" si="421"/>
        <v>1</v>
      </c>
      <c r="FF15" s="16">
        <v>10</v>
      </c>
      <c r="FG15" s="33">
        <v>1</v>
      </c>
      <c r="FH15" s="39">
        <f t="shared" si="218"/>
        <v>11</v>
      </c>
      <c r="FI15" s="5">
        <v>14</v>
      </c>
      <c r="FJ15" s="40">
        <f t="shared" si="422"/>
        <v>3</v>
      </c>
      <c r="FL15" s="16">
        <v>30</v>
      </c>
      <c r="FM15" s="33"/>
      <c r="FN15" s="39">
        <f t="shared" si="219"/>
        <v>4</v>
      </c>
      <c r="FO15" s="5">
        <v>4</v>
      </c>
      <c r="FP15" s="40">
        <f t="shared" si="423"/>
        <v>0</v>
      </c>
      <c r="FR15" s="16">
        <v>46</v>
      </c>
      <c r="FS15" s="33"/>
      <c r="FT15" s="39">
        <f t="shared" si="220"/>
        <v>-16</v>
      </c>
      <c r="FU15" s="5"/>
      <c r="FV15" s="40">
        <f t="shared" si="424"/>
        <v>16</v>
      </c>
      <c r="FX15" s="16">
        <v>29</v>
      </c>
      <c r="FY15" s="33"/>
      <c r="FZ15" s="39">
        <f t="shared" si="221"/>
        <v>17</v>
      </c>
      <c r="GA15" s="5">
        <v>13</v>
      </c>
      <c r="GB15" s="40">
        <f t="shared" si="425"/>
        <v>-4</v>
      </c>
      <c r="GD15" s="16">
        <v>19</v>
      </c>
      <c r="GE15" s="33">
        <v>1</v>
      </c>
      <c r="GF15" s="39">
        <f t="shared" si="222"/>
        <v>10</v>
      </c>
      <c r="GG15" s="5">
        <v>10</v>
      </c>
      <c r="GH15" s="40">
        <f t="shared" si="426"/>
        <v>0</v>
      </c>
      <c r="GJ15" s="16">
        <v>32</v>
      </c>
      <c r="GK15" s="33"/>
      <c r="GL15" s="39">
        <f t="shared" si="223"/>
        <v>11</v>
      </c>
      <c r="GM15" s="5">
        <v>9</v>
      </c>
      <c r="GN15" s="40">
        <f t="shared" si="427"/>
        <v>-2</v>
      </c>
      <c r="GP15" s="16">
        <v>25</v>
      </c>
      <c r="GQ15" s="33"/>
      <c r="GR15" s="39">
        <f t="shared" si="224"/>
        <v>7</v>
      </c>
      <c r="GS15" s="5">
        <v>5</v>
      </c>
      <c r="GT15" s="40">
        <f t="shared" si="428"/>
        <v>-2</v>
      </c>
      <c r="GV15" s="16">
        <v>49</v>
      </c>
      <c r="GW15" s="33">
        <v>1</v>
      </c>
      <c r="GX15" s="39">
        <f t="shared" si="225"/>
        <v>-24</v>
      </c>
      <c r="GY15" s="5">
        <v>11</v>
      </c>
      <c r="GZ15" s="40">
        <f t="shared" si="429"/>
        <v>35</v>
      </c>
      <c r="HB15" s="16">
        <v>73</v>
      </c>
      <c r="HC15" s="33"/>
      <c r="HD15" s="39">
        <f t="shared" si="226"/>
        <v>0</v>
      </c>
      <c r="HE15" s="5">
        <v>10</v>
      </c>
      <c r="HF15" s="40">
        <f t="shared" si="430"/>
        <v>10</v>
      </c>
      <c r="HH15" s="16">
        <v>61</v>
      </c>
      <c r="HI15" s="33"/>
      <c r="HJ15" s="39">
        <f t="shared" si="227"/>
        <v>12</v>
      </c>
      <c r="HK15" s="5">
        <v>6</v>
      </c>
      <c r="HL15" s="40">
        <f t="shared" si="431"/>
        <v>-6</v>
      </c>
      <c r="HN15" s="16">
        <v>61</v>
      </c>
      <c r="HO15" s="33"/>
      <c r="HP15" s="39">
        <f t="shared" si="228"/>
        <v>0</v>
      </c>
      <c r="HQ15" s="5">
        <v>5</v>
      </c>
      <c r="HR15" s="40">
        <f t="shared" si="432"/>
        <v>5</v>
      </c>
      <c r="HT15" s="16">
        <v>51</v>
      </c>
      <c r="HU15" s="33"/>
      <c r="HV15" s="39">
        <f t="shared" si="229"/>
        <v>10</v>
      </c>
      <c r="HW15" s="5">
        <v>10</v>
      </c>
      <c r="HX15" s="40">
        <f t="shared" si="433"/>
        <v>0</v>
      </c>
      <c r="HZ15" s="16">
        <v>39</v>
      </c>
      <c r="IA15" s="33"/>
      <c r="IB15" s="39">
        <f t="shared" si="230"/>
        <v>12</v>
      </c>
      <c r="IC15" s="5">
        <v>13</v>
      </c>
      <c r="ID15" s="40">
        <f t="shared" si="434"/>
        <v>1</v>
      </c>
      <c r="IF15" s="16">
        <v>25</v>
      </c>
      <c r="IG15" s="33">
        <v>1</v>
      </c>
      <c r="IH15" s="39">
        <f t="shared" si="231"/>
        <v>14</v>
      </c>
      <c r="II15" s="5">
        <v>13</v>
      </c>
      <c r="IJ15" s="40">
        <f t="shared" si="435"/>
        <v>-1</v>
      </c>
      <c r="IL15" s="16">
        <v>30</v>
      </c>
      <c r="IM15" s="33"/>
      <c r="IN15" s="39">
        <f t="shared" si="232"/>
        <v>19</v>
      </c>
      <c r="IO15" s="5">
        <v>15</v>
      </c>
      <c r="IP15" s="40">
        <f t="shared" si="436"/>
        <v>-4</v>
      </c>
      <c r="IR15" s="16">
        <v>18</v>
      </c>
      <c r="IS15" s="33">
        <v>1</v>
      </c>
      <c r="IT15" s="39">
        <f t="shared" si="233"/>
        <v>12</v>
      </c>
      <c r="IU15" s="5">
        <v>12</v>
      </c>
      <c r="IV15" s="40">
        <f t="shared" si="437"/>
        <v>0</v>
      </c>
      <c r="IX15" s="16">
        <v>36</v>
      </c>
      <c r="IY15" s="33"/>
      <c r="IZ15" s="39">
        <f t="shared" si="234"/>
        <v>6</v>
      </c>
      <c r="JA15" s="5">
        <v>6</v>
      </c>
      <c r="JB15" s="40">
        <f t="shared" si="438"/>
        <v>0</v>
      </c>
      <c r="JD15" s="16">
        <v>26</v>
      </c>
      <c r="JE15" s="33">
        <v>1</v>
      </c>
      <c r="JF15" s="39">
        <f t="shared" si="235"/>
        <v>10</v>
      </c>
      <c r="JG15" s="5">
        <v>8</v>
      </c>
      <c r="JH15" s="40">
        <f t="shared" si="439"/>
        <v>-2</v>
      </c>
      <c r="JJ15" s="16">
        <v>38</v>
      </c>
      <c r="JK15" s="33"/>
      <c r="JL15" s="39">
        <f t="shared" si="236"/>
        <v>12</v>
      </c>
      <c r="JM15" s="5">
        <v>9</v>
      </c>
      <c r="JN15" s="40">
        <f t="shared" si="440"/>
        <v>-3</v>
      </c>
      <c r="JP15" s="16">
        <v>29</v>
      </c>
      <c r="JQ15" s="33">
        <v>1</v>
      </c>
      <c r="JR15" s="39">
        <f t="shared" si="237"/>
        <v>9</v>
      </c>
      <c r="JS15" s="5">
        <v>12</v>
      </c>
      <c r="JT15" s="40">
        <f t="shared" si="441"/>
        <v>3</v>
      </c>
      <c r="JV15" s="16">
        <v>38</v>
      </c>
      <c r="JW15" s="33"/>
      <c r="JX15" s="39">
        <f t="shared" si="238"/>
        <v>15</v>
      </c>
      <c r="JY15" s="5">
        <v>9</v>
      </c>
      <c r="JZ15" s="40">
        <f t="shared" si="442"/>
        <v>-6</v>
      </c>
      <c r="KB15" s="16">
        <v>21</v>
      </c>
      <c r="KC15" s="33">
        <v>1</v>
      </c>
      <c r="KD15" s="39">
        <f t="shared" si="239"/>
        <v>17</v>
      </c>
      <c r="KE15" s="5">
        <v>14</v>
      </c>
      <c r="KF15" s="40">
        <f t="shared" si="443"/>
        <v>-3</v>
      </c>
      <c r="KH15" s="16">
        <v>24</v>
      </c>
      <c r="KI15" s="33">
        <v>1</v>
      </c>
      <c r="KJ15" s="39">
        <f t="shared" si="240"/>
        <v>21</v>
      </c>
      <c r="KK15" s="5">
        <v>18</v>
      </c>
      <c r="KL15" s="40">
        <f t="shared" si="444"/>
        <v>-3</v>
      </c>
      <c r="KN15" s="16">
        <v>38</v>
      </c>
      <c r="KO15" s="33"/>
      <c r="KP15" s="39">
        <f t="shared" si="241"/>
        <v>10</v>
      </c>
      <c r="KQ15" s="5">
        <v>9</v>
      </c>
      <c r="KR15" s="40">
        <f t="shared" si="445"/>
        <v>-1</v>
      </c>
      <c r="KT15" s="16">
        <v>20</v>
      </c>
      <c r="KU15" s="33"/>
      <c r="KV15" s="39">
        <f t="shared" si="242"/>
        <v>18</v>
      </c>
      <c r="KW15" s="5">
        <v>16</v>
      </c>
      <c r="KX15" s="40">
        <f t="shared" si="446"/>
        <v>-2</v>
      </c>
      <c r="KZ15" s="16">
        <v>5</v>
      </c>
      <c r="LA15" s="33">
        <v>2</v>
      </c>
      <c r="LB15" s="39">
        <f t="shared" si="243"/>
        <v>15</v>
      </c>
      <c r="LC15" s="5">
        <v>18</v>
      </c>
      <c r="LD15" s="40">
        <f t="shared" si="447"/>
        <v>3</v>
      </c>
      <c r="LF15" s="16">
        <v>41</v>
      </c>
      <c r="LG15" s="33"/>
      <c r="LH15" s="39">
        <f t="shared" si="244"/>
        <v>12</v>
      </c>
      <c r="LI15" s="5"/>
      <c r="LJ15" s="40">
        <f t="shared" si="448"/>
        <v>-12</v>
      </c>
      <c r="LL15" s="16">
        <v>52</v>
      </c>
      <c r="LM15" s="33">
        <v>2</v>
      </c>
      <c r="LN15" s="39">
        <f t="shared" si="245"/>
        <v>-11</v>
      </c>
      <c r="LO15" s="5"/>
      <c r="LP15" s="40">
        <f t="shared" si="449"/>
        <v>11</v>
      </c>
      <c r="LR15" s="16">
        <v>87</v>
      </c>
      <c r="LS15" s="33"/>
      <c r="LT15" s="39">
        <f t="shared" si="246"/>
        <v>13</v>
      </c>
      <c r="LU15" s="5">
        <v>11</v>
      </c>
      <c r="LV15" s="40">
        <f t="shared" si="450"/>
        <v>-2</v>
      </c>
      <c r="LX15" s="16">
        <v>73</v>
      </c>
      <c r="LY15" s="33">
        <v>1</v>
      </c>
      <c r="LZ15" s="39">
        <f t="shared" si="247"/>
        <v>14</v>
      </c>
      <c r="MA15" s="5">
        <v>14</v>
      </c>
      <c r="MB15" s="40">
        <f t="shared" si="451"/>
        <v>0</v>
      </c>
      <c r="MD15" s="16">
        <v>72</v>
      </c>
      <c r="ME15" s="33"/>
      <c r="MF15" s="39">
        <f t="shared" si="248"/>
        <v>25</v>
      </c>
      <c r="MG15" s="5"/>
      <c r="MH15" s="40">
        <f t="shared" si="452"/>
        <v>-25</v>
      </c>
      <c r="MJ15" s="16">
        <v>36</v>
      </c>
      <c r="MK15" s="33">
        <v>2</v>
      </c>
      <c r="ML15" s="39">
        <f t="shared" si="249"/>
        <v>36</v>
      </c>
      <c r="MM15" s="5"/>
      <c r="MN15" s="40">
        <f t="shared" si="453"/>
        <v>-36</v>
      </c>
      <c r="MP15" s="16">
        <v>74</v>
      </c>
      <c r="MQ15" s="33"/>
      <c r="MR15" s="39">
        <f t="shared" si="250"/>
        <v>10</v>
      </c>
      <c r="MS15" s="5"/>
      <c r="MT15" s="40">
        <f t="shared" si="454"/>
        <v>-10</v>
      </c>
      <c r="MV15" s="16">
        <v>53</v>
      </c>
      <c r="MW15" s="33">
        <v>1</v>
      </c>
      <c r="MX15" s="39">
        <f t="shared" si="251"/>
        <v>21</v>
      </c>
      <c r="MY15" s="5"/>
      <c r="MZ15" s="40">
        <f t="shared" si="455"/>
        <v>-21</v>
      </c>
      <c r="NB15" s="16">
        <v>45</v>
      </c>
      <c r="NC15" s="33">
        <v>2</v>
      </c>
      <c r="ND15" s="39">
        <f t="shared" si="252"/>
        <v>32</v>
      </c>
      <c r="NE15" s="5"/>
      <c r="NF15" s="40">
        <f t="shared" si="456"/>
        <v>-32</v>
      </c>
      <c r="NH15" s="16">
        <v>31</v>
      </c>
      <c r="NI15" s="33"/>
      <c r="NJ15" s="39">
        <f t="shared" si="253"/>
        <v>62</v>
      </c>
      <c r="NK15" s="5"/>
      <c r="NL15" s="40">
        <f t="shared" si="576"/>
        <v>-62</v>
      </c>
      <c r="NN15" s="16">
        <v>15</v>
      </c>
      <c r="NO15" s="33"/>
      <c r="NP15" s="39">
        <f t="shared" si="254"/>
        <v>16</v>
      </c>
      <c r="NQ15" s="5"/>
      <c r="NR15" s="40">
        <f t="shared" si="577"/>
        <v>-16</v>
      </c>
      <c r="NT15" s="16">
        <v>0</v>
      </c>
      <c r="NU15" s="33">
        <v>2</v>
      </c>
      <c r="NV15" s="39">
        <f t="shared" si="255"/>
        <v>15</v>
      </c>
      <c r="NW15" s="5"/>
      <c r="NX15" s="40">
        <f t="shared" si="578"/>
        <v>-15</v>
      </c>
      <c r="NZ15" s="16">
        <v>0</v>
      </c>
      <c r="OA15" s="33"/>
      <c r="OB15" s="39">
        <f t="shared" si="256"/>
        <v>48</v>
      </c>
      <c r="OC15" s="5"/>
      <c r="OD15" s="40">
        <f t="shared" si="579"/>
        <v>-48</v>
      </c>
      <c r="OF15" s="16">
        <v>0</v>
      </c>
      <c r="OG15" s="33">
        <v>2</v>
      </c>
      <c r="OH15" s="39">
        <f t="shared" si="257"/>
        <v>0</v>
      </c>
      <c r="OI15" s="5"/>
      <c r="OJ15" s="40">
        <f t="shared" si="580"/>
        <v>0</v>
      </c>
      <c r="OL15" s="16">
        <v>32</v>
      </c>
      <c r="OM15" s="33">
        <v>1</v>
      </c>
      <c r="ON15" s="39">
        <f t="shared" si="258"/>
        <v>16</v>
      </c>
      <c r="OO15" s="5"/>
      <c r="OP15" s="40">
        <f t="shared" si="581"/>
        <v>-16</v>
      </c>
      <c r="OR15" s="16">
        <v>22</v>
      </c>
      <c r="OS15" s="33">
        <v>1</v>
      </c>
      <c r="OT15" s="39">
        <f t="shared" si="259"/>
        <v>34</v>
      </c>
      <c r="OU15" s="5"/>
      <c r="OV15" s="40">
        <f t="shared" si="582"/>
        <v>-34</v>
      </c>
      <c r="OX15" s="16">
        <v>6</v>
      </c>
      <c r="OY15" s="33">
        <v>2</v>
      </c>
      <c r="OZ15" s="39">
        <f t="shared" si="260"/>
        <v>40</v>
      </c>
      <c r="PA15" s="5"/>
      <c r="PB15" s="40">
        <f t="shared" si="583"/>
        <v>-40</v>
      </c>
      <c r="PD15" s="16">
        <v>0</v>
      </c>
      <c r="PE15" s="33">
        <v>2</v>
      </c>
      <c r="PF15" s="39">
        <f t="shared" si="261"/>
        <v>54</v>
      </c>
      <c r="PG15" s="5"/>
      <c r="PH15" s="40">
        <f t="shared" si="584"/>
        <v>-54</v>
      </c>
      <c r="PJ15" s="16">
        <v>17</v>
      </c>
      <c r="PK15" s="33">
        <v>1</v>
      </c>
      <c r="PL15" s="39">
        <f t="shared" si="262"/>
        <v>31</v>
      </c>
      <c r="PM15" s="5"/>
      <c r="PN15" s="40">
        <f t="shared" si="585"/>
        <v>-31</v>
      </c>
      <c r="PP15" s="16">
        <v>56</v>
      </c>
      <c r="PQ15" s="33"/>
      <c r="PR15" s="39">
        <f t="shared" si="263"/>
        <v>-15</v>
      </c>
      <c r="PS15" s="5"/>
      <c r="PT15" s="40">
        <f t="shared" si="586"/>
        <v>15</v>
      </c>
      <c r="PV15" s="16">
        <v>35</v>
      </c>
      <c r="PW15" s="33"/>
      <c r="PX15" s="39">
        <f t="shared" si="264"/>
        <v>21</v>
      </c>
      <c r="PY15" s="5"/>
      <c r="PZ15" s="40">
        <f t="shared" si="587"/>
        <v>-21</v>
      </c>
      <c r="QB15" s="16">
        <v>19</v>
      </c>
      <c r="QC15" s="33">
        <v>1</v>
      </c>
      <c r="QD15" s="39">
        <f t="shared" si="265"/>
        <v>16</v>
      </c>
      <c r="QE15" s="5"/>
      <c r="QF15" s="40">
        <f t="shared" si="588"/>
        <v>-16</v>
      </c>
      <c r="QH15" s="16">
        <v>7</v>
      </c>
      <c r="QI15" s="33">
        <v>1</v>
      </c>
      <c r="QJ15" s="39">
        <f t="shared" si="266"/>
        <v>36</v>
      </c>
      <c r="QK15" s="5"/>
      <c r="QL15" s="40">
        <f t="shared" si="589"/>
        <v>-36</v>
      </c>
      <c r="QN15" s="16">
        <v>16</v>
      </c>
      <c r="QO15" s="33">
        <v>1</v>
      </c>
      <c r="QP15" s="39">
        <f t="shared" si="267"/>
        <v>15</v>
      </c>
      <c r="QQ15" s="5"/>
      <c r="QR15" s="40">
        <f t="shared" si="590"/>
        <v>-15</v>
      </c>
      <c r="QT15" s="16">
        <v>30</v>
      </c>
      <c r="QU15" s="33"/>
      <c r="QV15" s="39">
        <f t="shared" si="268"/>
        <v>10</v>
      </c>
      <c r="QW15" s="5"/>
      <c r="QX15" s="40">
        <f t="shared" si="591"/>
        <v>-10</v>
      </c>
      <c r="QZ15" s="16">
        <v>16</v>
      </c>
      <c r="RA15" s="33">
        <v>1</v>
      </c>
      <c r="RB15" s="39">
        <f t="shared" si="269"/>
        <v>14</v>
      </c>
      <c r="RC15" s="5"/>
      <c r="RD15" s="40">
        <f t="shared" si="592"/>
        <v>-14</v>
      </c>
      <c r="RF15" s="16">
        <v>35</v>
      </c>
      <c r="RG15" s="33"/>
      <c r="RH15" s="39">
        <f t="shared" si="270"/>
        <v>5</v>
      </c>
      <c r="RI15" s="5"/>
      <c r="RJ15" s="40">
        <f t="shared" si="593"/>
        <v>-5</v>
      </c>
      <c r="RL15" s="16">
        <v>27</v>
      </c>
      <c r="RM15" s="33"/>
      <c r="RN15" s="39">
        <f t="shared" si="271"/>
        <v>8</v>
      </c>
      <c r="RO15" s="5"/>
      <c r="RP15" s="40">
        <f t="shared" si="594"/>
        <v>-8</v>
      </c>
      <c r="RR15" s="16">
        <v>22</v>
      </c>
      <c r="RS15" s="33">
        <v>1</v>
      </c>
      <c r="RT15" s="39">
        <f t="shared" si="272"/>
        <v>5</v>
      </c>
      <c r="RU15" s="5"/>
      <c r="RV15" s="40">
        <f t="shared" si="595"/>
        <v>-5</v>
      </c>
      <c r="RX15" s="16">
        <v>35</v>
      </c>
      <c r="RY15" s="33"/>
      <c r="RZ15" s="39">
        <f t="shared" si="273"/>
        <v>11</v>
      </c>
      <c r="SA15" s="5"/>
      <c r="SB15" s="40">
        <f t="shared" si="596"/>
        <v>-11</v>
      </c>
      <c r="SD15" s="16">
        <v>27</v>
      </c>
      <c r="SE15" s="33"/>
      <c r="SF15" s="39">
        <f t="shared" si="274"/>
        <v>8</v>
      </c>
      <c r="SG15" s="5"/>
      <c r="SH15" s="40">
        <f t="shared" si="597"/>
        <v>-8</v>
      </c>
      <c r="SJ15" s="16">
        <v>18</v>
      </c>
      <c r="SK15" s="33">
        <v>1</v>
      </c>
      <c r="SL15" s="39">
        <f t="shared" si="275"/>
        <v>9</v>
      </c>
      <c r="SM15" s="5"/>
      <c r="SN15" s="40">
        <f t="shared" si="598"/>
        <v>-9</v>
      </c>
      <c r="SP15" s="16">
        <v>28</v>
      </c>
      <c r="SQ15" s="33">
        <v>1</v>
      </c>
      <c r="SR15" s="39">
        <f t="shared" si="276"/>
        <v>14</v>
      </c>
      <c r="SS15" s="5"/>
      <c r="ST15" s="40">
        <f t="shared" si="599"/>
        <v>-14</v>
      </c>
      <c r="SV15" s="16">
        <v>29</v>
      </c>
      <c r="SW15" s="33"/>
      <c r="SX15" s="39">
        <f t="shared" si="277"/>
        <v>23</v>
      </c>
      <c r="SY15" s="5"/>
      <c r="SZ15" s="40">
        <f t="shared" si="600"/>
        <v>-23</v>
      </c>
      <c r="TB15" s="16">
        <v>15</v>
      </c>
      <c r="TC15" s="33">
        <v>1</v>
      </c>
      <c r="TD15" s="39">
        <f t="shared" si="278"/>
        <v>14</v>
      </c>
      <c r="TE15" s="5"/>
      <c r="TF15" s="40">
        <f t="shared" si="601"/>
        <v>-14</v>
      </c>
      <c r="TH15" s="16">
        <v>6</v>
      </c>
      <c r="TI15" s="33">
        <v>1</v>
      </c>
      <c r="TJ15" s="39">
        <f t="shared" si="279"/>
        <v>33</v>
      </c>
      <c r="TK15" s="5"/>
      <c r="TL15" s="40">
        <f t="shared" si="602"/>
        <v>-33</v>
      </c>
      <c r="TN15" s="16">
        <v>14</v>
      </c>
      <c r="TO15" s="33">
        <v>1</v>
      </c>
      <c r="TP15" s="39">
        <f t="shared" si="280"/>
        <v>16</v>
      </c>
      <c r="TQ15" s="5"/>
      <c r="TR15" s="40">
        <f t="shared" si="603"/>
        <v>-16</v>
      </c>
      <c r="TT15" s="16">
        <v>36</v>
      </c>
      <c r="TU15" s="33"/>
      <c r="TV15" s="39">
        <f t="shared" si="281"/>
        <v>2</v>
      </c>
      <c r="TW15" s="5"/>
      <c r="TX15" s="40">
        <f t="shared" si="604"/>
        <v>-2</v>
      </c>
      <c r="TZ15" s="16">
        <v>20</v>
      </c>
      <c r="UA15" s="33">
        <v>1</v>
      </c>
      <c r="UB15" s="39">
        <f t="shared" si="282"/>
        <v>16</v>
      </c>
      <c r="UC15" s="5"/>
      <c r="UD15" s="40">
        <f t="shared" si="605"/>
        <v>-16</v>
      </c>
      <c r="UF15" s="16">
        <v>21</v>
      </c>
      <c r="UG15" s="33">
        <v>1</v>
      </c>
      <c r="UH15" s="39">
        <f t="shared" si="283"/>
        <v>23</v>
      </c>
      <c r="UI15" s="5"/>
      <c r="UJ15" s="40">
        <f t="shared" si="606"/>
        <v>-23</v>
      </c>
      <c r="UL15" s="16">
        <v>46</v>
      </c>
      <c r="UM15" s="33"/>
      <c r="UN15" s="39">
        <f t="shared" si="284"/>
        <v>-1</v>
      </c>
      <c r="UO15" s="5"/>
      <c r="UP15" s="40">
        <f t="shared" si="607"/>
        <v>1</v>
      </c>
      <c r="UR15" s="16">
        <v>59</v>
      </c>
      <c r="US15" s="33"/>
      <c r="UT15" s="39">
        <f t="shared" si="285"/>
        <v>-13</v>
      </c>
      <c r="UU15" s="5"/>
      <c r="UV15" s="40">
        <f t="shared" si="608"/>
        <v>13</v>
      </c>
      <c r="UX15" s="16">
        <v>17</v>
      </c>
      <c r="UY15" s="33">
        <v>1</v>
      </c>
      <c r="UZ15" s="39">
        <f t="shared" si="286"/>
        <v>42</v>
      </c>
      <c r="VA15" s="5"/>
      <c r="VB15" s="40">
        <f t="shared" si="609"/>
        <v>-42</v>
      </c>
      <c r="VD15" s="16">
        <v>14</v>
      </c>
      <c r="VE15" s="33">
        <v>1</v>
      </c>
      <c r="VF15" s="39">
        <f t="shared" si="287"/>
        <v>27</v>
      </c>
      <c r="VG15" s="5"/>
      <c r="VH15" s="40">
        <f t="shared" si="610"/>
        <v>-27</v>
      </c>
      <c r="VJ15" s="16">
        <v>23</v>
      </c>
      <c r="VK15" s="33">
        <v>1</v>
      </c>
      <c r="VL15" s="39">
        <f t="shared" si="288"/>
        <v>15</v>
      </c>
      <c r="VM15" s="5"/>
      <c r="VN15" s="40">
        <f t="shared" si="611"/>
        <v>-15</v>
      </c>
      <c r="VP15" s="16">
        <v>21</v>
      </c>
      <c r="VQ15" s="33"/>
      <c r="VR15" s="39">
        <f t="shared" si="289"/>
        <v>26</v>
      </c>
      <c r="VS15" s="5"/>
      <c r="VT15" s="40">
        <f t="shared" si="612"/>
        <v>-26</v>
      </c>
      <c r="VV15" s="16">
        <v>0</v>
      </c>
      <c r="VW15" s="33">
        <v>2</v>
      </c>
      <c r="VX15" s="39">
        <f t="shared" si="290"/>
        <v>21</v>
      </c>
      <c r="VY15" s="5"/>
      <c r="VZ15" s="40">
        <f t="shared" si="613"/>
        <v>-21</v>
      </c>
      <c r="WB15" s="16">
        <v>26</v>
      </c>
      <c r="WC15" s="33">
        <v>1</v>
      </c>
      <c r="WD15" s="39">
        <f t="shared" si="291"/>
        <v>22</v>
      </c>
      <c r="WE15" s="5"/>
      <c r="WF15" s="40">
        <f t="shared" si="495"/>
        <v>22</v>
      </c>
      <c r="WH15" s="16">
        <v>34</v>
      </c>
      <c r="WI15" s="33"/>
      <c r="WJ15" s="39">
        <f t="shared" si="292"/>
        <v>16</v>
      </c>
      <c r="WK15" s="5"/>
      <c r="WL15" s="40">
        <f t="shared" si="496"/>
        <v>16</v>
      </c>
      <c r="WN15" s="16">
        <v>13</v>
      </c>
      <c r="WO15" s="33">
        <v>1</v>
      </c>
      <c r="WP15" s="39">
        <f t="shared" si="293"/>
        <v>21</v>
      </c>
      <c r="WQ15" s="5"/>
      <c r="WR15" s="40">
        <f t="shared" si="497"/>
        <v>21</v>
      </c>
      <c r="WT15" s="16">
        <v>25</v>
      </c>
      <c r="WU15" s="33">
        <v>1</v>
      </c>
      <c r="WV15" s="39">
        <f t="shared" si="294"/>
        <v>12</v>
      </c>
      <c r="WW15" s="5"/>
      <c r="WX15" s="40">
        <f t="shared" si="498"/>
        <v>12</v>
      </c>
      <c r="WZ15" s="16">
        <v>30</v>
      </c>
      <c r="XA15" s="33">
        <v>1</v>
      </c>
      <c r="XB15" s="39">
        <f t="shared" si="295"/>
        <v>19</v>
      </c>
      <c r="XC15" s="5"/>
      <c r="XD15" s="40">
        <f t="shared" si="499"/>
        <v>19</v>
      </c>
      <c r="XF15" s="16">
        <v>42</v>
      </c>
      <c r="XG15" s="33"/>
      <c r="XH15" s="39">
        <f t="shared" si="296"/>
        <v>12</v>
      </c>
      <c r="XI15" s="5"/>
      <c r="XJ15" s="40">
        <f t="shared" si="500"/>
        <v>12</v>
      </c>
      <c r="XL15" s="16">
        <v>26</v>
      </c>
      <c r="XM15" s="33">
        <v>1</v>
      </c>
      <c r="XN15" s="39">
        <f t="shared" si="297"/>
        <v>16</v>
      </c>
      <c r="XO15" s="5"/>
      <c r="XP15" s="40">
        <f t="shared" si="501"/>
        <v>16</v>
      </c>
      <c r="XR15" s="16">
        <v>33</v>
      </c>
      <c r="XS15" s="33"/>
      <c r="XT15" s="39">
        <f t="shared" si="298"/>
        <v>17</v>
      </c>
      <c r="XU15" s="5"/>
      <c r="XV15" s="40">
        <f t="shared" si="502"/>
        <v>17</v>
      </c>
      <c r="XX15" s="16">
        <v>13</v>
      </c>
      <c r="XY15" s="33">
        <v>3</v>
      </c>
      <c r="XZ15" s="39">
        <f t="shared" si="299"/>
        <v>20</v>
      </c>
      <c r="YA15" s="5"/>
      <c r="YB15" s="40">
        <f t="shared" si="503"/>
        <v>20</v>
      </c>
      <c r="YD15" s="16">
        <v>26</v>
      </c>
      <c r="YE15" s="33">
        <v>1</v>
      </c>
      <c r="YF15" s="39">
        <f t="shared" si="300"/>
        <v>59</v>
      </c>
      <c r="YG15" s="5"/>
      <c r="YH15" s="40">
        <f t="shared" si="504"/>
        <v>59</v>
      </c>
      <c r="YJ15" s="16">
        <v>53</v>
      </c>
      <c r="YK15" s="33"/>
      <c r="YL15" s="39">
        <f t="shared" si="301"/>
        <v>-3</v>
      </c>
      <c r="YM15" s="5"/>
      <c r="YN15" s="40">
        <f t="shared" si="505"/>
        <v>-3</v>
      </c>
      <c r="YP15" s="16">
        <v>24</v>
      </c>
      <c r="YQ15" s="33">
        <v>1</v>
      </c>
      <c r="YR15" s="39">
        <f t="shared" si="302"/>
        <v>29</v>
      </c>
      <c r="YS15" s="5"/>
      <c r="YT15" s="40">
        <f t="shared" si="506"/>
        <v>29</v>
      </c>
      <c r="YV15" s="16">
        <v>42</v>
      </c>
      <c r="YW15" s="33"/>
      <c r="YX15" s="39">
        <f t="shared" si="303"/>
        <v>6</v>
      </c>
      <c r="YY15" s="5"/>
      <c r="YZ15" s="40">
        <f t="shared" si="507"/>
        <v>6</v>
      </c>
      <c r="ZB15" s="16">
        <v>18</v>
      </c>
      <c r="ZC15" s="33">
        <v>1</v>
      </c>
      <c r="ZD15" s="39">
        <f t="shared" si="304"/>
        <v>24</v>
      </c>
      <c r="ZE15" s="5"/>
      <c r="ZF15" s="40">
        <f t="shared" si="508"/>
        <v>24</v>
      </c>
      <c r="ZH15" s="16">
        <v>30</v>
      </c>
      <c r="ZI15" s="33"/>
      <c r="ZJ15" s="39">
        <f t="shared" si="305"/>
        <v>12</v>
      </c>
      <c r="ZK15" s="5"/>
      <c r="ZL15" s="40">
        <f t="shared" si="509"/>
        <v>12</v>
      </c>
      <c r="ZN15" s="16">
        <v>14</v>
      </c>
      <c r="ZO15" s="33">
        <v>1</v>
      </c>
      <c r="ZP15" s="39">
        <f t="shared" si="306"/>
        <v>16</v>
      </c>
      <c r="ZQ15" s="5"/>
      <c r="ZR15" s="40">
        <f t="shared" si="510"/>
        <v>16</v>
      </c>
      <c r="ZT15" s="16">
        <v>21</v>
      </c>
      <c r="ZU15" s="33">
        <v>1</v>
      </c>
      <c r="ZV15" s="39">
        <f t="shared" si="307"/>
        <v>17</v>
      </c>
      <c r="ZW15" s="5"/>
      <c r="ZX15" s="40">
        <f t="shared" si="511"/>
        <v>17</v>
      </c>
      <c r="ZZ15" s="16">
        <v>14</v>
      </c>
      <c r="AAA15" s="33">
        <v>2</v>
      </c>
      <c r="AAB15" s="39">
        <f t="shared" si="308"/>
        <v>31</v>
      </c>
      <c r="AAC15" s="5"/>
      <c r="AAD15" s="40">
        <f t="shared" si="512"/>
        <v>31</v>
      </c>
      <c r="AAF15" s="16">
        <v>50</v>
      </c>
      <c r="AAG15" s="33"/>
      <c r="AAH15" s="39">
        <f t="shared" si="309"/>
        <v>12</v>
      </c>
      <c r="AAI15" s="5"/>
      <c r="AAJ15" s="40">
        <f t="shared" si="513"/>
        <v>12</v>
      </c>
      <c r="AAL15" s="16">
        <v>26</v>
      </c>
      <c r="AAM15" s="33">
        <v>1</v>
      </c>
      <c r="AAN15" s="39">
        <f t="shared" si="310"/>
        <v>24</v>
      </c>
      <c r="AAO15" s="5"/>
      <c r="AAP15" s="40">
        <f t="shared" si="514"/>
        <v>24</v>
      </c>
      <c r="AAR15" s="16">
        <v>54</v>
      </c>
      <c r="AAS15" s="33"/>
      <c r="AAT15" s="39">
        <f t="shared" si="311"/>
        <v>-4</v>
      </c>
      <c r="AAU15" s="5"/>
      <c r="AAV15" s="40">
        <f t="shared" si="515"/>
        <v>-4</v>
      </c>
      <c r="AAX15" s="16">
        <v>45</v>
      </c>
      <c r="AAY15" s="33"/>
      <c r="AAZ15" s="39">
        <f t="shared" si="312"/>
        <v>9</v>
      </c>
      <c r="ABA15" s="5"/>
      <c r="ABB15" s="40">
        <f t="shared" si="516"/>
        <v>9</v>
      </c>
      <c r="ABD15" s="16">
        <v>24</v>
      </c>
      <c r="ABE15" s="33">
        <v>1</v>
      </c>
      <c r="ABF15" s="39">
        <f t="shared" si="313"/>
        <v>21</v>
      </c>
      <c r="ABG15" s="5"/>
      <c r="ABH15" s="40">
        <f t="shared" si="517"/>
        <v>21</v>
      </c>
      <c r="ABJ15" s="16">
        <v>40</v>
      </c>
      <c r="ABK15" s="33"/>
      <c r="ABL15" s="39">
        <f t="shared" si="314"/>
        <v>8</v>
      </c>
      <c r="ABM15" s="5"/>
      <c r="ABN15" s="40">
        <f t="shared" si="518"/>
        <v>8</v>
      </c>
      <c r="ABP15" s="16">
        <v>25</v>
      </c>
      <c r="ABQ15" s="33"/>
      <c r="ABR15" s="39">
        <f t="shared" si="315"/>
        <v>15</v>
      </c>
      <c r="ABS15" s="5"/>
      <c r="ABT15" s="40">
        <f t="shared" si="519"/>
        <v>15</v>
      </c>
      <c r="ABV15" s="16">
        <v>15</v>
      </c>
      <c r="ABW15" s="33">
        <v>1</v>
      </c>
      <c r="ABX15" s="39">
        <f t="shared" si="316"/>
        <v>10</v>
      </c>
      <c r="ABY15" s="5"/>
      <c r="ABZ15" s="40">
        <f t="shared" si="520"/>
        <v>10</v>
      </c>
      <c r="ACB15" s="16">
        <v>22</v>
      </c>
      <c r="ACC15" s="33">
        <v>1</v>
      </c>
      <c r="ACD15" s="39">
        <f t="shared" si="317"/>
        <v>17</v>
      </c>
      <c r="ACE15" s="5"/>
      <c r="ACF15" s="40">
        <f t="shared" si="521"/>
        <v>17</v>
      </c>
      <c r="ACH15" s="16">
        <v>36</v>
      </c>
      <c r="ACI15" s="33"/>
      <c r="ACJ15" s="39">
        <f t="shared" si="318"/>
        <v>10</v>
      </c>
      <c r="ACK15" s="5"/>
      <c r="ACL15" s="40">
        <f t="shared" si="522"/>
        <v>10</v>
      </c>
      <c r="ACN15" s="16">
        <v>33</v>
      </c>
      <c r="ACO15" s="33">
        <v>1</v>
      </c>
      <c r="ACP15" s="39">
        <f t="shared" si="319"/>
        <v>3</v>
      </c>
      <c r="ACQ15" s="5"/>
      <c r="ACR15" s="40">
        <f t="shared" si="523"/>
        <v>3</v>
      </c>
      <c r="ACT15" s="16">
        <v>47</v>
      </c>
      <c r="ACU15" s="33"/>
      <c r="ACV15" s="39">
        <f t="shared" si="320"/>
        <v>10</v>
      </c>
      <c r="ACW15" s="5"/>
      <c r="ACX15" s="40">
        <f t="shared" si="524"/>
        <v>10</v>
      </c>
      <c r="ACZ15" s="16">
        <v>32</v>
      </c>
      <c r="ADA15" s="33"/>
      <c r="ADB15" s="39">
        <f t="shared" si="321"/>
        <v>15</v>
      </c>
      <c r="ADC15" s="5"/>
      <c r="ADD15" s="40">
        <f t="shared" si="525"/>
        <v>15</v>
      </c>
      <c r="ADF15" s="16">
        <v>24</v>
      </c>
      <c r="ADG15" s="33">
        <v>1</v>
      </c>
      <c r="ADH15" s="39">
        <f t="shared" si="322"/>
        <v>8</v>
      </c>
      <c r="ADI15" s="5"/>
      <c r="ADJ15" s="40">
        <f t="shared" si="526"/>
        <v>8</v>
      </c>
      <c r="ADL15" s="16">
        <v>41</v>
      </c>
      <c r="ADM15" s="33"/>
      <c r="ADN15" s="39">
        <f t="shared" si="323"/>
        <v>7</v>
      </c>
      <c r="ADO15" s="5"/>
      <c r="ADP15" s="40">
        <f t="shared" si="527"/>
        <v>7</v>
      </c>
      <c r="ADR15" s="16">
        <v>35</v>
      </c>
      <c r="ADS15" s="33"/>
      <c r="ADT15" s="39">
        <f t="shared" si="324"/>
        <v>6</v>
      </c>
      <c r="ADU15" s="5"/>
      <c r="ADV15" s="40">
        <f t="shared" si="528"/>
        <v>6</v>
      </c>
      <c r="ADX15" s="16">
        <v>22</v>
      </c>
      <c r="ADY15" s="33">
        <v>1</v>
      </c>
      <c r="ADZ15" s="39">
        <f t="shared" si="325"/>
        <v>13</v>
      </c>
      <c r="AEA15" s="5"/>
      <c r="AEB15" s="40">
        <f t="shared" si="529"/>
        <v>13</v>
      </c>
      <c r="AED15" s="16">
        <v>26</v>
      </c>
      <c r="AEE15" s="33">
        <v>1</v>
      </c>
      <c r="AEF15" s="39">
        <f t="shared" si="326"/>
        <v>20</v>
      </c>
      <c r="AEG15" s="5"/>
      <c r="AEH15" s="40">
        <f t="shared" si="530"/>
        <v>20</v>
      </c>
      <c r="AEJ15" s="16">
        <v>41</v>
      </c>
      <c r="AEK15" s="33"/>
      <c r="AEL15" s="39">
        <f t="shared" si="327"/>
        <v>9</v>
      </c>
      <c r="AEM15" s="5"/>
      <c r="AEN15" s="40">
        <f t="shared" si="531"/>
        <v>9</v>
      </c>
      <c r="AEP15" s="16">
        <v>30</v>
      </c>
      <c r="AEQ15" s="33"/>
      <c r="AER15" s="39">
        <f t="shared" si="328"/>
        <v>11</v>
      </c>
      <c r="AES15" s="5"/>
      <c r="AET15" s="40">
        <f t="shared" si="532"/>
        <v>11</v>
      </c>
      <c r="AEV15" s="16">
        <v>20</v>
      </c>
      <c r="AEW15" s="33">
        <v>1</v>
      </c>
      <c r="AEX15" s="39">
        <f t="shared" si="329"/>
        <v>10</v>
      </c>
      <c r="AEY15" s="5"/>
      <c r="AEZ15" s="40">
        <f t="shared" si="533"/>
        <v>10</v>
      </c>
      <c r="AFB15" s="16">
        <v>30</v>
      </c>
      <c r="AFC15" s="33"/>
      <c r="AFD15" s="39">
        <f t="shared" si="330"/>
        <v>14</v>
      </c>
      <c r="AFE15" s="5"/>
      <c r="AFF15" s="40">
        <f t="shared" si="534"/>
        <v>14</v>
      </c>
      <c r="AFH15" s="16">
        <v>18</v>
      </c>
      <c r="AFI15" s="33">
        <v>1</v>
      </c>
      <c r="AFJ15" s="39">
        <f t="shared" si="331"/>
        <v>12</v>
      </c>
      <c r="AFK15" s="5"/>
      <c r="AFL15" s="40">
        <f t="shared" si="535"/>
        <v>12</v>
      </c>
      <c r="AFN15" s="16">
        <v>36</v>
      </c>
      <c r="AFO15" s="33"/>
      <c r="AFP15" s="39">
        <f t="shared" si="332"/>
        <v>6</v>
      </c>
      <c r="AFQ15" s="5"/>
      <c r="AFR15" s="40">
        <f t="shared" si="536"/>
        <v>6</v>
      </c>
      <c r="AFT15" s="16">
        <v>22</v>
      </c>
      <c r="AFU15" s="33"/>
      <c r="AFV15" s="39">
        <f t="shared" si="333"/>
        <v>14</v>
      </c>
      <c r="AFW15" s="5"/>
      <c r="AFX15" s="40">
        <f t="shared" si="537"/>
        <v>14</v>
      </c>
      <c r="AFZ15" s="16">
        <v>12</v>
      </c>
      <c r="AGA15" s="33">
        <v>1</v>
      </c>
      <c r="AGB15" s="39">
        <f t="shared" si="334"/>
        <v>10</v>
      </c>
      <c r="AGC15" s="5"/>
      <c r="AGD15" s="40">
        <f t="shared" si="538"/>
        <v>10</v>
      </c>
      <c r="AGF15" s="16">
        <v>28</v>
      </c>
      <c r="AGG15" s="33">
        <v>1</v>
      </c>
      <c r="AGH15" s="39">
        <f t="shared" si="335"/>
        <v>8</v>
      </c>
      <c r="AGI15" s="5"/>
      <c r="AGJ15" s="40">
        <f t="shared" si="539"/>
        <v>8</v>
      </c>
      <c r="AGL15" s="16">
        <v>44</v>
      </c>
      <c r="AGM15" s="33"/>
      <c r="AGN15" s="39">
        <f t="shared" si="336"/>
        <v>8</v>
      </c>
      <c r="AGO15" s="5"/>
      <c r="AGP15" s="40">
        <f t="shared" si="540"/>
        <v>8</v>
      </c>
      <c r="AGR15" s="16">
        <v>10</v>
      </c>
      <c r="AGS15" s="33">
        <v>1</v>
      </c>
      <c r="AGT15" s="39">
        <f t="shared" si="337"/>
        <v>34</v>
      </c>
      <c r="AGU15" s="5"/>
      <c r="AGV15" s="40">
        <f t="shared" si="541"/>
        <v>34</v>
      </c>
      <c r="AGX15" s="16">
        <v>31</v>
      </c>
      <c r="AGY15" s="33"/>
      <c r="AGZ15" s="39">
        <f t="shared" si="338"/>
        <v>3</v>
      </c>
      <c r="AHA15" s="5"/>
      <c r="AHB15" s="40">
        <f t="shared" si="542"/>
        <v>3</v>
      </c>
      <c r="AHD15" s="16">
        <v>23</v>
      </c>
      <c r="AHE15" s="33"/>
      <c r="AHF15" s="39">
        <f t="shared" si="339"/>
        <v>8</v>
      </c>
      <c r="AHG15" s="5"/>
      <c r="AHH15" s="40">
        <f t="shared" si="543"/>
        <v>8</v>
      </c>
      <c r="AHJ15" s="16">
        <v>11</v>
      </c>
      <c r="AHK15" s="33">
        <v>2</v>
      </c>
      <c r="AHL15" s="39">
        <f t="shared" si="340"/>
        <v>12</v>
      </c>
      <c r="AHM15" s="5"/>
      <c r="AHN15" s="40">
        <f t="shared" si="544"/>
        <v>12</v>
      </c>
      <c r="AHP15" s="16">
        <v>44</v>
      </c>
      <c r="AHQ15" s="33"/>
      <c r="AHR15" s="39">
        <f t="shared" si="341"/>
        <v>15</v>
      </c>
      <c r="AHS15" s="5"/>
      <c r="AHT15" s="40">
        <f t="shared" si="545"/>
        <v>15</v>
      </c>
      <c r="AHV15" s="16">
        <v>27</v>
      </c>
      <c r="AHW15" s="33">
        <v>1</v>
      </c>
      <c r="AHX15" s="39">
        <f t="shared" si="342"/>
        <v>17</v>
      </c>
      <c r="AHY15" s="5"/>
      <c r="AHZ15" s="40">
        <f t="shared" si="546"/>
        <v>17</v>
      </c>
      <c r="AIB15" s="16">
        <v>31</v>
      </c>
      <c r="AIC15" s="33"/>
      <c r="AID15" s="39">
        <f t="shared" si="343"/>
        <v>20</v>
      </c>
      <c r="AIE15" s="5"/>
      <c r="AIF15" s="40">
        <f t="shared" si="547"/>
        <v>20</v>
      </c>
      <c r="AIH15" s="16">
        <v>22</v>
      </c>
      <c r="AII15" s="33">
        <v>1</v>
      </c>
      <c r="AIJ15" s="39">
        <f t="shared" si="344"/>
        <v>9</v>
      </c>
      <c r="AIK15" s="5"/>
      <c r="AIL15" s="40">
        <f t="shared" si="548"/>
        <v>9</v>
      </c>
      <c r="AIN15" s="16">
        <v>33</v>
      </c>
      <c r="AIO15" s="33"/>
      <c r="AIP15" s="39">
        <f t="shared" si="345"/>
        <v>13</v>
      </c>
      <c r="AIQ15" s="5"/>
      <c r="AIR15" s="40">
        <f t="shared" si="549"/>
        <v>13</v>
      </c>
      <c r="AIT15" s="16">
        <v>19</v>
      </c>
      <c r="AIU15" s="33">
        <v>1</v>
      </c>
      <c r="AIV15" s="39">
        <f t="shared" si="346"/>
        <v>14</v>
      </c>
      <c r="AIW15" s="5"/>
      <c r="AIX15" s="40">
        <f t="shared" si="550"/>
        <v>14</v>
      </c>
      <c r="AIZ15" s="16">
        <v>25</v>
      </c>
      <c r="AJA15" s="33">
        <v>1</v>
      </c>
      <c r="AJB15" s="39">
        <f t="shared" si="347"/>
        <v>18</v>
      </c>
      <c r="AJC15" s="5"/>
      <c r="AJD15" s="40">
        <f t="shared" si="551"/>
        <v>18</v>
      </c>
      <c r="AJF15" s="16">
        <v>36</v>
      </c>
      <c r="AJG15" s="33"/>
      <c r="AJH15" s="39">
        <f t="shared" si="348"/>
        <v>13</v>
      </c>
      <c r="AJI15" s="5"/>
      <c r="AJJ15" s="40">
        <f t="shared" si="552"/>
        <v>13</v>
      </c>
      <c r="AJL15" s="16">
        <v>27</v>
      </c>
      <c r="AJM15" s="33"/>
      <c r="AJN15" s="39">
        <f t="shared" si="349"/>
        <v>9</v>
      </c>
      <c r="AJO15" s="5"/>
      <c r="AJP15" s="40">
        <f t="shared" si="553"/>
        <v>9</v>
      </c>
      <c r="AJR15" s="16">
        <v>22</v>
      </c>
      <c r="AJS15" s="33">
        <v>1</v>
      </c>
      <c r="AJT15" s="39">
        <f t="shared" si="350"/>
        <v>5</v>
      </c>
      <c r="AJU15" s="5"/>
      <c r="AJV15" s="40">
        <f t="shared" si="554"/>
        <v>5</v>
      </c>
      <c r="AJX15" s="16">
        <v>31</v>
      </c>
      <c r="AJY15" s="33"/>
      <c r="AJZ15" s="39">
        <f t="shared" si="351"/>
        <v>15</v>
      </c>
      <c r="AKA15" s="5"/>
      <c r="AKB15" s="40">
        <f t="shared" si="555"/>
        <v>15</v>
      </c>
      <c r="AKD15" s="16">
        <v>18</v>
      </c>
      <c r="AKE15" s="33">
        <v>1</v>
      </c>
      <c r="AKF15" s="39">
        <f t="shared" si="352"/>
        <v>13</v>
      </c>
      <c r="AKG15" s="5"/>
      <c r="AKH15" s="40">
        <f t="shared" si="556"/>
        <v>13</v>
      </c>
      <c r="AKJ15" s="16">
        <v>32</v>
      </c>
      <c r="AKK15" s="33"/>
      <c r="AKL15" s="39">
        <f t="shared" si="353"/>
        <v>10</v>
      </c>
      <c r="AKM15" s="5"/>
      <c r="AKN15" s="40">
        <f t="shared" si="557"/>
        <v>10</v>
      </c>
      <c r="AKP15" s="16">
        <v>24</v>
      </c>
      <c r="AKQ15" s="33"/>
      <c r="AKR15" s="39">
        <f t="shared" si="354"/>
        <v>8</v>
      </c>
      <c r="AKS15" s="5"/>
      <c r="AKT15" s="40">
        <f t="shared" si="558"/>
        <v>8</v>
      </c>
      <c r="AKV15" s="16">
        <v>16</v>
      </c>
      <c r="AKW15" s="33">
        <v>1</v>
      </c>
      <c r="AKX15" s="39">
        <f t="shared" si="355"/>
        <v>8</v>
      </c>
      <c r="AKY15" s="5"/>
      <c r="AKZ15" s="40">
        <f t="shared" si="559"/>
        <v>8</v>
      </c>
      <c r="ALB15" s="16">
        <v>34</v>
      </c>
      <c r="ALC15" s="33"/>
      <c r="ALD15" s="39">
        <f t="shared" si="356"/>
        <v>6</v>
      </c>
      <c r="ALE15" s="5"/>
      <c r="ALF15" s="40">
        <f t="shared" si="560"/>
        <v>6</v>
      </c>
      <c r="ALH15" s="16">
        <v>23</v>
      </c>
      <c r="ALI15" s="33"/>
      <c r="ALJ15" s="39">
        <f t="shared" si="357"/>
        <v>11</v>
      </c>
      <c r="ALK15" s="5"/>
      <c r="ALL15" s="40">
        <f t="shared" si="561"/>
        <v>11</v>
      </c>
      <c r="ALN15" s="16">
        <v>12</v>
      </c>
      <c r="ALO15" s="33">
        <v>1</v>
      </c>
      <c r="ALP15" s="39">
        <f t="shared" si="358"/>
        <v>11</v>
      </c>
      <c r="ALQ15" s="5"/>
      <c r="ALR15" s="40">
        <f t="shared" si="562"/>
        <v>11</v>
      </c>
      <c r="ALT15" s="16">
        <v>34</v>
      </c>
      <c r="ALU15" s="33"/>
      <c r="ALV15" s="39">
        <f t="shared" si="359"/>
        <v>2</v>
      </c>
      <c r="ALW15" s="5"/>
      <c r="ALX15" s="40">
        <f t="shared" si="563"/>
        <v>2</v>
      </c>
      <c r="ALZ15" s="16">
        <v>7</v>
      </c>
      <c r="AMA15" s="33">
        <v>1</v>
      </c>
      <c r="AMB15" s="39">
        <f t="shared" si="360"/>
        <v>27</v>
      </c>
      <c r="AMC15" s="5"/>
      <c r="AMD15" s="40">
        <f t="shared" si="564"/>
        <v>27</v>
      </c>
      <c r="AMF15" s="16">
        <v>27</v>
      </c>
      <c r="AMG15" s="33"/>
      <c r="AMH15" s="39">
        <f t="shared" si="361"/>
        <v>4</v>
      </c>
      <c r="AMI15" s="5"/>
      <c r="AMJ15" s="40">
        <f t="shared" si="565"/>
        <v>4</v>
      </c>
      <c r="AML15" s="16">
        <v>21</v>
      </c>
      <c r="AMM15" s="33">
        <v>1</v>
      </c>
      <c r="AMN15" s="39">
        <f t="shared" si="362"/>
        <v>6</v>
      </c>
      <c r="AMO15" s="5"/>
      <c r="AMP15" s="40">
        <f t="shared" si="566"/>
        <v>6</v>
      </c>
      <c r="AMR15" s="16">
        <v>32</v>
      </c>
      <c r="AMS15" s="33"/>
      <c r="AMT15" s="39">
        <f t="shared" si="363"/>
        <v>13</v>
      </c>
      <c r="AMU15" s="5"/>
      <c r="AMV15" s="40">
        <f t="shared" si="567"/>
        <v>13</v>
      </c>
      <c r="AMX15" s="16">
        <v>21</v>
      </c>
      <c r="AMY15" s="33">
        <v>1</v>
      </c>
      <c r="AMZ15" s="39">
        <f t="shared" si="364"/>
        <v>11</v>
      </c>
      <c r="ANA15" s="5"/>
      <c r="ANB15" s="40">
        <f t="shared" si="568"/>
        <v>11</v>
      </c>
      <c r="AND15" s="16">
        <v>32</v>
      </c>
      <c r="ANE15" s="33"/>
      <c r="ANF15" s="39">
        <f t="shared" si="365"/>
        <v>13</v>
      </c>
      <c r="ANG15" s="5"/>
      <c r="ANH15" s="40">
        <f t="shared" si="569"/>
        <v>13</v>
      </c>
      <c r="ANJ15" s="16">
        <v>17</v>
      </c>
      <c r="ANK15" s="33">
        <v>1</v>
      </c>
      <c r="ANL15" s="39">
        <f t="shared" si="366"/>
        <v>15</v>
      </c>
      <c r="ANM15" s="5"/>
      <c r="ANN15" s="40">
        <f t="shared" si="570"/>
        <v>15</v>
      </c>
      <c r="ANP15" s="16">
        <v>39</v>
      </c>
      <c r="ANQ15" s="33"/>
      <c r="ANR15" s="39">
        <f t="shared" si="367"/>
        <v>2</v>
      </c>
      <c r="ANS15" s="5"/>
      <c r="ANT15" s="40">
        <f t="shared" si="571"/>
        <v>2</v>
      </c>
      <c r="ANV15" s="16">
        <v>36</v>
      </c>
      <c r="ANW15" s="33"/>
      <c r="ANX15" s="39">
        <f t="shared" si="368"/>
        <v>3</v>
      </c>
      <c r="ANY15" s="5"/>
      <c r="ANZ15" s="40">
        <f t="shared" si="572"/>
        <v>3</v>
      </c>
      <c r="AOB15" s="16"/>
      <c r="AOC15" s="33"/>
      <c r="AOD15" s="39">
        <f t="shared" si="369"/>
        <v>36</v>
      </c>
      <c r="AOE15" s="5"/>
      <c r="AOF15" s="40">
        <f t="shared" si="573"/>
        <v>36</v>
      </c>
      <c r="AOH15" s="16"/>
      <c r="AOI15" s="33"/>
      <c r="AOJ15" s="39">
        <f t="shared" si="370"/>
        <v>0</v>
      </c>
      <c r="AOK15" s="5"/>
      <c r="AOL15" s="40">
        <f t="shared" si="574"/>
        <v>0</v>
      </c>
      <c r="AON15" s="16"/>
      <c r="AOO15" s="33"/>
      <c r="AOP15" s="39">
        <f t="shared" si="371"/>
        <v>0</v>
      </c>
      <c r="AOQ15" s="5"/>
      <c r="AOR15" s="40">
        <f t="shared" si="575"/>
        <v>0</v>
      </c>
    </row>
    <row r="16" spans="1:1024 1026:1085" x14ac:dyDescent="0.25">
      <c r="A16" s="3" t="s">
        <v>32</v>
      </c>
      <c r="B16" s="3">
        <v>10606</v>
      </c>
      <c r="C16" s="5" t="s">
        <v>26</v>
      </c>
      <c r="D16" s="27">
        <v>36</v>
      </c>
      <c r="F16" s="16">
        <v>5</v>
      </c>
      <c r="G16" s="15"/>
      <c r="H16" s="11"/>
      <c r="I16" s="15"/>
      <c r="J16" s="15"/>
      <c r="L16" s="16">
        <v>0</v>
      </c>
      <c r="M16" s="15">
        <v>2</v>
      </c>
      <c r="N16" s="13">
        <f t="shared" si="372"/>
        <v>5</v>
      </c>
      <c r="O16" s="15"/>
      <c r="P16" s="21">
        <f t="shared" si="373"/>
        <v>-5</v>
      </c>
      <c r="R16" s="16">
        <v>39</v>
      </c>
      <c r="S16" s="15"/>
      <c r="T16" s="13">
        <f t="shared" si="374"/>
        <v>9</v>
      </c>
      <c r="U16" s="15">
        <v>8</v>
      </c>
      <c r="V16" s="21">
        <f t="shared" si="375"/>
        <v>-1</v>
      </c>
      <c r="X16" s="16">
        <v>25</v>
      </c>
      <c r="Y16" s="15"/>
      <c r="Z16" s="13">
        <f t="shared" si="376"/>
        <v>14</v>
      </c>
      <c r="AA16" s="15">
        <v>12</v>
      </c>
      <c r="AB16" s="21">
        <f t="shared" si="377"/>
        <v>-2</v>
      </c>
      <c r="AD16" s="16">
        <v>8</v>
      </c>
      <c r="AE16" s="15">
        <v>1</v>
      </c>
      <c r="AF16" s="13">
        <f t="shared" si="378"/>
        <v>17</v>
      </c>
      <c r="AG16" s="15">
        <v>17</v>
      </c>
      <c r="AH16" s="21">
        <f t="shared" si="379"/>
        <v>0</v>
      </c>
      <c r="AJ16" s="16">
        <v>14</v>
      </c>
      <c r="AK16" s="15">
        <v>1</v>
      </c>
      <c r="AL16" s="13">
        <f t="shared" si="380"/>
        <v>18</v>
      </c>
      <c r="AM16" s="15">
        <v>19</v>
      </c>
      <c r="AN16" s="21">
        <f t="shared" si="381"/>
        <v>1</v>
      </c>
      <c r="AP16" s="16">
        <v>2</v>
      </c>
      <c r="AQ16" s="15">
        <v>2</v>
      </c>
      <c r="AR16" s="13">
        <f t="shared" si="382"/>
        <v>36</v>
      </c>
      <c r="AS16" s="15">
        <v>33</v>
      </c>
      <c r="AT16" s="21">
        <f t="shared" si="383"/>
        <v>-3</v>
      </c>
      <c r="AV16" s="16">
        <v>33</v>
      </c>
      <c r="AW16" s="15">
        <v>1</v>
      </c>
      <c r="AX16" s="13">
        <f t="shared" si="384"/>
        <v>17</v>
      </c>
      <c r="AY16" s="15">
        <v>18</v>
      </c>
      <c r="AZ16" s="21">
        <f t="shared" si="385"/>
        <v>1</v>
      </c>
      <c r="BB16" s="16">
        <v>32</v>
      </c>
      <c r="BC16" s="15">
        <v>1</v>
      </c>
      <c r="BD16" s="13">
        <f t="shared" si="386"/>
        <v>25</v>
      </c>
      <c r="BE16" s="15">
        <v>22</v>
      </c>
      <c r="BF16" s="21">
        <f t="shared" si="387"/>
        <v>-3</v>
      </c>
      <c r="BH16" s="16">
        <v>37</v>
      </c>
      <c r="BI16" s="15"/>
      <c r="BJ16" s="13">
        <f t="shared" si="388"/>
        <v>19</v>
      </c>
      <c r="BK16" s="15">
        <v>20</v>
      </c>
      <c r="BL16" s="21">
        <f t="shared" si="389"/>
        <v>1</v>
      </c>
      <c r="BN16" s="16">
        <v>25</v>
      </c>
      <c r="BO16" s="15">
        <v>1</v>
      </c>
      <c r="BP16" s="13">
        <f t="shared" si="390"/>
        <v>12</v>
      </c>
      <c r="BQ16" s="15">
        <v>13</v>
      </c>
      <c r="BR16" s="21">
        <f t="shared" si="391"/>
        <v>1</v>
      </c>
      <c r="BT16" s="16">
        <v>29</v>
      </c>
      <c r="BU16" s="15"/>
      <c r="BV16" s="13">
        <f t="shared" si="392"/>
        <v>20</v>
      </c>
      <c r="BW16" s="15">
        <v>17</v>
      </c>
      <c r="BX16" s="21">
        <f t="shared" si="393"/>
        <v>-3</v>
      </c>
      <c r="BZ16" s="16">
        <v>9</v>
      </c>
      <c r="CA16" s="15">
        <v>2</v>
      </c>
      <c r="CB16" s="13">
        <f t="shared" si="394"/>
        <v>20</v>
      </c>
      <c r="CC16" s="15">
        <v>21</v>
      </c>
      <c r="CD16" s="21">
        <f t="shared" si="395"/>
        <v>1</v>
      </c>
      <c r="CF16" s="16">
        <v>36</v>
      </c>
      <c r="CG16" s="15"/>
      <c r="CH16" s="13">
        <f t="shared" si="396"/>
        <v>21</v>
      </c>
      <c r="CI16" s="5">
        <v>21</v>
      </c>
      <c r="CJ16" s="21">
        <f t="shared" si="397"/>
        <v>0</v>
      </c>
      <c r="CL16" s="16">
        <v>21</v>
      </c>
      <c r="CM16" s="15">
        <v>1</v>
      </c>
      <c r="CN16" s="13">
        <f t="shared" si="398"/>
        <v>15</v>
      </c>
      <c r="CO16" s="5">
        <v>13</v>
      </c>
      <c r="CP16" s="21">
        <f t="shared" si="399"/>
        <v>-2</v>
      </c>
      <c r="CR16" s="16">
        <v>24</v>
      </c>
      <c r="CS16" s="15">
        <v>1</v>
      </c>
      <c r="CT16" s="13">
        <f t="shared" si="400"/>
        <v>21</v>
      </c>
      <c r="CU16" s="5">
        <v>19</v>
      </c>
      <c r="CV16" s="21">
        <f t="shared" si="401"/>
        <v>-2</v>
      </c>
      <c r="CX16" s="16">
        <v>17</v>
      </c>
      <c r="CY16" s="33">
        <v>1</v>
      </c>
      <c r="CZ16" s="39">
        <f t="shared" si="402"/>
        <v>31</v>
      </c>
      <c r="DA16" s="5"/>
      <c r="DB16" s="40">
        <f t="shared" si="403"/>
        <v>-31</v>
      </c>
      <c r="DD16" s="16">
        <v>20</v>
      </c>
      <c r="DE16" s="33">
        <v>1</v>
      </c>
      <c r="DF16" s="39">
        <f t="shared" si="404"/>
        <v>21</v>
      </c>
      <c r="DG16" s="5"/>
      <c r="DH16" s="40">
        <f t="shared" si="405"/>
        <v>-21</v>
      </c>
      <c r="DJ16" s="16">
        <v>22</v>
      </c>
      <c r="DK16" s="33">
        <v>1</v>
      </c>
      <c r="DL16" s="39">
        <f t="shared" si="406"/>
        <v>22</v>
      </c>
      <c r="DM16" s="5">
        <v>21</v>
      </c>
      <c r="DN16" s="40">
        <f t="shared" si="407"/>
        <v>-1</v>
      </c>
      <c r="DP16" s="16">
        <v>24</v>
      </c>
      <c r="DQ16" s="33">
        <v>1</v>
      </c>
      <c r="DR16" s="39">
        <f t="shared" si="408"/>
        <v>22</v>
      </c>
      <c r="DS16" s="5">
        <v>20</v>
      </c>
      <c r="DT16" s="40">
        <f t="shared" si="409"/>
        <v>-2</v>
      </c>
      <c r="DV16" s="16">
        <v>31</v>
      </c>
      <c r="DW16" s="33"/>
      <c r="DX16" s="39">
        <f t="shared" si="410"/>
        <v>17</v>
      </c>
      <c r="DY16" s="5">
        <v>13</v>
      </c>
      <c r="DZ16" s="40">
        <f t="shared" si="411"/>
        <v>-4</v>
      </c>
      <c r="EB16" s="16">
        <v>11</v>
      </c>
      <c r="EC16" s="33">
        <v>1</v>
      </c>
      <c r="ED16" s="39">
        <f t="shared" si="412"/>
        <v>20</v>
      </c>
      <c r="EE16" s="5">
        <v>20</v>
      </c>
      <c r="EF16" s="40">
        <f t="shared" si="413"/>
        <v>0</v>
      </c>
      <c r="EH16" s="16">
        <v>18</v>
      </c>
      <c r="EI16" s="33"/>
      <c r="EJ16" s="39">
        <f t="shared" si="414"/>
        <v>17</v>
      </c>
      <c r="EK16" s="5">
        <v>17</v>
      </c>
      <c r="EL16" s="40">
        <f t="shared" si="415"/>
        <v>0</v>
      </c>
      <c r="EN16" s="16">
        <v>7</v>
      </c>
      <c r="EO16" s="33">
        <v>1</v>
      </c>
      <c r="EP16" s="39">
        <f t="shared" si="416"/>
        <v>11</v>
      </c>
      <c r="EQ16" s="5">
        <v>12</v>
      </c>
      <c r="ER16" s="40">
        <f t="shared" si="417"/>
        <v>1</v>
      </c>
      <c r="ET16" s="16">
        <v>17</v>
      </c>
      <c r="EU16" s="33">
        <v>1</v>
      </c>
      <c r="EV16" s="39">
        <f t="shared" si="418"/>
        <v>14</v>
      </c>
      <c r="EW16" s="5">
        <v>11</v>
      </c>
      <c r="EX16" s="40">
        <f t="shared" si="419"/>
        <v>-3</v>
      </c>
      <c r="EZ16" s="16">
        <v>24</v>
      </c>
      <c r="FA16" s="33"/>
      <c r="FB16" s="39">
        <f t="shared" si="420"/>
        <v>17</v>
      </c>
      <c r="FC16" s="5">
        <v>16</v>
      </c>
      <c r="FD16" s="40">
        <f t="shared" si="421"/>
        <v>-1</v>
      </c>
      <c r="FF16" s="16">
        <v>14</v>
      </c>
      <c r="FG16" s="33">
        <v>1</v>
      </c>
      <c r="FH16" s="39">
        <f t="shared" si="218"/>
        <v>10</v>
      </c>
      <c r="FI16" s="5">
        <v>9</v>
      </c>
      <c r="FJ16" s="40">
        <f t="shared" si="422"/>
        <v>-1</v>
      </c>
      <c r="FL16" s="16">
        <v>32</v>
      </c>
      <c r="FM16" s="33"/>
      <c r="FN16" s="39">
        <f t="shared" si="219"/>
        <v>6</v>
      </c>
      <c r="FO16" s="5">
        <v>6</v>
      </c>
      <c r="FP16" s="40">
        <f t="shared" si="423"/>
        <v>0</v>
      </c>
      <c r="FR16" s="16">
        <v>14</v>
      </c>
      <c r="FS16" s="33"/>
      <c r="FT16" s="39">
        <f t="shared" si="220"/>
        <v>18</v>
      </c>
      <c r="FU16" s="5"/>
      <c r="FV16" s="40">
        <f t="shared" si="424"/>
        <v>-18</v>
      </c>
      <c r="FX16" s="16">
        <v>2</v>
      </c>
      <c r="FY16" s="33">
        <v>2</v>
      </c>
      <c r="FZ16" s="39">
        <f t="shared" si="221"/>
        <v>12</v>
      </c>
      <c r="GA16" s="5">
        <v>11</v>
      </c>
      <c r="GB16" s="40">
        <f t="shared" si="425"/>
        <v>-1</v>
      </c>
      <c r="GD16" s="16">
        <v>41</v>
      </c>
      <c r="GE16" s="33"/>
      <c r="GF16" s="39">
        <f t="shared" si="222"/>
        <v>9</v>
      </c>
      <c r="GG16" s="5">
        <v>8</v>
      </c>
      <c r="GH16" s="40">
        <f t="shared" si="426"/>
        <v>-1</v>
      </c>
      <c r="GJ16" s="16">
        <v>26</v>
      </c>
      <c r="GK16" s="33"/>
      <c r="GL16" s="39">
        <f t="shared" si="223"/>
        <v>15</v>
      </c>
      <c r="GM16" s="5">
        <v>10</v>
      </c>
      <c r="GN16" s="40">
        <f t="shared" si="427"/>
        <v>-5</v>
      </c>
      <c r="GP16" s="16">
        <v>22</v>
      </c>
      <c r="GQ16" s="33"/>
      <c r="GR16" s="39">
        <f t="shared" si="224"/>
        <v>4</v>
      </c>
      <c r="GS16" s="5">
        <v>5</v>
      </c>
      <c r="GT16" s="40">
        <f t="shared" si="428"/>
        <v>1</v>
      </c>
      <c r="GV16" s="16">
        <v>6</v>
      </c>
      <c r="GW16" s="33">
        <v>1</v>
      </c>
      <c r="GX16" s="39">
        <f t="shared" si="225"/>
        <v>16</v>
      </c>
      <c r="GY16" s="5">
        <v>16</v>
      </c>
      <c r="GZ16" s="40">
        <f t="shared" si="429"/>
        <v>0</v>
      </c>
      <c r="HB16" s="16">
        <v>25</v>
      </c>
      <c r="HC16" s="33"/>
      <c r="HD16" s="39">
        <f t="shared" si="226"/>
        <v>5</v>
      </c>
      <c r="HE16" s="5">
        <v>7</v>
      </c>
      <c r="HF16" s="40">
        <f t="shared" si="430"/>
        <v>2</v>
      </c>
      <c r="HH16" s="16">
        <v>8</v>
      </c>
      <c r="HI16" s="33">
        <v>1</v>
      </c>
      <c r="HJ16" s="39">
        <f t="shared" si="227"/>
        <v>17</v>
      </c>
      <c r="HK16" s="5">
        <v>15</v>
      </c>
      <c r="HL16" s="40">
        <f t="shared" si="431"/>
        <v>-2</v>
      </c>
      <c r="HN16" s="16">
        <v>24</v>
      </c>
      <c r="HO16" s="33"/>
      <c r="HP16" s="39">
        <f t="shared" si="228"/>
        <v>8</v>
      </c>
      <c r="HQ16" s="5">
        <v>7</v>
      </c>
      <c r="HR16" s="40">
        <f t="shared" si="432"/>
        <v>-1</v>
      </c>
      <c r="HT16" s="16">
        <v>4</v>
      </c>
      <c r="HU16" s="33">
        <v>1</v>
      </c>
      <c r="HV16" s="39">
        <f t="shared" si="229"/>
        <v>20</v>
      </c>
      <c r="HW16" s="5">
        <v>16</v>
      </c>
      <c r="HX16" s="40">
        <f t="shared" si="433"/>
        <v>-4</v>
      </c>
      <c r="HZ16" s="16">
        <v>11</v>
      </c>
      <c r="IA16" s="33">
        <v>1</v>
      </c>
      <c r="IB16" s="39">
        <f t="shared" si="230"/>
        <v>17</v>
      </c>
      <c r="IC16" s="5">
        <v>18</v>
      </c>
      <c r="ID16" s="40">
        <f t="shared" si="434"/>
        <v>1</v>
      </c>
      <c r="IF16" s="16">
        <v>24</v>
      </c>
      <c r="IG16" s="33">
        <v>1</v>
      </c>
      <c r="IH16" s="39">
        <f t="shared" si="231"/>
        <v>11</v>
      </c>
      <c r="II16" s="5">
        <v>9</v>
      </c>
      <c r="IJ16" s="40">
        <f t="shared" si="435"/>
        <v>-2</v>
      </c>
      <c r="IL16" s="16">
        <v>39</v>
      </c>
      <c r="IM16" s="33"/>
      <c r="IN16" s="39">
        <f t="shared" si="232"/>
        <v>9</v>
      </c>
      <c r="IO16" s="5">
        <v>10</v>
      </c>
      <c r="IP16" s="40">
        <f t="shared" si="436"/>
        <v>1</v>
      </c>
      <c r="IR16" s="16">
        <v>33</v>
      </c>
      <c r="IS16" s="33"/>
      <c r="IT16" s="39">
        <f t="shared" si="233"/>
        <v>6</v>
      </c>
      <c r="IU16" s="5">
        <v>7</v>
      </c>
      <c r="IV16" s="40">
        <f t="shared" si="437"/>
        <v>1</v>
      </c>
      <c r="IX16" s="16">
        <v>16</v>
      </c>
      <c r="IY16" s="33">
        <v>1</v>
      </c>
      <c r="IZ16" s="39">
        <f t="shared" si="234"/>
        <v>17</v>
      </c>
      <c r="JA16" s="5">
        <v>16</v>
      </c>
      <c r="JB16" s="40">
        <f t="shared" si="438"/>
        <v>-1</v>
      </c>
      <c r="JD16" s="16">
        <v>33</v>
      </c>
      <c r="JE16" s="33"/>
      <c r="JF16" s="39">
        <f t="shared" si="235"/>
        <v>7</v>
      </c>
      <c r="JG16" s="5">
        <v>8</v>
      </c>
      <c r="JH16" s="40">
        <f t="shared" si="439"/>
        <v>1</v>
      </c>
      <c r="JJ16" s="16">
        <v>18</v>
      </c>
      <c r="JK16" s="33">
        <v>1</v>
      </c>
      <c r="JL16" s="39">
        <f t="shared" si="236"/>
        <v>15</v>
      </c>
      <c r="JM16" s="5">
        <v>13</v>
      </c>
      <c r="JN16" s="40">
        <f t="shared" si="440"/>
        <v>-2</v>
      </c>
      <c r="JP16" s="16">
        <v>31</v>
      </c>
      <c r="JQ16" s="33"/>
      <c r="JR16" s="39">
        <f t="shared" si="237"/>
        <v>11</v>
      </c>
      <c r="JS16" s="5">
        <v>11</v>
      </c>
      <c r="JT16" s="40">
        <f t="shared" si="441"/>
        <v>0</v>
      </c>
      <c r="JV16" s="16">
        <v>14</v>
      </c>
      <c r="JW16" s="33">
        <v>2</v>
      </c>
      <c r="JX16" s="39">
        <f t="shared" si="238"/>
        <v>17</v>
      </c>
      <c r="JY16" s="5">
        <v>15</v>
      </c>
      <c r="JZ16" s="40">
        <f t="shared" si="442"/>
        <v>-2</v>
      </c>
      <c r="KB16" s="16">
        <v>42</v>
      </c>
      <c r="KC16" s="33"/>
      <c r="KD16" s="39">
        <f t="shared" si="239"/>
        <v>20</v>
      </c>
      <c r="KE16" s="5">
        <v>16</v>
      </c>
      <c r="KF16" s="40">
        <f t="shared" si="443"/>
        <v>-4</v>
      </c>
      <c r="KH16" s="16">
        <v>20</v>
      </c>
      <c r="KI16" s="33">
        <v>1</v>
      </c>
      <c r="KJ16" s="39">
        <f t="shared" si="240"/>
        <v>22</v>
      </c>
      <c r="KK16" s="5">
        <v>15</v>
      </c>
      <c r="KL16" s="40">
        <f t="shared" si="444"/>
        <v>-7</v>
      </c>
      <c r="KN16" s="16">
        <v>35</v>
      </c>
      <c r="KO16" s="33"/>
      <c r="KP16" s="39">
        <f t="shared" si="241"/>
        <v>9</v>
      </c>
      <c r="KQ16" s="5">
        <v>7</v>
      </c>
      <c r="KR16" s="40">
        <f t="shared" si="445"/>
        <v>-2</v>
      </c>
      <c r="KT16" s="16">
        <v>25</v>
      </c>
      <c r="KU16" s="33"/>
      <c r="KV16" s="39">
        <f t="shared" si="242"/>
        <v>10</v>
      </c>
      <c r="KW16" s="5">
        <v>15</v>
      </c>
      <c r="KX16" s="40">
        <f t="shared" si="446"/>
        <v>5</v>
      </c>
      <c r="KZ16" s="16">
        <v>5</v>
      </c>
      <c r="LA16" s="33">
        <v>2</v>
      </c>
      <c r="LB16" s="39">
        <f t="shared" si="243"/>
        <v>20</v>
      </c>
      <c r="LC16" s="5">
        <v>9</v>
      </c>
      <c r="LD16" s="40">
        <f t="shared" si="447"/>
        <v>-11</v>
      </c>
      <c r="LF16" s="16">
        <v>38</v>
      </c>
      <c r="LG16" s="33"/>
      <c r="LH16" s="39">
        <f t="shared" si="244"/>
        <v>15</v>
      </c>
      <c r="LI16" s="5"/>
      <c r="LJ16" s="40">
        <f t="shared" si="448"/>
        <v>-15</v>
      </c>
      <c r="LL16" s="16">
        <v>42</v>
      </c>
      <c r="LM16" s="33"/>
      <c r="LN16" s="39">
        <f t="shared" si="245"/>
        <v>-4</v>
      </c>
      <c r="LO16" s="5"/>
      <c r="LP16" s="40">
        <f t="shared" si="449"/>
        <v>4</v>
      </c>
      <c r="LR16" s="16">
        <v>32</v>
      </c>
      <c r="LS16" s="33"/>
      <c r="LT16" s="39">
        <f t="shared" si="246"/>
        <v>10</v>
      </c>
      <c r="LU16" s="5">
        <v>15</v>
      </c>
      <c r="LV16" s="40">
        <f t="shared" si="450"/>
        <v>5</v>
      </c>
      <c r="LX16" s="16">
        <v>17</v>
      </c>
      <c r="LY16" s="33">
        <v>1</v>
      </c>
      <c r="LZ16" s="39">
        <f t="shared" si="247"/>
        <v>15</v>
      </c>
      <c r="MA16" s="5">
        <v>12</v>
      </c>
      <c r="MB16" s="40">
        <f t="shared" si="451"/>
        <v>-3</v>
      </c>
      <c r="MD16" s="16">
        <v>10</v>
      </c>
      <c r="ME16" s="33">
        <v>2</v>
      </c>
      <c r="MF16" s="39">
        <f t="shared" si="248"/>
        <v>31</v>
      </c>
      <c r="MG16" s="5"/>
      <c r="MH16" s="40">
        <f t="shared" si="452"/>
        <v>-31</v>
      </c>
      <c r="MJ16" s="16">
        <v>4</v>
      </c>
      <c r="MK16" s="33">
        <v>1</v>
      </c>
      <c r="ML16" s="39">
        <f t="shared" si="249"/>
        <v>54</v>
      </c>
      <c r="MM16" s="5"/>
      <c r="MN16" s="40">
        <f t="shared" si="453"/>
        <v>-54</v>
      </c>
      <c r="MP16" s="16">
        <v>0</v>
      </c>
      <c r="MQ16" s="33">
        <v>1</v>
      </c>
      <c r="MR16" s="39">
        <f t="shared" si="250"/>
        <v>28</v>
      </c>
      <c r="MS16" s="5"/>
      <c r="MT16" s="40">
        <f t="shared" si="454"/>
        <v>-28</v>
      </c>
      <c r="MV16" s="16">
        <v>17</v>
      </c>
      <c r="MW16" s="33">
        <v>1</v>
      </c>
      <c r="MX16" s="39">
        <f t="shared" si="251"/>
        <v>7</v>
      </c>
      <c r="MY16" s="5"/>
      <c r="MZ16" s="40">
        <f t="shared" si="455"/>
        <v>-7</v>
      </c>
      <c r="NB16" s="16">
        <v>8</v>
      </c>
      <c r="NC16" s="33">
        <v>2</v>
      </c>
      <c r="ND16" s="39">
        <f t="shared" si="252"/>
        <v>33</v>
      </c>
      <c r="NE16" s="5"/>
      <c r="NF16" s="40">
        <f t="shared" si="456"/>
        <v>-33</v>
      </c>
      <c r="NH16" s="16">
        <v>0</v>
      </c>
      <c r="NI16" s="33">
        <v>2</v>
      </c>
      <c r="NJ16" s="39">
        <f t="shared" si="253"/>
        <v>56</v>
      </c>
      <c r="NK16" s="5"/>
      <c r="NL16" s="40">
        <f t="shared" si="576"/>
        <v>-56</v>
      </c>
      <c r="NN16" s="16">
        <v>0</v>
      </c>
      <c r="NO16" s="33"/>
      <c r="NP16" s="39">
        <f t="shared" si="254"/>
        <v>48</v>
      </c>
      <c r="NQ16" s="5"/>
      <c r="NR16" s="40">
        <f t="shared" si="577"/>
        <v>-48</v>
      </c>
      <c r="NT16" s="16">
        <v>0</v>
      </c>
      <c r="NU16" s="33">
        <v>2</v>
      </c>
      <c r="NV16" s="39">
        <f t="shared" si="255"/>
        <v>0</v>
      </c>
      <c r="NW16" s="5"/>
      <c r="NX16" s="40">
        <f t="shared" si="578"/>
        <v>0</v>
      </c>
      <c r="NZ16" s="16">
        <v>0</v>
      </c>
      <c r="OA16" s="33"/>
      <c r="OB16" s="39">
        <f t="shared" si="256"/>
        <v>48</v>
      </c>
      <c r="OC16" s="5"/>
      <c r="OD16" s="40">
        <f t="shared" si="579"/>
        <v>-48</v>
      </c>
      <c r="OF16" s="16">
        <v>0</v>
      </c>
      <c r="OG16" s="33">
        <v>2</v>
      </c>
      <c r="OH16" s="39">
        <f t="shared" si="257"/>
        <v>0</v>
      </c>
      <c r="OI16" s="5"/>
      <c r="OJ16" s="40">
        <f t="shared" si="580"/>
        <v>0</v>
      </c>
      <c r="OL16" s="16">
        <v>0</v>
      </c>
      <c r="OM16" s="33">
        <v>2</v>
      </c>
      <c r="ON16" s="39">
        <f t="shared" si="258"/>
        <v>48</v>
      </c>
      <c r="OO16" s="5"/>
      <c r="OP16" s="40">
        <f t="shared" si="581"/>
        <v>-48</v>
      </c>
      <c r="OR16" s="16">
        <v>0</v>
      </c>
      <c r="OS16" s="33">
        <v>2</v>
      </c>
      <c r="OT16" s="39">
        <f t="shared" si="259"/>
        <v>48</v>
      </c>
      <c r="OU16" s="5"/>
      <c r="OV16" s="40">
        <f t="shared" si="582"/>
        <v>-48</v>
      </c>
      <c r="OX16" s="16">
        <v>30</v>
      </c>
      <c r="OY16" s="33"/>
      <c r="OZ16" s="39">
        <f t="shared" si="260"/>
        <v>18</v>
      </c>
      <c r="PA16" s="5"/>
      <c r="PB16" s="40">
        <f t="shared" si="583"/>
        <v>-18</v>
      </c>
      <c r="PD16" s="16">
        <v>29</v>
      </c>
      <c r="PE16" s="33">
        <v>1</v>
      </c>
      <c r="PF16" s="39">
        <f t="shared" si="261"/>
        <v>1</v>
      </c>
      <c r="PG16" s="5"/>
      <c r="PH16" s="40">
        <f t="shared" si="584"/>
        <v>-1</v>
      </c>
      <c r="PJ16" s="16">
        <v>5</v>
      </c>
      <c r="PK16" s="33">
        <v>1</v>
      </c>
      <c r="PL16" s="39">
        <f t="shared" si="262"/>
        <v>48</v>
      </c>
      <c r="PM16" s="5"/>
      <c r="PN16" s="40">
        <f t="shared" si="585"/>
        <v>-48</v>
      </c>
      <c r="PP16" s="16">
        <v>2</v>
      </c>
      <c r="PQ16" s="33">
        <v>1</v>
      </c>
      <c r="PR16" s="39">
        <f t="shared" si="263"/>
        <v>27</v>
      </c>
      <c r="PS16" s="5"/>
      <c r="PT16" s="40">
        <f t="shared" si="586"/>
        <v>-27</v>
      </c>
      <c r="PV16" s="16">
        <v>0</v>
      </c>
      <c r="PW16" s="33">
        <v>2</v>
      </c>
      <c r="PX16" s="39">
        <f t="shared" si="264"/>
        <v>26</v>
      </c>
      <c r="PY16" s="5"/>
      <c r="PZ16" s="40">
        <f t="shared" si="587"/>
        <v>-26</v>
      </c>
      <c r="QB16" s="16">
        <v>0</v>
      </c>
      <c r="QC16" s="33">
        <v>2</v>
      </c>
      <c r="QD16" s="39">
        <f t="shared" si="265"/>
        <v>48</v>
      </c>
      <c r="QE16" s="5"/>
      <c r="QF16" s="40">
        <f t="shared" si="588"/>
        <v>-48</v>
      </c>
      <c r="QH16" s="16">
        <v>0</v>
      </c>
      <c r="QI16" s="33">
        <v>1</v>
      </c>
      <c r="QJ16" s="39">
        <f t="shared" si="266"/>
        <v>48</v>
      </c>
      <c r="QK16" s="5"/>
      <c r="QL16" s="40">
        <f t="shared" si="589"/>
        <v>-48</v>
      </c>
      <c r="QN16" s="16">
        <v>8</v>
      </c>
      <c r="QO16" s="33">
        <v>1</v>
      </c>
      <c r="QP16" s="39">
        <f t="shared" si="267"/>
        <v>16</v>
      </c>
      <c r="QQ16" s="5"/>
      <c r="QR16" s="40">
        <f t="shared" si="590"/>
        <v>-16</v>
      </c>
      <c r="QT16" s="16">
        <v>19</v>
      </c>
      <c r="QU16" s="33">
        <v>1</v>
      </c>
      <c r="QV16" s="39">
        <f t="shared" si="268"/>
        <v>13</v>
      </c>
      <c r="QW16" s="5"/>
      <c r="QX16" s="40">
        <f t="shared" si="591"/>
        <v>-13</v>
      </c>
      <c r="QZ16" s="16">
        <v>9</v>
      </c>
      <c r="RA16" s="33">
        <v>2</v>
      </c>
      <c r="RB16" s="39">
        <f t="shared" si="269"/>
        <v>34</v>
      </c>
      <c r="RC16" s="5"/>
      <c r="RD16" s="40">
        <f t="shared" si="592"/>
        <v>-34</v>
      </c>
      <c r="RF16" s="16">
        <v>57</v>
      </c>
      <c r="RG16" s="33"/>
      <c r="RH16" s="39">
        <f t="shared" si="270"/>
        <v>0</v>
      </c>
      <c r="RI16" s="5"/>
      <c r="RJ16" s="40">
        <f t="shared" si="593"/>
        <v>0</v>
      </c>
      <c r="RL16" s="16">
        <v>44</v>
      </c>
      <c r="RM16" s="33"/>
      <c r="RN16" s="39">
        <f t="shared" si="271"/>
        <v>13</v>
      </c>
      <c r="RO16" s="5"/>
      <c r="RP16" s="40">
        <f t="shared" si="594"/>
        <v>-13</v>
      </c>
      <c r="RR16" s="16">
        <v>29</v>
      </c>
      <c r="RS16" s="33"/>
      <c r="RT16" s="39">
        <f t="shared" si="272"/>
        <v>15</v>
      </c>
      <c r="RU16" s="5"/>
      <c r="RV16" s="40">
        <f t="shared" si="595"/>
        <v>-15</v>
      </c>
      <c r="RX16" s="16">
        <v>19</v>
      </c>
      <c r="RY16" s="33"/>
      <c r="RZ16" s="39">
        <f t="shared" si="273"/>
        <v>10</v>
      </c>
      <c r="SA16" s="5"/>
      <c r="SB16" s="40">
        <f t="shared" si="596"/>
        <v>-10</v>
      </c>
      <c r="SD16" s="16">
        <v>3</v>
      </c>
      <c r="SE16" s="33">
        <v>1</v>
      </c>
      <c r="SF16" s="39">
        <f t="shared" si="274"/>
        <v>16</v>
      </c>
      <c r="SG16" s="5"/>
      <c r="SH16" s="40">
        <f t="shared" si="597"/>
        <v>-16</v>
      </c>
      <c r="SJ16" s="16">
        <v>0</v>
      </c>
      <c r="SK16" s="33">
        <v>2</v>
      </c>
      <c r="SL16" s="39">
        <f t="shared" si="275"/>
        <v>27</v>
      </c>
      <c r="SM16" s="5"/>
      <c r="SN16" s="40">
        <f t="shared" si="598"/>
        <v>-27</v>
      </c>
      <c r="SP16" s="16">
        <v>31</v>
      </c>
      <c r="SQ16" s="33"/>
      <c r="SR16" s="39">
        <f t="shared" si="276"/>
        <v>17</v>
      </c>
      <c r="SS16" s="5"/>
      <c r="ST16" s="40">
        <f t="shared" si="599"/>
        <v>-17</v>
      </c>
      <c r="SV16" s="16">
        <v>3</v>
      </c>
      <c r="SW16" s="33">
        <v>2</v>
      </c>
      <c r="SX16" s="39">
        <f t="shared" si="277"/>
        <v>28</v>
      </c>
      <c r="SY16" s="5"/>
      <c r="SZ16" s="40">
        <f t="shared" si="600"/>
        <v>-28</v>
      </c>
      <c r="TB16" s="16">
        <v>34</v>
      </c>
      <c r="TC16" s="33"/>
      <c r="TD16" s="39">
        <f t="shared" si="278"/>
        <v>17</v>
      </c>
      <c r="TE16" s="5"/>
      <c r="TF16" s="40">
        <f t="shared" si="601"/>
        <v>-17</v>
      </c>
      <c r="TH16" s="16">
        <v>43</v>
      </c>
      <c r="TI16" s="33"/>
      <c r="TJ16" s="39">
        <f t="shared" si="279"/>
        <v>-9</v>
      </c>
      <c r="TK16" s="5"/>
      <c r="TL16" s="40">
        <f t="shared" si="602"/>
        <v>9</v>
      </c>
      <c r="TN16" s="16">
        <v>27</v>
      </c>
      <c r="TO16" s="33">
        <v>1</v>
      </c>
      <c r="TP16" s="39">
        <f t="shared" si="280"/>
        <v>16</v>
      </c>
      <c r="TQ16" s="5"/>
      <c r="TR16" s="40">
        <f t="shared" si="603"/>
        <v>-16</v>
      </c>
      <c r="TT16" s="16">
        <v>13</v>
      </c>
      <c r="TU16" s="33">
        <v>2</v>
      </c>
      <c r="TV16" s="39">
        <f t="shared" si="281"/>
        <v>38</v>
      </c>
      <c r="TW16" s="5"/>
      <c r="TX16" s="40">
        <f t="shared" si="604"/>
        <v>-38</v>
      </c>
      <c r="TZ16" s="16">
        <v>58</v>
      </c>
      <c r="UA16" s="33"/>
      <c r="UB16" s="39">
        <f t="shared" si="282"/>
        <v>3</v>
      </c>
      <c r="UC16" s="5"/>
      <c r="UD16" s="40">
        <f t="shared" si="605"/>
        <v>-3</v>
      </c>
      <c r="UF16" s="16">
        <v>26</v>
      </c>
      <c r="UG16" s="33">
        <v>1</v>
      </c>
      <c r="UH16" s="39">
        <f t="shared" si="283"/>
        <v>32</v>
      </c>
      <c r="UI16" s="5"/>
      <c r="UJ16" s="40">
        <f t="shared" si="606"/>
        <v>-32</v>
      </c>
      <c r="UL16" s="16">
        <v>58</v>
      </c>
      <c r="UM16" s="33"/>
      <c r="UN16" s="39">
        <f t="shared" si="284"/>
        <v>-8</v>
      </c>
      <c r="UO16" s="5"/>
      <c r="UP16" s="40">
        <f t="shared" si="607"/>
        <v>8</v>
      </c>
      <c r="UR16" s="16">
        <v>31</v>
      </c>
      <c r="US16" s="33">
        <v>1</v>
      </c>
      <c r="UT16" s="39">
        <f t="shared" si="285"/>
        <v>27</v>
      </c>
      <c r="UU16" s="5"/>
      <c r="UV16" s="40">
        <f t="shared" si="608"/>
        <v>-27</v>
      </c>
      <c r="UX16" s="16">
        <v>31</v>
      </c>
      <c r="UY16" s="33"/>
      <c r="UZ16" s="39">
        <f t="shared" si="286"/>
        <v>24</v>
      </c>
      <c r="VA16" s="5"/>
      <c r="VB16" s="40">
        <f t="shared" si="609"/>
        <v>-24</v>
      </c>
      <c r="VD16" s="16">
        <v>16</v>
      </c>
      <c r="VE16" s="33">
        <v>1</v>
      </c>
      <c r="VF16" s="39">
        <f t="shared" si="287"/>
        <v>15</v>
      </c>
      <c r="VG16" s="5"/>
      <c r="VH16" s="40">
        <f t="shared" si="610"/>
        <v>-15</v>
      </c>
      <c r="VJ16" s="16">
        <v>22</v>
      </c>
      <c r="VK16" s="33">
        <v>1</v>
      </c>
      <c r="VL16" s="39">
        <f t="shared" si="288"/>
        <v>18</v>
      </c>
      <c r="VM16" s="5"/>
      <c r="VN16" s="40">
        <f t="shared" si="611"/>
        <v>-18</v>
      </c>
      <c r="VP16" s="16">
        <v>18</v>
      </c>
      <c r="VQ16" s="33">
        <v>1</v>
      </c>
      <c r="VR16" s="39">
        <f t="shared" si="289"/>
        <v>28</v>
      </c>
      <c r="VS16" s="5"/>
      <c r="VT16" s="40">
        <f t="shared" si="612"/>
        <v>-28</v>
      </c>
      <c r="VV16" s="16">
        <v>0</v>
      </c>
      <c r="VW16" s="33">
        <v>2</v>
      </c>
      <c r="VX16" s="39">
        <f t="shared" si="290"/>
        <v>42</v>
      </c>
      <c r="VY16" s="5"/>
      <c r="VZ16" s="40">
        <f t="shared" si="613"/>
        <v>-42</v>
      </c>
      <c r="WB16" s="16">
        <v>22</v>
      </c>
      <c r="WC16" s="33">
        <v>1</v>
      </c>
      <c r="WD16" s="39">
        <f t="shared" si="291"/>
        <v>26</v>
      </c>
      <c r="WE16" s="5"/>
      <c r="WF16" s="40">
        <f t="shared" si="495"/>
        <v>26</v>
      </c>
      <c r="WH16" s="16">
        <v>4</v>
      </c>
      <c r="WI16" s="33">
        <v>2</v>
      </c>
      <c r="WJ16" s="39">
        <f t="shared" si="292"/>
        <v>42</v>
      </c>
      <c r="WK16" s="5"/>
      <c r="WL16" s="40">
        <f t="shared" si="496"/>
        <v>42</v>
      </c>
      <c r="WN16" s="16">
        <v>21</v>
      </c>
      <c r="WO16" s="33">
        <v>1</v>
      </c>
      <c r="WP16" s="39">
        <f t="shared" si="293"/>
        <v>31</v>
      </c>
      <c r="WQ16" s="5"/>
      <c r="WR16" s="40">
        <f t="shared" si="497"/>
        <v>31</v>
      </c>
      <c r="WT16" s="16">
        <v>43</v>
      </c>
      <c r="WU16" s="33"/>
      <c r="WV16" s="39">
        <f t="shared" si="294"/>
        <v>2</v>
      </c>
      <c r="WW16" s="5"/>
      <c r="WX16" s="40">
        <f t="shared" si="498"/>
        <v>2</v>
      </c>
      <c r="WZ16" s="16">
        <v>24</v>
      </c>
      <c r="XA16" s="33">
        <v>1</v>
      </c>
      <c r="XB16" s="39">
        <f t="shared" si="295"/>
        <v>19</v>
      </c>
      <c r="XC16" s="5"/>
      <c r="XD16" s="40">
        <f t="shared" si="499"/>
        <v>19</v>
      </c>
      <c r="XF16" s="16">
        <v>41</v>
      </c>
      <c r="XG16" s="33"/>
      <c r="XH16" s="39">
        <f t="shared" si="296"/>
        <v>7</v>
      </c>
      <c r="XI16" s="5"/>
      <c r="XJ16" s="40">
        <f t="shared" si="500"/>
        <v>7</v>
      </c>
      <c r="XL16" s="16">
        <v>18</v>
      </c>
      <c r="XM16" s="33">
        <v>1</v>
      </c>
      <c r="XN16" s="39">
        <f t="shared" si="297"/>
        <v>23</v>
      </c>
      <c r="XO16" s="5"/>
      <c r="XP16" s="40">
        <f t="shared" si="501"/>
        <v>23</v>
      </c>
      <c r="XR16" s="16">
        <v>47</v>
      </c>
      <c r="XS16" s="33"/>
      <c r="XT16" s="39">
        <f t="shared" si="298"/>
        <v>-5</v>
      </c>
      <c r="XU16" s="5"/>
      <c r="XV16" s="40">
        <f t="shared" si="502"/>
        <v>-5</v>
      </c>
      <c r="XX16" s="16">
        <v>14</v>
      </c>
      <c r="XY16" s="33">
        <v>3</v>
      </c>
      <c r="XZ16" s="39">
        <f t="shared" si="299"/>
        <v>33</v>
      </c>
      <c r="YA16" s="5"/>
      <c r="YB16" s="40">
        <f t="shared" si="503"/>
        <v>33</v>
      </c>
      <c r="YD16" s="16">
        <v>0</v>
      </c>
      <c r="YE16" s="33">
        <v>2</v>
      </c>
      <c r="YF16" s="39">
        <f t="shared" si="300"/>
        <v>86</v>
      </c>
      <c r="YG16" s="5"/>
      <c r="YH16" s="40">
        <f t="shared" si="504"/>
        <v>86</v>
      </c>
      <c r="YJ16" s="16">
        <v>0</v>
      </c>
      <c r="YK16" s="33">
        <v>2</v>
      </c>
      <c r="YL16" s="39">
        <f t="shared" si="301"/>
        <v>48</v>
      </c>
      <c r="YM16" s="5"/>
      <c r="YN16" s="40">
        <f t="shared" si="505"/>
        <v>48</v>
      </c>
      <c r="YP16" s="16">
        <v>0</v>
      </c>
      <c r="YQ16" s="33">
        <v>2</v>
      </c>
      <c r="YR16" s="39">
        <f t="shared" si="302"/>
        <v>48</v>
      </c>
      <c r="YS16" s="5"/>
      <c r="YT16" s="40">
        <f t="shared" si="506"/>
        <v>48</v>
      </c>
      <c r="YV16" s="16">
        <v>32</v>
      </c>
      <c r="YW16" s="33"/>
      <c r="YX16" s="39">
        <f t="shared" si="303"/>
        <v>16</v>
      </c>
      <c r="YY16" s="5"/>
      <c r="YZ16" s="40">
        <f t="shared" si="507"/>
        <v>16</v>
      </c>
      <c r="ZB16" s="16">
        <v>6</v>
      </c>
      <c r="ZC16" s="33">
        <v>2</v>
      </c>
      <c r="ZD16" s="39">
        <f t="shared" si="304"/>
        <v>26</v>
      </c>
      <c r="ZE16" s="5"/>
      <c r="ZF16" s="40">
        <f t="shared" si="508"/>
        <v>26</v>
      </c>
      <c r="ZH16" s="16">
        <v>28</v>
      </c>
      <c r="ZI16" s="33"/>
      <c r="ZJ16" s="39">
        <f t="shared" si="305"/>
        <v>26</v>
      </c>
      <c r="ZK16" s="5"/>
      <c r="ZL16" s="40">
        <f t="shared" si="509"/>
        <v>26</v>
      </c>
      <c r="ZN16" s="16">
        <v>11</v>
      </c>
      <c r="ZO16" s="33">
        <v>1</v>
      </c>
      <c r="ZP16" s="39">
        <f t="shared" si="306"/>
        <v>17</v>
      </c>
      <c r="ZQ16" s="5"/>
      <c r="ZR16" s="40">
        <f t="shared" si="510"/>
        <v>17</v>
      </c>
      <c r="ZT16" s="16">
        <v>13</v>
      </c>
      <c r="ZU16" s="33">
        <v>2</v>
      </c>
      <c r="ZV16" s="39">
        <f t="shared" si="307"/>
        <v>22</v>
      </c>
      <c r="ZW16" s="5"/>
      <c r="ZX16" s="40">
        <f t="shared" si="511"/>
        <v>22</v>
      </c>
      <c r="ZZ16" s="16">
        <v>16</v>
      </c>
      <c r="AAA16" s="33">
        <v>2</v>
      </c>
      <c r="AAB16" s="39">
        <f t="shared" si="308"/>
        <v>45</v>
      </c>
      <c r="AAC16" s="5"/>
      <c r="AAD16" s="40">
        <f t="shared" si="512"/>
        <v>45</v>
      </c>
      <c r="AAF16" s="16">
        <v>55</v>
      </c>
      <c r="AAG16" s="33"/>
      <c r="AAH16" s="39">
        <f t="shared" si="309"/>
        <v>9</v>
      </c>
      <c r="AAI16" s="5"/>
      <c r="AAJ16" s="40">
        <f t="shared" si="513"/>
        <v>9</v>
      </c>
      <c r="AAL16" s="16">
        <v>40</v>
      </c>
      <c r="AAM16" s="33"/>
      <c r="AAN16" s="39">
        <f t="shared" si="310"/>
        <v>15</v>
      </c>
      <c r="AAO16" s="5"/>
      <c r="AAP16" s="40">
        <f t="shared" si="514"/>
        <v>15</v>
      </c>
      <c r="AAR16" s="16">
        <v>16</v>
      </c>
      <c r="AAS16" s="33"/>
      <c r="AAT16" s="39">
        <f t="shared" si="311"/>
        <v>24</v>
      </c>
      <c r="AAU16" s="5"/>
      <c r="AAV16" s="40">
        <f t="shared" si="515"/>
        <v>24</v>
      </c>
      <c r="AAX16" s="16">
        <v>0</v>
      </c>
      <c r="AAY16" s="33">
        <v>2</v>
      </c>
      <c r="AAZ16" s="39">
        <f t="shared" si="312"/>
        <v>16</v>
      </c>
      <c r="ABA16" s="5"/>
      <c r="ABB16" s="40">
        <f t="shared" si="516"/>
        <v>16</v>
      </c>
      <c r="ABD16" s="16">
        <v>33</v>
      </c>
      <c r="ABE16" s="33"/>
      <c r="ABF16" s="39">
        <f t="shared" si="313"/>
        <v>15</v>
      </c>
      <c r="ABG16" s="5"/>
      <c r="ABH16" s="40">
        <f t="shared" si="517"/>
        <v>15</v>
      </c>
      <c r="ABJ16" s="16">
        <v>17</v>
      </c>
      <c r="ABK16" s="33">
        <v>1</v>
      </c>
      <c r="ABL16" s="39">
        <f t="shared" si="314"/>
        <v>16</v>
      </c>
      <c r="ABM16" s="5"/>
      <c r="ABN16" s="40">
        <f t="shared" si="518"/>
        <v>16</v>
      </c>
      <c r="ABP16" s="16">
        <v>21</v>
      </c>
      <c r="ABQ16" s="33"/>
      <c r="ABR16" s="39">
        <f t="shared" si="315"/>
        <v>20</v>
      </c>
      <c r="ABS16" s="5"/>
      <c r="ABT16" s="40">
        <f t="shared" si="519"/>
        <v>20</v>
      </c>
      <c r="ABV16" s="16">
        <v>0</v>
      </c>
      <c r="ABW16" s="33">
        <v>2</v>
      </c>
      <c r="ABX16" s="39">
        <f t="shared" si="316"/>
        <v>21</v>
      </c>
      <c r="ABY16" s="5"/>
      <c r="ABZ16" s="40">
        <f t="shared" si="520"/>
        <v>21</v>
      </c>
      <c r="ACB16" s="16">
        <v>33</v>
      </c>
      <c r="ACC16" s="33">
        <v>1</v>
      </c>
      <c r="ACD16" s="39">
        <f t="shared" si="317"/>
        <v>15</v>
      </c>
      <c r="ACE16" s="5"/>
      <c r="ACF16" s="40">
        <f t="shared" si="521"/>
        <v>15</v>
      </c>
      <c r="ACH16" s="16">
        <v>10</v>
      </c>
      <c r="ACI16" s="33"/>
      <c r="ACJ16" s="39">
        <f t="shared" si="318"/>
        <v>47</v>
      </c>
      <c r="ACK16" s="5"/>
      <c r="ACL16" s="40">
        <f t="shared" si="522"/>
        <v>47</v>
      </c>
      <c r="ACN16" s="16">
        <v>0</v>
      </c>
      <c r="ACO16" s="33">
        <v>1</v>
      </c>
      <c r="ACP16" s="39">
        <f t="shared" si="319"/>
        <v>10</v>
      </c>
      <c r="ACQ16" s="5"/>
      <c r="ACR16" s="40">
        <f t="shared" si="523"/>
        <v>10</v>
      </c>
      <c r="ACT16" s="16">
        <v>9</v>
      </c>
      <c r="ACU16" s="33">
        <v>1</v>
      </c>
      <c r="ACV16" s="39">
        <f t="shared" si="320"/>
        <v>15</v>
      </c>
      <c r="ACW16" s="5"/>
      <c r="ACX16" s="40">
        <f t="shared" si="524"/>
        <v>15</v>
      </c>
      <c r="ACZ16" s="16">
        <v>18</v>
      </c>
      <c r="ADA16" s="33">
        <v>1</v>
      </c>
      <c r="ADB16" s="39">
        <f t="shared" si="321"/>
        <v>15</v>
      </c>
      <c r="ADC16" s="5"/>
      <c r="ADD16" s="40">
        <f t="shared" si="525"/>
        <v>15</v>
      </c>
      <c r="ADF16" s="16">
        <v>24</v>
      </c>
      <c r="ADG16" s="33">
        <v>1</v>
      </c>
      <c r="ADH16" s="39">
        <f t="shared" si="322"/>
        <v>18</v>
      </c>
      <c r="ADI16" s="5"/>
      <c r="ADJ16" s="40">
        <f t="shared" si="526"/>
        <v>18</v>
      </c>
      <c r="ADL16" s="16">
        <v>36</v>
      </c>
      <c r="ADM16" s="33"/>
      <c r="ADN16" s="39">
        <f t="shared" si="323"/>
        <v>12</v>
      </c>
      <c r="ADO16" s="5"/>
      <c r="ADP16" s="40">
        <f t="shared" si="527"/>
        <v>12</v>
      </c>
      <c r="ADR16" s="16">
        <v>28</v>
      </c>
      <c r="ADS16" s="33"/>
      <c r="ADT16" s="39">
        <f t="shared" si="324"/>
        <v>8</v>
      </c>
      <c r="ADU16" s="5"/>
      <c r="ADV16" s="40">
        <f t="shared" si="528"/>
        <v>8</v>
      </c>
      <c r="ADX16" s="16">
        <v>12</v>
      </c>
      <c r="ADY16" s="33">
        <v>1</v>
      </c>
      <c r="ADZ16" s="39">
        <f t="shared" si="325"/>
        <v>16</v>
      </c>
      <c r="AEA16" s="5"/>
      <c r="AEB16" s="40">
        <f t="shared" si="529"/>
        <v>16</v>
      </c>
      <c r="AED16" s="16">
        <v>7</v>
      </c>
      <c r="AEE16" s="33">
        <v>2</v>
      </c>
      <c r="AEF16" s="39">
        <f t="shared" si="326"/>
        <v>29</v>
      </c>
      <c r="AEG16" s="5"/>
      <c r="AEH16" s="40">
        <f t="shared" si="530"/>
        <v>29</v>
      </c>
      <c r="AEJ16" s="16">
        <v>51</v>
      </c>
      <c r="AEK16" s="33"/>
      <c r="AEL16" s="39">
        <f t="shared" si="327"/>
        <v>4</v>
      </c>
      <c r="AEM16" s="5"/>
      <c r="AEN16" s="40">
        <f t="shared" si="531"/>
        <v>4</v>
      </c>
      <c r="AEP16" s="16">
        <v>35</v>
      </c>
      <c r="AEQ16" s="33"/>
      <c r="AER16" s="39">
        <f t="shared" si="328"/>
        <v>16</v>
      </c>
      <c r="AES16" s="5"/>
      <c r="AET16" s="40">
        <f t="shared" si="532"/>
        <v>16</v>
      </c>
      <c r="AEV16" s="16">
        <v>24</v>
      </c>
      <c r="AEW16" s="33">
        <v>1</v>
      </c>
      <c r="AEX16" s="39">
        <f t="shared" si="329"/>
        <v>11</v>
      </c>
      <c r="AEY16" s="5"/>
      <c r="AEZ16" s="40">
        <f t="shared" si="533"/>
        <v>11</v>
      </c>
      <c r="AFB16" s="16">
        <v>38</v>
      </c>
      <c r="AFC16" s="33"/>
      <c r="AFD16" s="39">
        <f t="shared" si="330"/>
        <v>10</v>
      </c>
      <c r="AFE16" s="5"/>
      <c r="AFF16" s="40">
        <f t="shared" si="534"/>
        <v>10</v>
      </c>
      <c r="AFH16" s="16">
        <v>27</v>
      </c>
      <c r="AFI16" s="33">
        <v>1</v>
      </c>
      <c r="AFJ16" s="39">
        <f t="shared" si="331"/>
        <v>11</v>
      </c>
      <c r="AFK16" s="5"/>
      <c r="AFL16" s="40">
        <f t="shared" si="535"/>
        <v>11</v>
      </c>
      <c r="AFN16" s="16">
        <v>33</v>
      </c>
      <c r="AFO16" s="33"/>
      <c r="AFP16" s="39">
        <f t="shared" si="332"/>
        <v>18</v>
      </c>
      <c r="AFQ16" s="5"/>
      <c r="AFR16" s="40">
        <f t="shared" si="536"/>
        <v>18</v>
      </c>
      <c r="AFT16" s="16">
        <v>21</v>
      </c>
      <c r="AFU16" s="33"/>
      <c r="AFV16" s="39">
        <f t="shared" si="333"/>
        <v>12</v>
      </c>
      <c r="AFW16" s="5"/>
      <c r="AFX16" s="40">
        <f t="shared" si="537"/>
        <v>12</v>
      </c>
      <c r="AFZ16" s="16">
        <v>10</v>
      </c>
      <c r="AGA16" s="33">
        <v>1</v>
      </c>
      <c r="AGB16" s="39">
        <f t="shared" si="334"/>
        <v>11</v>
      </c>
      <c r="AGC16" s="5"/>
      <c r="AGD16" s="40">
        <f t="shared" si="538"/>
        <v>11</v>
      </c>
      <c r="AGF16" s="16">
        <v>12</v>
      </c>
      <c r="AGG16" s="33">
        <v>2</v>
      </c>
      <c r="AGH16" s="39">
        <f t="shared" si="335"/>
        <v>22</v>
      </c>
      <c r="AGI16" s="5"/>
      <c r="AGJ16" s="40">
        <f t="shared" si="539"/>
        <v>22</v>
      </c>
      <c r="AGL16" s="16">
        <v>60</v>
      </c>
      <c r="AGM16" s="33"/>
      <c r="AGN16" s="39">
        <f t="shared" si="336"/>
        <v>0</v>
      </c>
      <c r="AGO16" s="5"/>
      <c r="AGP16" s="40">
        <f t="shared" si="540"/>
        <v>0</v>
      </c>
      <c r="AGR16" s="16">
        <v>44</v>
      </c>
      <c r="AGS16" s="33"/>
      <c r="AGT16" s="39">
        <f t="shared" si="337"/>
        <v>16</v>
      </c>
      <c r="AGU16" s="5"/>
      <c r="AGV16" s="40">
        <f t="shared" si="541"/>
        <v>16</v>
      </c>
      <c r="AGX16" s="16">
        <v>46</v>
      </c>
      <c r="AGY16" s="33"/>
      <c r="AGZ16" s="39">
        <f t="shared" si="338"/>
        <v>-2</v>
      </c>
      <c r="AHA16" s="5"/>
      <c r="AHB16" s="40">
        <f t="shared" si="542"/>
        <v>-2</v>
      </c>
      <c r="AHD16" s="16">
        <v>38</v>
      </c>
      <c r="AHE16" s="33"/>
      <c r="AHF16" s="39">
        <f t="shared" si="339"/>
        <v>8</v>
      </c>
      <c r="AHG16" s="5"/>
      <c r="AHH16" s="40">
        <f t="shared" si="543"/>
        <v>8</v>
      </c>
      <c r="AHJ16" s="16">
        <v>27</v>
      </c>
      <c r="AHK16" s="33">
        <v>1</v>
      </c>
      <c r="AHL16" s="39">
        <f t="shared" si="340"/>
        <v>11</v>
      </c>
      <c r="AHM16" s="5"/>
      <c r="AHN16" s="40">
        <f t="shared" si="544"/>
        <v>11</v>
      </c>
      <c r="AHP16" s="16">
        <v>41</v>
      </c>
      <c r="AHQ16" s="33"/>
      <c r="AHR16" s="39">
        <f t="shared" si="341"/>
        <v>10</v>
      </c>
      <c r="AHS16" s="5"/>
      <c r="AHT16" s="40">
        <f t="shared" si="545"/>
        <v>10</v>
      </c>
      <c r="AHV16" s="16">
        <v>26</v>
      </c>
      <c r="AHW16" s="33">
        <v>1</v>
      </c>
      <c r="AHX16" s="39">
        <f t="shared" si="342"/>
        <v>15</v>
      </c>
      <c r="AHY16" s="5"/>
      <c r="AHZ16" s="40">
        <f t="shared" si="546"/>
        <v>15</v>
      </c>
      <c r="AIB16" s="16">
        <v>35</v>
      </c>
      <c r="AIC16" s="33">
        <v>1</v>
      </c>
      <c r="AID16" s="39">
        <f t="shared" si="343"/>
        <v>15</v>
      </c>
      <c r="AIE16" s="5"/>
      <c r="AIF16" s="40">
        <f t="shared" si="547"/>
        <v>15</v>
      </c>
      <c r="AIH16" s="16">
        <v>13</v>
      </c>
      <c r="AII16" s="33">
        <v>1</v>
      </c>
      <c r="AIJ16" s="39">
        <f t="shared" si="344"/>
        <v>46</v>
      </c>
      <c r="AIK16" s="5"/>
      <c r="AIL16" s="40">
        <f t="shared" si="548"/>
        <v>46</v>
      </c>
      <c r="AIN16" s="16">
        <v>26</v>
      </c>
      <c r="AIO16" s="33"/>
      <c r="AIP16" s="39">
        <f t="shared" si="345"/>
        <v>11</v>
      </c>
      <c r="AIQ16" s="5"/>
      <c r="AIR16" s="40">
        <f t="shared" si="549"/>
        <v>11</v>
      </c>
      <c r="AIT16" s="16">
        <v>9</v>
      </c>
      <c r="AIU16" s="33">
        <v>1</v>
      </c>
      <c r="AIV16" s="39">
        <f t="shared" si="346"/>
        <v>17</v>
      </c>
      <c r="AIW16" s="5"/>
      <c r="AIX16" s="40">
        <f t="shared" si="550"/>
        <v>17</v>
      </c>
      <c r="AIZ16" s="16">
        <v>21</v>
      </c>
      <c r="AJA16" s="33">
        <v>1</v>
      </c>
      <c r="AJB16" s="39">
        <f t="shared" si="347"/>
        <v>12</v>
      </c>
      <c r="AJC16" s="5"/>
      <c r="AJD16" s="40">
        <f t="shared" si="551"/>
        <v>12</v>
      </c>
      <c r="AJF16" s="16">
        <v>37</v>
      </c>
      <c r="AJG16" s="33"/>
      <c r="AJH16" s="39">
        <f t="shared" si="348"/>
        <v>8</v>
      </c>
      <c r="AJI16" s="5"/>
      <c r="AJJ16" s="40">
        <f t="shared" si="552"/>
        <v>8</v>
      </c>
      <c r="AJL16" s="16">
        <v>23</v>
      </c>
      <c r="AJM16" s="33">
        <v>1</v>
      </c>
      <c r="AJN16" s="39">
        <f t="shared" si="349"/>
        <v>14</v>
      </c>
      <c r="AJO16" s="5"/>
      <c r="AJP16" s="40">
        <f t="shared" si="553"/>
        <v>14</v>
      </c>
      <c r="AJR16" s="16">
        <v>37</v>
      </c>
      <c r="AJS16" s="33"/>
      <c r="AJT16" s="39">
        <f t="shared" si="350"/>
        <v>10</v>
      </c>
      <c r="AJU16" s="5"/>
      <c r="AJV16" s="40">
        <f t="shared" si="554"/>
        <v>10</v>
      </c>
      <c r="AJX16" s="16">
        <v>29</v>
      </c>
      <c r="AJY16" s="33"/>
      <c r="AJZ16" s="39">
        <f t="shared" si="351"/>
        <v>8</v>
      </c>
      <c r="AKA16" s="5"/>
      <c r="AKB16" s="40">
        <f t="shared" si="555"/>
        <v>8</v>
      </c>
      <c r="AKD16" s="16">
        <v>20</v>
      </c>
      <c r="AKE16" s="33"/>
      <c r="AKF16" s="39">
        <f t="shared" si="352"/>
        <v>9</v>
      </c>
      <c r="AKG16" s="5"/>
      <c r="AKH16" s="40">
        <f t="shared" si="556"/>
        <v>9</v>
      </c>
      <c r="AKJ16" s="16">
        <v>3</v>
      </c>
      <c r="AKK16" s="33">
        <v>2</v>
      </c>
      <c r="AKL16" s="39">
        <f t="shared" si="353"/>
        <v>17</v>
      </c>
      <c r="AKM16" s="5"/>
      <c r="AKN16" s="40">
        <f t="shared" si="557"/>
        <v>17</v>
      </c>
      <c r="AKP16" s="16">
        <v>43</v>
      </c>
      <c r="AKQ16" s="33"/>
      <c r="AKR16" s="39">
        <f t="shared" si="354"/>
        <v>8</v>
      </c>
      <c r="AKS16" s="5"/>
      <c r="AKT16" s="40">
        <f t="shared" si="558"/>
        <v>8</v>
      </c>
      <c r="AKV16" s="16">
        <v>35</v>
      </c>
      <c r="AKW16" s="33"/>
      <c r="AKX16" s="39">
        <f t="shared" si="355"/>
        <v>8</v>
      </c>
      <c r="AKY16" s="5"/>
      <c r="AKZ16" s="40">
        <f t="shared" si="559"/>
        <v>8</v>
      </c>
      <c r="ALB16" s="16">
        <v>22</v>
      </c>
      <c r="ALC16" s="33"/>
      <c r="ALD16" s="39">
        <f t="shared" si="356"/>
        <v>13</v>
      </c>
      <c r="ALE16" s="5"/>
      <c r="ALF16" s="40">
        <f t="shared" si="560"/>
        <v>13</v>
      </c>
      <c r="ALH16" s="16">
        <v>6</v>
      </c>
      <c r="ALI16" s="33">
        <v>1</v>
      </c>
      <c r="ALJ16" s="39">
        <f t="shared" si="357"/>
        <v>16</v>
      </c>
      <c r="ALK16" s="5"/>
      <c r="ALL16" s="40">
        <f t="shared" si="561"/>
        <v>16</v>
      </c>
      <c r="ALN16" s="16">
        <v>7</v>
      </c>
      <c r="ALO16" s="33">
        <v>1</v>
      </c>
      <c r="ALP16" s="39">
        <f t="shared" si="358"/>
        <v>23</v>
      </c>
      <c r="ALQ16" s="5"/>
      <c r="ALR16" s="40">
        <f t="shared" si="562"/>
        <v>23</v>
      </c>
      <c r="ALT16" s="16">
        <v>14</v>
      </c>
      <c r="ALU16" s="33">
        <v>1</v>
      </c>
      <c r="ALV16" s="39">
        <f t="shared" si="359"/>
        <v>17</v>
      </c>
      <c r="ALW16" s="5"/>
      <c r="ALX16" s="40">
        <f t="shared" si="563"/>
        <v>17</v>
      </c>
      <c r="ALZ16" s="16">
        <v>21</v>
      </c>
      <c r="AMA16" s="33"/>
      <c r="AMB16" s="39">
        <f t="shared" si="360"/>
        <v>17</v>
      </c>
      <c r="AMC16" s="5"/>
      <c r="AMD16" s="40">
        <f t="shared" si="564"/>
        <v>17</v>
      </c>
      <c r="AMF16" s="16">
        <v>7</v>
      </c>
      <c r="AMG16" s="33">
        <v>1</v>
      </c>
      <c r="AMH16" s="39">
        <f t="shared" si="361"/>
        <v>14</v>
      </c>
      <c r="AMI16" s="5"/>
      <c r="AMJ16" s="40">
        <f t="shared" si="565"/>
        <v>14</v>
      </c>
      <c r="AML16" s="16">
        <v>19</v>
      </c>
      <c r="AMM16" s="33">
        <v>1</v>
      </c>
      <c r="AMN16" s="39">
        <f t="shared" si="362"/>
        <v>12</v>
      </c>
      <c r="AMO16" s="5"/>
      <c r="AMP16" s="40">
        <f t="shared" si="566"/>
        <v>12</v>
      </c>
      <c r="AMR16" s="16">
        <v>30</v>
      </c>
      <c r="AMS16" s="33"/>
      <c r="AMT16" s="39">
        <f t="shared" si="363"/>
        <v>13</v>
      </c>
      <c r="AMU16" s="5"/>
      <c r="AMV16" s="40">
        <f t="shared" si="567"/>
        <v>13</v>
      </c>
      <c r="AMX16" s="16">
        <v>21</v>
      </c>
      <c r="AMY16" s="33">
        <v>1</v>
      </c>
      <c r="AMZ16" s="39">
        <f t="shared" si="364"/>
        <v>9</v>
      </c>
      <c r="ANA16" s="5"/>
      <c r="ANB16" s="40">
        <f t="shared" si="568"/>
        <v>9</v>
      </c>
      <c r="AND16" s="16">
        <v>32</v>
      </c>
      <c r="ANE16" s="33"/>
      <c r="ANF16" s="39">
        <f t="shared" si="365"/>
        <v>13</v>
      </c>
      <c r="ANG16" s="5"/>
      <c r="ANH16" s="40">
        <f t="shared" si="569"/>
        <v>13</v>
      </c>
      <c r="ANJ16" s="16">
        <v>26</v>
      </c>
      <c r="ANK16" s="33"/>
      <c r="ANL16" s="39">
        <f t="shared" si="366"/>
        <v>6</v>
      </c>
      <c r="ANM16" s="5"/>
      <c r="ANN16" s="40">
        <f t="shared" si="570"/>
        <v>6</v>
      </c>
      <c r="ANP16" s="16">
        <v>20</v>
      </c>
      <c r="ANQ16" s="33"/>
      <c r="ANR16" s="39">
        <f t="shared" si="367"/>
        <v>6</v>
      </c>
      <c r="ANS16" s="5"/>
      <c r="ANT16" s="40">
        <f t="shared" si="571"/>
        <v>6</v>
      </c>
      <c r="ANV16" s="16">
        <v>13</v>
      </c>
      <c r="ANW16" s="33">
        <v>1</v>
      </c>
      <c r="ANX16" s="39">
        <f t="shared" si="368"/>
        <v>7</v>
      </c>
      <c r="ANY16" s="5"/>
      <c r="ANZ16" s="40">
        <f t="shared" si="572"/>
        <v>7</v>
      </c>
      <c r="AOB16" s="16"/>
      <c r="AOC16" s="33"/>
      <c r="AOD16" s="39">
        <f t="shared" si="369"/>
        <v>37</v>
      </c>
      <c r="AOE16" s="5"/>
      <c r="AOF16" s="40">
        <f t="shared" si="573"/>
        <v>37</v>
      </c>
      <c r="AOH16" s="16"/>
      <c r="AOI16" s="33"/>
      <c r="AOJ16" s="39">
        <f t="shared" si="370"/>
        <v>0</v>
      </c>
      <c r="AOK16" s="5"/>
      <c r="AOL16" s="40">
        <f t="shared" si="574"/>
        <v>0</v>
      </c>
      <c r="AON16" s="16"/>
      <c r="AOO16" s="33"/>
      <c r="AOP16" s="39">
        <f t="shared" si="371"/>
        <v>0</v>
      </c>
      <c r="AOQ16" s="5"/>
      <c r="AOR16" s="40">
        <f t="shared" si="575"/>
        <v>0</v>
      </c>
    </row>
    <row r="17" spans="1:1024 1026:1084" x14ac:dyDescent="0.25">
      <c r="A17" s="3" t="s">
        <v>33</v>
      </c>
      <c r="B17" s="3">
        <v>10553</v>
      </c>
      <c r="C17" s="5" t="s">
        <v>26</v>
      </c>
      <c r="D17" s="27">
        <v>36</v>
      </c>
      <c r="F17" s="16">
        <v>24</v>
      </c>
      <c r="G17" s="15"/>
      <c r="H17" s="11"/>
      <c r="I17" s="15"/>
      <c r="J17" s="15"/>
      <c r="L17" s="16">
        <v>6</v>
      </c>
      <c r="M17" s="15">
        <v>2</v>
      </c>
      <c r="N17" s="13">
        <f t="shared" si="372"/>
        <v>18</v>
      </c>
      <c r="O17" s="15"/>
      <c r="P17" s="21">
        <f t="shared" si="373"/>
        <v>-18</v>
      </c>
      <c r="R17" s="16">
        <v>40</v>
      </c>
      <c r="S17" s="15"/>
      <c r="T17" s="13">
        <f t="shared" si="374"/>
        <v>14</v>
      </c>
      <c r="U17" s="15">
        <v>13</v>
      </c>
      <c r="V17" s="21">
        <f t="shared" si="375"/>
        <v>-1</v>
      </c>
      <c r="X17" s="16">
        <v>24</v>
      </c>
      <c r="Y17" s="15"/>
      <c r="Z17" s="13">
        <f t="shared" si="376"/>
        <v>16</v>
      </c>
      <c r="AA17" s="15">
        <v>14</v>
      </c>
      <c r="AB17" s="21">
        <f t="shared" si="377"/>
        <v>-2</v>
      </c>
      <c r="AD17" s="16">
        <v>10</v>
      </c>
      <c r="AE17" s="15">
        <v>1</v>
      </c>
      <c r="AF17" s="13">
        <f t="shared" si="378"/>
        <v>14</v>
      </c>
      <c r="AG17" s="15">
        <v>14</v>
      </c>
      <c r="AH17" s="21">
        <f t="shared" si="379"/>
        <v>0</v>
      </c>
      <c r="AJ17" s="16">
        <v>24</v>
      </c>
      <c r="AK17" s="15"/>
      <c r="AL17" s="13">
        <f t="shared" si="380"/>
        <v>10</v>
      </c>
      <c r="AM17" s="15">
        <v>10</v>
      </c>
      <c r="AN17" s="21">
        <f t="shared" si="381"/>
        <v>0</v>
      </c>
      <c r="AP17" s="16">
        <v>6</v>
      </c>
      <c r="AQ17" s="15">
        <v>1</v>
      </c>
      <c r="AR17" s="13">
        <f t="shared" si="382"/>
        <v>18</v>
      </c>
      <c r="AS17" s="15">
        <v>14</v>
      </c>
      <c r="AT17" s="21">
        <f t="shared" si="383"/>
        <v>-4</v>
      </c>
      <c r="AV17" s="16">
        <v>19</v>
      </c>
      <c r="AW17" s="15"/>
      <c r="AX17" s="13">
        <f t="shared" si="384"/>
        <v>11</v>
      </c>
      <c r="AY17" s="15">
        <v>9</v>
      </c>
      <c r="AZ17" s="21">
        <f t="shared" si="385"/>
        <v>-2</v>
      </c>
      <c r="BB17" s="16">
        <v>7</v>
      </c>
      <c r="BC17" s="15">
        <v>1</v>
      </c>
      <c r="BD17" s="13">
        <f t="shared" si="386"/>
        <v>12</v>
      </c>
      <c r="BE17" s="15">
        <v>10</v>
      </c>
      <c r="BF17" s="21">
        <f t="shared" si="387"/>
        <v>-2</v>
      </c>
      <c r="BH17" s="16">
        <v>16</v>
      </c>
      <c r="BI17" s="33">
        <v>1</v>
      </c>
      <c r="BJ17" s="13">
        <f t="shared" si="388"/>
        <v>15</v>
      </c>
      <c r="BK17" s="15">
        <v>15</v>
      </c>
      <c r="BL17" s="21">
        <f t="shared" si="389"/>
        <v>0</v>
      </c>
      <c r="BN17" s="16">
        <v>28</v>
      </c>
      <c r="BO17" s="33"/>
      <c r="BP17" s="13">
        <f t="shared" si="390"/>
        <v>12</v>
      </c>
      <c r="BQ17" s="15">
        <v>10</v>
      </c>
      <c r="BR17" s="21">
        <f t="shared" si="391"/>
        <v>-2</v>
      </c>
      <c r="BT17" s="16">
        <v>17</v>
      </c>
      <c r="BU17" s="33"/>
      <c r="BV17" s="13">
        <f t="shared" si="392"/>
        <v>11</v>
      </c>
      <c r="BW17" s="15">
        <v>10</v>
      </c>
      <c r="BX17" s="21">
        <f t="shared" si="393"/>
        <v>-1</v>
      </c>
      <c r="BZ17" s="16">
        <v>5</v>
      </c>
      <c r="CA17" s="33">
        <v>1</v>
      </c>
      <c r="CB17" s="13">
        <f t="shared" si="394"/>
        <v>12</v>
      </c>
      <c r="CC17" s="15">
        <v>12</v>
      </c>
      <c r="CD17" s="21">
        <f t="shared" si="395"/>
        <v>0</v>
      </c>
      <c r="CF17" s="16">
        <v>14</v>
      </c>
      <c r="CG17" s="33">
        <v>1</v>
      </c>
      <c r="CH17" s="13">
        <f t="shared" si="396"/>
        <v>15</v>
      </c>
      <c r="CI17" s="5">
        <v>14</v>
      </c>
      <c r="CJ17" s="21">
        <f t="shared" si="397"/>
        <v>-1</v>
      </c>
      <c r="CL17" s="16">
        <v>21</v>
      </c>
      <c r="CM17" s="33">
        <v>1</v>
      </c>
      <c r="CN17" s="13">
        <f t="shared" si="398"/>
        <v>17</v>
      </c>
      <c r="CO17" s="5">
        <v>18</v>
      </c>
      <c r="CP17" s="21">
        <f t="shared" si="399"/>
        <v>1</v>
      </c>
      <c r="CR17" s="16">
        <v>28</v>
      </c>
      <c r="CS17" s="33"/>
      <c r="CT17" s="13">
        <f t="shared" si="400"/>
        <v>17</v>
      </c>
      <c r="CU17" s="5">
        <v>13</v>
      </c>
      <c r="CV17" s="21">
        <f t="shared" si="401"/>
        <v>-4</v>
      </c>
      <c r="CX17" s="16">
        <v>11</v>
      </c>
      <c r="CY17" s="33">
        <v>1</v>
      </c>
      <c r="CZ17" s="39">
        <f t="shared" si="402"/>
        <v>17</v>
      </c>
      <c r="DA17" s="5"/>
      <c r="DB17" s="40">
        <f t="shared" si="403"/>
        <v>-17</v>
      </c>
      <c r="DD17" s="16">
        <v>21</v>
      </c>
      <c r="DE17" s="33">
        <v>1</v>
      </c>
      <c r="DF17" s="39">
        <f t="shared" si="404"/>
        <v>14</v>
      </c>
      <c r="DG17" s="5"/>
      <c r="DH17" s="40">
        <f t="shared" si="405"/>
        <v>-14</v>
      </c>
      <c r="DJ17" s="16">
        <v>33</v>
      </c>
      <c r="DK17" s="33"/>
      <c r="DL17" s="39">
        <f t="shared" si="406"/>
        <v>12</v>
      </c>
      <c r="DM17" s="5">
        <v>12</v>
      </c>
      <c r="DN17" s="40">
        <f t="shared" si="407"/>
        <v>0</v>
      </c>
      <c r="DP17" s="16">
        <v>16</v>
      </c>
      <c r="DQ17" s="33">
        <v>1</v>
      </c>
      <c r="DR17" s="39">
        <f t="shared" si="408"/>
        <v>17</v>
      </c>
      <c r="DS17" s="5">
        <v>17</v>
      </c>
      <c r="DT17" s="40">
        <f t="shared" si="409"/>
        <v>0</v>
      </c>
      <c r="DV17" s="16">
        <v>23</v>
      </c>
      <c r="DW17" s="33">
        <v>1</v>
      </c>
      <c r="DX17" s="39">
        <f t="shared" si="410"/>
        <v>17</v>
      </c>
      <c r="DY17" s="5">
        <v>14</v>
      </c>
      <c r="DZ17" s="40">
        <f t="shared" si="411"/>
        <v>-3</v>
      </c>
      <c r="EB17" s="16">
        <v>27</v>
      </c>
      <c r="EC17" s="33">
        <v>1</v>
      </c>
      <c r="ED17" s="39">
        <f t="shared" si="412"/>
        <v>20</v>
      </c>
      <c r="EE17" s="5">
        <v>18</v>
      </c>
      <c r="EF17" s="40">
        <f t="shared" si="413"/>
        <v>-2</v>
      </c>
      <c r="EH17" s="16">
        <v>37</v>
      </c>
      <c r="EI17" s="33"/>
      <c r="EJ17" s="39">
        <f t="shared" si="414"/>
        <v>14</v>
      </c>
      <c r="EK17" s="5">
        <v>13</v>
      </c>
      <c r="EL17" s="40">
        <f t="shared" si="415"/>
        <v>-1</v>
      </c>
      <c r="EN17" s="16">
        <v>25</v>
      </c>
      <c r="EO17" s="33"/>
      <c r="EP17" s="39">
        <f t="shared" si="416"/>
        <v>12</v>
      </c>
      <c r="EQ17" s="5">
        <v>13</v>
      </c>
      <c r="ER17" s="40">
        <f t="shared" si="417"/>
        <v>1</v>
      </c>
      <c r="ET17" s="16">
        <v>8</v>
      </c>
      <c r="EU17" s="33">
        <v>2</v>
      </c>
      <c r="EV17" s="39">
        <f t="shared" si="418"/>
        <v>17</v>
      </c>
      <c r="EW17" s="5">
        <v>15</v>
      </c>
      <c r="EX17" s="40">
        <f t="shared" si="419"/>
        <v>-2</v>
      </c>
      <c r="EZ17" s="16">
        <v>63</v>
      </c>
      <c r="FA17" s="33"/>
      <c r="FB17" s="39">
        <f t="shared" si="420"/>
        <v>-7</v>
      </c>
      <c r="FC17" s="5">
        <v>14</v>
      </c>
      <c r="FD17" s="40">
        <f t="shared" si="421"/>
        <v>21</v>
      </c>
      <c r="FF17" s="16">
        <v>43</v>
      </c>
      <c r="FG17" s="33"/>
      <c r="FH17" s="39">
        <f t="shared" si="218"/>
        <v>20</v>
      </c>
      <c r="FI17" s="5">
        <v>19</v>
      </c>
      <c r="FJ17" s="40">
        <f t="shared" si="422"/>
        <v>-1</v>
      </c>
      <c r="FL17" s="16">
        <v>39</v>
      </c>
      <c r="FM17" s="33"/>
      <c r="FN17" s="39">
        <f t="shared" si="219"/>
        <v>4</v>
      </c>
      <c r="FO17" s="5">
        <v>4</v>
      </c>
      <c r="FP17" s="40">
        <f t="shared" si="423"/>
        <v>0</v>
      </c>
      <c r="FR17" s="16">
        <v>15</v>
      </c>
      <c r="FS17" s="33"/>
      <c r="FT17" s="39">
        <f t="shared" si="220"/>
        <v>24</v>
      </c>
      <c r="FU17" s="5"/>
      <c r="FV17" s="40">
        <f t="shared" si="424"/>
        <v>-24</v>
      </c>
      <c r="FX17" s="16">
        <v>9</v>
      </c>
      <c r="FY17" s="33">
        <v>1</v>
      </c>
      <c r="FZ17" s="39">
        <f t="shared" si="221"/>
        <v>6</v>
      </c>
      <c r="GA17" s="5">
        <v>6</v>
      </c>
      <c r="GB17" s="40">
        <f t="shared" si="425"/>
        <v>0</v>
      </c>
      <c r="GD17" s="16">
        <v>23</v>
      </c>
      <c r="GE17" s="33"/>
      <c r="GF17" s="39">
        <f t="shared" si="222"/>
        <v>10</v>
      </c>
      <c r="GG17" s="5">
        <v>10</v>
      </c>
      <c r="GH17" s="40">
        <f t="shared" si="426"/>
        <v>0</v>
      </c>
      <c r="GJ17" s="16">
        <v>16</v>
      </c>
      <c r="GK17" s="33">
        <v>1</v>
      </c>
      <c r="GL17" s="39">
        <f t="shared" si="223"/>
        <v>7</v>
      </c>
      <c r="GM17" s="5">
        <v>10</v>
      </c>
      <c r="GN17" s="40">
        <f t="shared" si="427"/>
        <v>3</v>
      </c>
      <c r="GP17" s="16">
        <v>37</v>
      </c>
      <c r="GQ17" s="33"/>
      <c r="GR17" s="39">
        <f t="shared" si="224"/>
        <v>3</v>
      </c>
      <c r="GS17" s="5">
        <v>5</v>
      </c>
      <c r="GT17" s="40">
        <f t="shared" si="428"/>
        <v>2</v>
      </c>
      <c r="GV17" s="16">
        <v>23</v>
      </c>
      <c r="GW17" s="33"/>
      <c r="GX17" s="39">
        <f t="shared" si="225"/>
        <v>14</v>
      </c>
      <c r="GY17" s="5">
        <v>13</v>
      </c>
      <c r="GZ17" s="40">
        <f t="shared" si="429"/>
        <v>-1</v>
      </c>
      <c r="HB17" s="16">
        <v>16</v>
      </c>
      <c r="HC17" s="33">
        <v>1</v>
      </c>
      <c r="HD17" s="39">
        <f t="shared" si="226"/>
        <v>7</v>
      </c>
      <c r="HE17" s="5">
        <v>7</v>
      </c>
      <c r="HF17" s="40">
        <f t="shared" si="430"/>
        <v>0</v>
      </c>
      <c r="HH17" s="16">
        <v>30</v>
      </c>
      <c r="HI17" s="33"/>
      <c r="HJ17" s="39">
        <f t="shared" si="227"/>
        <v>10</v>
      </c>
      <c r="HK17" s="5">
        <v>10</v>
      </c>
      <c r="HL17" s="40">
        <f t="shared" si="431"/>
        <v>0</v>
      </c>
      <c r="HN17" s="16">
        <v>15</v>
      </c>
      <c r="HO17" s="33">
        <v>1</v>
      </c>
      <c r="HP17" s="39">
        <f t="shared" si="228"/>
        <v>15</v>
      </c>
      <c r="HQ17" s="5">
        <v>13</v>
      </c>
      <c r="HR17" s="40">
        <f t="shared" si="432"/>
        <v>-2</v>
      </c>
      <c r="HT17" s="16">
        <v>23</v>
      </c>
      <c r="HU17" s="33">
        <v>1</v>
      </c>
      <c r="HV17" s="39">
        <f t="shared" si="229"/>
        <v>16</v>
      </c>
      <c r="HW17" s="5">
        <v>13</v>
      </c>
      <c r="HX17" s="40">
        <f t="shared" si="433"/>
        <v>-3</v>
      </c>
      <c r="HZ17" s="16">
        <v>32</v>
      </c>
      <c r="IA17" s="33"/>
      <c r="IB17" s="39">
        <f t="shared" si="230"/>
        <v>15</v>
      </c>
      <c r="IC17" s="5">
        <v>15</v>
      </c>
      <c r="ID17" s="40">
        <f t="shared" si="434"/>
        <v>0</v>
      </c>
      <c r="IF17" s="16">
        <v>13</v>
      </c>
      <c r="IG17" s="33">
        <v>1</v>
      </c>
      <c r="IH17" s="39">
        <f t="shared" si="231"/>
        <v>19</v>
      </c>
      <c r="II17" s="5">
        <v>17</v>
      </c>
      <c r="IJ17" s="40">
        <f t="shared" si="435"/>
        <v>-2</v>
      </c>
      <c r="IL17" s="16">
        <v>29</v>
      </c>
      <c r="IM17" s="33"/>
      <c r="IN17" s="39">
        <f t="shared" si="232"/>
        <v>8</v>
      </c>
      <c r="IO17" s="5">
        <v>5</v>
      </c>
      <c r="IP17" s="40">
        <f t="shared" si="436"/>
        <v>-3</v>
      </c>
      <c r="IR17" s="16">
        <v>28</v>
      </c>
      <c r="IS17" s="33"/>
      <c r="IT17" s="39">
        <f t="shared" si="233"/>
        <v>1</v>
      </c>
      <c r="IU17" s="5">
        <v>2</v>
      </c>
      <c r="IV17" s="40">
        <f t="shared" si="437"/>
        <v>1</v>
      </c>
      <c r="IX17" s="16">
        <v>20</v>
      </c>
      <c r="IY17" s="33">
        <v>1</v>
      </c>
      <c r="IZ17" s="39">
        <f t="shared" si="234"/>
        <v>8</v>
      </c>
      <c r="JA17" s="5">
        <v>6</v>
      </c>
      <c r="JB17" s="40">
        <f t="shared" si="438"/>
        <v>-2</v>
      </c>
      <c r="JD17" s="16">
        <v>38</v>
      </c>
      <c r="JE17" s="33"/>
      <c r="JF17" s="39">
        <f t="shared" si="235"/>
        <v>6</v>
      </c>
      <c r="JG17" s="5">
        <v>6</v>
      </c>
      <c r="JH17" s="40">
        <f t="shared" si="439"/>
        <v>0</v>
      </c>
      <c r="JJ17" s="16">
        <v>28</v>
      </c>
      <c r="JK17" s="33"/>
      <c r="JL17" s="39">
        <f t="shared" si="236"/>
        <v>10</v>
      </c>
      <c r="JM17" s="5">
        <v>10</v>
      </c>
      <c r="JN17" s="40">
        <f t="shared" si="440"/>
        <v>0</v>
      </c>
      <c r="JP17" s="16">
        <v>19</v>
      </c>
      <c r="JQ17" s="33"/>
      <c r="JR17" s="39">
        <f t="shared" si="237"/>
        <v>9</v>
      </c>
      <c r="JS17" s="5">
        <v>8</v>
      </c>
      <c r="JT17" s="40">
        <f t="shared" si="441"/>
        <v>-1</v>
      </c>
      <c r="JV17" s="16">
        <v>15</v>
      </c>
      <c r="JW17" s="33"/>
      <c r="JX17" s="39">
        <f t="shared" si="238"/>
        <v>4</v>
      </c>
      <c r="JY17" s="5">
        <v>4</v>
      </c>
      <c r="JZ17" s="40">
        <f t="shared" si="442"/>
        <v>0</v>
      </c>
      <c r="KB17" s="16">
        <v>4</v>
      </c>
      <c r="KC17" s="33">
        <v>1</v>
      </c>
      <c r="KD17" s="39">
        <f t="shared" si="239"/>
        <v>11</v>
      </c>
      <c r="KE17" s="5">
        <v>9</v>
      </c>
      <c r="KF17" s="40">
        <f t="shared" si="443"/>
        <v>-2</v>
      </c>
      <c r="KH17" s="16">
        <v>15</v>
      </c>
      <c r="KI17" s="33">
        <v>1</v>
      </c>
      <c r="KJ17" s="39">
        <f t="shared" si="240"/>
        <v>13</v>
      </c>
      <c r="KK17" s="5">
        <v>15</v>
      </c>
      <c r="KL17" s="40">
        <f t="shared" si="444"/>
        <v>2</v>
      </c>
      <c r="KN17" s="16">
        <v>34</v>
      </c>
      <c r="KO17" s="33"/>
      <c r="KP17" s="39">
        <f t="shared" si="241"/>
        <v>5</v>
      </c>
      <c r="KQ17" s="5">
        <v>2</v>
      </c>
      <c r="KR17" s="40">
        <f t="shared" si="445"/>
        <v>-3</v>
      </c>
      <c r="KT17" s="16">
        <v>16</v>
      </c>
      <c r="KU17" s="33"/>
      <c r="KV17" s="39">
        <f t="shared" si="242"/>
        <v>18</v>
      </c>
      <c r="KW17" s="5">
        <v>15</v>
      </c>
      <c r="KX17" s="40">
        <f t="shared" si="446"/>
        <v>-3</v>
      </c>
      <c r="KZ17" s="16">
        <v>6</v>
      </c>
      <c r="LA17" s="33">
        <v>1</v>
      </c>
      <c r="LB17" s="39">
        <f t="shared" si="243"/>
        <v>10</v>
      </c>
      <c r="LC17" s="5">
        <v>12</v>
      </c>
      <c r="LD17" s="40">
        <f t="shared" si="447"/>
        <v>2</v>
      </c>
      <c r="LF17" s="16">
        <v>18</v>
      </c>
      <c r="LG17" s="33"/>
      <c r="LH17" s="39">
        <f t="shared" si="244"/>
        <v>12</v>
      </c>
      <c r="LI17" s="5"/>
      <c r="LJ17" s="40">
        <f t="shared" si="448"/>
        <v>-12</v>
      </c>
      <c r="LL17" s="16">
        <v>32</v>
      </c>
      <c r="LM17" s="33"/>
      <c r="LN17" s="39">
        <f t="shared" si="245"/>
        <v>-14</v>
      </c>
      <c r="LO17" s="5"/>
      <c r="LP17" s="40">
        <f t="shared" si="449"/>
        <v>14</v>
      </c>
      <c r="LR17" s="16">
        <v>34</v>
      </c>
      <c r="LS17" s="33"/>
      <c r="LT17" s="39">
        <f t="shared" si="246"/>
        <v>-2</v>
      </c>
      <c r="LU17" s="5">
        <v>10</v>
      </c>
      <c r="LV17" s="40">
        <f t="shared" si="450"/>
        <v>12</v>
      </c>
      <c r="LX17" s="16">
        <v>15</v>
      </c>
      <c r="LY17" s="33">
        <v>1</v>
      </c>
      <c r="LZ17" s="39">
        <f t="shared" si="247"/>
        <v>19</v>
      </c>
      <c r="MA17" s="5">
        <v>8</v>
      </c>
      <c r="MB17" s="40">
        <f t="shared" si="451"/>
        <v>-11</v>
      </c>
      <c r="MD17" s="16">
        <v>24</v>
      </c>
      <c r="ME17" s="33">
        <v>1</v>
      </c>
      <c r="MF17" s="39">
        <f t="shared" si="248"/>
        <v>15</v>
      </c>
      <c r="MG17" s="5"/>
      <c r="MH17" s="40">
        <f t="shared" si="452"/>
        <v>-15</v>
      </c>
      <c r="MJ17" s="16">
        <v>15</v>
      </c>
      <c r="MK17" s="33">
        <v>1</v>
      </c>
      <c r="ML17" s="39">
        <f t="shared" si="249"/>
        <v>33</v>
      </c>
      <c r="MM17" s="5"/>
      <c r="MN17" s="40">
        <f t="shared" si="453"/>
        <v>-33</v>
      </c>
      <c r="MP17" s="16">
        <v>21</v>
      </c>
      <c r="MQ17" s="33"/>
      <c r="MR17" s="39">
        <f t="shared" si="250"/>
        <v>18</v>
      </c>
      <c r="MS17" s="5"/>
      <c r="MT17" s="40">
        <f t="shared" si="454"/>
        <v>-18</v>
      </c>
      <c r="MV17" s="16">
        <v>3</v>
      </c>
      <c r="MW17" s="33"/>
      <c r="MX17" s="39">
        <f t="shared" si="251"/>
        <v>18</v>
      </c>
      <c r="MY17" s="5"/>
      <c r="MZ17" s="40">
        <f t="shared" si="455"/>
        <v>-18</v>
      </c>
      <c r="NB17" s="16">
        <v>0</v>
      </c>
      <c r="NC17" s="33">
        <v>1</v>
      </c>
      <c r="ND17" s="39">
        <f t="shared" si="252"/>
        <v>3</v>
      </c>
      <c r="NE17" s="5"/>
      <c r="NF17" s="40">
        <f t="shared" si="456"/>
        <v>-3</v>
      </c>
      <c r="NH17" s="16">
        <v>16</v>
      </c>
      <c r="NI17" s="33">
        <v>1</v>
      </c>
      <c r="NJ17" s="39">
        <f t="shared" si="253"/>
        <v>8</v>
      </c>
      <c r="NK17" s="5"/>
      <c r="NL17" s="40">
        <f t="shared" si="576"/>
        <v>-8</v>
      </c>
      <c r="NN17" s="16">
        <v>32</v>
      </c>
      <c r="NO17" s="33"/>
      <c r="NP17" s="39">
        <f t="shared" si="254"/>
        <v>8</v>
      </c>
      <c r="NQ17" s="5"/>
      <c r="NR17" s="40">
        <f t="shared" si="577"/>
        <v>-8</v>
      </c>
      <c r="NT17" s="16">
        <v>15</v>
      </c>
      <c r="NU17" s="46">
        <v>2</v>
      </c>
      <c r="NV17" s="39">
        <f t="shared" si="255"/>
        <v>17</v>
      </c>
      <c r="NW17" s="5"/>
      <c r="NX17" s="40">
        <f t="shared" si="578"/>
        <v>-17</v>
      </c>
      <c r="NZ17" s="16">
        <v>32</v>
      </c>
      <c r="OA17" s="46"/>
      <c r="OB17" s="39">
        <f t="shared" si="256"/>
        <v>31</v>
      </c>
      <c r="OC17" s="5"/>
      <c r="OD17" s="40">
        <f t="shared" si="579"/>
        <v>-31</v>
      </c>
      <c r="OF17" s="16">
        <v>24</v>
      </c>
      <c r="OG17" s="33">
        <v>1</v>
      </c>
      <c r="OH17" s="39">
        <f t="shared" si="257"/>
        <v>8</v>
      </c>
      <c r="OI17" s="5"/>
      <c r="OJ17" s="40">
        <f t="shared" si="580"/>
        <v>-8</v>
      </c>
      <c r="OL17" s="16">
        <v>11</v>
      </c>
      <c r="OM17" s="33">
        <v>2</v>
      </c>
      <c r="ON17" s="39">
        <f t="shared" si="258"/>
        <v>37</v>
      </c>
      <c r="OO17" s="5"/>
      <c r="OP17" s="40">
        <f t="shared" si="581"/>
        <v>-37</v>
      </c>
      <c r="OR17" s="16">
        <v>24</v>
      </c>
      <c r="OS17" s="33">
        <v>1</v>
      </c>
      <c r="OT17" s="39">
        <f t="shared" si="259"/>
        <v>35</v>
      </c>
      <c r="OU17" s="5"/>
      <c r="OV17" s="40">
        <f t="shared" si="582"/>
        <v>-35</v>
      </c>
      <c r="OX17" s="16">
        <v>27</v>
      </c>
      <c r="OY17" s="33"/>
      <c r="OZ17" s="39">
        <f t="shared" si="260"/>
        <v>21</v>
      </c>
      <c r="PA17" s="5"/>
      <c r="PB17" s="40">
        <f t="shared" si="583"/>
        <v>-21</v>
      </c>
      <c r="PD17" s="16">
        <v>33</v>
      </c>
      <c r="PE17" s="33"/>
      <c r="PF17" s="39">
        <f t="shared" si="261"/>
        <v>-6</v>
      </c>
      <c r="PG17" s="5"/>
      <c r="PH17" s="40">
        <f t="shared" si="584"/>
        <v>6</v>
      </c>
      <c r="PJ17" s="16">
        <v>12</v>
      </c>
      <c r="PK17" s="33">
        <v>1</v>
      </c>
      <c r="PL17" s="39">
        <f t="shared" si="262"/>
        <v>21</v>
      </c>
      <c r="PM17" s="5"/>
      <c r="PN17" s="40">
        <f t="shared" si="585"/>
        <v>-21</v>
      </c>
      <c r="PP17" s="16">
        <v>26</v>
      </c>
      <c r="PQ17" s="33"/>
      <c r="PR17" s="39">
        <f t="shared" si="263"/>
        <v>10</v>
      </c>
      <c r="PS17" s="5"/>
      <c r="PT17" s="40">
        <f t="shared" si="586"/>
        <v>-10</v>
      </c>
      <c r="PV17" s="16">
        <v>16</v>
      </c>
      <c r="PW17" s="33">
        <v>1</v>
      </c>
      <c r="PX17" s="39">
        <f t="shared" si="264"/>
        <v>10</v>
      </c>
      <c r="PY17" s="5"/>
      <c r="PZ17" s="40">
        <f t="shared" si="587"/>
        <v>-10</v>
      </c>
      <c r="QB17" s="16">
        <v>29</v>
      </c>
      <c r="QC17" s="33">
        <v>1</v>
      </c>
      <c r="QD17" s="39">
        <f t="shared" si="265"/>
        <v>11</v>
      </c>
      <c r="QE17" s="5"/>
      <c r="QF17" s="40">
        <f t="shared" si="588"/>
        <v>-11</v>
      </c>
      <c r="QH17" s="16">
        <v>19</v>
      </c>
      <c r="QI17" s="33">
        <v>1</v>
      </c>
      <c r="QJ17" s="39">
        <f t="shared" si="266"/>
        <v>34</v>
      </c>
      <c r="QK17" s="5"/>
      <c r="QL17" s="40">
        <f t="shared" si="589"/>
        <v>-34</v>
      </c>
      <c r="QN17" s="16">
        <v>29</v>
      </c>
      <c r="QO17" s="33">
        <v>1</v>
      </c>
      <c r="QP17" s="39">
        <f t="shared" si="267"/>
        <v>14</v>
      </c>
      <c r="QQ17" s="5"/>
      <c r="QR17" s="40">
        <f t="shared" si="590"/>
        <v>-14</v>
      </c>
      <c r="QT17" s="16">
        <v>40</v>
      </c>
      <c r="QU17" s="33"/>
      <c r="QV17" s="39">
        <f t="shared" si="268"/>
        <v>13</v>
      </c>
      <c r="QW17" s="5"/>
      <c r="QX17" s="40">
        <f t="shared" si="591"/>
        <v>-13</v>
      </c>
      <c r="QZ17" s="16">
        <v>31</v>
      </c>
      <c r="RA17" s="33"/>
      <c r="RB17" s="39">
        <f t="shared" si="269"/>
        <v>9</v>
      </c>
      <c r="RC17" s="5"/>
      <c r="RD17" s="40">
        <f t="shared" si="592"/>
        <v>-9</v>
      </c>
      <c r="RF17" s="16">
        <v>27</v>
      </c>
      <c r="RG17" s="33"/>
      <c r="RH17" s="39">
        <f t="shared" si="270"/>
        <v>4</v>
      </c>
      <c r="RI17" s="5"/>
      <c r="RJ17" s="40">
        <f t="shared" si="593"/>
        <v>-4</v>
      </c>
      <c r="RL17" s="16">
        <v>18</v>
      </c>
      <c r="RM17" s="33">
        <v>1</v>
      </c>
      <c r="RN17" s="39">
        <f t="shared" si="271"/>
        <v>9</v>
      </c>
      <c r="RO17" s="5"/>
      <c r="RP17" s="40">
        <f t="shared" si="594"/>
        <v>-9</v>
      </c>
      <c r="RR17" s="16">
        <v>35</v>
      </c>
      <c r="RS17" s="33"/>
      <c r="RT17" s="39">
        <f t="shared" si="272"/>
        <v>7</v>
      </c>
      <c r="RU17" s="5"/>
      <c r="RV17" s="40">
        <f t="shared" si="595"/>
        <v>-7</v>
      </c>
      <c r="RX17" s="16">
        <v>28</v>
      </c>
      <c r="RY17" s="33"/>
      <c r="RZ17" s="39">
        <f t="shared" si="273"/>
        <v>7</v>
      </c>
      <c r="SA17" s="5"/>
      <c r="SB17" s="40">
        <f t="shared" si="596"/>
        <v>-7</v>
      </c>
      <c r="SD17" s="16">
        <v>20</v>
      </c>
      <c r="SE17" s="33"/>
      <c r="SF17" s="39">
        <f t="shared" si="274"/>
        <v>8</v>
      </c>
      <c r="SG17" s="5"/>
      <c r="SH17" s="40">
        <f t="shared" si="597"/>
        <v>-8</v>
      </c>
      <c r="SJ17" s="16">
        <v>12</v>
      </c>
      <c r="SK17" s="33">
        <v>1</v>
      </c>
      <c r="SL17" s="39">
        <f t="shared" si="275"/>
        <v>8</v>
      </c>
      <c r="SM17" s="5"/>
      <c r="SN17" s="40">
        <f t="shared" si="598"/>
        <v>-8</v>
      </c>
      <c r="SP17" s="16">
        <v>28</v>
      </c>
      <c r="SQ17" s="33">
        <v>1</v>
      </c>
      <c r="SR17" s="39">
        <f t="shared" si="276"/>
        <v>8</v>
      </c>
      <c r="SS17" s="5"/>
      <c r="ST17" s="40">
        <f t="shared" si="599"/>
        <v>-8</v>
      </c>
      <c r="SV17" s="16">
        <v>35</v>
      </c>
      <c r="SW17" s="33"/>
      <c r="SX17" s="39">
        <f t="shared" si="277"/>
        <v>17</v>
      </c>
      <c r="SY17" s="5"/>
      <c r="SZ17" s="40">
        <f t="shared" si="600"/>
        <v>-17</v>
      </c>
      <c r="TB17" s="16">
        <v>17</v>
      </c>
      <c r="TC17" s="33">
        <v>1</v>
      </c>
      <c r="TD17" s="39">
        <f t="shared" si="278"/>
        <v>18</v>
      </c>
      <c r="TE17" s="5"/>
      <c r="TF17" s="40">
        <f t="shared" si="601"/>
        <v>-18</v>
      </c>
      <c r="TH17" s="16">
        <v>24</v>
      </c>
      <c r="TI17" s="33">
        <v>1</v>
      </c>
      <c r="TJ17" s="39">
        <f t="shared" si="279"/>
        <v>17</v>
      </c>
      <c r="TK17" s="5"/>
      <c r="TL17" s="40">
        <f t="shared" si="602"/>
        <v>-17</v>
      </c>
      <c r="TN17" s="16">
        <v>36</v>
      </c>
      <c r="TO17" s="33"/>
      <c r="TP17" s="39">
        <f t="shared" si="280"/>
        <v>12</v>
      </c>
      <c r="TQ17" s="5"/>
      <c r="TR17" s="40">
        <f t="shared" si="603"/>
        <v>-12</v>
      </c>
      <c r="TT17" s="16">
        <v>19</v>
      </c>
      <c r="TU17" s="33">
        <v>2</v>
      </c>
      <c r="TV17" s="39">
        <f t="shared" si="281"/>
        <v>17</v>
      </c>
      <c r="TW17" s="5"/>
      <c r="TX17" s="40">
        <f t="shared" si="604"/>
        <v>-17</v>
      </c>
      <c r="TZ17" s="16">
        <v>47</v>
      </c>
      <c r="UA17" s="33"/>
      <c r="UB17" s="39">
        <f t="shared" si="282"/>
        <v>20</v>
      </c>
      <c r="UC17" s="5"/>
      <c r="UD17" s="40">
        <f t="shared" si="605"/>
        <v>-20</v>
      </c>
      <c r="UF17" s="16">
        <v>56</v>
      </c>
      <c r="UG17" s="33"/>
      <c r="UH17" s="39">
        <f t="shared" si="283"/>
        <v>-9</v>
      </c>
      <c r="UI17" s="5"/>
      <c r="UJ17" s="40">
        <f t="shared" si="606"/>
        <v>9</v>
      </c>
      <c r="UL17" s="16">
        <v>23</v>
      </c>
      <c r="UM17" s="33">
        <v>1</v>
      </c>
      <c r="UN17" s="39">
        <f t="shared" si="284"/>
        <v>33</v>
      </c>
      <c r="UO17" s="5"/>
      <c r="UP17" s="40">
        <f t="shared" si="607"/>
        <v>-33</v>
      </c>
      <c r="UR17" s="16">
        <v>14</v>
      </c>
      <c r="US17" s="33">
        <v>1</v>
      </c>
      <c r="UT17" s="39">
        <f t="shared" si="285"/>
        <v>33</v>
      </c>
      <c r="UU17" s="5"/>
      <c r="UV17" s="40">
        <f t="shared" si="608"/>
        <v>-33</v>
      </c>
      <c r="UX17" s="16">
        <v>44</v>
      </c>
      <c r="UY17" s="33"/>
      <c r="UZ17" s="39">
        <f t="shared" si="286"/>
        <v>-6</v>
      </c>
      <c r="VA17" s="5"/>
      <c r="VB17" s="40">
        <f t="shared" si="609"/>
        <v>6</v>
      </c>
      <c r="VD17" s="16">
        <v>12</v>
      </c>
      <c r="VE17" s="33">
        <v>1</v>
      </c>
      <c r="VF17" s="39">
        <f t="shared" si="287"/>
        <v>32</v>
      </c>
      <c r="VG17" s="5"/>
      <c r="VH17" s="40">
        <f t="shared" si="610"/>
        <v>-32</v>
      </c>
      <c r="VJ17" s="16">
        <v>41</v>
      </c>
      <c r="VK17" s="33"/>
      <c r="VL17" s="39">
        <f t="shared" si="288"/>
        <v>-5</v>
      </c>
      <c r="VM17" s="5"/>
      <c r="VN17" s="40">
        <f t="shared" si="611"/>
        <v>5</v>
      </c>
      <c r="VP17" s="16">
        <v>34</v>
      </c>
      <c r="VQ17" s="33"/>
      <c r="VR17" s="39">
        <f t="shared" si="289"/>
        <v>7</v>
      </c>
      <c r="VS17" s="5"/>
      <c r="VT17" s="40">
        <f t="shared" si="612"/>
        <v>-7</v>
      </c>
      <c r="VV17" s="16">
        <v>17</v>
      </c>
      <c r="VW17" s="33">
        <v>2</v>
      </c>
      <c r="VX17" s="39">
        <f t="shared" si="290"/>
        <v>17</v>
      </c>
      <c r="VY17" s="5"/>
      <c r="VZ17" s="40">
        <f t="shared" si="613"/>
        <v>-17</v>
      </c>
      <c r="WB17" s="16">
        <v>43</v>
      </c>
      <c r="WC17" s="33"/>
      <c r="WD17" s="39">
        <f t="shared" si="291"/>
        <v>22</v>
      </c>
      <c r="WE17" s="5"/>
      <c r="WF17" s="40">
        <f t="shared" si="495"/>
        <v>22</v>
      </c>
      <c r="WH17" s="16">
        <v>33</v>
      </c>
      <c r="WI17" s="33">
        <v>1</v>
      </c>
      <c r="WJ17" s="39">
        <f t="shared" si="292"/>
        <v>10</v>
      </c>
      <c r="WK17" s="5"/>
      <c r="WL17" s="40">
        <f t="shared" si="496"/>
        <v>10</v>
      </c>
      <c r="WN17" s="16">
        <v>38</v>
      </c>
      <c r="WO17" s="33"/>
      <c r="WP17" s="39">
        <f t="shared" si="293"/>
        <v>19</v>
      </c>
      <c r="WQ17" s="5"/>
      <c r="WR17" s="40">
        <f t="shared" si="497"/>
        <v>19</v>
      </c>
      <c r="WT17" s="16">
        <v>22</v>
      </c>
      <c r="WU17" s="33">
        <v>1</v>
      </c>
      <c r="WV17" s="39">
        <f t="shared" si="294"/>
        <v>16</v>
      </c>
      <c r="WW17" s="5"/>
      <c r="WX17" s="40">
        <f t="shared" si="498"/>
        <v>16</v>
      </c>
      <c r="WZ17" s="16">
        <v>27</v>
      </c>
      <c r="XA17" s="33">
        <v>1</v>
      </c>
      <c r="XB17" s="39">
        <f t="shared" si="295"/>
        <v>19</v>
      </c>
      <c r="XC17" s="5"/>
      <c r="XD17" s="40">
        <f t="shared" si="499"/>
        <v>19</v>
      </c>
      <c r="XF17" s="16">
        <v>28</v>
      </c>
      <c r="XG17" s="33">
        <v>1</v>
      </c>
      <c r="XH17" s="39">
        <f t="shared" si="296"/>
        <v>23</v>
      </c>
      <c r="XI17" s="5"/>
      <c r="XJ17" s="40">
        <f t="shared" si="500"/>
        <v>23</v>
      </c>
      <c r="XL17" s="16">
        <v>38</v>
      </c>
      <c r="XM17" s="33"/>
      <c r="XN17" s="39">
        <f t="shared" si="297"/>
        <v>14</v>
      </c>
      <c r="XO17" s="5"/>
      <c r="XP17" s="40">
        <f t="shared" si="501"/>
        <v>14</v>
      </c>
      <c r="XR17" s="16">
        <v>31</v>
      </c>
      <c r="XS17" s="33"/>
      <c r="XT17" s="39">
        <f t="shared" si="298"/>
        <v>7</v>
      </c>
      <c r="XU17" s="5"/>
      <c r="XV17" s="40">
        <f t="shared" si="502"/>
        <v>7</v>
      </c>
      <c r="XX17" s="16">
        <v>17</v>
      </c>
      <c r="XY17" s="33">
        <v>3</v>
      </c>
      <c r="XZ17" s="39">
        <f t="shared" si="299"/>
        <v>14</v>
      </c>
      <c r="YA17" s="5"/>
      <c r="YB17" s="40">
        <f t="shared" si="503"/>
        <v>14</v>
      </c>
      <c r="YD17" s="16">
        <v>21</v>
      </c>
      <c r="YE17" s="33">
        <v>1</v>
      </c>
      <c r="YF17" s="39">
        <f t="shared" si="300"/>
        <v>68</v>
      </c>
      <c r="YG17" s="5"/>
      <c r="YH17" s="40">
        <f t="shared" si="504"/>
        <v>68</v>
      </c>
      <c r="YJ17" s="16">
        <v>35</v>
      </c>
      <c r="YK17" s="33"/>
      <c r="YL17" s="39">
        <f t="shared" si="301"/>
        <v>10</v>
      </c>
      <c r="YM17" s="5"/>
      <c r="YN17" s="40">
        <f t="shared" si="505"/>
        <v>10</v>
      </c>
      <c r="YP17" s="16">
        <v>37</v>
      </c>
      <c r="YQ17" s="33"/>
      <c r="YR17" s="39">
        <f t="shared" si="302"/>
        <v>-2</v>
      </c>
      <c r="YS17" s="5"/>
      <c r="YT17" s="40">
        <f t="shared" si="506"/>
        <v>-2</v>
      </c>
      <c r="YV17" s="16">
        <v>29</v>
      </c>
      <c r="YW17" s="33"/>
      <c r="YX17" s="39">
        <f t="shared" si="303"/>
        <v>8</v>
      </c>
      <c r="YY17" s="5"/>
      <c r="YZ17" s="40">
        <f t="shared" si="507"/>
        <v>8</v>
      </c>
      <c r="ZB17" s="16">
        <v>11</v>
      </c>
      <c r="ZC17" s="33">
        <v>1</v>
      </c>
      <c r="ZD17" s="39">
        <f t="shared" si="304"/>
        <v>18</v>
      </c>
      <c r="ZE17" s="5"/>
      <c r="ZF17" s="40">
        <f t="shared" si="508"/>
        <v>18</v>
      </c>
      <c r="ZH17" s="16">
        <v>14</v>
      </c>
      <c r="ZI17" s="33">
        <v>1</v>
      </c>
      <c r="ZJ17" s="39">
        <f t="shared" si="305"/>
        <v>21</v>
      </c>
      <c r="ZK17" s="5"/>
      <c r="ZL17" s="40">
        <f t="shared" si="509"/>
        <v>21</v>
      </c>
      <c r="ZN17" s="16">
        <v>26</v>
      </c>
      <c r="ZO17" s="33">
        <v>1</v>
      </c>
      <c r="ZP17" s="39">
        <f t="shared" si="306"/>
        <v>12</v>
      </c>
      <c r="ZQ17" s="5"/>
      <c r="ZR17" s="40">
        <f t="shared" si="510"/>
        <v>12</v>
      </c>
      <c r="ZT17" s="16">
        <v>44</v>
      </c>
      <c r="ZU17" s="33"/>
      <c r="ZV17" s="39">
        <f t="shared" si="307"/>
        <v>6</v>
      </c>
      <c r="ZW17" s="5"/>
      <c r="ZX17" s="40">
        <f t="shared" si="511"/>
        <v>6</v>
      </c>
      <c r="ZZ17" s="16">
        <v>28</v>
      </c>
      <c r="AAA17" s="33">
        <v>1</v>
      </c>
      <c r="AAB17" s="39">
        <f t="shared" si="308"/>
        <v>16</v>
      </c>
      <c r="AAC17" s="5"/>
      <c r="AAD17" s="40">
        <f t="shared" si="512"/>
        <v>16</v>
      </c>
      <c r="AAF17" s="16">
        <v>38</v>
      </c>
      <c r="AAG17" s="33"/>
      <c r="AAH17" s="39">
        <f t="shared" si="309"/>
        <v>14</v>
      </c>
      <c r="AAI17" s="5"/>
      <c r="AAJ17" s="40">
        <f t="shared" si="513"/>
        <v>14</v>
      </c>
      <c r="AAL17" s="16">
        <v>23</v>
      </c>
      <c r="AAM17" s="33">
        <v>1</v>
      </c>
      <c r="AAN17" s="39">
        <f t="shared" si="310"/>
        <v>15</v>
      </c>
      <c r="AAO17" s="5"/>
      <c r="AAP17" s="40">
        <f t="shared" si="514"/>
        <v>15</v>
      </c>
      <c r="AAR17" s="16">
        <v>33</v>
      </c>
      <c r="AAS17" s="33"/>
      <c r="AAT17" s="39">
        <f t="shared" si="311"/>
        <v>14</v>
      </c>
      <c r="AAU17" s="5"/>
      <c r="AAV17" s="40">
        <f t="shared" si="515"/>
        <v>14</v>
      </c>
      <c r="AAX17" s="16">
        <v>5</v>
      </c>
      <c r="AAY17" s="33">
        <v>2</v>
      </c>
      <c r="AAZ17" s="39">
        <f t="shared" si="312"/>
        <v>28</v>
      </c>
      <c r="ABA17" s="5"/>
      <c r="ABB17" s="40">
        <f t="shared" si="516"/>
        <v>28</v>
      </c>
      <c r="ABD17" s="16">
        <v>32</v>
      </c>
      <c r="ABE17" s="33"/>
      <c r="ABF17" s="39">
        <f t="shared" si="313"/>
        <v>21</v>
      </c>
      <c r="ABG17" s="5"/>
      <c r="ABH17" s="40">
        <f t="shared" si="517"/>
        <v>21</v>
      </c>
      <c r="ABJ17" s="16">
        <v>19</v>
      </c>
      <c r="ABK17" s="33">
        <v>1</v>
      </c>
      <c r="ABL17" s="39">
        <f t="shared" si="314"/>
        <v>13</v>
      </c>
      <c r="ABM17" s="5"/>
      <c r="ABN17" s="40">
        <f t="shared" si="518"/>
        <v>13</v>
      </c>
      <c r="ABP17" s="16">
        <v>30</v>
      </c>
      <c r="ABQ17" s="33"/>
      <c r="ABR17" s="39">
        <f t="shared" si="315"/>
        <v>13</v>
      </c>
      <c r="ABS17" s="5"/>
      <c r="ABT17" s="40">
        <f t="shared" si="519"/>
        <v>13</v>
      </c>
      <c r="ABV17" s="16">
        <v>21</v>
      </c>
      <c r="ABW17" s="33">
        <v>1</v>
      </c>
      <c r="ABX17" s="39">
        <f t="shared" si="316"/>
        <v>9</v>
      </c>
      <c r="ABY17" s="5"/>
      <c r="ABZ17" s="40">
        <f t="shared" si="520"/>
        <v>9</v>
      </c>
      <c r="ACB17" s="16">
        <v>10</v>
      </c>
      <c r="ACC17" s="33">
        <v>1</v>
      </c>
      <c r="ACD17" s="39">
        <f t="shared" si="317"/>
        <v>35</v>
      </c>
      <c r="ACE17" s="5"/>
      <c r="ACF17" s="40">
        <f t="shared" si="521"/>
        <v>35</v>
      </c>
      <c r="ACH17" s="16">
        <v>6</v>
      </c>
      <c r="ACI17" s="33"/>
      <c r="ACJ17" s="39">
        <f t="shared" si="318"/>
        <v>28</v>
      </c>
      <c r="ACK17" s="5"/>
      <c r="ACL17" s="40">
        <f t="shared" si="522"/>
        <v>28</v>
      </c>
      <c r="ACN17" s="16">
        <v>0</v>
      </c>
      <c r="ACO17" s="33">
        <v>1</v>
      </c>
      <c r="ACP17" s="39">
        <f t="shared" si="319"/>
        <v>6</v>
      </c>
      <c r="ACQ17" s="5"/>
      <c r="ACR17" s="40">
        <f t="shared" si="523"/>
        <v>6</v>
      </c>
      <c r="ACT17" s="16">
        <v>0</v>
      </c>
      <c r="ACU17" s="33">
        <v>1</v>
      </c>
      <c r="ACV17" s="39">
        <f t="shared" si="320"/>
        <v>24</v>
      </c>
      <c r="ACW17" s="5"/>
      <c r="ACX17" s="40">
        <f t="shared" si="524"/>
        <v>24</v>
      </c>
      <c r="ACZ17" s="16">
        <v>0</v>
      </c>
      <c r="ADA17" s="33">
        <v>2</v>
      </c>
      <c r="ADB17" s="39">
        <f t="shared" si="321"/>
        <v>24</v>
      </c>
      <c r="ADC17" s="5"/>
      <c r="ADD17" s="40">
        <f t="shared" si="525"/>
        <v>24</v>
      </c>
      <c r="ADF17" s="16">
        <v>39</v>
      </c>
      <c r="ADG17" s="33"/>
      <c r="ADH17" s="39">
        <f t="shared" si="322"/>
        <v>9</v>
      </c>
      <c r="ADI17" s="5"/>
      <c r="ADJ17" s="40">
        <f t="shared" si="526"/>
        <v>9</v>
      </c>
      <c r="ADL17" s="16">
        <v>35</v>
      </c>
      <c r="ADM17" s="33"/>
      <c r="ADN17" s="39">
        <f t="shared" si="323"/>
        <v>4</v>
      </c>
      <c r="ADO17" s="5"/>
      <c r="ADP17" s="40">
        <f t="shared" si="527"/>
        <v>4</v>
      </c>
      <c r="ADR17" s="16">
        <v>28</v>
      </c>
      <c r="ADS17" s="33"/>
      <c r="ADT17" s="39">
        <f t="shared" si="324"/>
        <v>7</v>
      </c>
      <c r="ADU17" s="5"/>
      <c r="ADV17" s="40">
        <f t="shared" si="528"/>
        <v>7</v>
      </c>
      <c r="ADX17" s="16">
        <v>16</v>
      </c>
      <c r="ADY17" s="33">
        <v>1</v>
      </c>
      <c r="ADZ17" s="39">
        <f t="shared" si="325"/>
        <v>12</v>
      </c>
      <c r="AEA17" s="5"/>
      <c r="AEB17" s="40">
        <f t="shared" si="529"/>
        <v>12</v>
      </c>
      <c r="AED17" s="16">
        <v>21</v>
      </c>
      <c r="AEE17" s="33">
        <v>1</v>
      </c>
      <c r="AEF17" s="39">
        <f t="shared" si="326"/>
        <v>19</v>
      </c>
      <c r="AEG17" s="5"/>
      <c r="AEH17" s="40">
        <f t="shared" si="530"/>
        <v>19</v>
      </c>
      <c r="AEJ17" s="16">
        <v>41</v>
      </c>
      <c r="AEK17" s="33"/>
      <c r="AEL17" s="39">
        <f t="shared" si="327"/>
        <v>4</v>
      </c>
      <c r="AEM17" s="5"/>
      <c r="AEN17" s="40">
        <f t="shared" si="531"/>
        <v>4</v>
      </c>
      <c r="AEP17" s="16">
        <v>32</v>
      </c>
      <c r="AEQ17" s="33"/>
      <c r="AER17" s="39">
        <f t="shared" si="328"/>
        <v>9</v>
      </c>
      <c r="AES17" s="5"/>
      <c r="AET17" s="40">
        <f t="shared" si="532"/>
        <v>9</v>
      </c>
      <c r="AEV17" s="16">
        <v>24</v>
      </c>
      <c r="AEW17" s="33"/>
      <c r="AEX17" s="39">
        <f t="shared" si="329"/>
        <v>8</v>
      </c>
      <c r="AEY17" s="5"/>
      <c r="AEZ17" s="40">
        <f t="shared" si="533"/>
        <v>8</v>
      </c>
      <c r="AFB17" s="16">
        <v>21</v>
      </c>
      <c r="AFC17" s="33">
        <v>1</v>
      </c>
      <c r="AFD17" s="39">
        <f t="shared" si="330"/>
        <v>3</v>
      </c>
      <c r="AFE17" s="5"/>
      <c r="AFF17" s="40">
        <f t="shared" si="534"/>
        <v>3</v>
      </c>
      <c r="AFH17" s="16">
        <v>40</v>
      </c>
      <c r="AFI17" s="33"/>
      <c r="AFJ17" s="39">
        <f t="shared" si="331"/>
        <v>5</v>
      </c>
      <c r="AFK17" s="5"/>
      <c r="AFL17" s="40">
        <f t="shared" si="535"/>
        <v>5</v>
      </c>
      <c r="AFN17" s="16">
        <v>31</v>
      </c>
      <c r="AFO17" s="33"/>
      <c r="AFP17" s="39">
        <f t="shared" si="332"/>
        <v>9</v>
      </c>
      <c r="AFQ17" s="5"/>
      <c r="AFR17" s="40">
        <f t="shared" si="536"/>
        <v>9</v>
      </c>
      <c r="AFT17" s="16">
        <v>25</v>
      </c>
      <c r="AFU17" s="33"/>
      <c r="AFV17" s="39">
        <f t="shared" si="333"/>
        <v>6</v>
      </c>
      <c r="AFW17" s="5"/>
      <c r="AFX17" s="40">
        <f t="shared" si="537"/>
        <v>6</v>
      </c>
      <c r="AFZ17" s="16">
        <v>17</v>
      </c>
      <c r="AGA17" s="33">
        <v>1</v>
      </c>
      <c r="AGB17" s="39">
        <f t="shared" si="334"/>
        <v>8</v>
      </c>
      <c r="AGC17" s="5"/>
      <c r="AGD17" s="40">
        <f t="shared" si="538"/>
        <v>8</v>
      </c>
      <c r="AGF17" s="16">
        <v>27</v>
      </c>
      <c r="AGG17" s="33">
        <v>1</v>
      </c>
      <c r="AGH17" s="39">
        <f t="shared" si="335"/>
        <v>14</v>
      </c>
      <c r="AGI17" s="5"/>
      <c r="AGJ17" s="40">
        <f t="shared" si="539"/>
        <v>14</v>
      </c>
      <c r="AGL17" s="16">
        <v>45</v>
      </c>
      <c r="AGM17" s="33"/>
      <c r="AGN17" s="39">
        <f t="shared" si="336"/>
        <v>6</v>
      </c>
      <c r="AGO17" s="5"/>
      <c r="AGP17" s="40">
        <f t="shared" si="540"/>
        <v>6</v>
      </c>
      <c r="AGR17" s="16">
        <v>37</v>
      </c>
      <c r="AGS17" s="33"/>
      <c r="AGT17" s="39">
        <f t="shared" si="337"/>
        <v>8</v>
      </c>
      <c r="AGU17" s="5"/>
      <c r="AGV17" s="40">
        <f t="shared" si="541"/>
        <v>8</v>
      </c>
      <c r="AGX17" s="16">
        <v>28</v>
      </c>
      <c r="AGY17" s="33"/>
      <c r="AGZ17" s="39">
        <f t="shared" si="338"/>
        <v>9</v>
      </c>
      <c r="AHA17" s="5"/>
      <c r="AHB17" s="40">
        <f t="shared" si="542"/>
        <v>9</v>
      </c>
      <c r="AHD17" s="16">
        <v>16</v>
      </c>
      <c r="AHE17" s="33"/>
      <c r="AHF17" s="39">
        <f t="shared" si="339"/>
        <v>12</v>
      </c>
      <c r="AHG17" s="5"/>
      <c r="AHH17" s="40">
        <f t="shared" si="543"/>
        <v>12</v>
      </c>
      <c r="AHJ17" s="16">
        <v>8</v>
      </c>
      <c r="AHK17" s="33">
        <v>1</v>
      </c>
      <c r="AHL17" s="39">
        <f t="shared" si="340"/>
        <v>8</v>
      </c>
      <c r="AHM17" s="5"/>
      <c r="AHN17" s="40">
        <f t="shared" si="544"/>
        <v>8</v>
      </c>
      <c r="AHP17" s="16">
        <v>25</v>
      </c>
      <c r="AHQ17" s="33">
        <v>1</v>
      </c>
      <c r="AHR17" s="39">
        <f t="shared" si="341"/>
        <v>7</v>
      </c>
      <c r="AHS17" s="5"/>
      <c r="AHT17" s="40">
        <f t="shared" si="545"/>
        <v>7</v>
      </c>
      <c r="AHV17" s="16">
        <v>38</v>
      </c>
      <c r="AHW17" s="33"/>
      <c r="AHX17" s="39">
        <f t="shared" si="342"/>
        <v>11</v>
      </c>
      <c r="AHY17" s="5"/>
      <c r="AHZ17" s="40">
        <f t="shared" si="546"/>
        <v>11</v>
      </c>
      <c r="AIB17" s="16">
        <v>24</v>
      </c>
      <c r="AIC17" s="33">
        <v>1</v>
      </c>
      <c r="AID17" s="39">
        <f t="shared" si="343"/>
        <v>14</v>
      </c>
      <c r="AIE17" s="5"/>
      <c r="AIF17" s="40">
        <f t="shared" si="547"/>
        <v>14</v>
      </c>
      <c r="AIH17" s="16">
        <v>38</v>
      </c>
      <c r="AII17" s="33"/>
      <c r="AIJ17" s="39">
        <f t="shared" si="344"/>
        <v>10</v>
      </c>
      <c r="AIK17" s="5"/>
      <c r="AIL17" s="40">
        <f t="shared" si="548"/>
        <v>10</v>
      </c>
      <c r="AIN17" s="16">
        <v>31</v>
      </c>
      <c r="AIO17" s="33"/>
      <c r="AIP17" s="39">
        <f t="shared" si="345"/>
        <v>7</v>
      </c>
      <c r="AIQ17" s="5"/>
      <c r="AIR17" s="40">
        <f t="shared" si="549"/>
        <v>7</v>
      </c>
      <c r="AIT17" s="16">
        <v>22</v>
      </c>
      <c r="AIU17" s="33">
        <v>1</v>
      </c>
      <c r="AIV17" s="39">
        <f t="shared" si="346"/>
        <v>9</v>
      </c>
      <c r="AIW17" s="5"/>
      <c r="AIX17" s="40">
        <f t="shared" si="550"/>
        <v>9</v>
      </c>
      <c r="AIZ17" s="16">
        <v>38</v>
      </c>
      <c r="AJA17" s="33"/>
      <c r="AJB17" s="39">
        <f t="shared" si="347"/>
        <v>8</v>
      </c>
      <c r="AJC17" s="5"/>
      <c r="AJD17" s="40">
        <f t="shared" si="551"/>
        <v>8</v>
      </c>
      <c r="AJF17" s="16">
        <v>39</v>
      </c>
      <c r="AJG17" s="33"/>
      <c r="AJH17" s="39">
        <f t="shared" si="348"/>
        <v>-1</v>
      </c>
      <c r="AJI17" s="5"/>
      <c r="AJJ17" s="40">
        <f t="shared" si="552"/>
        <v>-1</v>
      </c>
      <c r="AJL17" s="16">
        <v>24</v>
      </c>
      <c r="AJM17" s="33">
        <v>1</v>
      </c>
      <c r="AJN17" s="39">
        <f t="shared" si="349"/>
        <v>15</v>
      </c>
      <c r="AJO17" s="5"/>
      <c r="AJP17" s="40">
        <f t="shared" si="553"/>
        <v>15</v>
      </c>
      <c r="AJR17" s="16">
        <v>42</v>
      </c>
      <c r="AJS17" s="33"/>
      <c r="AJT17" s="39">
        <f t="shared" si="350"/>
        <v>6</v>
      </c>
      <c r="AJU17" s="5"/>
      <c r="AJV17" s="40">
        <f t="shared" si="554"/>
        <v>6</v>
      </c>
      <c r="AJX17" s="16">
        <v>28</v>
      </c>
      <c r="AJY17" s="33"/>
      <c r="AJZ17" s="39">
        <f t="shared" si="351"/>
        <v>14</v>
      </c>
      <c r="AKA17" s="5"/>
      <c r="AKB17" s="40">
        <f t="shared" si="555"/>
        <v>14</v>
      </c>
      <c r="AKD17" s="16">
        <v>31</v>
      </c>
      <c r="AKE17" s="33"/>
      <c r="AKF17" s="39">
        <f t="shared" si="352"/>
        <v>-3</v>
      </c>
      <c r="AKG17" s="5"/>
      <c r="AKH17" s="40">
        <f t="shared" si="556"/>
        <v>-3</v>
      </c>
      <c r="AKJ17" s="16">
        <v>19</v>
      </c>
      <c r="AKK17" s="33">
        <v>1</v>
      </c>
      <c r="AKL17" s="39">
        <f t="shared" si="353"/>
        <v>12</v>
      </c>
      <c r="AKM17" s="5"/>
      <c r="AKN17" s="40">
        <f t="shared" si="557"/>
        <v>12</v>
      </c>
      <c r="AKP17" s="16">
        <v>42</v>
      </c>
      <c r="AKQ17" s="33"/>
      <c r="AKR17" s="39">
        <f t="shared" si="354"/>
        <v>1</v>
      </c>
      <c r="AKS17" s="5"/>
      <c r="AKT17" s="40">
        <f t="shared" si="558"/>
        <v>1</v>
      </c>
      <c r="AKV17" s="16">
        <v>37</v>
      </c>
      <c r="AKW17" s="33"/>
      <c r="AKX17" s="39">
        <f t="shared" si="355"/>
        <v>5</v>
      </c>
      <c r="AKY17" s="5"/>
      <c r="AKZ17" s="40">
        <f t="shared" si="559"/>
        <v>5</v>
      </c>
      <c r="ALB17" s="16">
        <v>33</v>
      </c>
      <c r="ALC17" s="33"/>
      <c r="ALD17" s="39">
        <f t="shared" si="356"/>
        <v>4</v>
      </c>
      <c r="ALE17" s="5"/>
      <c r="ALF17" s="40">
        <f t="shared" si="560"/>
        <v>4</v>
      </c>
      <c r="ALH17" s="16">
        <v>27</v>
      </c>
      <c r="ALI17" s="33"/>
      <c r="ALJ17" s="39">
        <f t="shared" si="357"/>
        <v>6</v>
      </c>
      <c r="ALK17" s="5"/>
      <c r="ALL17" s="40">
        <f t="shared" si="561"/>
        <v>6</v>
      </c>
      <c r="ALN17" s="16">
        <v>24</v>
      </c>
      <c r="ALO17" s="33"/>
      <c r="ALP17" s="39">
        <f t="shared" si="358"/>
        <v>3</v>
      </c>
      <c r="ALQ17" s="5"/>
      <c r="ALR17" s="40">
        <f t="shared" si="562"/>
        <v>3</v>
      </c>
      <c r="ALT17" s="16">
        <v>15</v>
      </c>
      <c r="ALU17" s="33">
        <v>1</v>
      </c>
      <c r="ALV17" s="39">
        <f t="shared" si="359"/>
        <v>9</v>
      </c>
      <c r="ALW17" s="5"/>
      <c r="ALX17" s="40">
        <f t="shared" si="563"/>
        <v>9</v>
      </c>
      <c r="ALZ17" s="16">
        <v>22</v>
      </c>
      <c r="AMA17" s="33"/>
      <c r="AMB17" s="39">
        <f t="shared" si="360"/>
        <v>17</v>
      </c>
      <c r="AMC17" s="5"/>
      <c r="AMD17" s="40">
        <f t="shared" si="564"/>
        <v>17</v>
      </c>
      <c r="AMF17" s="16">
        <v>14</v>
      </c>
      <c r="AMG17" s="33"/>
      <c r="AMH17" s="39">
        <f t="shared" si="361"/>
        <v>8</v>
      </c>
      <c r="AMI17" s="5"/>
      <c r="AMJ17" s="40">
        <f t="shared" si="565"/>
        <v>8</v>
      </c>
      <c r="AML17" s="16">
        <v>8</v>
      </c>
      <c r="AMM17" s="33">
        <v>1</v>
      </c>
      <c r="AMN17" s="39">
        <f t="shared" si="362"/>
        <v>6</v>
      </c>
      <c r="AMO17" s="5"/>
      <c r="AMP17" s="40">
        <f t="shared" si="566"/>
        <v>6</v>
      </c>
      <c r="AMR17" s="16">
        <v>26</v>
      </c>
      <c r="AMS17" s="33"/>
      <c r="AMT17" s="39">
        <f t="shared" si="363"/>
        <v>6</v>
      </c>
      <c r="AMU17" s="5"/>
      <c r="AMV17" s="40">
        <f t="shared" si="567"/>
        <v>6</v>
      </c>
      <c r="AMX17" s="16">
        <v>24</v>
      </c>
      <c r="AMY17" s="33">
        <v>1</v>
      </c>
      <c r="AMZ17" s="39">
        <f t="shared" si="364"/>
        <v>2</v>
      </c>
      <c r="ANA17" s="5"/>
      <c r="ANB17" s="40">
        <f t="shared" si="568"/>
        <v>2</v>
      </c>
      <c r="AND17" s="16">
        <v>39</v>
      </c>
      <c r="ANE17" s="33"/>
      <c r="ANF17" s="39">
        <f t="shared" si="365"/>
        <v>9</v>
      </c>
      <c r="ANG17" s="5"/>
      <c r="ANH17" s="40">
        <f t="shared" si="569"/>
        <v>9</v>
      </c>
      <c r="ANJ17" s="16">
        <v>30</v>
      </c>
      <c r="ANK17" s="33"/>
      <c r="ANL17" s="39">
        <f t="shared" si="366"/>
        <v>9</v>
      </c>
      <c r="ANM17" s="5"/>
      <c r="ANN17" s="40">
        <f t="shared" si="570"/>
        <v>9</v>
      </c>
      <c r="ANP17" s="16">
        <v>22</v>
      </c>
      <c r="ANQ17" s="33"/>
      <c r="ANR17" s="39">
        <f t="shared" si="367"/>
        <v>8</v>
      </c>
      <c r="ANS17" s="5"/>
      <c r="ANT17" s="40">
        <f t="shared" si="571"/>
        <v>8</v>
      </c>
      <c r="ANV17" s="16">
        <v>15</v>
      </c>
      <c r="ANW17" s="33">
        <v>1</v>
      </c>
      <c r="ANX17" s="39">
        <f t="shared" si="368"/>
        <v>7</v>
      </c>
      <c r="ANY17" s="5"/>
      <c r="ANZ17" s="40">
        <f t="shared" si="572"/>
        <v>7</v>
      </c>
      <c r="AOB17" s="16"/>
      <c r="AOC17" s="33"/>
      <c r="AOD17" s="39">
        <f t="shared" si="369"/>
        <v>39</v>
      </c>
      <c r="AOE17" s="5"/>
      <c r="AOF17" s="40">
        <f t="shared" si="573"/>
        <v>39</v>
      </c>
      <c r="AOH17" s="16"/>
      <c r="AOI17" s="33"/>
      <c r="AOJ17" s="39">
        <f t="shared" si="370"/>
        <v>0</v>
      </c>
      <c r="AOK17" s="5"/>
      <c r="AOL17" s="40">
        <f t="shared" si="574"/>
        <v>0</v>
      </c>
      <c r="AON17" s="16"/>
      <c r="AOO17" s="33"/>
      <c r="AOP17" s="39">
        <f t="shared" si="371"/>
        <v>0</v>
      </c>
      <c r="AOQ17" s="5"/>
      <c r="AOR17" s="40">
        <f t="shared" si="575"/>
        <v>0</v>
      </c>
    </row>
    <row r="18" spans="1:1024 1026:1084" x14ac:dyDescent="0.25">
      <c r="O18" s="20"/>
      <c r="P18" s="22"/>
      <c r="U18" s="20"/>
      <c r="V18" s="22"/>
      <c r="AA18" s="20"/>
      <c r="AB18" s="22"/>
      <c r="AG18" s="20"/>
      <c r="AH18" s="22"/>
      <c r="AM18" s="20"/>
      <c r="AN18" s="22"/>
      <c r="AS18" s="20"/>
      <c r="AT18" s="22"/>
      <c r="AY18" s="20"/>
      <c r="AZ18" s="22"/>
      <c r="BE18" s="20"/>
      <c r="BF18" s="22"/>
      <c r="BK18" s="20"/>
      <c r="BL18" s="22"/>
      <c r="BQ18" s="20"/>
      <c r="BR18" s="22"/>
      <c r="BW18" s="20"/>
      <c r="BX18" s="22"/>
      <c r="CC18" s="20"/>
      <c r="CD18" s="22"/>
      <c r="CI18" s="19"/>
      <c r="CJ18" s="22"/>
      <c r="CO18" s="19"/>
      <c r="CP18" s="22"/>
      <c r="CU18" s="19"/>
      <c r="CV18" s="22"/>
      <c r="DA18" s="19"/>
      <c r="DB18" s="22"/>
      <c r="DG18" s="19"/>
      <c r="DH18" s="22"/>
      <c r="DM18" s="19"/>
      <c r="DN18" s="22"/>
      <c r="DS18" s="19"/>
      <c r="DT18" s="22"/>
      <c r="DY18" s="19"/>
      <c r="DZ18" s="22"/>
      <c r="EE18" s="19"/>
      <c r="EF18" s="22"/>
      <c r="EK18" s="19"/>
      <c r="EL18" s="22"/>
      <c r="EQ18" s="19"/>
      <c r="ER18" s="22"/>
      <c r="EW18" s="19"/>
      <c r="EX18" s="22"/>
      <c r="FC18" s="19"/>
      <c r="FD18" s="22"/>
      <c r="FI18" s="19"/>
      <c r="FJ18" s="22"/>
      <c r="FO18" s="19"/>
      <c r="FP18" s="22"/>
      <c r="FU18" s="19"/>
      <c r="FV18" s="22"/>
      <c r="GA18" s="19"/>
      <c r="GB18" s="22"/>
      <c r="GG18" s="19"/>
      <c r="GH18" s="22"/>
      <c r="GM18" s="19"/>
      <c r="GN18" s="22"/>
      <c r="GS18" s="19"/>
      <c r="GT18" s="22"/>
      <c r="GY18" s="19"/>
      <c r="GZ18" s="22"/>
      <c r="HE18" s="19"/>
      <c r="HF18" s="22"/>
      <c r="HK18" s="19"/>
      <c r="HL18" s="22"/>
      <c r="HQ18" s="19"/>
      <c r="HR18" s="22"/>
      <c r="HW18" s="19"/>
      <c r="HX18" s="22"/>
      <c r="IC18" s="19"/>
      <c r="ID18" s="22"/>
      <c r="II18" s="19"/>
      <c r="IJ18" s="22"/>
      <c r="IO18" s="19"/>
      <c r="IP18" s="22"/>
      <c r="IU18" s="19"/>
      <c r="IV18" s="22"/>
      <c r="JA18" s="19"/>
      <c r="JB18" s="22"/>
      <c r="JG18" s="19"/>
      <c r="JH18" s="22"/>
      <c r="JM18" s="19"/>
      <c r="JN18" s="22"/>
      <c r="JS18" s="19"/>
      <c r="JT18" s="22"/>
      <c r="JY18" s="19"/>
      <c r="JZ18" s="22"/>
      <c r="KE18" s="19"/>
      <c r="KF18" s="22"/>
      <c r="KK18" s="19"/>
      <c r="KL18" s="22"/>
      <c r="KQ18" s="19"/>
      <c r="KR18" s="22"/>
      <c r="KW18" s="19"/>
      <c r="KX18" s="22"/>
      <c r="LC18" s="19"/>
      <c r="LD18" s="22"/>
      <c r="LI18" s="19"/>
      <c r="LJ18" s="22"/>
      <c r="LO18" s="19"/>
      <c r="LP18" s="22"/>
      <c r="LU18" s="19"/>
      <c r="LV18" s="22"/>
      <c r="MA18" s="19"/>
      <c r="MB18" s="22"/>
      <c r="MG18" s="19"/>
      <c r="MH18" s="22"/>
      <c r="MM18" s="19"/>
      <c r="MN18" s="22"/>
      <c r="MS18" s="19"/>
      <c r="MT18" s="22"/>
      <c r="MY18" s="19"/>
      <c r="MZ18" s="22"/>
      <c r="NE18" s="19"/>
      <c r="NF18" s="22"/>
      <c r="NK18" s="19"/>
      <c r="NL18" s="22"/>
      <c r="NQ18" s="19"/>
      <c r="NR18" s="22"/>
      <c r="NW18" s="19"/>
      <c r="NX18" s="22"/>
      <c r="OC18" s="19"/>
      <c r="OD18" s="22"/>
      <c r="OI18" s="19"/>
      <c r="OJ18" s="22"/>
      <c r="OO18" s="19"/>
      <c r="OP18" s="22"/>
      <c r="OU18" s="19"/>
      <c r="OV18" s="22"/>
      <c r="PA18" s="19"/>
      <c r="PB18" s="22"/>
      <c r="PG18" s="19"/>
      <c r="PH18" s="22"/>
      <c r="PM18" s="19"/>
      <c r="PN18" s="22"/>
      <c r="PS18" s="19"/>
      <c r="PT18" s="22"/>
      <c r="PY18" s="19"/>
      <c r="PZ18" s="22"/>
      <c r="QE18" s="19"/>
      <c r="QF18" s="22"/>
      <c r="QK18" s="19"/>
      <c r="QL18" s="22"/>
      <c r="QQ18" s="19"/>
      <c r="QR18" s="22"/>
      <c r="QW18" s="19"/>
      <c r="QX18" s="22"/>
      <c r="RC18" s="19"/>
      <c r="RD18" s="22"/>
      <c r="RI18" s="19"/>
      <c r="RJ18" s="22"/>
      <c r="RO18" s="19"/>
      <c r="RP18" s="22"/>
      <c r="RU18" s="19"/>
      <c r="RV18" s="22"/>
      <c r="SA18" s="19"/>
      <c r="SB18" s="22"/>
      <c r="SG18" s="19"/>
      <c r="SH18" s="22"/>
      <c r="SM18" s="19"/>
      <c r="SN18" s="22"/>
      <c r="SS18" s="19"/>
      <c r="ST18" s="22"/>
      <c r="SY18" s="19"/>
      <c r="SZ18" s="22"/>
      <c r="TE18" s="19"/>
      <c r="TF18" s="22"/>
      <c r="TK18" s="19"/>
      <c r="TL18" s="22"/>
      <c r="TQ18" s="19"/>
      <c r="TR18" s="22"/>
      <c r="TW18" s="19"/>
      <c r="TX18" s="22"/>
      <c r="UC18" s="19"/>
      <c r="UD18" s="22"/>
      <c r="UI18" s="19"/>
      <c r="UJ18" s="22"/>
      <c r="UO18" s="19"/>
      <c r="UP18" s="22"/>
      <c r="UU18" s="19"/>
      <c r="UV18" s="22"/>
      <c r="VA18" s="19"/>
      <c r="VB18" s="22"/>
      <c r="VG18" s="19"/>
      <c r="VH18" s="22"/>
      <c r="VM18" s="19"/>
      <c r="VN18" s="22"/>
      <c r="VS18" s="19"/>
      <c r="VT18" s="22"/>
      <c r="VY18" s="19"/>
      <c r="VZ18" s="22"/>
      <c r="WE18" s="19"/>
      <c r="WF18" s="22"/>
      <c r="WK18" s="19"/>
      <c r="WL18" s="22"/>
      <c r="WQ18" s="19"/>
      <c r="WR18" s="22"/>
      <c r="WW18" s="19"/>
      <c r="WX18" s="22"/>
      <c r="XC18" s="19"/>
      <c r="XD18" s="22"/>
      <c r="XI18" s="19"/>
      <c r="XJ18" s="22"/>
      <c r="XO18" s="19"/>
      <c r="XP18" s="22"/>
      <c r="XU18" s="19"/>
      <c r="XV18" s="22"/>
      <c r="YA18" s="19"/>
      <c r="YB18" s="22"/>
      <c r="YG18" s="19"/>
      <c r="YH18" s="22"/>
      <c r="YM18" s="19"/>
      <c r="YN18" s="22"/>
      <c r="YS18" s="19"/>
      <c r="YT18" s="22"/>
      <c r="YY18" s="19"/>
      <c r="YZ18" s="22"/>
      <c r="ZE18" s="19"/>
      <c r="ZF18" s="22"/>
      <c r="ZK18" s="19"/>
      <c r="ZL18" s="22"/>
      <c r="ZQ18" s="19"/>
      <c r="ZR18" s="22"/>
      <c r="ZW18" s="19"/>
      <c r="ZX18" s="22"/>
      <c r="AAC18" s="19"/>
      <c r="AAD18" s="22"/>
      <c r="AAI18" s="19"/>
      <c r="AAJ18" s="22"/>
      <c r="AAO18" s="19"/>
      <c r="AAP18" s="22"/>
      <c r="AAU18" s="19"/>
      <c r="AAV18" s="22"/>
      <c r="ABA18" s="19"/>
      <c r="ABB18" s="22"/>
      <c r="ABG18" s="19"/>
      <c r="ABH18" s="22"/>
      <c r="ABM18" s="19"/>
      <c r="ABN18" s="22"/>
      <c r="ABS18" s="19"/>
      <c r="ABT18" s="22"/>
      <c r="ABY18" s="19"/>
      <c r="ABZ18" s="22"/>
      <c r="ACE18" s="19"/>
      <c r="ACF18" s="22"/>
      <c r="ACK18" s="19"/>
      <c r="ACL18" s="22"/>
      <c r="ACQ18" s="19"/>
      <c r="ACR18" s="22"/>
      <c r="ACW18" s="19"/>
      <c r="ACX18" s="22"/>
      <c r="ADC18" s="19"/>
      <c r="ADD18" s="22"/>
      <c r="ADI18" s="19"/>
      <c r="ADJ18" s="22"/>
      <c r="ADO18" s="19"/>
      <c r="ADP18" s="22"/>
      <c r="ADU18" s="19"/>
      <c r="ADV18" s="22"/>
      <c r="AEA18" s="19"/>
      <c r="AEB18" s="22"/>
      <c r="AEG18" s="19"/>
      <c r="AEH18" s="22"/>
      <c r="AEM18" s="19"/>
      <c r="AEN18" s="22"/>
      <c r="AES18" s="19"/>
      <c r="AET18" s="22"/>
      <c r="AEY18" s="19"/>
      <c r="AEZ18" s="22"/>
      <c r="AFE18" s="19"/>
      <c r="AFF18" s="22"/>
      <c r="AFK18" s="19"/>
      <c r="AFL18" s="22"/>
      <c r="AFQ18" s="19"/>
      <c r="AFR18" s="22"/>
      <c r="AFW18" s="19"/>
      <c r="AFX18" s="22"/>
      <c r="AGC18" s="19"/>
      <c r="AGD18" s="22"/>
      <c r="AGI18" s="19"/>
      <c r="AGJ18" s="22"/>
      <c r="AGO18" s="19"/>
      <c r="AGP18" s="22"/>
      <c r="AGU18" s="19"/>
      <c r="AGV18" s="22"/>
      <c r="AHA18" s="19"/>
      <c r="AHB18" s="22"/>
      <c r="AHG18" s="19"/>
      <c r="AHH18" s="22"/>
      <c r="AHM18" s="19"/>
      <c r="AHN18" s="22"/>
      <c r="AHS18" s="19"/>
      <c r="AHT18" s="22"/>
      <c r="AHY18" s="19"/>
      <c r="AHZ18" s="22"/>
      <c r="AIE18" s="19"/>
      <c r="AIF18" s="22"/>
      <c r="AIK18" s="19"/>
      <c r="AIL18" s="22"/>
      <c r="AIQ18" s="19"/>
      <c r="AIR18" s="22"/>
      <c r="AIW18" s="19"/>
      <c r="AIX18" s="22"/>
      <c r="AJC18" s="19"/>
      <c r="AJD18" s="22"/>
      <c r="AJI18" s="19"/>
      <c r="AJJ18" s="22"/>
      <c r="AJO18" s="19"/>
      <c r="AJP18" s="22"/>
      <c r="AJU18" s="19"/>
      <c r="AJV18" s="22"/>
      <c r="AKA18" s="19"/>
      <c r="AKB18" s="22"/>
      <c r="AKG18" s="19"/>
      <c r="AKH18" s="22"/>
      <c r="AKM18" s="19"/>
      <c r="AKN18" s="22"/>
      <c r="AKS18" s="19"/>
      <c r="AKT18" s="22"/>
      <c r="AKY18" s="19"/>
      <c r="AKZ18" s="22"/>
      <c r="ALE18" s="19"/>
      <c r="ALF18" s="22"/>
      <c r="ALK18" s="19"/>
      <c r="ALL18" s="22"/>
      <c r="ALQ18" s="19"/>
      <c r="ALR18" s="22"/>
      <c r="ALW18" s="19"/>
      <c r="ALX18" s="22"/>
      <c r="AMC18" s="19"/>
      <c r="AMD18" s="22"/>
      <c r="AMI18" s="19"/>
      <c r="AMJ18" s="22"/>
      <c r="AMO18" s="19"/>
      <c r="AMP18" s="22"/>
      <c r="AMU18" s="19"/>
      <c r="AMV18" s="22"/>
      <c r="ANA18" s="19"/>
      <c r="ANB18" s="22"/>
      <c r="ANG18" s="19"/>
      <c r="ANH18" s="22"/>
      <c r="ANM18" s="19"/>
      <c r="ANN18" s="22"/>
      <c r="ANS18" s="19"/>
      <c r="ANT18" s="22"/>
      <c r="ANY18" s="19"/>
      <c r="ANZ18" s="22"/>
      <c r="AOE18" s="19"/>
      <c r="AOF18" s="22"/>
      <c r="AOK18" s="19"/>
      <c r="AOL18" s="22"/>
      <c r="AOQ18" s="19"/>
      <c r="AOR18" s="22"/>
    </row>
    <row r="19" spans="1:1024 1026:1084" x14ac:dyDescent="0.25">
      <c r="A19" s="6" t="s">
        <v>34</v>
      </c>
      <c r="B19" s="17"/>
      <c r="C19" s="7" t="s">
        <v>12</v>
      </c>
      <c r="D19" s="8" t="s">
        <v>13</v>
      </c>
      <c r="F19" s="8" t="s">
        <v>14</v>
      </c>
      <c r="G19" s="8" t="s">
        <v>15</v>
      </c>
      <c r="H19" s="9" t="s">
        <v>16</v>
      </c>
      <c r="I19" s="8" t="s">
        <v>17</v>
      </c>
      <c r="J19" s="8" t="s">
        <v>18</v>
      </c>
      <c r="L19" s="8" t="s">
        <v>14</v>
      </c>
      <c r="M19" s="8" t="s">
        <v>15</v>
      </c>
      <c r="N19" s="9" t="s">
        <v>16</v>
      </c>
      <c r="O19" s="8" t="s">
        <v>17</v>
      </c>
      <c r="P19" s="8" t="s">
        <v>18</v>
      </c>
      <c r="R19" s="8" t="s">
        <v>14</v>
      </c>
      <c r="S19" s="8" t="s">
        <v>15</v>
      </c>
      <c r="T19" s="9" t="s">
        <v>16</v>
      </c>
      <c r="U19" s="8" t="s">
        <v>17</v>
      </c>
      <c r="V19" s="8" t="s">
        <v>18</v>
      </c>
      <c r="X19" s="8" t="s">
        <v>14</v>
      </c>
      <c r="Y19" s="8" t="s">
        <v>15</v>
      </c>
      <c r="Z19" s="9" t="s">
        <v>16</v>
      </c>
      <c r="AA19" s="8" t="s">
        <v>17</v>
      </c>
      <c r="AB19" s="8" t="s">
        <v>18</v>
      </c>
      <c r="AD19" s="8" t="s">
        <v>14</v>
      </c>
      <c r="AE19" s="8" t="s">
        <v>15</v>
      </c>
      <c r="AF19" s="9" t="s">
        <v>16</v>
      </c>
      <c r="AG19" s="8" t="s">
        <v>17</v>
      </c>
      <c r="AH19" s="8" t="s">
        <v>18</v>
      </c>
      <c r="AJ19" s="8" t="s">
        <v>14</v>
      </c>
      <c r="AK19" s="8" t="s">
        <v>15</v>
      </c>
      <c r="AL19" s="9" t="s">
        <v>16</v>
      </c>
      <c r="AM19" s="8" t="s">
        <v>17</v>
      </c>
      <c r="AN19" s="8" t="s">
        <v>18</v>
      </c>
      <c r="AP19" s="8" t="s">
        <v>14</v>
      </c>
      <c r="AQ19" s="8" t="s">
        <v>15</v>
      </c>
      <c r="AR19" s="9" t="s">
        <v>16</v>
      </c>
      <c r="AS19" s="8" t="s">
        <v>17</v>
      </c>
      <c r="AT19" s="8" t="s">
        <v>18</v>
      </c>
      <c r="AV19" s="8" t="s">
        <v>14</v>
      </c>
      <c r="AW19" s="8" t="s">
        <v>15</v>
      </c>
      <c r="AX19" s="9" t="s">
        <v>16</v>
      </c>
      <c r="AY19" s="8" t="s">
        <v>17</v>
      </c>
      <c r="AZ19" s="8" t="s">
        <v>18</v>
      </c>
      <c r="BB19" s="8" t="s">
        <v>14</v>
      </c>
      <c r="BC19" s="8" t="s">
        <v>15</v>
      </c>
      <c r="BD19" s="9" t="s">
        <v>16</v>
      </c>
      <c r="BE19" s="8" t="s">
        <v>17</v>
      </c>
      <c r="BF19" s="8" t="s">
        <v>18</v>
      </c>
      <c r="BH19" s="8" t="s">
        <v>14</v>
      </c>
      <c r="BI19" s="8" t="s">
        <v>15</v>
      </c>
      <c r="BJ19" s="9" t="s">
        <v>16</v>
      </c>
      <c r="BK19" s="8" t="s">
        <v>17</v>
      </c>
      <c r="BL19" s="8" t="s">
        <v>18</v>
      </c>
      <c r="BN19" s="8" t="s">
        <v>14</v>
      </c>
      <c r="BO19" s="8" t="s">
        <v>15</v>
      </c>
      <c r="BP19" s="9" t="s">
        <v>16</v>
      </c>
      <c r="BQ19" s="8" t="s">
        <v>17</v>
      </c>
      <c r="BR19" s="8" t="s">
        <v>18</v>
      </c>
      <c r="BT19" s="8" t="s">
        <v>14</v>
      </c>
      <c r="BU19" s="8" t="s">
        <v>15</v>
      </c>
      <c r="BV19" s="9" t="s">
        <v>16</v>
      </c>
      <c r="BW19" s="8" t="s">
        <v>17</v>
      </c>
      <c r="BX19" s="8" t="s">
        <v>18</v>
      </c>
      <c r="BZ19" s="8" t="s">
        <v>14</v>
      </c>
      <c r="CA19" s="8" t="s">
        <v>15</v>
      </c>
      <c r="CB19" s="9" t="s">
        <v>16</v>
      </c>
      <c r="CC19" s="8" t="s">
        <v>17</v>
      </c>
      <c r="CD19" s="8" t="s">
        <v>18</v>
      </c>
      <c r="CF19" s="8" t="s">
        <v>14</v>
      </c>
      <c r="CG19" s="8" t="s">
        <v>15</v>
      </c>
      <c r="CH19" s="9" t="s">
        <v>16</v>
      </c>
      <c r="CI19" s="8" t="s">
        <v>17</v>
      </c>
      <c r="CJ19" s="8" t="s">
        <v>18</v>
      </c>
      <c r="CL19" s="8" t="s">
        <v>14</v>
      </c>
      <c r="CM19" s="8" t="s">
        <v>15</v>
      </c>
      <c r="CN19" s="9" t="s">
        <v>16</v>
      </c>
      <c r="CO19" s="8" t="s">
        <v>17</v>
      </c>
      <c r="CP19" s="8" t="s">
        <v>18</v>
      </c>
      <c r="CR19" s="8" t="s">
        <v>14</v>
      </c>
      <c r="CS19" s="8" t="s">
        <v>15</v>
      </c>
      <c r="CT19" s="9" t="s">
        <v>16</v>
      </c>
      <c r="CU19" s="8" t="s">
        <v>17</v>
      </c>
      <c r="CV19" s="8" t="s">
        <v>18</v>
      </c>
      <c r="CX19" s="8" t="s">
        <v>14</v>
      </c>
      <c r="CY19" s="8" t="s">
        <v>15</v>
      </c>
      <c r="CZ19" s="9" t="s">
        <v>16</v>
      </c>
      <c r="DA19" s="8" t="s">
        <v>17</v>
      </c>
      <c r="DB19" s="8" t="s">
        <v>18</v>
      </c>
      <c r="DD19" s="8" t="s">
        <v>14</v>
      </c>
      <c r="DE19" s="8" t="s">
        <v>15</v>
      </c>
      <c r="DF19" s="9" t="s">
        <v>16</v>
      </c>
      <c r="DG19" s="8" t="s">
        <v>17</v>
      </c>
      <c r="DH19" s="8" t="s">
        <v>18</v>
      </c>
      <c r="DJ19" s="8" t="s">
        <v>14</v>
      </c>
      <c r="DK19" s="8" t="s">
        <v>15</v>
      </c>
      <c r="DL19" s="9" t="s">
        <v>16</v>
      </c>
      <c r="DM19" s="8" t="s">
        <v>17</v>
      </c>
      <c r="DN19" s="8" t="s">
        <v>18</v>
      </c>
      <c r="DP19" s="8" t="s">
        <v>14</v>
      </c>
      <c r="DQ19" s="8" t="s">
        <v>15</v>
      </c>
      <c r="DR19" s="9" t="s">
        <v>16</v>
      </c>
      <c r="DS19" s="8" t="s">
        <v>17</v>
      </c>
      <c r="DT19" s="8" t="s">
        <v>18</v>
      </c>
      <c r="DV19" s="8" t="s">
        <v>14</v>
      </c>
      <c r="DW19" s="8" t="s">
        <v>15</v>
      </c>
      <c r="DX19" s="9" t="s">
        <v>16</v>
      </c>
      <c r="DY19" s="8" t="s">
        <v>17</v>
      </c>
      <c r="DZ19" s="8" t="s">
        <v>18</v>
      </c>
      <c r="EB19" s="8" t="s">
        <v>14</v>
      </c>
      <c r="EC19" s="8" t="s">
        <v>15</v>
      </c>
      <c r="ED19" s="9" t="s">
        <v>16</v>
      </c>
      <c r="EE19" s="8" t="s">
        <v>17</v>
      </c>
      <c r="EF19" s="8" t="s">
        <v>18</v>
      </c>
      <c r="EH19" s="8" t="s">
        <v>14</v>
      </c>
      <c r="EI19" s="8" t="s">
        <v>15</v>
      </c>
      <c r="EJ19" s="9" t="s">
        <v>16</v>
      </c>
      <c r="EK19" s="8" t="s">
        <v>17</v>
      </c>
      <c r="EL19" s="8" t="s">
        <v>18</v>
      </c>
      <c r="EN19" s="8" t="s">
        <v>14</v>
      </c>
      <c r="EO19" s="8" t="s">
        <v>15</v>
      </c>
      <c r="EP19" s="9" t="s">
        <v>16</v>
      </c>
      <c r="EQ19" s="8" t="s">
        <v>17</v>
      </c>
      <c r="ER19" s="8" t="s">
        <v>18</v>
      </c>
      <c r="ET19" s="8" t="s">
        <v>14</v>
      </c>
      <c r="EU19" s="8" t="s">
        <v>15</v>
      </c>
      <c r="EV19" s="9" t="s">
        <v>16</v>
      </c>
      <c r="EW19" s="8" t="s">
        <v>17</v>
      </c>
      <c r="EX19" s="8" t="s">
        <v>18</v>
      </c>
      <c r="EZ19" s="8" t="s">
        <v>14</v>
      </c>
      <c r="FA19" s="8" t="s">
        <v>15</v>
      </c>
      <c r="FB19" s="9" t="s">
        <v>16</v>
      </c>
      <c r="FC19" s="8" t="s">
        <v>17</v>
      </c>
      <c r="FD19" s="8" t="s">
        <v>18</v>
      </c>
      <c r="FF19" s="8" t="s">
        <v>14</v>
      </c>
      <c r="FG19" s="8" t="s">
        <v>15</v>
      </c>
      <c r="FH19" s="9" t="s">
        <v>16</v>
      </c>
      <c r="FI19" s="8" t="s">
        <v>17</v>
      </c>
      <c r="FJ19" s="8" t="s">
        <v>18</v>
      </c>
      <c r="FL19" s="8" t="s">
        <v>14</v>
      </c>
      <c r="FM19" s="8" t="s">
        <v>15</v>
      </c>
      <c r="FN19" s="9" t="s">
        <v>16</v>
      </c>
      <c r="FO19" s="8" t="s">
        <v>17</v>
      </c>
      <c r="FP19" s="8" t="s">
        <v>18</v>
      </c>
      <c r="FR19" s="8" t="s">
        <v>14</v>
      </c>
      <c r="FS19" s="8" t="s">
        <v>15</v>
      </c>
      <c r="FT19" s="9" t="s">
        <v>16</v>
      </c>
      <c r="FU19" s="8" t="s">
        <v>17</v>
      </c>
      <c r="FV19" s="8" t="s">
        <v>18</v>
      </c>
      <c r="FX19" s="8" t="s">
        <v>14</v>
      </c>
      <c r="FY19" s="8" t="s">
        <v>15</v>
      </c>
      <c r="FZ19" s="9" t="s">
        <v>16</v>
      </c>
      <c r="GA19" s="8" t="s">
        <v>17</v>
      </c>
      <c r="GB19" s="8" t="s">
        <v>18</v>
      </c>
      <c r="GD19" s="8" t="s">
        <v>14</v>
      </c>
      <c r="GE19" s="8" t="s">
        <v>15</v>
      </c>
      <c r="GF19" s="9" t="s">
        <v>16</v>
      </c>
      <c r="GG19" s="8" t="s">
        <v>17</v>
      </c>
      <c r="GH19" s="8" t="s">
        <v>18</v>
      </c>
      <c r="GJ19" s="8" t="s">
        <v>14</v>
      </c>
      <c r="GK19" s="8" t="s">
        <v>15</v>
      </c>
      <c r="GL19" s="9" t="s">
        <v>16</v>
      </c>
      <c r="GM19" s="8" t="s">
        <v>17</v>
      </c>
      <c r="GN19" s="8" t="s">
        <v>18</v>
      </c>
      <c r="GP19" s="8" t="s">
        <v>14</v>
      </c>
      <c r="GQ19" s="8" t="s">
        <v>15</v>
      </c>
      <c r="GR19" s="9" t="s">
        <v>16</v>
      </c>
      <c r="GS19" s="8" t="s">
        <v>17</v>
      </c>
      <c r="GT19" s="8" t="s">
        <v>18</v>
      </c>
      <c r="GV19" s="8" t="s">
        <v>14</v>
      </c>
      <c r="GW19" s="8" t="s">
        <v>15</v>
      </c>
      <c r="GX19" s="9" t="s">
        <v>16</v>
      </c>
      <c r="GY19" s="8" t="s">
        <v>17</v>
      </c>
      <c r="GZ19" s="8" t="s">
        <v>18</v>
      </c>
      <c r="HB19" s="8" t="s">
        <v>14</v>
      </c>
      <c r="HC19" s="8" t="s">
        <v>15</v>
      </c>
      <c r="HD19" s="9" t="s">
        <v>16</v>
      </c>
      <c r="HE19" s="8" t="s">
        <v>17</v>
      </c>
      <c r="HF19" s="8" t="s">
        <v>18</v>
      </c>
      <c r="HH19" s="8" t="s">
        <v>14</v>
      </c>
      <c r="HI19" s="8" t="s">
        <v>15</v>
      </c>
      <c r="HJ19" s="9" t="s">
        <v>16</v>
      </c>
      <c r="HK19" s="8" t="s">
        <v>17</v>
      </c>
      <c r="HL19" s="8" t="s">
        <v>18</v>
      </c>
      <c r="HN19" s="8" t="s">
        <v>14</v>
      </c>
      <c r="HO19" s="8" t="s">
        <v>15</v>
      </c>
      <c r="HP19" s="9" t="s">
        <v>16</v>
      </c>
      <c r="HQ19" s="8" t="s">
        <v>17</v>
      </c>
      <c r="HR19" s="8" t="s">
        <v>18</v>
      </c>
      <c r="HT19" s="8" t="s">
        <v>14</v>
      </c>
      <c r="HU19" s="8" t="s">
        <v>15</v>
      </c>
      <c r="HV19" s="9" t="s">
        <v>16</v>
      </c>
      <c r="HW19" s="8" t="s">
        <v>17</v>
      </c>
      <c r="HX19" s="8" t="s">
        <v>18</v>
      </c>
      <c r="HZ19" s="8" t="s">
        <v>14</v>
      </c>
      <c r="IA19" s="8" t="s">
        <v>15</v>
      </c>
      <c r="IB19" s="9" t="s">
        <v>16</v>
      </c>
      <c r="IC19" s="8" t="s">
        <v>17</v>
      </c>
      <c r="ID19" s="8" t="s">
        <v>18</v>
      </c>
      <c r="IF19" s="8" t="s">
        <v>14</v>
      </c>
      <c r="IG19" s="8" t="s">
        <v>15</v>
      </c>
      <c r="IH19" s="9" t="s">
        <v>16</v>
      </c>
      <c r="II19" s="8" t="s">
        <v>17</v>
      </c>
      <c r="IJ19" s="8" t="s">
        <v>18</v>
      </c>
      <c r="IL19" s="8" t="s">
        <v>14</v>
      </c>
      <c r="IM19" s="8" t="s">
        <v>15</v>
      </c>
      <c r="IN19" s="9" t="s">
        <v>16</v>
      </c>
      <c r="IO19" s="8" t="s">
        <v>17</v>
      </c>
      <c r="IP19" s="8" t="s">
        <v>18</v>
      </c>
      <c r="IR19" s="8" t="s">
        <v>14</v>
      </c>
      <c r="IS19" s="8" t="s">
        <v>15</v>
      </c>
      <c r="IT19" s="9" t="s">
        <v>16</v>
      </c>
      <c r="IU19" s="8" t="s">
        <v>17</v>
      </c>
      <c r="IV19" s="8" t="s">
        <v>18</v>
      </c>
      <c r="IX19" s="8" t="s">
        <v>14</v>
      </c>
      <c r="IY19" s="8" t="s">
        <v>15</v>
      </c>
      <c r="IZ19" s="9" t="s">
        <v>16</v>
      </c>
      <c r="JA19" s="8" t="s">
        <v>17</v>
      </c>
      <c r="JB19" s="8" t="s">
        <v>18</v>
      </c>
      <c r="JD19" s="8" t="s">
        <v>14</v>
      </c>
      <c r="JE19" s="8" t="s">
        <v>15</v>
      </c>
      <c r="JF19" s="9" t="s">
        <v>16</v>
      </c>
      <c r="JG19" s="8" t="s">
        <v>17</v>
      </c>
      <c r="JH19" s="8" t="s">
        <v>18</v>
      </c>
      <c r="JJ19" s="8" t="s">
        <v>14</v>
      </c>
      <c r="JK19" s="8" t="s">
        <v>15</v>
      </c>
      <c r="JL19" s="9" t="s">
        <v>16</v>
      </c>
      <c r="JM19" s="8" t="s">
        <v>17</v>
      </c>
      <c r="JN19" s="8" t="s">
        <v>18</v>
      </c>
      <c r="JP19" s="8" t="s">
        <v>14</v>
      </c>
      <c r="JQ19" s="8" t="s">
        <v>15</v>
      </c>
      <c r="JR19" s="9" t="s">
        <v>16</v>
      </c>
      <c r="JS19" s="8" t="s">
        <v>17</v>
      </c>
      <c r="JT19" s="8" t="s">
        <v>18</v>
      </c>
      <c r="JV19" s="8" t="s">
        <v>14</v>
      </c>
      <c r="JW19" s="8" t="s">
        <v>15</v>
      </c>
      <c r="JX19" s="9" t="s">
        <v>16</v>
      </c>
      <c r="JY19" s="8" t="s">
        <v>17</v>
      </c>
      <c r="JZ19" s="8" t="s">
        <v>18</v>
      </c>
      <c r="KB19" s="8" t="s">
        <v>14</v>
      </c>
      <c r="KC19" s="8" t="s">
        <v>15</v>
      </c>
      <c r="KD19" s="9" t="s">
        <v>16</v>
      </c>
      <c r="KE19" s="8" t="s">
        <v>17</v>
      </c>
      <c r="KF19" s="8" t="s">
        <v>18</v>
      </c>
      <c r="KH19" s="8" t="s">
        <v>14</v>
      </c>
      <c r="KI19" s="8" t="s">
        <v>15</v>
      </c>
      <c r="KJ19" s="9" t="s">
        <v>16</v>
      </c>
      <c r="KK19" s="8" t="s">
        <v>17</v>
      </c>
      <c r="KL19" s="8" t="s">
        <v>18</v>
      </c>
      <c r="KN19" s="8" t="s">
        <v>14</v>
      </c>
      <c r="KO19" s="8" t="s">
        <v>15</v>
      </c>
      <c r="KP19" s="9" t="s">
        <v>16</v>
      </c>
      <c r="KQ19" s="8" t="s">
        <v>17</v>
      </c>
      <c r="KR19" s="8" t="s">
        <v>18</v>
      </c>
      <c r="KT19" s="8" t="s">
        <v>14</v>
      </c>
      <c r="KU19" s="8" t="s">
        <v>15</v>
      </c>
      <c r="KV19" s="9" t="s">
        <v>16</v>
      </c>
      <c r="KW19" s="8" t="s">
        <v>17</v>
      </c>
      <c r="KX19" s="8" t="s">
        <v>18</v>
      </c>
      <c r="KZ19" s="8" t="s">
        <v>14</v>
      </c>
      <c r="LA19" s="8" t="s">
        <v>15</v>
      </c>
      <c r="LB19" s="9" t="s">
        <v>16</v>
      </c>
      <c r="LC19" s="8" t="s">
        <v>17</v>
      </c>
      <c r="LD19" s="8" t="s">
        <v>18</v>
      </c>
      <c r="LF19" s="8" t="s">
        <v>14</v>
      </c>
      <c r="LG19" s="8" t="s">
        <v>15</v>
      </c>
      <c r="LH19" s="9" t="s">
        <v>16</v>
      </c>
      <c r="LI19" s="8" t="s">
        <v>17</v>
      </c>
      <c r="LJ19" s="8" t="s">
        <v>18</v>
      </c>
      <c r="LL19" s="8" t="s">
        <v>14</v>
      </c>
      <c r="LM19" s="8" t="s">
        <v>15</v>
      </c>
      <c r="LN19" s="9" t="s">
        <v>16</v>
      </c>
      <c r="LO19" s="8" t="s">
        <v>17</v>
      </c>
      <c r="LP19" s="8" t="s">
        <v>18</v>
      </c>
      <c r="LR19" s="8" t="s">
        <v>14</v>
      </c>
      <c r="LS19" s="8" t="s">
        <v>15</v>
      </c>
      <c r="LT19" s="9" t="s">
        <v>16</v>
      </c>
      <c r="LU19" s="8" t="s">
        <v>17</v>
      </c>
      <c r="LV19" s="8" t="s">
        <v>18</v>
      </c>
      <c r="LX19" s="8" t="s">
        <v>14</v>
      </c>
      <c r="LY19" s="8" t="s">
        <v>15</v>
      </c>
      <c r="LZ19" s="9" t="s">
        <v>16</v>
      </c>
      <c r="MA19" s="8" t="s">
        <v>17</v>
      </c>
      <c r="MB19" s="8" t="s">
        <v>18</v>
      </c>
      <c r="MD19" s="8" t="s">
        <v>14</v>
      </c>
      <c r="ME19" s="8" t="s">
        <v>15</v>
      </c>
      <c r="MF19" s="9" t="s">
        <v>16</v>
      </c>
      <c r="MG19" s="8" t="s">
        <v>17</v>
      </c>
      <c r="MH19" s="8" t="s">
        <v>18</v>
      </c>
      <c r="MJ19" s="8" t="s">
        <v>14</v>
      </c>
      <c r="MK19" s="8" t="s">
        <v>15</v>
      </c>
      <c r="ML19" s="9" t="s">
        <v>16</v>
      </c>
      <c r="MM19" s="8" t="s">
        <v>17</v>
      </c>
      <c r="MN19" s="8" t="s">
        <v>18</v>
      </c>
      <c r="MP19" s="8" t="s">
        <v>14</v>
      </c>
      <c r="MQ19" s="8" t="s">
        <v>15</v>
      </c>
      <c r="MR19" s="9" t="s">
        <v>16</v>
      </c>
      <c r="MS19" s="8" t="s">
        <v>17</v>
      </c>
      <c r="MT19" s="8" t="s">
        <v>18</v>
      </c>
      <c r="MV19" s="8" t="s">
        <v>14</v>
      </c>
      <c r="MW19" s="8" t="s">
        <v>15</v>
      </c>
      <c r="MX19" s="9" t="s">
        <v>16</v>
      </c>
      <c r="MY19" s="8" t="s">
        <v>17</v>
      </c>
      <c r="MZ19" s="8" t="s">
        <v>18</v>
      </c>
      <c r="NB19" s="8" t="s">
        <v>14</v>
      </c>
      <c r="NC19" s="8" t="s">
        <v>15</v>
      </c>
      <c r="ND19" s="9" t="s">
        <v>16</v>
      </c>
      <c r="NE19" s="8" t="s">
        <v>17</v>
      </c>
      <c r="NF19" s="8" t="s">
        <v>18</v>
      </c>
      <c r="NH19" s="8" t="s">
        <v>14</v>
      </c>
      <c r="NI19" s="8" t="s">
        <v>15</v>
      </c>
      <c r="NJ19" s="9" t="s">
        <v>16</v>
      </c>
      <c r="NK19" s="8" t="s">
        <v>17</v>
      </c>
      <c r="NL19" s="8" t="s">
        <v>18</v>
      </c>
      <c r="NN19" s="8" t="s">
        <v>14</v>
      </c>
      <c r="NO19" s="8" t="s">
        <v>15</v>
      </c>
      <c r="NP19" s="9" t="s">
        <v>16</v>
      </c>
      <c r="NQ19" s="8" t="s">
        <v>17</v>
      </c>
      <c r="NR19" s="8" t="s">
        <v>18</v>
      </c>
      <c r="NT19" s="8" t="s">
        <v>14</v>
      </c>
      <c r="NU19" s="8" t="s">
        <v>15</v>
      </c>
      <c r="NV19" s="9" t="s">
        <v>16</v>
      </c>
      <c r="NW19" s="8" t="s">
        <v>17</v>
      </c>
      <c r="NX19" s="8" t="s">
        <v>18</v>
      </c>
      <c r="NZ19" s="8" t="s">
        <v>14</v>
      </c>
      <c r="OA19" s="8" t="s">
        <v>15</v>
      </c>
      <c r="OB19" s="9" t="s">
        <v>16</v>
      </c>
      <c r="OC19" s="8" t="s">
        <v>17</v>
      </c>
      <c r="OD19" s="8" t="s">
        <v>18</v>
      </c>
      <c r="OF19" s="8" t="s">
        <v>14</v>
      </c>
      <c r="OG19" s="8" t="s">
        <v>15</v>
      </c>
      <c r="OH19" s="9" t="s">
        <v>16</v>
      </c>
      <c r="OI19" s="8" t="s">
        <v>17</v>
      </c>
      <c r="OJ19" s="8" t="s">
        <v>18</v>
      </c>
      <c r="OL19" s="8" t="s">
        <v>14</v>
      </c>
      <c r="OM19" s="8" t="s">
        <v>15</v>
      </c>
      <c r="ON19" s="9" t="s">
        <v>16</v>
      </c>
      <c r="OO19" s="8" t="s">
        <v>17</v>
      </c>
      <c r="OP19" s="8" t="s">
        <v>18</v>
      </c>
      <c r="OR19" s="8" t="s">
        <v>14</v>
      </c>
      <c r="OS19" s="8" t="s">
        <v>15</v>
      </c>
      <c r="OT19" s="9" t="s">
        <v>16</v>
      </c>
      <c r="OU19" s="8" t="s">
        <v>17</v>
      </c>
      <c r="OV19" s="8" t="s">
        <v>18</v>
      </c>
      <c r="OX19" s="8" t="s">
        <v>14</v>
      </c>
      <c r="OY19" s="8" t="s">
        <v>15</v>
      </c>
      <c r="OZ19" s="9" t="s">
        <v>16</v>
      </c>
      <c r="PA19" s="8" t="s">
        <v>17</v>
      </c>
      <c r="PB19" s="8" t="s">
        <v>18</v>
      </c>
      <c r="PD19" s="8" t="s">
        <v>14</v>
      </c>
      <c r="PE19" s="8" t="s">
        <v>15</v>
      </c>
      <c r="PF19" s="9" t="s">
        <v>16</v>
      </c>
      <c r="PG19" s="8" t="s">
        <v>17</v>
      </c>
      <c r="PH19" s="8" t="s">
        <v>18</v>
      </c>
      <c r="PJ19" s="8" t="s">
        <v>14</v>
      </c>
      <c r="PK19" s="8" t="s">
        <v>15</v>
      </c>
      <c r="PL19" s="9" t="s">
        <v>16</v>
      </c>
      <c r="PM19" s="8" t="s">
        <v>17</v>
      </c>
      <c r="PN19" s="8" t="s">
        <v>18</v>
      </c>
      <c r="PP19" s="8" t="s">
        <v>14</v>
      </c>
      <c r="PQ19" s="8" t="s">
        <v>15</v>
      </c>
      <c r="PR19" s="9" t="s">
        <v>16</v>
      </c>
      <c r="PS19" s="8" t="s">
        <v>17</v>
      </c>
      <c r="PT19" s="8" t="s">
        <v>18</v>
      </c>
      <c r="PV19" s="8" t="s">
        <v>14</v>
      </c>
      <c r="PW19" s="8" t="s">
        <v>15</v>
      </c>
      <c r="PX19" s="9" t="s">
        <v>16</v>
      </c>
      <c r="PY19" s="8" t="s">
        <v>17</v>
      </c>
      <c r="PZ19" s="8" t="s">
        <v>18</v>
      </c>
      <c r="QB19" s="8" t="s">
        <v>14</v>
      </c>
      <c r="QC19" s="8" t="s">
        <v>15</v>
      </c>
      <c r="QD19" s="9" t="s">
        <v>16</v>
      </c>
      <c r="QE19" s="8" t="s">
        <v>17</v>
      </c>
      <c r="QF19" s="8" t="s">
        <v>18</v>
      </c>
      <c r="QH19" s="8" t="s">
        <v>14</v>
      </c>
      <c r="QI19" s="8" t="s">
        <v>15</v>
      </c>
      <c r="QJ19" s="9" t="s">
        <v>16</v>
      </c>
      <c r="QK19" s="8" t="s">
        <v>17</v>
      </c>
      <c r="QL19" s="8" t="s">
        <v>18</v>
      </c>
      <c r="QN19" s="8" t="s">
        <v>14</v>
      </c>
      <c r="QO19" s="8" t="s">
        <v>15</v>
      </c>
      <c r="QP19" s="9" t="s">
        <v>16</v>
      </c>
      <c r="QQ19" s="8" t="s">
        <v>17</v>
      </c>
      <c r="QR19" s="8" t="s">
        <v>18</v>
      </c>
      <c r="QT19" s="8" t="s">
        <v>14</v>
      </c>
      <c r="QU19" s="8" t="s">
        <v>15</v>
      </c>
      <c r="QV19" s="9" t="s">
        <v>16</v>
      </c>
      <c r="QW19" s="8" t="s">
        <v>17</v>
      </c>
      <c r="QX19" s="8" t="s">
        <v>18</v>
      </c>
      <c r="QZ19" s="8" t="s">
        <v>14</v>
      </c>
      <c r="RA19" s="8" t="s">
        <v>15</v>
      </c>
      <c r="RB19" s="9" t="s">
        <v>16</v>
      </c>
      <c r="RC19" s="8" t="s">
        <v>17</v>
      </c>
      <c r="RD19" s="8" t="s">
        <v>18</v>
      </c>
      <c r="RF19" s="8" t="s">
        <v>14</v>
      </c>
      <c r="RG19" s="8" t="s">
        <v>15</v>
      </c>
      <c r="RH19" s="9" t="s">
        <v>16</v>
      </c>
      <c r="RI19" s="8" t="s">
        <v>17</v>
      </c>
      <c r="RJ19" s="8" t="s">
        <v>18</v>
      </c>
      <c r="RL19" s="8" t="s">
        <v>14</v>
      </c>
      <c r="RM19" s="8" t="s">
        <v>15</v>
      </c>
      <c r="RN19" s="9" t="s">
        <v>16</v>
      </c>
      <c r="RO19" s="8" t="s">
        <v>17</v>
      </c>
      <c r="RP19" s="8" t="s">
        <v>18</v>
      </c>
      <c r="RR19" s="8" t="s">
        <v>14</v>
      </c>
      <c r="RS19" s="8" t="s">
        <v>15</v>
      </c>
      <c r="RT19" s="9" t="s">
        <v>16</v>
      </c>
      <c r="RU19" s="8" t="s">
        <v>17</v>
      </c>
      <c r="RV19" s="8" t="s">
        <v>18</v>
      </c>
      <c r="RX19" s="8" t="s">
        <v>14</v>
      </c>
      <c r="RY19" s="8" t="s">
        <v>15</v>
      </c>
      <c r="RZ19" s="9" t="s">
        <v>16</v>
      </c>
      <c r="SA19" s="8" t="s">
        <v>17</v>
      </c>
      <c r="SB19" s="8" t="s">
        <v>18</v>
      </c>
      <c r="SD19" s="8" t="s">
        <v>14</v>
      </c>
      <c r="SE19" s="8" t="s">
        <v>15</v>
      </c>
      <c r="SF19" s="9" t="s">
        <v>16</v>
      </c>
      <c r="SG19" s="8" t="s">
        <v>17</v>
      </c>
      <c r="SH19" s="8" t="s">
        <v>18</v>
      </c>
      <c r="SJ19" s="8" t="s">
        <v>14</v>
      </c>
      <c r="SK19" s="8" t="s">
        <v>15</v>
      </c>
      <c r="SL19" s="9" t="s">
        <v>16</v>
      </c>
      <c r="SM19" s="8" t="s">
        <v>17</v>
      </c>
      <c r="SN19" s="8" t="s">
        <v>18</v>
      </c>
      <c r="SP19" s="8" t="s">
        <v>14</v>
      </c>
      <c r="SQ19" s="8" t="s">
        <v>15</v>
      </c>
      <c r="SR19" s="9" t="s">
        <v>16</v>
      </c>
      <c r="SS19" s="8" t="s">
        <v>17</v>
      </c>
      <c r="ST19" s="8" t="s">
        <v>18</v>
      </c>
      <c r="SV19" s="8" t="s">
        <v>14</v>
      </c>
      <c r="SW19" s="8" t="s">
        <v>15</v>
      </c>
      <c r="SX19" s="9" t="s">
        <v>16</v>
      </c>
      <c r="SY19" s="8" t="s">
        <v>17</v>
      </c>
      <c r="SZ19" s="8" t="s">
        <v>18</v>
      </c>
      <c r="TB19" s="8" t="s">
        <v>14</v>
      </c>
      <c r="TC19" s="8" t="s">
        <v>15</v>
      </c>
      <c r="TD19" s="9" t="s">
        <v>16</v>
      </c>
      <c r="TE19" s="8" t="s">
        <v>17</v>
      </c>
      <c r="TF19" s="8" t="s">
        <v>18</v>
      </c>
      <c r="TH19" s="8" t="s">
        <v>14</v>
      </c>
      <c r="TI19" s="8" t="s">
        <v>15</v>
      </c>
      <c r="TJ19" s="9" t="s">
        <v>16</v>
      </c>
      <c r="TK19" s="8" t="s">
        <v>17</v>
      </c>
      <c r="TL19" s="8" t="s">
        <v>18</v>
      </c>
      <c r="TN19" s="8" t="s">
        <v>14</v>
      </c>
      <c r="TO19" s="8" t="s">
        <v>15</v>
      </c>
      <c r="TP19" s="9" t="s">
        <v>16</v>
      </c>
      <c r="TQ19" s="8" t="s">
        <v>17</v>
      </c>
      <c r="TR19" s="8" t="s">
        <v>18</v>
      </c>
      <c r="TT19" s="8" t="s">
        <v>14</v>
      </c>
      <c r="TU19" s="8" t="s">
        <v>15</v>
      </c>
      <c r="TV19" s="9" t="s">
        <v>16</v>
      </c>
      <c r="TW19" s="8" t="s">
        <v>17</v>
      </c>
      <c r="TX19" s="8" t="s">
        <v>18</v>
      </c>
      <c r="TZ19" s="8" t="s">
        <v>14</v>
      </c>
      <c r="UA19" s="8" t="s">
        <v>15</v>
      </c>
      <c r="UB19" s="9" t="s">
        <v>16</v>
      </c>
      <c r="UC19" s="8" t="s">
        <v>17</v>
      </c>
      <c r="UD19" s="8" t="s">
        <v>18</v>
      </c>
      <c r="UF19" s="8" t="s">
        <v>14</v>
      </c>
      <c r="UG19" s="8" t="s">
        <v>15</v>
      </c>
      <c r="UH19" s="9" t="s">
        <v>16</v>
      </c>
      <c r="UI19" s="8" t="s">
        <v>17</v>
      </c>
      <c r="UJ19" s="8" t="s">
        <v>18</v>
      </c>
      <c r="UL19" s="8" t="s">
        <v>14</v>
      </c>
      <c r="UM19" s="8" t="s">
        <v>15</v>
      </c>
      <c r="UN19" s="9" t="s">
        <v>16</v>
      </c>
      <c r="UO19" s="8" t="s">
        <v>17</v>
      </c>
      <c r="UP19" s="8" t="s">
        <v>18</v>
      </c>
      <c r="UR19" s="8" t="s">
        <v>14</v>
      </c>
      <c r="US19" s="8" t="s">
        <v>15</v>
      </c>
      <c r="UT19" s="9" t="s">
        <v>16</v>
      </c>
      <c r="UU19" s="8" t="s">
        <v>17</v>
      </c>
      <c r="UV19" s="8" t="s">
        <v>18</v>
      </c>
      <c r="UX19" s="8" t="s">
        <v>14</v>
      </c>
      <c r="UY19" s="8" t="s">
        <v>15</v>
      </c>
      <c r="UZ19" s="9" t="s">
        <v>16</v>
      </c>
      <c r="VA19" s="8" t="s">
        <v>17</v>
      </c>
      <c r="VB19" s="8" t="s">
        <v>18</v>
      </c>
      <c r="VD19" s="8" t="s">
        <v>14</v>
      </c>
      <c r="VE19" s="8" t="s">
        <v>15</v>
      </c>
      <c r="VF19" s="9" t="s">
        <v>16</v>
      </c>
      <c r="VG19" s="8" t="s">
        <v>17</v>
      </c>
      <c r="VH19" s="8" t="s">
        <v>18</v>
      </c>
      <c r="VJ19" s="8" t="s">
        <v>14</v>
      </c>
      <c r="VK19" s="8" t="s">
        <v>15</v>
      </c>
      <c r="VL19" s="9" t="s">
        <v>16</v>
      </c>
      <c r="VM19" s="8" t="s">
        <v>17</v>
      </c>
      <c r="VN19" s="8" t="s">
        <v>18</v>
      </c>
      <c r="VP19" s="8" t="s">
        <v>14</v>
      </c>
      <c r="VQ19" s="8" t="s">
        <v>15</v>
      </c>
      <c r="VR19" s="9" t="s">
        <v>16</v>
      </c>
      <c r="VS19" s="8" t="s">
        <v>17</v>
      </c>
      <c r="VT19" s="8" t="s">
        <v>18</v>
      </c>
      <c r="VV19" s="8" t="s">
        <v>14</v>
      </c>
      <c r="VW19" s="8" t="s">
        <v>15</v>
      </c>
      <c r="VX19" s="9" t="s">
        <v>16</v>
      </c>
      <c r="VY19" s="8" t="s">
        <v>17</v>
      </c>
      <c r="VZ19" s="8" t="s">
        <v>18</v>
      </c>
      <c r="WB19" s="8" t="s">
        <v>14</v>
      </c>
      <c r="WC19" s="8" t="s">
        <v>15</v>
      </c>
      <c r="WD19" s="9" t="s">
        <v>16</v>
      </c>
      <c r="WE19" s="8" t="s">
        <v>17</v>
      </c>
      <c r="WF19" s="8" t="s">
        <v>18</v>
      </c>
      <c r="WH19" s="8" t="s">
        <v>14</v>
      </c>
      <c r="WI19" s="8" t="s">
        <v>15</v>
      </c>
      <c r="WJ19" s="9" t="s">
        <v>16</v>
      </c>
      <c r="WK19" s="8" t="s">
        <v>17</v>
      </c>
      <c r="WL19" s="8" t="s">
        <v>18</v>
      </c>
      <c r="WN19" s="8" t="s">
        <v>14</v>
      </c>
      <c r="WO19" s="8" t="s">
        <v>15</v>
      </c>
      <c r="WP19" s="9" t="s">
        <v>16</v>
      </c>
      <c r="WQ19" s="8" t="s">
        <v>17</v>
      </c>
      <c r="WR19" s="8" t="s">
        <v>18</v>
      </c>
      <c r="WT19" s="8" t="s">
        <v>14</v>
      </c>
      <c r="WU19" s="8" t="s">
        <v>15</v>
      </c>
      <c r="WV19" s="9" t="s">
        <v>16</v>
      </c>
      <c r="WW19" s="8" t="s">
        <v>17</v>
      </c>
      <c r="WX19" s="8" t="s">
        <v>18</v>
      </c>
      <c r="WZ19" s="8" t="s">
        <v>14</v>
      </c>
      <c r="XA19" s="8" t="s">
        <v>15</v>
      </c>
      <c r="XB19" s="9" t="s">
        <v>16</v>
      </c>
      <c r="XC19" s="8" t="s">
        <v>17</v>
      </c>
      <c r="XD19" s="8" t="s">
        <v>18</v>
      </c>
      <c r="XF19" s="8" t="s">
        <v>14</v>
      </c>
      <c r="XG19" s="8" t="s">
        <v>15</v>
      </c>
      <c r="XH19" s="9" t="s">
        <v>16</v>
      </c>
      <c r="XI19" s="8" t="s">
        <v>17</v>
      </c>
      <c r="XJ19" s="8" t="s">
        <v>18</v>
      </c>
      <c r="XL19" s="8" t="s">
        <v>14</v>
      </c>
      <c r="XM19" s="8" t="s">
        <v>15</v>
      </c>
      <c r="XN19" s="9" t="s">
        <v>16</v>
      </c>
      <c r="XO19" s="8" t="s">
        <v>17</v>
      </c>
      <c r="XP19" s="8" t="s">
        <v>18</v>
      </c>
      <c r="XR19" s="8" t="s">
        <v>14</v>
      </c>
      <c r="XS19" s="8" t="s">
        <v>15</v>
      </c>
      <c r="XT19" s="9" t="s">
        <v>16</v>
      </c>
      <c r="XU19" s="8" t="s">
        <v>17</v>
      </c>
      <c r="XV19" s="8" t="s">
        <v>18</v>
      </c>
      <c r="XX19" s="8" t="s">
        <v>14</v>
      </c>
      <c r="XY19" s="8" t="s">
        <v>15</v>
      </c>
      <c r="XZ19" s="9" t="s">
        <v>16</v>
      </c>
      <c r="YA19" s="8" t="s">
        <v>17</v>
      </c>
      <c r="YB19" s="8" t="s">
        <v>18</v>
      </c>
      <c r="YD19" s="8" t="s">
        <v>14</v>
      </c>
      <c r="YE19" s="8" t="s">
        <v>15</v>
      </c>
      <c r="YF19" s="9" t="s">
        <v>16</v>
      </c>
      <c r="YG19" s="8" t="s">
        <v>17</v>
      </c>
      <c r="YH19" s="8" t="s">
        <v>18</v>
      </c>
      <c r="YJ19" s="8" t="s">
        <v>14</v>
      </c>
      <c r="YK19" s="8" t="s">
        <v>15</v>
      </c>
      <c r="YL19" s="9" t="s">
        <v>16</v>
      </c>
      <c r="YM19" s="8" t="s">
        <v>17</v>
      </c>
      <c r="YN19" s="8" t="s">
        <v>18</v>
      </c>
      <c r="YP19" s="8" t="s">
        <v>14</v>
      </c>
      <c r="YQ19" s="8" t="s">
        <v>15</v>
      </c>
      <c r="YR19" s="9" t="s">
        <v>16</v>
      </c>
      <c r="YS19" s="8" t="s">
        <v>17</v>
      </c>
      <c r="YT19" s="8" t="s">
        <v>18</v>
      </c>
      <c r="YV19" s="8" t="s">
        <v>14</v>
      </c>
      <c r="YW19" s="8" t="s">
        <v>15</v>
      </c>
      <c r="YX19" s="9" t="s">
        <v>16</v>
      </c>
      <c r="YY19" s="8" t="s">
        <v>17</v>
      </c>
      <c r="YZ19" s="8" t="s">
        <v>18</v>
      </c>
      <c r="ZB19" s="8" t="s">
        <v>14</v>
      </c>
      <c r="ZC19" s="8" t="s">
        <v>15</v>
      </c>
      <c r="ZD19" s="9" t="s">
        <v>16</v>
      </c>
      <c r="ZE19" s="8" t="s">
        <v>17</v>
      </c>
      <c r="ZF19" s="8" t="s">
        <v>18</v>
      </c>
      <c r="ZH19" s="8" t="s">
        <v>14</v>
      </c>
      <c r="ZI19" s="8" t="s">
        <v>15</v>
      </c>
      <c r="ZJ19" s="9" t="s">
        <v>16</v>
      </c>
      <c r="ZK19" s="8" t="s">
        <v>17</v>
      </c>
      <c r="ZL19" s="8" t="s">
        <v>18</v>
      </c>
      <c r="ZN19" s="8" t="s">
        <v>14</v>
      </c>
      <c r="ZO19" s="8" t="s">
        <v>15</v>
      </c>
      <c r="ZP19" s="9" t="s">
        <v>16</v>
      </c>
      <c r="ZQ19" s="8" t="s">
        <v>17</v>
      </c>
      <c r="ZR19" s="8" t="s">
        <v>18</v>
      </c>
      <c r="ZT19" s="8" t="s">
        <v>14</v>
      </c>
      <c r="ZU19" s="8" t="s">
        <v>15</v>
      </c>
      <c r="ZV19" s="9" t="s">
        <v>16</v>
      </c>
      <c r="ZW19" s="8" t="s">
        <v>17</v>
      </c>
      <c r="ZX19" s="8" t="s">
        <v>18</v>
      </c>
      <c r="ZZ19" s="8" t="s">
        <v>14</v>
      </c>
      <c r="AAA19" s="8" t="s">
        <v>15</v>
      </c>
      <c r="AAB19" s="9" t="s">
        <v>16</v>
      </c>
      <c r="AAC19" s="8" t="s">
        <v>17</v>
      </c>
      <c r="AAD19" s="8" t="s">
        <v>18</v>
      </c>
      <c r="AAF19" s="8" t="s">
        <v>14</v>
      </c>
      <c r="AAG19" s="8" t="s">
        <v>15</v>
      </c>
      <c r="AAH19" s="9" t="s">
        <v>16</v>
      </c>
      <c r="AAI19" s="8" t="s">
        <v>17</v>
      </c>
      <c r="AAJ19" s="8" t="s">
        <v>18</v>
      </c>
      <c r="AAL19" s="8" t="s">
        <v>14</v>
      </c>
      <c r="AAM19" s="8" t="s">
        <v>15</v>
      </c>
      <c r="AAN19" s="9" t="s">
        <v>16</v>
      </c>
      <c r="AAO19" s="8" t="s">
        <v>17</v>
      </c>
      <c r="AAP19" s="8" t="s">
        <v>18</v>
      </c>
      <c r="AAR19" s="8" t="s">
        <v>14</v>
      </c>
      <c r="AAS19" s="8" t="s">
        <v>15</v>
      </c>
      <c r="AAT19" s="9" t="s">
        <v>16</v>
      </c>
      <c r="AAU19" s="8" t="s">
        <v>17</v>
      </c>
      <c r="AAV19" s="8" t="s">
        <v>18</v>
      </c>
      <c r="AAX19" s="8" t="s">
        <v>14</v>
      </c>
      <c r="AAY19" s="8" t="s">
        <v>15</v>
      </c>
      <c r="AAZ19" s="9" t="s">
        <v>16</v>
      </c>
      <c r="ABA19" s="8" t="s">
        <v>17</v>
      </c>
      <c r="ABB19" s="8" t="s">
        <v>18</v>
      </c>
      <c r="ABD19" s="8" t="s">
        <v>14</v>
      </c>
      <c r="ABE19" s="8" t="s">
        <v>15</v>
      </c>
      <c r="ABF19" s="9" t="s">
        <v>16</v>
      </c>
      <c r="ABG19" s="8" t="s">
        <v>17</v>
      </c>
      <c r="ABH19" s="8" t="s">
        <v>18</v>
      </c>
      <c r="ABJ19" s="8" t="s">
        <v>14</v>
      </c>
      <c r="ABK19" s="8" t="s">
        <v>15</v>
      </c>
      <c r="ABL19" s="9" t="s">
        <v>16</v>
      </c>
      <c r="ABM19" s="8" t="s">
        <v>17</v>
      </c>
      <c r="ABN19" s="8" t="s">
        <v>18</v>
      </c>
      <c r="ABP19" s="8" t="s">
        <v>14</v>
      </c>
      <c r="ABQ19" s="8" t="s">
        <v>15</v>
      </c>
      <c r="ABR19" s="9" t="s">
        <v>16</v>
      </c>
      <c r="ABS19" s="8" t="s">
        <v>17</v>
      </c>
      <c r="ABT19" s="8" t="s">
        <v>18</v>
      </c>
      <c r="ABV19" s="8" t="s">
        <v>14</v>
      </c>
      <c r="ABW19" s="8" t="s">
        <v>15</v>
      </c>
      <c r="ABX19" s="9" t="s">
        <v>16</v>
      </c>
      <c r="ABY19" s="8" t="s">
        <v>17</v>
      </c>
      <c r="ABZ19" s="8" t="s">
        <v>18</v>
      </c>
      <c r="ACB19" s="8" t="s">
        <v>14</v>
      </c>
      <c r="ACC19" s="8" t="s">
        <v>15</v>
      </c>
      <c r="ACD19" s="9" t="s">
        <v>16</v>
      </c>
      <c r="ACE19" s="8" t="s">
        <v>17</v>
      </c>
      <c r="ACF19" s="8" t="s">
        <v>18</v>
      </c>
      <c r="ACH19" s="8" t="s">
        <v>14</v>
      </c>
      <c r="ACI19" s="8" t="s">
        <v>15</v>
      </c>
      <c r="ACJ19" s="9" t="s">
        <v>16</v>
      </c>
      <c r="ACK19" s="8" t="s">
        <v>17</v>
      </c>
      <c r="ACL19" s="8" t="s">
        <v>18</v>
      </c>
      <c r="ACN19" s="8" t="s">
        <v>14</v>
      </c>
      <c r="ACO19" s="8" t="s">
        <v>15</v>
      </c>
      <c r="ACP19" s="9" t="s">
        <v>16</v>
      </c>
      <c r="ACQ19" s="8" t="s">
        <v>17</v>
      </c>
      <c r="ACR19" s="8" t="s">
        <v>18</v>
      </c>
      <c r="ACT19" s="8" t="s">
        <v>14</v>
      </c>
      <c r="ACU19" s="8" t="s">
        <v>15</v>
      </c>
      <c r="ACV19" s="9" t="s">
        <v>16</v>
      </c>
      <c r="ACW19" s="8" t="s">
        <v>17</v>
      </c>
      <c r="ACX19" s="8" t="s">
        <v>18</v>
      </c>
      <c r="ACZ19" s="8" t="s">
        <v>14</v>
      </c>
      <c r="ADA19" s="8" t="s">
        <v>15</v>
      </c>
      <c r="ADB19" s="9" t="s">
        <v>16</v>
      </c>
      <c r="ADC19" s="8" t="s">
        <v>17</v>
      </c>
      <c r="ADD19" s="8" t="s">
        <v>18</v>
      </c>
      <c r="ADF19" s="8" t="s">
        <v>14</v>
      </c>
      <c r="ADG19" s="8" t="s">
        <v>15</v>
      </c>
      <c r="ADH19" s="9" t="s">
        <v>16</v>
      </c>
      <c r="ADI19" s="8" t="s">
        <v>17</v>
      </c>
      <c r="ADJ19" s="8" t="s">
        <v>18</v>
      </c>
      <c r="ADL19" s="8" t="s">
        <v>14</v>
      </c>
      <c r="ADM19" s="8" t="s">
        <v>15</v>
      </c>
      <c r="ADN19" s="9" t="s">
        <v>16</v>
      </c>
      <c r="ADO19" s="8" t="s">
        <v>17</v>
      </c>
      <c r="ADP19" s="8" t="s">
        <v>18</v>
      </c>
      <c r="ADR19" s="8" t="s">
        <v>14</v>
      </c>
      <c r="ADS19" s="8" t="s">
        <v>15</v>
      </c>
      <c r="ADT19" s="9" t="s">
        <v>16</v>
      </c>
      <c r="ADU19" s="8" t="s">
        <v>17</v>
      </c>
      <c r="ADV19" s="8" t="s">
        <v>18</v>
      </c>
      <c r="ADX19" s="8" t="s">
        <v>14</v>
      </c>
      <c r="ADY19" s="8" t="s">
        <v>15</v>
      </c>
      <c r="ADZ19" s="9" t="s">
        <v>16</v>
      </c>
      <c r="AEA19" s="8" t="s">
        <v>17</v>
      </c>
      <c r="AEB19" s="8" t="s">
        <v>18</v>
      </c>
      <c r="AED19" s="8" t="s">
        <v>14</v>
      </c>
      <c r="AEE19" s="8" t="s">
        <v>15</v>
      </c>
      <c r="AEF19" s="9" t="s">
        <v>16</v>
      </c>
      <c r="AEG19" s="8" t="s">
        <v>17</v>
      </c>
      <c r="AEH19" s="8" t="s">
        <v>18</v>
      </c>
      <c r="AEJ19" s="8" t="s">
        <v>14</v>
      </c>
      <c r="AEK19" s="8" t="s">
        <v>15</v>
      </c>
      <c r="AEL19" s="9" t="s">
        <v>16</v>
      </c>
      <c r="AEM19" s="8" t="s">
        <v>17</v>
      </c>
      <c r="AEN19" s="8" t="s">
        <v>18</v>
      </c>
      <c r="AEP19" s="8" t="s">
        <v>14</v>
      </c>
      <c r="AEQ19" s="8" t="s">
        <v>15</v>
      </c>
      <c r="AER19" s="9" t="s">
        <v>16</v>
      </c>
      <c r="AES19" s="8" t="s">
        <v>17</v>
      </c>
      <c r="AET19" s="8" t="s">
        <v>18</v>
      </c>
      <c r="AEV19" s="8" t="s">
        <v>14</v>
      </c>
      <c r="AEW19" s="8" t="s">
        <v>15</v>
      </c>
      <c r="AEX19" s="9" t="s">
        <v>16</v>
      </c>
      <c r="AEY19" s="8" t="s">
        <v>17</v>
      </c>
      <c r="AEZ19" s="8" t="s">
        <v>18</v>
      </c>
      <c r="AFB19" s="8" t="s">
        <v>14</v>
      </c>
      <c r="AFC19" s="8" t="s">
        <v>15</v>
      </c>
      <c r="AFD19" s="9" t="s">
        <v>16</v>
      </c>
      <c r="AFE19" s="8" t="s">
        <v>17</v>
      </c>
      <c r="AFF19" s="8" t="s">
        <v>18</v>
      </c>
      <c r="AFH19" s="8" t="s">
        <v>14</v>
      </c>
      <c r="AFI19" s="8" t="s">
        <v>15</v>
      </c>
      <c r="AFJ19" s="9" t="s">
        <v>16</v>
      </c>
      <c r="AFK19" s="8" t="s">
        <v>17</v>
      </c>
      <c r="AFL19" s="8" t="s">
        <v>18</v>
      </c>
      <c r="AFN19" s="8" t="s">
        <v>14</v>
      </c>
      <c r="AFO19" s="8" t="s">
        <v>15</v>
      </c>
      <c r="AFP19" s="9" t="s">
        <v>16</v>
      </c>
      <c r="AFQ19" s="8" t="s">
        <v>17</v>
      </c>
      <c r="AFR19" s="8" t="s">
        <v>18</v>
      </c>
      <c r="AFT19" s="8" t="s">
        <v>14</v>
      </c>
      <c r="AFU19" s="8" t="s">
        <v>15</v>
      </c>
      <c r="AFV19" s="9" t="s">
        <v>16</v>
      </c>
      <c r="AFW19" s="8" t="s">
        <v>17</v>
      </c>
      <c r="AFX19" s="8" t="s">
        <v>18</v>
      </c>
      <c r="AFZ19" s="8" t="s">
        <v>14</v>
      </c>
      <c r="AGA19" s="8" t="s">
        <v>15</v>
      </c>
      <c r="AGB19" s="9" t="s">
        <v>16</v>
      </c>
      <c r="AGC19" s="8" t="s">
        <v>17</v>
      </c>
      <c r="AGD19" s="8" t="s">
        <v>18</v>
      </c>
      <c r="AGF19" s="8" t="s">
        <v>14</v>
      </c>
      <c r="AGG19" s="8" t="s">
        <v>15</v>
      </c>
      <c r="AGH19" s="9" t="s">
        <v>16</v>
      </c>
      <c r="AGI19" s="8" t="s">
        <v>17</v>
      </c>
      <c r="AGJ19" s="8" t="s">
        <v>18</v>
      </c>
      <c r="AGL19" s="8" t="s">
        <v>14</v>
      </c>
      <c r="AGM19" s="8" t="s">
        <v>15</v>
      </c>
      <c r="AGN19" s="9" t="s">
        <v>16</v>
      </c>
      <c r="AGO19" s="8" t="s">
        <v>17</v>
      </c>
      <c r="AGP19" s="8" t="s">
        <v>18</v>
      </c>
      <c r="AGR19" s="8" t="s">
        <v>14</v>
      </c>
      <c r="AGS19" s="8" t="s">
        <v>15</v>
      </c>
      <c r="AGT19" s="9" t="s">
        <v>16</v>
      </c>
      <c r="AGU19" s="8" t="s">
        <v>17</v>
      </c>
      <c r="AGV19" s="8" t="s">
        <v>18</v>
      </c>
      <c r="AGX19" s="8" t="s">
        <v>14</v>
      </c>
      <c r="AGY19" s="8" t="s">
        <v>15</v>
      </c>
      <c r="AGZ19" s="9" t="s">
        <v>16</v>
      </c>
      <c r="AHA19" s="8" t="s">
        <v>17</v>
      </c>
      <c r="AHB19" s="8" t="s">
        <v>18</v>
      </c>
      <c r="AHD19" s="8" t="s">
        <v>14</v>
      </c>
      <c r="AHE19" s="8" t="s">
        <v>15</v>
      </c>
      <c r="AHF19" s="9" t="s">
        <v>16</v>
      </c>
      <c r="AHG19" s="8" t="s">
        <v>17</v>
      </c>
      <c r="AHH19" s="8" t="s">
        <v>18</v>
      </c>
      <c r="AHJ19" s="8" t="s">
        <v>14</v>
      </c>
      <c r="AHK19" s="8" t="s">
        <v>15</v>
      </c>
      <c r="AHL19" s="9" t="s">
        <v>16</v>
      </c>
      <c r="AHM19" s="8" t="s">
        <v>17</v>
      </c>
      <c r="AHN19" s="8" t="s">
        <v>18</v>
      </c>
      <c r="AHP19" s="8" t="s">
        <v>14</v>
      </c>
      <c r="AHQ19" s="8" t="s">
        <v>15</v>
      </c>
      <c r="AHR19" s="9" t="s">
        <v>16</v>
      </c>
      <c r="AHS19" s="8" t="s">
        <v>17</v>
      </c>
      <c r="AHT19" s="8" t="s">
        <v>18</v>
      </c>
      <c r="AHV19" s="8" t="s">
        <v>14</v>
      </c>
      <c r="AHW19" s="8" t="s">
        <v>15</v>
      </c>
      <c r="AHX19" s="9" t="s">
        <v>16</v>
      </c>
      <c r="AHY19" s="8" t="s">
        <v>17</v>
      </c>
      <c r="AHZ19" s="8" t="s">
        <v>18</v>
      </c>
      <c r="AIB19" s="8" t="s">
        <v>14</v>
      </c>
      <c r="AIC19" s="8" t="s">
        <v>15</v>
      </c>
      <c r="AID19" s="9" t="s">
        <v>16</v>
      </c>
      <c r="AIE19" s="8" t="s">
        <v>17</v>
      </c>
      <c r="AIF19" s="8" t="s">
        <v>18</v>
      </c>
      <c r="AIH19" s="8" t="s">
        <v>14</v>
      </c>
      <c r="AII19" s="8" t="s">
        <v>15</v>
      </c>
      <c r="AIJ19" s="9" t="s">
        <v>16</v>
      </c>
      <c r="AIK19" s="8" t="s">
        <v>17</v>
      </c>
      <c r="AIL19" s="8" t="s">
        <v>18</v>
      </c>
      <c r="AIN19" s="8" t="s">
        <v>14</v>
      </c>
      <c r="AIO19" s="8" t="s">
        <v>15</v>
      </c>
      <c r="AIP19" s="9" t="s">
        <v>16</v>
      </c>
      <c r="AIQ19" s="8" t="s">
        <v>17</v>
      </c>
      <c r="AIR19" s="8" t="s">
        <v>18</v>
      </c>
      <c r="AIT19" s="8" t="s">
        <v>14</v>
      </c>
      <c r="AIU19" s="8" t="s">
        <v>15</v>
      </c>
      <c r="AIV19" s="9" t="s">
        <v>16</v>
      </c>
      <c r="AIW19" s="8" t="s">
        <v>17</v>
      </c>
      <c r="AIX19" s="8" t="s">
        <v>18</v>
      </c>
      <c r="AIZ19" s="8" t="s">
        <v>14</v>
      </c>
      <c r="AJA19" s="8" t="s">
        <v>15</v>
      </c>
      <c r="AJB19" s="9" t="s">
        <v>16</v>
      </c>
      <c r="AJC19" s="8" t="s">
        <v>17</v>
      </c>
      <c r="AJD19" s="8" t="s">
        <v>18</v>
      </c>
      <c r="AJF19" s="8" t="s">
        <v>14</v>
      </c>
      <c r="AJG19" s="8" t="s">
        <v>15</v>
      </c>
      <c r="AJH19" s="9" t="s">
        <v>16</v>
      </c>
      <c r="AJI19" s="8" t="s">
        <v>17</v>
      </c>
      <c r="AJJ19" s="8" t="s">
        <v>18</v>
      </c>
      <c r="AJL19" s="8" t="s">
        <v>14</v>
      </c>
      <c r="AJM19" s="8" t="s">
        <v>15</v>
      </c>
      <c r="AJN19" s="9" t="s">
        <v>16</v>
      </c>
      <c r="AJO19" s="8" t="s">
        <v>17</v>
      </c>
      <c r="AJP19" s="8" t="s">
        <v>18</v>
      </c>
      <c r="AJR19" s="8" t="s">
        <v>14</v>
      </c>
      <c r="AJS19" s="8" t="s">
        <v>15</v>
      </c>
      <c r="AJT19" s="9" t="s">
        <v>16</v>
      </c>
      <c r="AJU19" s="8" t="s">
        <v>17</v>
      </c>
      <c r="AJV19" s="8" t="s">
        <v>18</v>
      </c>
      <c r="AJX19" s="8" t="s">
        <v>14</v>
      </c>
      <c r="AJY19" s="8" t="s">
        <v>15</v>
      </c>
      <c r="AJZ19" s="9" t="s">
        <v>16</v>
      </c>
      <c r="AKA19" s="8" t="s">
        <v>17</v>
      </c>
      <c r="AKB19" s="8" t="s">
        <v>18</v>
      </c>
      <c r="AKD19" s="8" t="s">
        <v>14</v>
      </c>
      <c r="AKE19" s="8" t="s">
        <v>15</v>
      </c>
      <c r="AKF19" s="9" t="s">
        <v>16</v>
      </c>
      <c r="AKG19" s="8" t="s">
        <v>17</v>
      </c>
      <c r="AKH19" s="8" t="s">
        <v>18</v>
      </c>
      <c r="AKJ19" s="8" t="s">
        <v>14</v>
      </c>
      <c r="AKK19" s="8" t="s">
        <v>15</v>
      </c>
      <c r="AKL19" s="9" t="s">
        <v>16</v>
      </c>
      <c r="AKM19" s="8" t="s">
        <v>17</v>
      </c>
      <c r="AKN19" s="8" t="s">
        <v>18</v>
      </c>
      <c r="AKP19" s="8" t="s">
        <v>14</v>
      </c>
      <c r="AKQ19" s="8" t="s">
        <v>15</v>
      </c>
      <c r="AKR19" s="9" t="s">
        <v>16</v>
      </c>
      <c r="AKS19" s="8" t="s">
        <v>17</v>
      </c>
      <c r="AKT19" s="8" t="s">
        <v>18</v>
      </c>
      <c r="AKV19" s="8" t="s">
        <v>14</v>
      </c>
      <c r="AKW19" s="8" t="s">
        <v>15</v>
      </c>
      <c r="AKX19" s="9" t="s">
        <v>16</v>
      </c>
      <c r="AKY19" s="8" t="s">
        <v>17</v>
      </c>
      <c r="AKZ19" s="8" t="s">
        <v>18</v>
      </c>
      <c r="ALB19" s="8" t="s">
        <v>14</v>
      </c>
      <c r="ALC19" s="8" t="s">
        <v>15</v>
      </c>
      <c r="ALD19" s="9" t="s">
        <v>16</v>
      </c>
      <c r="ALE19" s="8" t="s">
        <v>17</v>
      </c>
      <c r="ALF19" s="8" t="s">
        <v>18</v>
      </c>
      <c r="ALH19" s="8" t="s">
        <v>14</v>
      </c>
      <c r="ALI19" s="8" t="s">
        <v>15</v>
      </c>
      <c r="ALJ19" s="9" t="s">
        <v>16</v>
      </c>
      <c r="ALK19" s="8" t="s">
        <v>17</v>
      </c>
      <c r="ALL19" s="8" t="s">
        <v>18</v>
      </c>
      <c r="ALN19" s="8" t="s">
        <v>14</v>
      </c>
      <c r="ALO19" s="8" t="s">
        <v>15</v>
      </c>
      <c r="ALP19" s="9" t="s">
        <v>16</v>
      </c>
      <c r="ALQ19" s="8" t="s">
        <v>17</v>
      </c>
      <c r="ALR19" s="8" t="s">
        <v>18</v>
      </c>
      <c r="ALT19" s="8" t="s">
        <v>14</v>
      </c>
      <c r="ALU19" s="8" t="s">
        <v>15</v>
      </c>
      <c r="ALV19" s="9" t="s">
        <v>16</v>
      </c>
      <c r="ALW19" s="8" t="s">
        <v>17</v>
      </c>
      <c r="ALX19" s="8" t="s">
        <v>18</v>
      </c>
      <c r="ALZ19" s="8" t="s">
        <v>14</v>
      </c>
      <c r="AMA19" s="8" t="s">
        <v>15</v>
      </c>
      <c r="AMB19" s="9" t="s">
        <v>16</v>
      </c>
      <c r="AMC19" s="8" t="s">
        <v>17</v>
      </c>
      <c r="AMD19" s="8" t="s">
        <v>18</v>
      </c>
      <c r="AMF19" s="8" t="s">
        <v>14</v>
      </c>
      <c r="AMG19" s="8" t="s">
        <v>15</v>
      </c>
      <c r="AMH19" s="9" t="s">
        <v>16</v>
      </c>
      <c r="AMI19" s="8" t="s">
        <v>17</v>
      </c>
      <c r="AMJ19" s="8" t="s">
        <v>18</v>
      </c>
      <c r="AML19" s="8" t="s">
        <v>14</v>
      </c>
      <c r="AMM19" s="8" t="s">
        <v>15</v>
      </c>
      <c r="AMN19" s="9" t="s">
        <v>16</v>
      </c>
      <c r="AMO19" s="8" t="s">
        <v>17</v>
      </c>
      <c r="AMP19" s="8" t="s">
        <v>18</v>
      </c>
      <c r="AMR19" s="8" t="s">
        <v>14</v>
      </c>
      <c r="AMS19" s="8" t="s">
        <v>15</v>
      </c>
      <c r="AMT19" s="9" t="s">
        <v>16</v>
      </c>
      <c r="AMU19" s="8" t="s">
        <v>17</v>
      </c>
      <c r="AMV19" s="8" t="s">
        <v>18</v>
      </c>
      <c r="AMX19" s="8" t="s">
        <v>14</v>
      </c>
      <c r="AMY19" s="8" t="s">
        <v>15</v>
      </c>
      <c r="AMZ19" s="9" t="s">
        <v>16</v>
      </c>
      <c r="ANA19" s="8" t="s">
        <v>17</v>
      </c>
      <c r="ANB19" s="8" t="s">
        <v>18</v>
      </c>
      <c r="AND19" s="8" t="s">
        <v>14</v>
      </c>
      <c r="ANE19" s="8" t="s">
        <v>15</v>
      </c>
      <c r="ANF19" s="9" t="s">
        <v>16</v>
      </c>
      <c r="ANG19" s="8" t="s">
        <v>17</v>
      </c>
      <c r="ANH19" s="8" t="s">
        <v>18</v>
      </c>
      <c r="ANJ19" s="8" t="s">
        <v>14</v>
      </c>
      <c r="ANK19" s="8" t="s">
        <v>15</v>
      </c>
      <c r="ANL19" s="9" t="s">
        <v>16</v>
      </c>
      <c r="ANM19" s="8" t="s">
        <v>17</v>
      </c>
      <c r="ANN19" s="8" t="s">
        <v>18</v>
      </c>
      <c r="ANP19" s="8" t="s">
        <v>14</v>
      </c>
      <c r="ANQ19" s="8" t="s">
        <v>15</v>
      </c>
      <c r="ANR19" s="9" t="s">
        <v>16</v>
      </c>
      <c r="ANS19" s="8" t="s">
        <v>17</v>
      </c>
      <c r="ANT19" s="8" t="s">
        <v>18</v>
      </c>
      <c r="ANV19" s="8" t="s">
        <v>14</v>
      </c>
      <c r="ANW19" s="8" t="s">
        <v>15</v>
      </c>
      <c r="ANX19" s="9" t="s">
        <v>16</v>
      </c>
      <c r="ANY19" s="8" t="s">
        <v>17</v>
      </c>
      <c r="ANZ19" s="8" t="s">
        <v>18</v>
      </c>
      <c r="AOB19" s="8" t="s">
        <v>14</v>
      </c>
      <c r="AOC19" s="8" t="s">
        <v>15</v>
      </c>
      <c r="AOD19" s="9" t="s">
        <v>16</v>
      </c>
      <c r="AOE19" s="8" t="s">
        <v>17</v>
      </c>
      <c r="AOF19" s="8" t="s">
        <v>18</v>
      </c>
      <c r="AOH19" s="8" t="s">
        <v>14</v>
      </c>
      <c r="AOI19" s="8" t="s">
        <v>15</v>
      </c>
      <c r="AOJ19" s="9" t="s">
        <v>16</v>
      </c>
      <c r="AOK19" s="8" t="s">
        <v>17</v>
      </c>
      <c r="AOL19" s="8" t="s">
        <v>18</v>
      </c>
      <c r="AON19" s="8" t="s">
        <v>14</v>
      </c>
      <c r="AOO19" s="8" t="s">
        <v>15</v>
      </c>
      <c r="AOP19" s="9" t="s">
        <v>16</v>
      </c>
      <c r="AOQ19" s="8" t="s">
        <v>17</v>
      </c>
      <c r="AOR19" s="8" t="s">
        <v>18</v>
      </c>
    </row>
    <row r="20" spans="1:1024 1026:1084" x14ac:dyDescent="0.25">
      <c r="A20" s="3" t="s">
        <v>25</v>
      </c>
      <c r="B20" s="3"/>
      <c r="C20" s="5" t="s">
        <v>35</v>
      </c>
      <c r="D20" s="9">
        <v>1.8</v>
      </c>
      <c r="F20" s="14">
        <v>2.1</v>
      </c>
      <c r="G20" s="15"/>
      <c r="H20" s="11"/>
      <c r="I20" s="15"/>
      <c r="J20" s="15"/>
      <c r="L20" s="14">
        <v>1.8</v>
      </c>
      <c r="M20" s="15"/>
      <c r="N20" s="13">
        <f>F20+G20-L20</f>
        <v>0.30000000000000004</v>
      </c>
      <c r="O20" s="15"/>
      <c r="P20" s="15"/>
      <c r="R20" s="14">
        <v>0.9</v>
      </c>
      <c r="S20" s="15">
        <v>1</v>
      </c>
      <c r="T20" s="13">
        <f>L20+M20-R20</f>
        <v>0.9</v>
      </c>
      <c r="U20" s="15"/>
      <c r="V20" s="15"/>
      <c r="X20" s="14">
        <v>1.9</v>
      </c>
      <c r="Y20" s="15"/>
      <c r="Z20" s="13">
        <f>R20+S20-X20</f>
        <v>0</v>
      </c>
      <c r="AA20" s="15"/>
      <c r="AB20" s="15"/>
      <c r="AD20" s="14">
        <v>1.9</v>
      </c>
      <c r="AE20" s="15"/>
      <c r="AF20" s="13">
        <f>X20+Y20-AD20</f>
        <v>0</v>
      </c>
      <c r="AG20" s="15"/>
      <c r="AH20" s="15"/>
      <c r="AJ20" s="14">
        <v>1.6</v>
      </c>
      <c r="AK20" s="15"/>
      <c r="AL20" s="13">
        <f>AD20+AE20-AJ20</f>
        <v>0.29999999999999982</v>
      </c>
      <c r="AM20" s="15"/>
      <c r="AN20" s="15"/>
      <c r="AP20" s="14">
        <v>0.9</v>
      </c>
      <c r="AQ20" s="15">
        <v>1</v>
      </c>
      <c r="AR20" s="13">
        <f>AJ20+AK20-AP20</f>
        <v>0.70000000000000007</v>
      </c>
      <c r="AS20" s="15"/>
      <c r="AT20" s="15"/>
      <c r="AV20" s="14">
        <v>0.6</v>
      </c>
      <c r="AW20" s="15"/>
      <c r="AX20" s="13">
        <f>AP20+AQ20-AV20</f>
        <v>1.2999999999999998</v>
      </c>
      <c r="AY20" s="15"/>
      <c r="AZ20" s="15"/>
      <c r="BB20" s="14">
        <v>0.1</v>
      </c>
      <c r="BC20" s="15">
        <v>1</v>
      </c>
      <c r="BD20" s="13">
        <f>AV20+AW20-BB20</f>
        <v>0.5</v>
      </c>
      <c r="BE20" s="15"/>
      <c r="BF20" s="15"/>
      <c r="BH20" s="14">
        <v>0.8</v>
      </c>
      <c r="BI20" s="15">
        <v>1</v>
      </c>
      <c r="BJ20" s="13">
        <f>BB20+BC20-BH20</f>
        <v>0.30000000000000004</v>
      </c>
      <c r="BK20" s="15"/>
      <c r="BL20" s="15"/>
      <c r="BN20" s="14">
        <v>1.4</v>
      </c>
      <c r="BO20" s="15"/>
      <c r="BP20" s="13">
        <f>BH20+BI20-BN20</f>
        <v>0.40000000000000013</v>
      </c>
      <c r="BQ20" s="15"/>
      <c r="BR20" s="15"/>
      <c r="BT20" s="14">
        <v>1.2</v>
      </c>
      <c r="BU20" s="15"/>
      <c r="BV20" s="13">
        <f>BN20+BO20-BT20</f>
        <v>0.19999999999999996</v>
      </c>
      <c r="BW20" s="15"/>
      <c r="BX20" s="15"/>
      <c r="BZ20" s="14">
        <v>0.8</v>
      </c>
      <c r="CA20" s="15">
        <v>1</v>
      </c>
      <c r="CB20" s="13">
        <f>BT20+BU20-BZ20</f>
        <v>0.39999999999999991</v>
      </c>
      <c r="CC20" s="15"/>
      <c r="CD20" s="15"/>
      <c r="CF20" s="14">
        <v>1.6</v>
      </c>
      <c r="CG20" s="15"/>
      <c r="CH20" s="13">
        <f>BZ20+CA20-CF20</f>
        <v>0.19999999999999996</v>
      </c>
      <c r="CI20" s="15"/>
      <c r="CJ20" s="15"/>
      <c r="CL20" s="14">
        <v>0.8</v>
      </c>
      <c r="CM20" s="15">
        <v>1</v>
      </c>
      <c r="CN20" s="13">
        <f>CF20+CG20-CL20</f>
        <v>0.8</v>
      </c>
      <c r="CO20" s="15"/>
      <c r="CP20" s="15"/>
      <c r="CR20" s="14">
        <v>1.6</v>
      </c>
      <c r="CS20" s="15"/>
      <c r="CT20" s="13">
        <f>CL20+CM20-CR20</f>
        <v>0.19999999999999996</v>
      </c>
      <c r="CU20" s="15"/>
      <c r="CV20" s="15"/>
      <c r="CX20" s="14">
        <v>1.3</v>
      </c>
      <c r="CY20" s="33"/>
      <c r="CZ20" s="13">
        <f>CR20+CS20-CX20</f>
        <v>0.30000000000000004</v>
      </c>
      <c r="DA20" s="15"/>
      <c r="DB20" s="15"/>
      <c r="DD20" s="14">
        <v>0.8</v>
      </c>
      <c r="DE20" s="33">
        <v>1</v>
      </c>
      <c r="DF20" s="13">
        <f>CX20+CY20-DD20</f>
        <v>0.5</v>
      </c>
      <c r="DG20" s="15"/>
      <c r="DH20" s="15"/>
      <c r="DJ20" s="14">
        <v>1.6</v>
      </c>
      <c r="DK20" s="33"/>
      <c r="DL20" s="13">
        <f>DD20+DE20-DJ20</f>
        <v>0.19999999999999996</v>
      </c>
      <c r="DM20" s="15"/>
      <c r="DN20" s="15"/>
      <c r="DP20" s="14">
        <v>1.2</v>
      </c>
      <c r="DQ20" s="33"/>
      <c r="DR20" s="13">
        <f>DJ20+DK20-DP20</f>
        <v>0.40000000000000013</v>
      </c>
      <c r="DS20" s="15"/>
      <c r="DT20" s="15"/>
      <c r="DV20" s="14">
        <v>0.8</v>
      </c>
      <c r="DW20" s="33">
        <v>1</v>
      </c>
      <c r="DX20" s="13">
        <f>DP20+DQ20-DV20</f>
        <v>0.39999999999999991</v>
      </c>
      <c r="DY20" s="15"/>
      <c r="DZ20" s="15"/>
      <c r="EB20" s="14">
        <v>1.4</v>
      </c>
      <c r="EC20" s="33"/>
      <c r="ED20" s="13">
        <f>DV20+DW20-EB20</f>
        <v>0.40000000000000013</v>
      </c>
      <c r="EE20" s="15"/>
      <c r="EF20" s="15"/>
      <c r="EH20" s="14">
        <v>1.2</v>
      </c>
      <c r="EI20" s="33"/>
      <c r="EJ20" s="13">
        <f>EB20+EC20-EH20</f>
        <v>0.19999999999999996</v>
      </c>
      <c r="EK20" s="15"/>
      <c r="EL20" s="15"/>
      <c r="EN20" s="14">
        <v>0.8</v>
      </c>
      <c r="EO20" s="33">
        <v>1</v>
      </c>
      <c r="EP20" s="13">
        <f>EH20+EI20-EN20</f>
        <v>0.39999999999999991</v>
      </c>
      <c r="EQ20" s="15"/>
      <c r="ER20" s="15"/>
      <c r="ET20" s="14">
        <v>1.6</v>
      </c>
      <c r="EU20" s="33"/>
      <c r="EV20" s="13">
        <f>EN20+EO20-ET20</f>
        <v>0.19999999999999996</v>
      </c>
      <c r="EW20" s="15"/>
      <c r="EX20" s="15"/>
      <c r="EZ20" s="14">
        <v>1.2</v>
      </c>
      <c r="FA20" s="33"/>
      <c r="FB20" s="14">
        <f>ET20+EU20-EZ20</f>
        <v>0.40000000000000013</v>
      </c>
      <c r="FC20" s="15"/>
      <c r="FD20" s="15"/>
      <c r="FF20" s="14">
        <v>0.8</v>
      </c>
      <c r="FG20" s="33">
        <v>1</v>
      </c>
      <c r="FH20" s="14">
        <f t="shared" ref="FH20:FH28" si="614">EZ20+FA20-FF20</f>
        <v>0.39999999999999991</v>
      </c>
      <c r="FI20" s="15"/>
      <c r="FJ20" s="15"/>
      <c r="FL20" s="14"/>
      <c r="FM20" s="33"/>
      <c r="FN20" s="14">
        <f t="shared" ref="FN20:FN28" si="615">FF20+FG20-FL20</f>
        <v>1.8</v>
      </c>
      <c r="FO20" s="15"/>
      <c r="FP20" s="15"/>
      <c r="FR20" s="14">
        <v>1.5</v>
      </c>
      <c r="FS20" s="33"/>
      <c r="FT20" s="14">
        <f t="shared" ref="FT20:FT28" si="616">FL20+FM20-FR20</f>
        <v>-1.5</v>
      </c>
      <c r="FU20" s="15"/>
      <c r="FV20" s="15"/>
      <c r="FX20" s="14">
        <v>1.1000000000000001</v>
      </c>
      <c r="FY20" s="33"/>
      <c r="FZ20" s="14">
        <f t="shared" ref="FZ20:FZ28" si="617">FR20+FS20-FX20</f>
        <v>0.39999999999999991</v>
      </c>
      <c r="GA20" s="15"/>
      <c r="GB20" s="15"/>
      <c r="GD20" s="14">
        <v>0.8</v>
      </c>
      <c r="GE20" s="33"/>
      <c r="GF20" s="14">
        <f t="shared" ref="GF20:GF28" si="618">FX20+FY20-GD20</f>
        <v>0.30000000000000004</v>
      </c>
      <c r="GG20" s="15"/>
      <c r="GH20" s="15"/>
      <c r="GJ20" s="14">
        <v>0.6</v>
      </c>
      <c r="GK20" s="33">
        <v>1</v>
      </c>
      <c r="GL20" s="14">
        <f t="shared" ref="GL20:GL28" si="619">GD20+GE20-GJ20</f>
        <v>0.20000000000000007</v>
      </c>
      <c r="GM20" s="15"/>
      <c r="GN20" s="15"/>
      <c r="GP20" s="14">
        <v>1.2</v>
      </c>
      <c r="GQ20" s="33"/>
      <c r="GR20" s="14">
        <f t="shared" ref="GR20:GR28" si="620">GJ20+GK20-GP20</f>
        <v>0.40000000000000013</v>
      </c>
      <c r="GS20" s="15"/>
      <c r="GT20" s="15"/>
      <c r="GV20" s="14">
        <v>0.8</v>
      </c>
      <c r="GW20" s="33">
        <v>1</v>
      </c>
      <c r="GX20" s="14">
        <f t="shared" ref="GX20:GX28" si="621">GP20+GQ20-GV20</f>
        <v>0.39999999999999991</v>
      </c>
      <c r="GY20" s="15"/>
      <c r="GZ20" s="15"/>
      <c r="HB20" s="14">
        <v>1.6</v>
      </c>
      <c r="HC20" s="33"/>
      <c r="HD20" s="14">
        <f t="shared" ref="HD20:HD28" si="622">GV20+GW20-HB20</f>
        <v>0.19999999999999996</v>
      </c>
      <c r="HE20" s="15"/>
      <c r="HF20" s="15"/>
      <c r="HH20" s="14">
        <v>1.1000000000000001</v>
      </c>
      <c r="HI20" s="33"/>
      <c r="HJ20" s="14">
        <f t="shared" ref="HJ20:HJ28" si="623">HB20+HC20-HH20</f>
        <v>0.5</v>
      </c>
      <c r="HK20" s="15"/>
      <c r="HL20" s="15"/>
      <c r="HN20" s="14">
        <v>0.6</v>
      </c>
      <c r="HO20" s="33">
        <v>1</v>
      </c>
      <c r="HP20" s="14">
        <f t="shared" ref="HP20:HP28" si="624">HH20+HI20-HN20</f>
        <v>0.50000000000000011</v>
      </c>
      <c r="HQ20" s="15"/>
      <c r="HR20" s="15"/>
      <c r="HT20" s="14">
        <v>1.4</v>
      </c>
      <c r="HU20" s="33"/>
      <c r="HV20" s="14">
        <f t="shared" ref="HV20:HV28" si="625">HN20+HO20-HT20</f>
        <v>0.20000000000000018</v>
      </c>
      <c r="HW20" s="15"/>
      <c r="HX20" s="15"/>
      <c r="HZ20" s="14">
        <v>0.9</v>
      </c>
      <c r="IA20" s="33"/>
      <c r="IB20" s="14">
        <f t="shared" ref="IB20:IB28" si="626">HT20+HU20-HZ20</f>
        <v>0.49999999999999989</v>
      </c>
      <c r="IC20" s="15"/>
      <c r="ID20" s="15"/>
      <c r="IF20" s="14">
        <v>0.9</v>
      </c>
      <c r="IG20" s="33">
        <v>1</v>
      </c>
      <c r="IH20" s="14">
        <f t="shared" ref="IH20:IH28" si="627">HZ20+IA20-IF20</f>
        <v>0</v>
      </c>
      <c r="II20" s="15"/>
      <c r="IJ20" s="15"/>
      <c r="IL20" s="14">
        <v>1.4</v>
      </c>
      <c r="IM20" s="33"/>
      <c r="IN20" s="14">
        <f t="shared" ref="IN20:IN28" si="628">IF20+IG20-IL20</f>
        <v>0.5</v>
      </c>
      <c r="IO20" s="15"/>
      <c r="IP20" s="15"/>
      <c r="IR20" s="14">
        <v>1.4</v>
      </c>
      <c r="IS20" s="33"/>
      <c r="IT20" s="14">
        <f t="shared" ref="IT20:IT28" si="629">IL20+IM20-IR20</f>
        <v>0</v>
      </c>
      <c r="IU20" s="15"/>
      <c r="IV20" s="15"/>
      <c r="IX20" s="14">
        <v>1.4</v>
      </c>
      <c r="IY20" s="33"/>
      <c r="IZ20" s="14">
        <f t="shared" ref="IZ20:IZ28" si="630">IR20+IS20-IX20</f>
        <v>0</v>
      </c>
      <c r="JA20" s="15"/>
      <c r="JB20" s="15"/>
      <c r="JD20" s="14">
        <v>0.8</v>
      </c>
      <c r="JE20" s="33">
        <v>1</v>
      </c>
      <c r="JF20" s="14">
        <f t="shared" ref="JF20:JF28" si="631">IX20+IY20-JD20</f>
        <v>0.59999999999999987</v>
      </c>
      <c r="JG20" s="15"/>
      <c r="JH20" s="15"/>
      <c r="JJ20" s="14">
        <v>1.1000000000000001</v>
      </c>
      <c r="JK20" s="33">
        <v>1</v>
      </c>
      <c r="JL20" s="14">
        <f t="shared" ref="JL20:JL28" si="632">JD20+JE20-JJ20</f>
        <v>0.7</v>
      </c>
      <c r="JM20" s="15"/>
      <c r="JN20" s="15"/>
      <c r="JP20" s="14">
        <v>1.8</v>
      </c>
      <c r="JQ20" s="33">
        <v>1</v>
      </c>
      <c r="JR20" s="14">
        <f t="shared" ref="JR20:JR28" si="633">JJ20+JK20-JP20</f>
        <v>0.30000000000000004</v>
      </c>
      <c r="JS20" s="15"/>
      <c r="JT20" s="15"/>
      <c r="JV20" s="14">
        <v>2.9</v>
      </c>
      <c r="JW20" s="33"/>
      <c r="JX20" s="14">
        <f t="shared" ref="JX20:JX28" si="634">JP20+JQ20-JV20</f>
        <v>-0.10000000000000009</v>
      </c>
      <c r="JY20" s="15"/>
      <c r="JZ20" s="15"/>
      <c r="KB20" s="14">
        <v>2.2999999999999998</v>
      </c>
      <c r="KC20" s="33">
        <v>-1</v>
      </c>
      <c r="KD20" s="14">
        <f t="shared" ref="KD20:KD28" si="635">JV20+JW20-KB20</f>
        <v>0.60000000000000009</v>
      </c>
      <c r="KE20" s="15"/>
      <c r="KF20" s="15"/>
      <c r="KH20" s="14">
        <v>1.1000000000000001</v>
      </c>
      <c r="KI20" s="33">
        <v>1</v>
      </c>
      <c r="KJ20" s="14">
        <f t="shared" ref="KJ20:KJ28" si="636">KB20+KC20-KH20</f>
        <v>0.19999999999999973</v>
      </c>
      <c r="KK20" s="15"/>
      <c r="KL20" s="15"/>
      <c r="KN20" s="14">
        <v>1.4</v>
      </c>
      <c r="KO20" s="33">
        <v>1</v>
      </c>
      <c r="KP20" s="14">
        <f t="shared" ref="KP20:KP28" si="637">KH20+KI20-KN20</f>
        <v>0.70000000000000018</v>
      </c>
      <c r="KQ20" s="15"/>
      <c r="KR20" s="15"/>
      <c r="KT20" s="14">
        <v>1.8</v>
      </c>
      <c r="KU20" s="33"/>
      <c r="KV20" s="14">
        <f t="shared" ref="KV20:KV28" si="638">KN20+KO20-KT20</f>
        <v>0.59999999999999987</v>
      </c>
      <c r="KW20" s="15"/>
      <c r="KX20" s="15"/>
      <c r="KZ20" s="14">
        <v>1.9</v>
      </c>
      <c r="LA20" s="33"/>
      <c r="LB20" s="14">
        <f t="shared" ref="LB20:LB28" si="639">KT20+KU20-KZ20</f>
        <v>-9.9999999999999867E-2</v>
      </c>
      <c r="LC20" s="15"/>
      <c r="LD20" s="15"/>
      <c r="LF20" s="14">
        <v>1.8</v>
      </c>
      <c r="LG20" s="33"/>
      <c r="LH20" s="14">
        <f t="shared" ref="LH20:LH28" si="640">KZ20+LA20-LF20</f>
        <v>9.9999999999999867E-2</v>
      </c>
      <c r="LI20" s="15"/>
      <c r="LJ20" s="15"/>
      <c r="LL20" s="14">
        <v>1.6</v>
      </c>
      <c r="LM20" s="33"/>
      <c r="LN20" s="14">
        <f t="shared" ref="LN20:LN28" si="641">LF20+LG20-LL20</f>
        <v>0.19999999999999996</v>
      </c>
      <c r="LO20" s="15"/>
      <c r="LP20" s="15"/>
      <c r="LR20" s="14">
        <v>0.2</v>
      </c>
      <c r="LS20" s="33"/>
      <c r="LT20" s="14">
        <f t="shared" ref="LT20:LT28" si="642">LL20+LM20-LR20</f>
        <v>1.4000000000000001</v>
      </c>
      <c r="LU20" s="15"/>
      <c r="LV20" s="15"/>
      <c r="LX20" s="14">
        <v>0.1</v>
      </c>
      <c r="LY20" s="33">
        <v>2</v>
      </c>
      <c r="LZ20" s="14">
        <f t="shared" ref="LZ20:LZ28" si="643">LR20+LS20-LX20</f>
        <v>0.1</v>
      </c>
      <c r="MA20" s="15"/>
      <c r="MB20" s="15"/>
      <c r="MD20" s="14">
        <v>2.7</v>
      </c>
      <c r="ME20" s="33"/>
      <c r="MF20" s="14">
        <f t="shared" ref="MF20:MF28" si="644">LX20+LY20-MD20</f>
        <v>-0.60000000000000009</v>
      </c>
      <c r="MG20" s="15"/>
      <c r="MH20" s="15"/>
      <c r="MJ20" s="14">
        <v>1.6</v>
      </c>
      <c r="MK20" s="33">
        <v>1</v>
      </c>
      <c r="ML20" s="14">
        <f t="shared" ref="ML20:ML28" si="645">MD20+ME20-MJ20</f>
        <v>1.1000000000000001</v>
      </c>
      <c r="MM20" s="15"/>
      <c r="MN20" s="15"/>
      <c r="MP20" s="14">
        <v>1.6</v>
      </c>
      <c r="MQ20" s="33">
        <v>1</v>
      </c>
      <c r="MR20" s="14">
        <f t="shared" ref="MR20:MR28" si="646">MJ20+MK20-MP20</f>
        <v>1</v>
      </c>
      <c r="MS20" s="15"/>
      <c r="MT20" s="15"/>
      <c r="MV20" s="14">
        <v>1.9</v>
      </c>
      <c r="MW20" s="33"/>
      <c r="MX20" s="14">
        <f t="shared" ref="MX20:MX28" si="647">MP20+MQ20-MV20</f>
        <v>0.70000000000000018</v>
      </c>
      <c r="MY20" s="15"/>
      <c r="MZ20" s="15"/>
      <c r="NB20" s="14">
        <v>1.8</v>
      </c>
      <c r="NC20" s="33">
        <v>1</v>
      </c>
      <c r="ND20" s="14">
        <f t="shared" ref="ND20:ND28" si="648">MV20+MW20-NB20</f>
        <v>9.9999999999999867E-2</v>
      </c>
      <c r="NE20" s="15"/>
      <c r="NF20" s="15"/>
      <c r="NH20" s="14">
        <v>2.6</v>
      </c>
      <c r="NI20" s="33"/>
      <c r="NJ20" s="14">
        <f t="shared" ref="NJ20:NJ28" si="649">NB20+NC20-NH20</f>
        <v>0.19999999999999973</v>
      </c>
      <c r="NK20" s="15"/>
      <c r="NL20" s="15"/>
      <c r="NN20" s="14">
        <v>2.4</v>
      </c>
      <c r="NO20" s="33"/>
      <c r="NP20" s="14">
        <f t="shared" ref="NP20:NP28" si="650">NH20+NI20-NN20</f>
        <v>0.20000000000000018</v>
      </c>
      <c r="NQ20" s="15"/>
      <c r="NR20" s="15"/>
      <c r="NT20" s="14">
        <v>1.9</v>
      </c>
      <c r="NU20" s="33">
        <v>1</v>
      </c>
      <c r="NV20" s="14">
        <f t="shared" ref="NV20:NV28" si="651">NN20+NO20-NT20</f>
        <v>0.5</v>
      </c>
      <c r="NW20" s="15"/>
      <c r="NX20" s="15"/>
      <c r="NZ20" s="14">
        <v>2.6</v>
      </c>
      <c r="OA20" s="33"/>
      <c r="OB20" s="14">
        <f t="shared" ref="OB20:OB28" si="652">NT20+NU20-NZ20</f>
        <v>0.29999999999999982</v>
      </c>
      <c r="OC20" s="15"/>
      <c r="OD20" s="15"/>
      <c r="OF20" s="14">
        <v>1.9</v>
      </c>
      <c r="OG20" s="33">
        <v>1</v>
      </c>
      <c r="OH20" s="14">
        <f t="shared" ref="OH20:OH28" si="653">NZ20+OA20-OF20</f>
        <v>0.70000000000000018</v>
      </c>
      <c r="OI20" s="15"/>
      <c r="OJ20" s="15"/>
      <c r="OL20" s="14">
        <v>1.8</v>
      </c>
      <c r="OM20" s="33">
        <v>1</v>
      </c>
      <c r="ON20" s="14">
        <f t="shared" ref="ON20:ON28" si="654">OF20+OG20-OL20</f>
        <v>1.0999999999999999</v>
      </c>
      <c r="OO20" s="15"/>
      <c r="OP20" s="15"/>
      <c r="OR20" s="14">
        <v>3.6</v>
      </c>
      <c r="OS20" s="33"/>
      <c r="OT20" s="14">
        <f t="shared" ref="OT20:OT28" si="655">OL20+OM20-OR20</f>
        <v>-0.80000000000000027</v>
      </c>
      <c r="OU20" s="15"/>
      <c r="OV20" s="15"/>
      <c r="OX20" s="14">
        <v>2.9</v>
      </c>
      <c r="OY20" s="33"/>
      <c r="OZ20" s="14">
        <f t="shared" ref="OZ20:OZ28" si="656">OR20+OS20-OX20</f>
        <v>0.70000000000000018</v>
      </c>
      <c r="PA20" s="15"/>
      <c r="PB20" s="15"/>
      <c r="PD20" s="14">
        <v>2.6</v>
      </c>
      <c r="PE20" s="33"/>
      <c r="PF20" s="14">
        <f t="shared" ref="PF20:PF28" si="657">OX20+OY20-PD20</f>
        <v>0.29999999999999982</v>
      </c>
      <c r="PG20" s="15"/>
      <c r="PH20" s="15"/>
      <c r="PJ20" s="14">
        <v>1.8</v>
      </c>
      <c r="PK20" s="33"/>
      <c r="PL20" s="14">
        <f t="shared" ref="PL20:PL28" si="658">PD20+PE20-PJ20</f>
        <v>0.8</v>
      </c>
      <c r="PM20" s="15"/>
      <c r="PN20" s="15"/>
      <c r="PP20" s="14">
        <v>1.5</v>
      </c>
      <c r="PQ20" s="33">
        <v>1</v>
      </c>
      <c r="PR20" s="14">
        <f t="shared" ref="PR20:PR28" si="659">PJ20+PK20-PP20</f>
        <v>0.30000000000000004</v>
      </c>
      <c r="PS20" s="15"/>
      <c r="PT20" s="15"/>
      <c r="PV20" s="14">
        <v>1.9</v>
      </c>
      <c r="PW20" s="33"/>
      <c r="PX20" s="14">
        <f t="shared" ref="PX20:PX28" si="660">PP20+PQ20-PV20</f>
        <v>0.60000000000000009</v>
      </c>
      <c r="PY20" s="15"/>
      <c r="PZ20" s="15"/>
      <c r="QB20" s="14">
        <v>1.5</v>
      </c>
      <c r="QC20" s="33">
        <v>1</v>
      </c>
      <c r="QD20" s="14">
        <f t="shared" ref="QD20:QD28" si="661">PV20+PW20-QB20</f>
        <v>0.39999999999999991</v>
      </c>
      <c r="QE20" s="15"/>
      <c r="QF20" s="15"/>
      <c r="QH20" s="14">
        <v>0.9</v>
      </c>
      <c r="QI20" s="33">
        <v>1</v>
      </c>
      <c r="QJ20" s="14">
        <f t="shared" ref="QJ20:QJ28" si="662">QB20+QC20-QH20</f>
        <v>1.6</v>
      </c>
      <c r="QK20" s="15"/>
      <c r="QL20" s="15"/>
      <c r="QN20" s="14">
        <v>1.9</v>
      </c>
      <c r="QO20" s="33">
        <v>1</v>
      </c>
      <c r="QP20" s="14">
        <f t="shared" ref="QP20:QP28" si="663">QH20+QI20-QN20</f>
        <v>0</v>
      </c>
      <c r="QQ20" s="15"/>
      <c r="QR20" s="15"/>
      <c r="QT20" s="14">
        <v>2.5</v>
      </c>
      <c r="QU20" s="33"/>
      <c r="QV20" s="14">
        <f t="shared" ref="QV20:QV28" si="664">QN20+QO20-QT20</f>
        <v>0.39999999999999991</v>
      </c>
      <c r="QW20" s="15"/>
      <c r="QX20" s="15"/>
      <c r="QZ20" s="14">
        <v>1.9</v>
      </c>
      <c r="RA20" s="33"/>
      <c r="RB20" s="14">
        <f t="shared" ref="RB20:RB28" si="665">QT20+QU20-QZ20</f>
        <v>0.60000000000000009</v>
      </c>
      <c r="RC20" s="15"/>
      <c r="RD20" s="15"/>
      <c r="RF20" s="14">
        <v>0.9</v>
      </c>
      <c r="RG20" s="33">
        <v>1</v>
      </c>
      <c r="RH20" s="14">
        <f t="shared" ref="RH20:RH28" si="666">QZ20+RA20-RF20</f>
        <v>0.99999999999999989</v>
      </c>
      <c r="RI20" s="15"/>
      <c r="RJ20" s="15"/>
      <c r="RL20" s="14">
        <v>1.8</v>
      </c>
      <c r="RM20" s="33"/>
      <c r="RN20" s="14">
        <f t="shared" ref="RN20:RN28" si="667">RF20+RG20-RL20</f>
        <v>9.9999999999999867E-2</v>
      </c>
      <c r="RO20" s="15"/>
      <c r="RP20" s="15"/>
      <c r="RR20" s="14">
        <v>1.7</v>
      </c>
      <c r="RS20" s="33"/>
      <c r="RT20" s="14">
        <f t="shared" ref="RT20:RT28" si="668">RL20+RM20-RR20</f>
        <v>0.10000000000000009</v>
      </c>
      <c r="RU20" s="15"/>
      <c r="RV20" s="15"/>
      <c r="RX20" s="14">
        <v>1.4</v>
      </c>
      <c r="RY20" s="33">
        <v>1</v>
      </c>
      <c r="RZ20" s="14">
        <f t="shared" ref="RZ20:RZ28" si="669">RR20+RS20-RX20</f>
        <v>0.30000000000000004</v>
      </c>
      <c r="SA20" s="15"/>
      <c r="SB20" s="15"/>
      <c r="SD20" s="14">
        <v>1.6</v>
      </c>
      <c r="SE20" s="33">
        <v>1</v>
      </c>
      <c r="SF20" s="14">
        <f t="shared" ref="SF20:SF28" si="670">RX20+RY20-SD20</f>
        <v>0.79999999999999982</v>
      </c>
      <c r="SG20" s="15"/>
      <c r="SH20" s="15"/>
      <c r="SJ20" s="14">
        <v>2.4</v>
      </c>
      <c r="SK20" s="33"/>
      <c r="SL20" s="14">
        <f t="shared" ref="SL20:SL28" si="671">SD20+SE20-SJ20</f>
        <v>0.20000000000000018</v>
      </c>
      <c r="SM20" s="15"/>
      <c r="SN20" s="15"/>
      <c r="SP20" s="14">
        <v>2.1</v>
      </c>
      <c r="SQ20" s="33"/>
      <c r="SR20" s="14">
        <f t="shared" ref="SR20:SR28" si="672">SJ20+SK20-SP20</f>
        <v>0.29999999999999982</v>
      </c>
      <c r="SS20" s="15"/>
      <c r="ST20" s="15"/>
      <c r="SV20" s="14">
        <v>1.3</v>
      </c>
      <c r="SW20" s="33">
        <v>1</v>
      </c>
      <c r="SX20" s="14">
        <f t="shared" ref="SX20:SX28" si="673">SP20+SQ20-SV20</f>
        <v>0.8</v>
      </c>
      <c r="SY20" s="15"/>
      <c r="SZ20" s="15"/>
      <c r="TB20" s="14">
        <v>1.9</v>
      </c>
      <c r="TC20" s="33"/>
      <c r="TD20" s="14">
        <f t="shared" ref="TD20:TD28" si="674">SV20+SW20-TB20</f>
        <v>0.39999999999999991</v>
      </c>
      <c r="TE20" s="15"/>
      <c r="TF20" s="15"/>
      <c r="TH20" s="14">
        <v>1.8</v>
      </c>
      <c r="TI20" s="33"/>
      <c r="TJ20" s="14">
        <f t="shared" ref="TJ20:TJ28" si="675">TB20+TC20-TH20</f>
        <v>9.9999999999999867E-2</v>
      </c>
      <c r="TK20" s="15"/>
      <c r="TL20" s="15"/>
      <c r="TN20" s="14">
        <v>1.2</v>
      </c>
      <c r="TO20" s="33">
        <v>1</v>
      </c>
      <c r="TP20" s="14">
        <f t="shared" ref="TP20:TP28" si="676">TH20+TI20-TN20</f>
        <v>0.60000000000000009</v>
      </c>
      <c r="TQ20" s="15"/>
      <c r="TR20" s="15"/>
      <c r="TT20" s="14">
        <v>1.9</v>
      </c>
      <c r="TU20" s="33"/>
      <c r="TV20" s="14">
        <f t="shared" ref="TV20:TV28" si="677">TN20+TO20-TT20</f>
        <v>0.30000000000000027</v>
      </c>
      <c r="TW20" s="15"/>
      <c r="TX20" s="15"/>
      <c r="TZ20" s="14">
        <v>1.3</v>
      </c>
      <c r="UA20" s="33">
        <v>1</v>
      </c>
      <c r="UB20" s="14">
        <f t="shared" ref="UB20:UB28" si="678">TT20+TU20-TZ20</f>
        <v>0.59999999999999987</v>
      </c>
      <c r="UC20" s="15"/>
      <c r="UD20" s="15"/>
      <c r="UF20" s="14">
        <v>1.9</v>
      </c>
      <c r="UG20" s="33"/>
      <c r="UH20" s="14">
        <f t="shared" ref="UH20:UH28" si="679">TZ20+UA20-UF20</f>
        <v>0.39999999999999991</v>
      </c>
      <c r="UI20" s="15"/>
      <c r="UJ20" s="15"/>
      <c r="UL20" s="14">
        <v>1.6</v>
      </c>
      <c r="UM20" s="33">
        <v>1</v>
      </c>
      <c r="UN20" s="14">
        <f t="shared" ref="UN20:UN28" si="680">UF20+UG20-UL20</f>
        <v>0.29999999999999982</v>
      </c>
      <c r="UO20" s="15"/>
      <c r="UP20" s="15"/>
      <c r="UR20" s="14">
        <v>1.3</v>
      </c>
      <c r="US20" s="33">
        <v>1</v>
      </c>
      <c r="UT20" s="14">
        <f t="shared" ref="UT20:UT28" si="681">UL20+UM20-UR20</f>
        <v>1.3</v>
      </c>
      <c r="UU20" s="15"/>
      <c r="UV20" s="15"/>
      <c r="UX20" s="14">
        <v>1.8</v>
      </c>
      <c r="UY20" s="33">
        <v>1</v>
      </c>
      <c r="UZ20" s="14">
        <f t="shared" ref="UZ20:UZ28" si="682">UR20+US20-UX20</f>
        <v>0.49999999999999978</v>
      </c>
      <c r="VA20" s="15"/>
      <c r="VB20" s="15"/>
      <c r="VD20" s="14">
        <v>1.9</v>
      </c>
      <c r="VE20" s="33"/>
      <c r="VF20" s="14">
        <f t="shared" ref="VF20:VF28" si="683">UX20+UY20-VD20</f>
        <v>0.89999999999999991</v>
      </c>
      <c r="VG20" s="15"/>
      <c r="VH20" s="15"/>
      <c r="VJ20" s="14">
        <v>1.8</v>
      </c>
      <c r="VK20" s="33"/>
      <c r="VL20" s="14">
        <f t="shared" ref="VL20:VL28" si="684">VD20+VE20-VJ20</f>
        <v>9.9999999999999867E-2</v>
      </c>
      <c r="VM20" s="15"/>
      <c r="VN20" s="15"/>
      <c r="VP20" s="14">
        <v>1.5</v>
      </c>
      <c r="VQ20" s="33"/>
      <c r="VR20" s="14">
        <f t="shared" ref="VR20:VR28" si="685">VJ20+VK20-VP20</f>
        <v>0.30000000000000004</v>
      </c>
      <c r="VS20" s="15"/>
      <c r="VT20" s="15"/>
      <c r="VV20" s="14">
        <v>1.1000000000000001</v>
      </c>
      <c r="VW20" s="46">
        <v>1</v>
      </c>
      <c r="VX20" s="14">
        <f t="shared" ref="VX20:VX28" si="686">VP20+VQ20-VV20</f>
        <v>0.39999999999999991</v>
      </c>
      <c r="VY20" s="15"/>
      <c r="VZ20" s="15"/>
      <c r="WB20" s="14">
        <v>1.8</v>
      </c>
      <c r="WC20" s="58"/>
      <c r="WD20" s="14">
        <f t="shared" ref="WD20:WD28" si="687">VV20+VW20-WB20</f>
        <v>0.30000000000000004</v>
      </c>
      <c r="WE20" s="15"/>
      <c r="WF20" s="15"/>
      <c r="WH20" s="14">
        <v>1.6</v>
      </c>
      <c r="WI20" s="58"/>
      <c r="WJ20" s="14">
        <f t="shared" ref="WJ20:WJ28" si="688">WB20+WC20-WH20</f>
        <v>0.19999999999999996</v>
      </c>
      <c r="WK20" s="15"/>
      <c r="WL20" s="15"/>
      <c r="WN20" s="14">
        <v>0.6</v>
      </c>
      <c r="WO20" s="58">
        <v>1</v>
      </c>
      <c r="WP20" s="14">
        <f t="shared" ref="WP20:WP28" si="689">WH20+WI20-WN20</f>
        <v>1</v>
      </c>
      <c r="WQ20" s="15"/>
      <c r="WR20" s="15"/>
      <c r="WT20" s="14">
        <v>1.2</v>
      </c>
      <c r="WU20" s="58">
        <v>1</v>
      </c>
      <c r="WV20" s="14">
        <f t="shared" ref="WV20:WV28" si="690">WN20+WO20-WT20</f>
        <v>0.40000000000000013</v>
      </c>
      <c r="WW20" s="15"/>
      <c r="WX20" s="15"/>
      <c r="WZ20" s="14">
        <v>1.9</v>
      </c>
      <c r="XA20" s="58"/>
      <c r="XB20" s="14">
        <f t="shared" ref="XB20:XB28" si="691">WT20+WU20-WZ20</f>
        <v>0.30000000000000027</v>
      </c>
      <c r="XC20" s="15"/>
      <c r="XD20" s="15"/>
      <c r="XF20" s="14">
        <v>1.9</v>
      </c>
      <c r="XG20" s="58"/>
      <c r="XH20" s="14">
        <f t="shared" ref="XH20:XH28" si="692">WZ20+XA20-XF20</f>
        <v>0</v>
      </c>
      <c r="XI20" s="15"/>
      <c r="XJ20" s="15"/>
      <c r="XL20" s="14">
        <v>2.1</v>
      </c>
      <c r="XM20" s="58"/>
      <c r="XN20" s="14">
        <f t="shared" ref="XN20:XN28" si="693">XF20+XG20-XL20</f>
        <v>-0.20000000000000018</v>
      </c>
      <c r="XO20" s="15"/>
      <c r="XP20" s="15"/>
      <c r="XR20" s="14">
        <v>1.9</v>
      </c>
      <c r="XS20" s="58">
        <v>1</v>
      </c>
      <c r="XT20" s="14">
        <f t="shared" ref="XT20:XT28" si="694">XL20+XM20-XR20</f>
        <v>0.20000000000000018</v>
      </c>
      <c r="XU20" s="15"/>
      <c r="XV20" s="15"/>
      <c r="XX20" s="14">
        <v>2.5</v>
      </c>
      <c r="XY20" s="58">
        <v>2</v>
      </c>
      <c r="XZ20" s="14">
        <f t="shared" ref="XZ20:XZ28" si="695">XR20+XS20-XX20</f>
        <v>0.39999999999999991</v>
      </c>
      <c r="YA20" s="15"/>
      <c r="YB20" s="15"/>
      <c r="YD20" s="14">
        <v>2.9</v>
      </c>
      <c r="YE20" s="58"/>
      <c r="YF20" s="14">
        <f t="shared" ref="YF20:YF28" si="696">XX20+XY20-YD20</f>
        <v>1.6</v>
      </c>
      <c r="YG20" s="15"/>
      <c r="YH20" s="15"/>
      <c r="YJ20" s="14">
        <v>2.5</v>
      </c>
      <c r="YK20" s="58"/>
      <c r="YL20" s="14">
        <f t="shared" ref="YL20:YL28" si="697">YD20+YE20-YJ20</f>
        <v>0.39999999999999991</v>
      </c>
      <c r="YM20" s="15"/>
      <c r="YN20" s="15"/>
      <c r="YP20" s="14">
        <v>1.9</v>
      </c>
      <c r="YQ20" s="58">
        <v>1</v>
      </c>
      <c r="YR20" s="14">
        <f t="shared" ref="YR20:YR28" si="698">YJ20+YK20-YP20</f>
        <v>0.60000000000000009</v>
      </c>
      <c r="YS20" s="15"/>
      <c r="YT20" s="15"/>
      <c r="YV20" s="14">
        <v>0.4</v>
      </c>
      <c r="YW20" s="58">
        <v>1</v>
      </c>
      <c r="YX20" s="14">
        <f t="shared" ref="YX20:YX28" si="699">YP20+YQ20-YV20</f>
        <v>2.5</v>
      </c>
      <c r="YY20" s="15"/>
      <c r="YZ20" s="15"/>
      <c r="ZB20" s="14">
        <v>1.8</v>
      </c>
      <c r="ZC20" s="58"/>
      <c r="ZD20" s="14">
        <f t="shared" ref="ZD20:ZD28" si="700">YV20+YW20-ZB20</f>
        <v>-0.40000000000000013</v>
      </c>
      <c r="ZE20" s="15"/>
      <c r="ZF20" s="15"/>
      <c r="ZH20" s="14">
        <v>2.6</v>
      </c>
      <c r="ZI20" s="58"/>
      <c r="ZJ20" s="14">
        <f t="shared" ref="ZJ20:ZJ28" si="701">ZB20+ZC20-ZH20</f>
        <v>-0.8</v>
      </c>
      <c r="ZK20" s="15"/>
      <c r="ZL20" s="15"/>
      <c r="ZN20" s="14">
        <v>2.2999999999999998</v>
      </c>
      <c r="ZO20" s="58"/>
      <c r="ZP20" s="14">
        <f t="shared" ref="ZP20:ZP28" si="702">ZH20+ZI20-ZN20</f>
        <v>0.30000000000000027</v>
      </c>
      <c r="ZQ20" s="15"/>
      <c r="ZR20" s="15"/>
      <c r="ZT20" s="14">
        <v>1.9</v>
      </c>
      <c r="ZU20" s="58"/>
      <c r="ZV20" s="14">
        <f t="shared" ref="ZV20:ZV28" si="703">ZN20+ZO20-ZT20</f>
        <v>0.39999999999999991</v>
      </c>
      <c r="ZW20" s="15"/>
      <c r="ZX20" s="15"/>
      <c r="ZZ20" s="14">
        <v>1.1000000000000001</v>
      </c>
      <c r="AAA20" s="58">
        <v>1</v>
      </c>
      <c r="AAB20" s="14">
        <f t="shared" ref="AAB20:AAB28" si="704">ZT20+ZU20-ZZ20</f>
        <v>0.79999999999999982</v>
      </c>
      <c r="AAC20" s="15"/>
      <c r="AAD20" s="15"/>
      <c r="AAF20" s="14">
        <v>1.8</v>
      </c>
      <c r="AAG20" s="58"/>
      <c r="AAH20" s="14">
        <f t="shared" ref="AAH20:AAH28" si="705">ZZ20+AAA20-AAF20</f>
        <v>0.30000000000000004</v>
      </c>
      <c r="AAI20" s="15"/>
      <c r="AAJ20" s="15"/>
      <c r="AAL20" s="14">
        <v>0.8</v>
      </c>
      <c r="AAM20" s="58">
        <v>1</v>
      </c>
      <c r="AAN20" s="14">
        <f t="shared" ref="AAN20:AAN28" si="706">AAF20+AAG20-AAL20</f>
        <v>1</v>
      </c>
      <c r="AAO20" s="15"/>
      <c r="AAP20" s="15"/>
      <c r="AAR20" s="14">
        <v>1.8</v>
      </c>
      <c r="AAS20" s="58"/>
      <c r="AAT20" s="14">
        <f t="shared" ref="AAT20:AAT28" si="707">AAL20+AAM20-AAR20</f>
        <v>0</v>
      </c>
      <c r="AAU20" s="15"/>
      <c r="AAV20" s="15"/>
      <c r="AAX20" s="14">
        <v>1.3</v>
      </c>
      <c r="AAY20" s="58">
        <v>1</v>
      </c>
      <c r="AAZ20" s="14">
        <f t="shared" ref="AAZ20:AAZ28" si="708">AAR20+AAS20-AAX20</f>
        <v>0.5</v>
      </c>
      <c r="ABA20" s="15"/>
      <c r="ABB20" s="15"/>
      <c r="ABD20" s="14">
        <v>2.2000000000000002</v>
      </c>
      <c r="ABE20" s="58"/>
      <c r="ABF20" s="14">
        <f t="shared" ref="ABF20:ABF28" si="709">AAX20+AAY20-ABD20</f>
        <v>9.9999999999999645E-2</v>
      </c>
      <c r="ABG20" s="15"/>
      <c r="ABH20" s="15"/>
      <c r="ABJ20" s="14">
        <v>1.4</v>
      </c>
      <c r="ABK20" s="58">
        <v>1</v>
      </c>
      <c r="ABL20" s="14">
        <f t="shared" ref="ABL20:ABL28" si="710">ABD20+ABE20-ABJ20</f>
        <v>0.80000000000000027</v>
      </c>
      <c r="ABM20" s="15"/>
      <c r="ABN20" s="15"/>
      <c r="ABP20" s="14">
        <v>2.1</v>
      </c>
      <c r="ABQ20" s="58"/>
      <c r="ABR20" s="14">
        <f t="shared" ref="ABR20:ABR28" si="711">ABJ20+ABK20-ABP20</f>
        <v>0.29999999999999982</v>
      </c>
      <c r="ABS20" s="15"/>
      <c r="ABT20" s="15"/>
      <c r="ABV20" s="14">
        <v>1.3</v>
      </c>
      <c r="ABW20" s="58">
        <v>1</v>
      </c>
      <c r="ABX20" s="14">
        <f t="shared" ref="ABX20:ABX28" si="712">ABP20+ABQ20-ABV20</f>
        <v>0.8</v>
      </c>
      <c r="ABY20" s="15"/>
      <c r="ABZ20" s="15"/>
      <c r="ACB20" s="14">
        <v>1.1000000000000001</v>
      </c>
      <c r="ACC20" s="58">
        <v>1</v>
      </c>
      <c r="ACD20" s="14">
        <f t="shared" ref="ACD20:ACD28" si="713">ABV20+ABW20-ACB20</f>
        <v>1.1999999999999997</v>
      </c>
      <c r="ACE20" s="15"/>
      <c r="ACF20" s="15"/>
      <c r="ACH20" s="14">
        <v>2.8</v>
      </c>
      <c r="ACI20" s="58"/>
      <c r="ACJ20" s="14">
        <f t="shared" ref="ACJ20:ACJ28" si="714">ACB20+ACC20-ACH20</f>
        <v>-0.69999999999999973</v>
      </c>
      <c r="ACK20" s="15"/>
      <c r="ACL20" s="15"/>
      <c r="ACN20" s="14">
        <v>1.6</v>
      </c>
      <c r="ACO20" s="58">
        <v>1</v>
      </c>
      <c r="ACP20" s="14">
        <f t="shared" ref="ACP20:ACP28" si="715">ACH20+ACI20-ACN20</f>
        <v>1.1999999999999997</v>
      </c>
      <c r="ACQ20" s="15"/>
      <c r="ACR20" s="15"/>
      <c r="ACT20" s="14">
        <v>2.5</v>
      </c>
      <c r="ACU20" s="58"/>
      <c r="ACV20" s="14">
        <f t="shared" ref="ACV20:ACV28" si="716">ACN20+ACO20-ACT20</f>
        <v>0.10000000000000009</v>
      </c>
      <c r="ACW20" s="15"/>
      <c r="ACX20" s="15"/>
      <c r="ACZ20" s="14">
        <v>1.9</v>
      </c>
      <c r="ADA20" s="58"/>
      <c r="ADB20" s="14">
        <f t="shared" ref="ADB20:ADB28" si="717">ACT20+ACU20-ACZ20</f>
        <v>0.60000000000000009</v>
      </c>
      <c r="ADC20" s="15"/>
      <c r="ADD20" s="15"/>
      <c r="ADF20" s="14">
        <v>1</v>
      </c>
      <c r="ADG20" s="58">
        <v>1</v>
      </c>
      <c r="ADH20" s="14">
        <f t="shared" ref="ADH20:ADH28" si="718">ACZ20+ADA20-ADF20</f>
        <v>0.89999999999999991</v>
      </c>
      <c r="ADI20" s="15"/>
      <c r="ADJ20" s="15"/>
      <c r="ADL20" s="14">
        <v>1.9</v>
      </c>
      <c r="ADM20" s="58"/>
      <c r="ADN20" s="14">
        <f t="shared" ref="ADN20:ADN28" si="719">ADF20+ADG20-ADL20</f>
        <v>0.10000000000000009</v>
      </c>
      <c r="ADO20" s="15"/>
      <c r="ADP20" s="15"/>
      <c r="ADR20" s="14">
        <v>1.2</v>
      </c>
      <c r="ADS20" s="58">
        <v>1</v>
      </c>
      <c r="ADT20" s="14">
        <f t="shared" ref="ADT20:ADT28" si="720">ADL20+ADM20-ADR20</f>
        <v>0.7</v>
      </c>
      <c r="ADU20" s="15"/>
      <c r="ADV20" s="15"/>
      <c r="ADX20" s="14">
        <v>0.5</v>
      </c>
      <c r="ADY20" s="58">
        <v>1</v>
      </c>
      <c r="ADZ20" s="14">
        <f t="shared" ref="ADZ20:ADZ28" si="721">ADR20+ADS20-ADX20</f>
        <v>1.7000000000000002</v>
      </c>
      <c r="AEA20" s="15"/>
      <c r="AEB20" s="15"/>
      <c r="AED20" s="14">
        <v>0.3</v>
      </c>
      <c r="AEE20" s="58">
        <v>2</v>
      </c>
      <c r="AEF20" s="14">
        <f t="shared" ref="AEF20:AEF28" si="722">ADX20+ADY20-AED20</f>
        <v>1.2</v>
      </c>
      <c r="AEG20" s="15"/>
      <c r="AEH20" s="15"/>
      <c r="AEJ20" s="14">
        <v>2.8</v>
      </c>
      <c r="AEK20" s="58"/>
      <c r="AEL20" s="14">
        <f t="shared" ref="AEL20:AEL28" si="723">AED20+AEE20-AEJ20</f>
        <v>-0.5</v>
      </c>
      <c r="AEM20" s="15"/>
      <c r="AEN20" s="15"/>
      <c r="AEP20" s="14">
        <v>1.9</v>
      </c>
      <c r="AEQ20" s="58"/>
      <c r="AER20" s="14">
        <f t="shared" ref="AER20:AER28" si="724">AEJ20+AEK20-AEP20</f>
        <v>0.89999999999999991</v>
      </c>
      <c r="AES20" s="15"/>
      <c r="AET20" s="15"/>
      <c r="AEV20" s="14">
        <v>1.4</v>
      </c>
      <c r="AEW20" s="58">
        <v>1</v>
      </c>
      <c r="AEX20" s="14">
        <f t="shared" ref="AEX20:AEX28" si="725">AEP20+AEQ20-AEV20</f>
        <v>0.5</v>
      </c>
      <c r="AEY20" s="15"/>
      <c r="AEZ20" s="15"/>
      <c r="AFB20" s="14">
        <v>1.9</v>
      </c>
      <c r="AFC20" s="58"/>
      <c r="AFD20" s="14">
        <f t="shared" ref="AFD20:AFD28" si="726">AEV20+AEW20-AFB20</f>
        <v>0.5</v>
      </c>
      <c r="AFE20" s="15"/>
      <c r="AFF20" s="15"/>
      <c r="AFH20" s="14">
        <v>1.3</v>
      </c>
      <c r="AFI20" s="58">
        <v>1</v>
      </c>
      <c r="AFJ20" s="14">
        <f t="shared" ref="AFJ20:AFJ28" si="727">AFB20+AFC20-AFH20</f>
        <v>0.59999999999999987</v>
      </c>
      <c r="AFK20" s="15"/>
      <c r="AFL20" s="15"/>
      <c r="AFN20" s="14">
        <v>1.8</v>
      </c>
      <c r="AFO20" s="58"/>
      <c r="AFP20" s="14">
        <f t="shared" ref="AFP20:AFP28" si="728">AFH20+AFI20-AFN20</f>
        <v>0.49999999999999978</v>
      </c>
      <c r="AFQ20" s="15"/>
      <c r="AFR20" s="15"/>
      <c r="AFT20" s="14">
        <v>1.7</v>
      </c>
      <c r="AFU20" s="58"/>
      <c r="AFV20" s="14">
        <f t="shared" ref="AFV20:AFV28" si="729">AFN20+AFO20-AFT20</f>
        <v>0.10000000000000009</v>
      </c>
      <c r="AFW20" s="15"/>
      <c r="AFX20" s="15"/>
      <c r="AFZ20" s="14">
        <v>0.9</v>
      </c>
      <c r="AGA20" s="58">
        <v>1</v>
      </c>
      <c r="AGB20" s="14">
        <f t="shared" ref="AGB20:AGB28" si="730">AFT20+AFU20-AFZ20</f>
        <v>0.79999999999999993</v>
      </c>
      <c r="AGC20" s="15"/>
      <c r="AGD20" s="15"/>
      <c r="AGF20" s="14">
        <v>1.5</v>
      </c>
      <c r="AGG20" s="58">
        <v>1</v>
      </c>
      <c r="AGH20" s="14">
        <f t="shared" ref="AGH20:AGH28" si="731">AFZ20+AGA20-AGF20</f>
        <v>0.39999999999999991</v>
      </c>
      <c r="AGI20" s="15"/>
      <c r="AGJ20" s="15"/>
      <c r="AGL20" s="14">
        <v>2.2999999999999998</v>
      </c>
      <c r="AGM20" s="58"/>
      <c r="AGN20" s="14">
        <f t="shared" ref="AGN20:AGN28" si="732">AGF20+AGG20-AGL20</f>
        <v>0.20000000000000018</v>
      </c>
      <c r="AGO20" s="15"/>
      <c r="AGP20" s="15"/>
      <c r="AGR20" s="14">
        <v>1.8</v>
      </c>
      <c r="AGS20" s="58">
        <v>1</v>
      </c>
      <c r="AGT20" s="14">
        <f t="shared" ref="AGT20:AGT28" si="733">AGL20+AGM20-AGR20</f>
        <v>0.49999999999999978</v>
      </c>
      <c r="AGU20" s="15"/>
      <c r="AGV20" s="15"/>
      <c r="AGX20" s="14">
        <v>1.9</v>
      </c>
      <c r="AGY20" s="58">
        <v>1</v>
      </c>
      <c r="AGZ20" s="14">
        <f t="shared" ref="AGZ20:AGZ28" si="734">AGR20+AGS20-AGX20</f>
        <v>0.89999999999999991</v>
      </c>
      <c r="AHA20" s="15"/>
      <c r="AHB20" s="15"/>
      <c r="AHD20" s="14">
        <v>2.9</v>
      </c>
      <c r="AHE20" s="58"/>
      <c r="AHF20" s="14">
        <f t="shared" ref="AHF20:AHF28" si="735">AGX20+AGY20-AHD20</f>
        <v>0</v>
      </c>
      <c r="AHG20" s="15"/>
      <c r="AHH20" s="15"/>
      <c r="AHJ20" s="14">
        <v>2.2999999999999998</v>
      </c>
      <c r="AHK20" s="58"/>
      <c r="AHL20" s="14">
        <f t="shared" ref="AHL20:AHL28" si="736">AHD20+AHE20-AHJ20</f>
        <v>0.60000000000000009</v>
      </c>
      <c r="AHM20" s="15"/>
      <c r="AHN20" s="15"/>
      <c r="AHP20" s="14">
        <v>1.9</v>
      </c>
      <c r="AHQ20" s="58"/>
      <c r="AHR20" s="14">
        <f t="shared" ref="AHR20:AHR28" si="737">AHJ20+AHK20-AHP20</f>
        <v>0.39999999999999991</v>
      </c>
      <c r="AHS20" s="15"/>
      <c r="AHT20" s="15"/>
      <c r="AHV20" s="14">
        <v>1.6</v>
      </c>
      <c r="AHW20" s="58">
        <v>1</v>
      </c>
      <c r="AHX20" s="14">
        <f t="shared" ref="AHX20:AHX28" si="738">AHP20+AHQ20-AHV20</f>
        <v>0.29999999999999982</v>
      </c>
      <c r="AHY20" s="15"/>
      <c r="AHZ20" s="15"/>
      <c r="AIB20" s="14">
        <v>1.8</v>
      </c>
      <c r="AIC20" s="58">
        <v>1</v>
      </c>
      <c r="AID20" s="14">
        <f t="shared" ref="AID20:AID28" si="739">AHV20+AHW20-AIB20</f>
        <v>0.8</v>
      </c>
      <c r="AIE20" s="15"/>
      <c r="AIF20" s="15"/>
      <c r="AIH20" s="14">
        <v>2.9</v>
      </c>
      <c r="AII20" s="58"/>
      <c r="AIJ20" s="14">
        <f t="shared" ref="AIJ20:AIJ28" si="740">AIB20+AIC20-AIH20</f>
        <v>-0.10000000000000009</v>
      </c>
      <c r="AIK20" s="15"/>
      <c r="AIL20" s="15"/>
      <c r="AIN20" s="14">
        <v>2.9</v>
      </c>
      <c r="AIO20" s="58"/>
      <c r="AIP20" s="14">
        <f t="shared" ref="AIP20:AIP28" si="741">AIH20+AII20-AIN20</f>
        <v>0</v>
      </c>
      <c r="AIQ20" s="15"/>
      <c r="AIR20" s="15"/>
      <c r="AIT20" s="14">
        <v>2.2999999999999998</v>
      </c>
      <c r="AIU20" s="58"/>
      <c r="AIV20" s="14">
        <f t="shared" ref="AIV20:AIV28" si="742">AIN20+AIO20-AIT20</f>
        <v>0.60000000000000009</v>
      </c>
      <c r="AIW20" s="15"/>
      <c r="AIX20" s="15"/>
      <c r="AIZ20" s="14">
        <v>1.9</v>
      </c>
      <c r="AJA20" s="58"/>
      <c r="AJB20" s="14">
        <f t="shared" ref="AJB20:AJB28" si="743">AIT20+AIU20-AIZ20</f>
        <v>0.39999999999999991</v>
      </c>
      <c r="AJC20" s="15"/>
      <c r="AJD20" s="15"/>
      <c r="AJF20" s="14">
        <v>1.7</v>
      </c>
      <c r="AJG20" s="58">
        <v>1</v>
      </c>
      <c r="AJH20" s="14">
        <f t="shared" ref="AJH20:AJH28" si="744">AIZ20+AJA20-AJF20</f>
        <v>0.19999999999999996</v>
      </c>
      <c r="AJI20" s="15"/>
      <c r="AJJ20" s="15"/>
      <c r="AJL20" s="14">
        <v>1.9</v>
      </c>
      <c r="AJM20" s="58"/>
      <c r="AJN20" s="14">
        <f t="shared" ref="AJN20:AJN28" si="745">AJF20+AJG20-AJL20</f>
        <v>0.80000000000000027</v>
      </c>
      <c r="AJO20" s="15"/>
      <c r="AJP20" s="15"/>
      <c r="AJR20" s="14">
        <v>1.9</v>
      </c>
      <c r="AJS20" s="58"/>
      <c r="AJT20" s="14">
        <f t="shared" ref="AJT20:AJT28" si="746">AJL20+AJM20-AJR20</f>
        <v>0</v>
      </c>
      <c r="AJU20" s="15"/>
      <c r="AJV20" s="15"/>
      <c r="AJX20" s="14">
        <v>1.8</v>
      </c>
      <c r="AJY20" s="58"/>
      <c r="AJZ20" s="14">
        <f t="shared" ref="AJZ20:AJZ28" si="747">AJR20+AJS20-AJX20</f>
        <v>9.9999999999999867E-2</v>
      </c>
      <c r="AKA20" s="15"/>
      <c r="AKB20" s="15"/>
      <c r="AKD20" s="14">
        <v>0.7</v>
      </c>
      <c r="AKE20" s="58">
        <v>1</v>
      </c>
      <c r="AKF20" s="14">
        <f t="shared" ref="AKF20:AKF28" si="748">AJX20+AJY20-AKD20</f>
        <v>1.1000000000000001</v>
      </c>
      <c r="AKG20" s="15"/>
      <c r="AKH20" s="15"/>
      <c r="AKJ20" s="14">
        <v>1.6</v>
      </c>
      <c r="AKK20" s="58">
        <v>1</v>
      </c>
      <c r="AKL20" s="14">
        <f t="shared" ref="AKL20:AKL28" si="749">AKD20+AKE20-AKJ20</f>
        <v>9.9999999999999867E-2</v>
      </c>
      <c r="AKM20" s="15"/>
      <c r="AKN20" s="15"/>
      <c r="AKP20" s="14">
        <v>2.2000000000000002</v>
      </c>
      <c r="AKQ20" s="58">
        <v>1</v>
      </c>
      <c r="AKR20" s="14">
        <f t="shared" ref="AKR20:AKR28" si="750">AKJ20+AKK20-AKP20</f>
        <v>0.39999999999999991</v>
      </c>
      <c r="AKS20" s="15"/>
      <c r="AKT20" s="15"/>
      <c r="AKV20" s="14">
        <v>3.5</v>
      </c>
      <c r="AKW20" s="58"/>
      <c r="AKX20" s="14">
        <f t="shared" ref="AKX20:AKX28" si="751">AKP20+AKQ20-AKV20</f>
        <v>-0.29999999999999982</v>
      </c>
      <c r="AKY20" s="15"/>
      <c r="AKZ20" s="15"/>
      <c r="ALB20" s="14">
        <v>3.3</v>
      </c>
      <c r="ALC20" s="58"/>
      <c r="ALD20" s="14">
        <f t="shared" ref="ALD20:ALD28" si="752">AKV20+AKW20-ALB20</f>
        <v>0.20000000000000018</v>
      </c>
      <c r="ALE20" s="15"/>
      <c r="ALF20" s="15"/>
      <c r="ALH20" s="14">
        <v>2.8</v>
      </c>
      <c r="ALI20" s="58"/>
      <c r="ALJ20" s="14">
        <f t="shared" ref="ALJ20:ALJ28" si="753">ALB20+ALC20-ALH20</f>
        <v>0.5</v>
      </c>
      <c r="ALK20" s="15"/>
      <c r="ALL20" s="15"/>
      <c r="ALN20" s="14">
        <v>1.9</v>
      </c>
      <c r="ALO20" s="58">
        <v>1</v>
      </c>
      <c r="ALP20" s="14">
        <f t="shared" ref="ALP20:ALP28" si="754">ALH20+ALI20-ALN20</f>
        <v>0.89999999999999991</v>
      </c>
      <c r="ALQ20" s="15"/>
      <c r="ALR20" s="15"/>
      <c r="ALT20" s="14">
        <v>2.7</v>
      </c>
      <c r="ALU20" s="58"/>
      <c r="ALV20" s="14">
        <f t="shared" ref="ALV20:ALV28" si="755">ALN20+ALO20-ALT20</f>
        <v>0.19999999999999973</v>
      </c>
      <c r="ALW20" s="15"/>
      <c r="ALX20" s="15"/>
      <c r="ALZ20" s="14">
        <v>2.2999999999999998</v>
      </c>
      <c r="AMA20" s="58"/>
      <c r="AMB20" s="14">
        <f t="shared" ref="AMB20:AMB28" si="756">ALT20+ALU20-ALZ20</f>
        <v>0.40000000000000036</v>
      </c>
      <c r="AMC20" s="15"/>
      <c r="AMD20" s="15"/>
      <c r="AMF20" s="14">
        <v>2.4</v>
      </c>
      <c r="AMG20" s="58"/>
      <c r="AMH20" s="14">
        <f t="shared" ref="AMH20:AMH28" si="757">ALZ20+AMA20-AMF20</f>
        <v>-0.10000000000000009</v>
      </c>
      <c r="AMI20" s="15"/>
      <c r="AMJ20" s="15"/>
      <c r="AML20" s="14">
        <v>1.5</v>
      </c>
      <c r="AMM20" s="58">
        <v>1</v>
      </c>
      <c r="AMN20" s="14">
        <f t="shared" ref="AMN20:AMN28" si="758">AMF20+AMG20-AML20</f>
        <v>0.89999999999999991</v>
      </c>
      <c r="AMO20" s="15"/>
      <c r="AMP20" s="15"/>
      <c r="AMR20" s="14">
        <v>2.8</v>
      </c>
      <c r="AMS20" s="58"/>
      <c r="AMT20" s="14">
        <f t="shared" ref="AMT20:AMT28" si="759">AML20+AMM20-AMR20</f>
        <v>-0.29999999999999982</v>
      </c>
      <c r="AMU20" s="15"/>
      <c r="AMV20" s="15"/>
      <c r="AMX20" s="14">
        <v>2.2000000000000002</v>
      </c>
      <c r="AMY20" s="58"/>
      <c r="AMZ20" s="14">
        <f t="shared" ref="AMZ20:AMZ28" si="760">AMR20+AMS20-AMX20</f>
        <v>0.59999999999999964</v>
      </c>
      <c r="ANA20" s="15"/>
      <c r="ANB20" s="15"/>
      <c r="AND20" s="14">
        <v>1.5</v>
      </c>
      <c r="ANE20" s="58"/>
      <c r="ANF20" s="14">
        <f t="shared" ref="ANF20:ANF28" si="761">AMX20+AMY20-AND20</f>
        <v>0.70000000000000018</v>
      </c>
      <c r="ANG20" s="15"/>
      <c r="ANH20" s="15"/>
      <c r="ANJ20" s="14">
        <v>0.9</v>
      </c>
      <c r="ANK20" s="58">
        <v>1</v>
      </c>
      <c r="ANL20" s="14">
        <f t="shared" ref="ANL20:ANL28" si="762">AND20+ANE20-ANJ20</f>
        <v>0.6</v>
      </c>
      <c r="ANM20" s="15"/>
      <c r="ANN20" s="15"/>
      <c r="ANP20" s="14">
        <v>1.9</v>
      </c>
      <c r="ANQ20" s="58"/>
      <c r="ANR20" s="14">
        <f t="shared" ref="ANR20:ANR28" si="763">ANJ20+ANK20-ANP20</f>
        <v>0</v>
      </c>
      <c r="ANS20" s="15"/>
      <c r="ANT20" s="15"/>
      <c r="ANV20" s="14">
        <v>1.6</v>
      </c>
      <c r="ANW20" s="58">
        <v>1</v>
      </c>
      <c r="ANX20" s="14">
        <f t="shared" ref="ANX20:ANX28" si="764">ANP20+ANQ20-ANV20</f>
        <v>0.29999999999999982</v>
      </c>
      <c r="ANY20" s="15"/>
      <c r="ANZ20" s="15"/>
      <c r="AOB20" s="14"/>
      <c r="AOC20" s="58"/>
      <c r="AOD20" s="14">
        <f t="shared" ref="AOD20:AOD28" si="765">ANV20+ANW20-AOB20</f>
        <v>2.6</v>
      </c>
      <c r="AOE20" s="15"/>
      <c r="AOF20" s="15"/>
      <c r="AOH20" s="14"/>
      <c r="AOI20" s="58"/>
      <c r="AOJ20" s="14">
        <f t="shared" ref="AOJ20:AOJ28" si="766">AOB20+AOC20-AOH20</f>
        <v>0</v>
      </c>
      <c r="AOK20" s="15"/>
      <c r="AOL20" s="15"/>
      <c r="AON20" s="14"/>
      <c r="AOO20" s="58"/>
      <c r="AOP20" s="14">
        <f t="shared" ref="AOP20:AOP28" si="767">AOH20+AOI20-AON20</f>
        <v>0</v>
      </c>
      <c r="AOQ20" s="15"/>
      <c r="AOR20" s="15"/>
    </row>
    <row r="21" spans="1:1024 1026:1084" x14ac:dyDescent="0.25">
      <c r="A21" s="3" t="s">
        <v>29</v>
      </c>
      <c r="B21" s="3"/>
      <c r="C21" s="5" t="s">
        <v>35</v>
      </c>
      <c r="D21" s="9">
        <v>1.5</v>
      </c>
      <c r="F21" s="14">
        <v>1.3</v>
      </c>
      <c r="G21" s="15"/>
      <c r="H21" s="11"/>
      <c r="I21" s="15"/>
      <c r="J21" s="15"/>
      <c r="L21" s="14">
        <v>1.1000000000000001</v>
      </c>
      <c r="M21" s="15"/>
      <c r="N21" s="13">
        <f t="shared" ref="N21:N27" si="768">F21+G21-L21</f>
        <v>0.19999999999999996</v>
      </c>
      <c r="O21" s="15"/>
      <c r="P21" s="15"/>
      <c r="R21" s="14">
        <v>0.9</v>
      </c>
      <c r="S21" s="15"/>
      <c r="T21" s="13">
        <f t="shared" ref="T21:T27" si="769">L21+M21-R21</f>
        <v>0.20000000000000007</v>
      </c>
      <c r="U21" s="15"/>
      <c r="V21" s="15"/>
      <c r="X21" s="14">
        <v>0.8</v>
      </c>
      <c r="Y21" s="15"/>
      <c r="Z21" s="13">
        <f t="shared" ref="Z21:Z25" si="770">R21+S21-X21</f>
        <v>9.9999999999999978E-2</v>
      </c>
      <c r="AA21" s="15"/>
      <c r="AB21" s="15"/>
      <c r="AD21" s="14">
        <v>0.5</v>
      </c>
      <c r="AE21" s="15"/>
      <c r="AF21" s="13">
        <f t="shared" ref="AF21:AF25" si="771">X21+Y21-AD21</f>
        <v>0.30000000000000004</v>
      </c>
      <c r="AG21" s="15"/>
      <c r="AH21" s="15"/>
      <c r="AJ21" s="14">
        <v>0.4</v>
      </c>
      <c r="AK21" s="15">
        <v>1</v>
      </c>
      <c r="AL21" s="13">
        <f t="shared" ref="AL21:AL28" si="772">AD21+AE21-AJ21</f>
        <v>9.9999999999999978E-2</v>
      </c>
      <c r="AM21" s="15"/>
      <c r="AN21" s="15"/>
      <c r="AP21" s="14">
        <v>1</v>
      </c>
      <c r="AQ21" s="15"/>
      <c r="AR21" s="13">
        <f t="shared" ref="AR21:AR28" si="773">AJ21+AK21-AP21</f>
        <v>0.39999999999999991</v>
      </c>
      <c r="AS21" s="15"/>
      <c r="AT21" s="15"/>
      <c r="AV21" s="14">
        <v>0.9</v>
      </c>
      <c r="AW21" s="15"/>
      <c r="AX21" s="13">
        <f t="shared" ref="AX21:AX32" si="774">AP21+AQ21-AV21</f>
        <v>9.9999999999999978E-2</v>
      </c>
      <c r="AY21" s="15"/>
      <c r="AZ21" s="15"/>
      <c r="BB21" s="14">
        <v>0.9</v>
      </c>
      <c r="BC21" s="15"/>
      <c r="BD21" s="13">
        <f t="shared" ref="BD21:BD28" si="775">AV21+AW21-BB21</f>
        <v>0</v>
      </c>
      <c r="BE21" s="15"/>
      <c r="BF21" s="15"/>
      <c r="BH21" s="14">
        <v>0.4</v>
      </c>
      <c r="BI21" s="15">
        <v>1</v>
      </c>
      <c r="BJ21" s="13">
        <f t="shared" ref="BJ21:BJ28" si="776">BB21+BC21-BH21</f>
        <v>0.5</v>
      </c>
      <c r="BK21" s="15"/>
      <c r="BL21" s="15"/>
      <c r="BN21" s="14">
        <v>1.2</v>
      </c>
      <c r="BO21" s="15"/>
      <c r="BP21" s="13">
        <f t="shared" ref="BP21:BP28" si="777">BH21+BI21-BN21</f>
        <v>0.19999999999999996</v>
      </c>
      <c r="BQ21" s="15"/>
      <c r="BR21" s="15"/>
      <c r="BT21" s="14">
        <v>0.8</v>
      </c>
      <c r="BU21" s="15">
        <v>1</v>
      </c>
      <c r="BV21" s="13">
        <f t="shared" ref="BV21:BV28" si="778">BN21+BO21-BT21</f>
        <v>0.39999999999999991</v>
      </c>
      <c r="BW21" s="15"/>
      <c r="BX21" s="15"/>
      <c r="BZ21" s="14">
        <v>1.8</v>
      </c>
      <c r="CA21" s="15"/>
      <c r="CB21" s="13">
        <f t="shared" ref="CB21:CB28" si="779">BT21+BU21-BZ21</f>
        <v>0</v>
      </c>
      <c r="CC21" s="15"/>
      <c r="CD21" s="15"/>
      <c r="CF21" s="14">
        <v>1.6</v>
      </c>
      <c r="CG21" s="15"/>
      <c r="CH21" s="13">
        <f t="shared" ref="CH21:CH28" si="780">BZ21+CA21-CF21</f>
        <v>0.19999999999999996</v>
      </c>
      <c r="CI21" s="15"/>
      <c r="CJ21" s="15"/>
      <c r="CL21" s="14">
        <v>1.4</v>
      </c>
      <c r="CM21" s="15"/>
      <c r="CN21" s="13">
        <f t="shared" ref="CN21:CN28" si="781">CF21+CG21-CL21</f>
        <v>0.20000000000000018</v>
      </c>
      <c r="CO21" s="15"/>
      <c r="CP21" s="15"/>
      <c r="CR21" s="14">
        <v>0.8</v>
      </c>
      <c r="CS21" s="15">
        <v>1</v>
      </c>
      <c r="CT21" s="13">
        <f t="shared" ref="CT21:CT28" si="782">CL21+CM21-CR21</f>
        <v>0.59999999999999987</v>
      </c>
      <c r="CU21" s="15"/>
      <c r="CV21" s="15"/>
      <c r="CX21" s="14">
        <v>1.5</v>
      </c>
      <c r="CY21" s="33"/>
      <c r="CZ21" s="13">
        <f t="shared" ref="CZ21:CZ28" si="783">CR21+CS21-CX21</f>
        <v>0.30000000000000004</v>
      </c>
      <c r="DA21" s="15"/>
      <c r="DB21" s="15"/>
      <c r="DD21" s="14">
        <v>1.4</v>
      </c>
      <c r="DE21" s="33"/>
      <c r="DF21" s="13">
        <f t="shared" ref="DF21:DF28" si="784">CX21+CY21-DD21</f>
        <v>0.10000000000000009</v>
      </c>
      <c r="DG21" s="15"/>
      <c r="DH21" s="15"/>
      <c r="DJ21" s="14">
        <v>1.4</v>
      </c>
      <c r="DK21" s="33"/>
      <c r="DL21" s="13">
        <f t="shared" ref="DL21:DL28" si="785">DD21+DE21-DJ21</f>
        <v>0</v>
      </c>
      <c r="DM21" s="15"/>
      <c r="DN21" s="15"/>
      <c r="DP21" s="14">
        <v>1.1000000000000001</v>
      </c>
      <c r="DQ21" s="33"/>
      <c r="DR21" s="13">
        <f t="shared" ref="DR21:DR28" si="786">DJ21+DK21-DP21</f>
        <v>0.29999999999999982</v>
      </c>
      <c r="DS21" s="15"/>
      <c r="DT21" s="15"/>
      <c r="DV21" s="14">
        <v>0.8</v>
      </c>
      <c r="DW21" s="33">
        <v>1</v>
      </c>
      <c r="DX21" s="13">
        <f t="shared" ref="DX21:DX28" si="787">DP21+DQ21-DV21</f>
        <v>0.30000000000000004</v>
      </c>
      <c r="DY21" s="15"/>
      <c r="DZ21" s="15"/>
      <c r="EB21" s="14">
        <v>1.6</v>
      </c>
      <c r="EC21" s="33"/>
      <c r="ED21" s="13">
        <f t="shared" ref="ED21:ED28" si="788">DV21+DW21-EB21</f>
        <v>0.19999999999999996</v>
      </c>
      <c r="EE21" s="15"/>
      <c r="EF21" s="15"/>
      <c r="EH21" s="14">
        <v>1.4</v>
      </c>
      <c r="EI21" s="33"/>
      <c r="EJ21" s="13">
        <f t="shared" ref="EJ21:EJ28" si="789">EB21+EC21-EH21</f>
        <v>0.20000000000000018</v>
      </c>
      <c r="EK21" s="15"/>
      <c r="EL21" s="15"/>
      <c r="EN21" s="14">
        <v>0.8</v>
      </c>
      <c r="EO21" s="33">
        <v>1</v>
      </c>
      <c r="EP21" s="13">
        <f t="shared" ref="EP21:EP28" si="790">EH21+EI21-EN21</f>
        <v>0.59999999999999987</v>
      </c>
      <c r="EQ21" s="15"/>
      <c r="ER21" s="15"/>
      <c r="ET21" s="14">
        <v>1.8</v>
      </c>
      <c r="EU21" s="33"/>
      <c r="EV21" s="13">
        <f t="shared" ref="EV21:EV28" si="791">EN21+EO21-ET21</f>
        <v>0</v>
      </c>
      <c r="EW21" s="15"/>
      <c r="EX21" s="15"/>
      <c r="EZ21" s="14">
        <v>0.8</v>
      </c>
      <c r="FA21" s="33">
        <v>1</v>
      </c>
      <c r="FB21" s="14">
        <f t="shared" ref="FB21:FB28" si="792">ET21+EU21-EZ21</f>
        <v>1</v>
      </c>
      <c r="FC21" s="15"/>
      <c r="FD21" s="15"/>
      <c r="FF21" s="14">
        <v>1.6</v>
      </c>
      <c r="FG21" s="33"/>
      <c r="FH21" s="14">
        <f t="shared" si="614"/>
        <v>0.19999999999999996</v>
      </c>
      <c r="FI21" s="15"/>
      <c r="FJ21" s="15"/>
      <c r="FL21" s="14"/>
      <c r="FM21" s="33"/>
      <c r="FN21" s="14">
        <f t="shared" si="615"/>
        <v>1.6</v>
      </c>
      <c r="FO21" s="15"/>
      <c r="FP21" s="15"/>
      <c r="FR21" s="14">
        <v>1.8</v>
      </c>
      <c r="FS21" s="33"/>
      <c r="FT21" s="14">
        <f t="shared" si="616"/>
        <v>-1.8</v>
      </c>
      <c r="FU21" s="15"/>
      <c r="FV21" s="15"/>
      <c r="FX21" s="14">
        <v>1.8</v>
      </c>
      <c r="FY21" s="33"/>
      <c r="FZ21" s="14">
        <f t="shared" si="617"/>
        <v>0</v>
      </c>
      <c r="GA21" s="15"/>
      <c r="GB21" s="15"/>
      <c r="GD21" s="14">
        <v>1.6</v>
      </c>
      <c r="GE21" s="33"/>
      <c r="GF21" s="14">
        <f t="shared" si="618"/>
        <v>0.19999999999999996</v>
      </c>
      <c r="GG21" s="15"/>
      <c r="GH21" s="15"/>
      <c r="GJ21" s="14">
        <v>1.6</v>
      </c>
      <c r="GK21" s="33"/>
      <c r="GL21" s="14">
        <f t="shared" si="619"/>
        <v>0</v>
      </c>
      <c r="GM21" s="15"/>
      <c r="GN21" s="15"/>
      <c r="GP21" s="14">
        <v>1.4</v>
      </c>
      <c r="GQ21" s="33"/>
      <c r="GR21" s="14">
        <f t="shared" si="620"/>
        <v>0.20000000000000018</v>
      </c>
      <c r="GS21" s="15"/>
      <c r="GT21" s="15"/>
      <c r="GV21" s="14">
        <v>1.2</v>
      </c>
      <c r="GW21" s="33"/>
      <c r="GX21" s="14">
        <f t="shared" si="621"/>
        <v>0.19999999999999996</v>
      </c>
      <c r="GY21" s="15"/>
      <c r="GZ21" s="15"/>
      <c r="HB21" s="14">
        <v>0.8</v>
      </c>
      <c r="HC21" s="33"/>
      <c r="HD21" s="14">
        <f t="shared" si="622"/>
        <v>0.39999999999999991</v>
      </c>
      <c r="HE21" s="15"/>
      <c r="HF21" s="15"/>
      <c r="HH21" s="14">
        <v>0.6</v>
      </c>
      <c r="HI21" s="33">
        <v>1</v>
      </c>
      <c r="HJ21" s="14">
        <f t="shared" si="623"/>
        <v>0.20000000000000007</v>
      </c>
      <c r="HK21" s="15"/>
      <c r="HL21" s="15"/>
      <c r="HN21" s="14">
        <v>1.4</v>
      </c>
      <c r="HO21" s="33"/>
      <c r="HP21" s="14">
        <f t="shared" si="624"/>
        <v>0.20000000000000018</v>
      </c>
      <c r="HQ21" s="15"/>
      <c r="HR21" s="15"/>
      <c r="HT21" s="14">
        <v>1.1000000000000001</v>
      </c>
      <c r="HU21" s="33"/>
      <c r="HV21" s="14">
        <f t="shared" si="625"/>
        <v>0.29999999999999982</v>
      </c>
      <c r="HW21" s="15"/>
      <c r="HX21" s="15"/>
      <c r="HZ21" s="14">
        <v>0.8</v>
      </c>
      <c r="IA21" s="33"/>
      <c r="IB21" s="14">
        <f t="shared" si="626"/>
        <v>0.30000000000000004</v>
      </c>
      <c r="IC21" s="15"/>
      <c r="ID21" s="15"/>
      <c r="IF21" s="14">
        <v>0.8</v>
      </c>
      <c r="IG21" s="33">
        <v>1</v>
      </c>
      <c r="IH21" s="14">
        <f t="shared" si="627"/>
        <v>0</v>
      </c>
      <c r="II21" s="15"/>
      <c r="IJ21" s="15"/>
      <c r="IL21" s="14">
        <v>1.6</v>
      </c>
      <c r="IM21" s="33"/>
      <c r="IN21" s="14">
        <f t="shared" si="628"/>
        <v>0.19999999999999996</v>
      </c>
      <c r="IO21" s="15"/>
      <c r="IP21" s="15"/>
      <c r="IR21" s="14">
        <v>1.4</v>
      </c>
      <c r="IS21" s="33"/>
      <c r="IT21" s="14">
        <f t="shared" si="629"/>
        <v>0.20000000000000018</v>
      </c>
      <c r="IU21" s="15"/>
      <c r="IV21" s="15"/>
      <c r="IX21" s="14">
        <v>1.1000000000000001</v>
      </c>
      <c r="IY21" s="33">
        <v>1</v>
      </c>
      <c r="IZ21" s="14">
        <f t="shared" si="630"/>
        <v>0.29999999999999982</v>
      </c>
      <c r="JA21" s="15"/>
      <c r="JB21" s="15"/>
      <c r="JD21" s="14">
        <v>1.8</v>
      </c>
      <c r="JE21" s="33"/>
      <c r="JF21" s="14">
        <f t="shared" si="631"/>
        <v>0.30000000000000004</v>
      </c>
      <c r="JG21" s="15"/>
      <c r="JH21" s="15"/>
      <c r="JJ21" s="14">
        <v>1.6</v>
      </c>
      <c r="JK21" s="33"/>
      <c r="JL21" s="14">
        <f t="shared" si="632"/>
        <v>0.19999999999999996</v>
      </c>
      <c r="JM21" s="15"/>
      <c r="JN21" s="15"/>
      <c r="JP21" s="14">
        <v>1.4</v>
      </c>
      <c r="JQ21" s="33">
        <v>1</v>
      </c>
      <c r="JR21" s="14">
        <f t="shared" si="633"/>
        <v>0.20000000000000018</v>
      </c>
      <c r="JS21" s="15"/>
      <c r="JT21" s="15"/>
      <c r="JV21" s="14">
        <v>1.9</v>
      </c>
      <c r="JW21" s="33"/>
      <c r="JX21" s="14">
        <f t="shared" si="634"/>
        <v>0.5</v>
      </c>
      <c r="JY21" s="15"/>
      <c r="JZ21" s="15"/>
      <c r="KB21" s="14">
        <v>1.1000000000000001</v>
      </c>
      <c r="KC21" s="33"/>
      <c r="KD21" s="14">
        <f t="shared" si="635"/>
        <v>0.79999999999999982</v>
      </c>
      <c r="KE21" s="15"/>
      <c r="KF21" s="15"/>
      <c r="KH21" s="14">
        <v>0.9</v>
      </c>
      <c r="KI21" s="33">
        <v>1</v>
      </c>
      <c r="KJ21" s="14">
        <f t="shared" si="636"/>
        <v>0.20000000000000007</v>
      </c>
      <c r="KK21" s="15"/>
      <c r="KL21" s="15"/>
      <c r="KN21" s="14">
        <v>1.6</v>
      </c>
      <c r="KO21" s="33"/>
      <c r="KP21" s="14">
        <f t="shared" si="637"/>
        <v>0.29999999999999982</v>
      </c>
      <c r="KQ21" s="15"/>
      <c r="KR21" s="15"/>
      <c r="KT21" s="14">
        <v>1.4</v>
      </c>
      <c r="KU21" s="33"/>
      <c r="KV21" s="14">
        <f t="shared" si="638"/>
        <v>0.20000000000000018</v>
      </c>
      <c r="KW21" s="15"/>
      <c r="KX21" s="15"/>
      <c r="KZ21" s="14">
        <v>1.1000000000000001</v>
      </c>
      <c r="LA21" s="33">
        <v>1</v>
      </c>
      <c r="LB21" s="14">
        <f t="shared" si="639"/>
        <v>0.29999999999999982</v>
      </c>
      <c r="LC21" s="15"/>
      <c r="LD21" s="15"/>
      <c r="LF21" s="14">
        <v>1.8</v>
      </c>
      <c r="LG21" s="33"/>
      <c r="LH21" s="14">
        <f t="shared" si="640"/>
        <v>0.30000000000000004</v>
      </c>
      <c r="LI21" s="15"/>
      <c r="LJ21" s="15"/>
      <c r="LL21" s="14">
        <v>1.6</v>
      </c>
      <c r="LM21" s="33"/>
      <c r="LN21" s="14">
        <f t="shared" si="641"/>
        <v>0.19999999999999996</v>
      </c>
      <c r="LO21" s="15"/>
      <c r="LP21" s="15"/>
      <c r="LR21" s="14">
        <v>0.1</v>
      </c>
      <c r="LS21" s="33"/>
      <c r="LT21" s="14">
        <f t="shared" si="642"/>
        <v>1.5</v>
      </c>
      <c r="LU21" s="15"/>
      <c r="LV21" s="15"/>
      <c r="LX21" s="14">
        <v>0.8</v>
      </c>
      <c r="LY21" s="33">
        <v>1</v>
      </c>
      <c r="LZ21" s="14">
        <f t="shared" si="643"/>
        <v>-0.70000000000000007</v>
      </c>
      <c r="MA21" s="15"/>
      <c r="MB21" s="15"/>
      <c r="MD21" s="14">
        <v>0.4</v>
      </c>
      <c r="ME21" s="33">
        <v>1</v>
      </c>
      <c r="MF21" s="14">
        <f t="shared" si="644"/>
        <v>1.4</v>
      </c>
      <c r="MG21" s="15"/>
      <c r="MH21" s="15"/>
      <c r="MJ21" s="14">
        <v>1.1000000000000001</v>
      </c>
      <c r="MK21" s="33">
        <v>1</v>
      </c>
      <c r="ML21" s="14">
        <f t="shared" si="645"/>
        <v>0.29999999999999982</v>
      </c>
      <c r="MM21" s="15"/>
      <c r="MN21" s="15"/>
      <c r="MP21" s="14">
        <v>1.4</v>
      </c>
      <c r="MQ21" s="33">
        <v>1</v>
      </c>
      <c r="MR21" s="14">
        <f t="shared" si="646"/>
        <v>0.70000000000000018</v>
      </c>
      <c r="MS21" s="15"/>
      <c r="MT21" s="15"/>
      <c r="MV21" s="14">
        <v>1.9</v>
      </c>
      <c r="MW21" s="33"/>
      <c r="MX21" s="14">
        <f t="shared" si="647"/>
        <v>0.5</v>
      </c>
      <c r="MY21" s="15"/>
      <c r="MZ21" s="15"/>
      <c r="NB21" s="14">
        <v>1.8</v>
      </c>
      <c r="NC21" s="33">
        <v>1</v>
      </c>
      <c r="ND21" s="14">
        <f t="shared" si="648"/>
        <v>9.9999999999999867E-2</v>
      </c>
      <c r="NE21" s="15"/>
      <c r="NF21" s="15"/>
      <c r="NH21" s="14">
        <v>2.6</v>
      </c>
      <c r="NI21" s="33"/>
      <c r="NJ21" s="14">
        <f t="shared" si="649"/>
        <v>0.19999999999999973</v>
      </c>
      <c r="NK21" s="15"/>
      <c r="NL21" s="15"/>
      <c r="NN21" s="14">
        <v>2.1</v>
      </c>
      <c r="NO21" s="33"/>
      <c r="NP21" s="14">
        <f t="shared" si="650"/>
        <v>0.5</v>
      </c>
      <c r="NQ21" s="15"/>
      <c r="NR21" s="15"/>
      <c r="NT21" s="14">
        <v>1.8</v>
      </c>
      <c r="NU21" s="33">
        <v>1</v>
      </c>
      <c r="NV21" s="14">
        <f t="shared" si="651"/>
        <v>0.30000000000000004</v>
      </c>
      <c r="NW21" s="15"/>
      <c r="NX21" s="15"/>
      <c r="NZ21" s="14">
        <v>2.8</v>
      </c>
      <c r="OA21" s="33"/>
      <c r="OB21" s="14">
        <f t="shared" si="652"/>
        <v>0</v>
      </c>
      <c r="OC21" s="15"/>
      <c r="OD21" s="15"/>
      <c r="OF21" s="14">
        <v>2.2000000000000002</v>
      </c>
      <c r="OG21" s="33"/>
      <c r="OH21" s="14">
        <f t="shared" si="653"/>
        <v>0.59999999999999964</v>
      </c>
      <c r="OI21" s="15"/>
      <c r="OJ21" s="15"/>
      <c r="OL21" s="14">
        <v>1.9</v>
      </c>
      <c r="OM21" s="33">
        <v>1</v>
      </c>
      <c r="ON21" s="14">
        <f t="shared" si="654"/>
        <v>0.30000000000000027</v>
      </c>
      <c r="OO21" s="15"/>
      <c r="OP21" s="15"/>
      <c r="OR21" s="14">
        <v>2.6</v>
      </c>
      <c r="OS21" s="33"/>
      <c r="OT21" s="14">
        <f t="shared" si="655"/>
        <v>0.29999999999999982</v>
      </c>
      <c r="OU21" s="15"/>
      <c r="OV21" s="15"/>
      <c r="OX21" s="14">
        <v>2.1</v>
      </c>
      <c r="OY21" s="33"/>
      <c r="OZ21" s="14">
        <f t="shared" si="656"/>
        <v>0.5</v>
      </c>
      <c r="PA21" s="15"/>
      <c r="PB21" s="15"/>
      <c r="PD21" s="14">
        <v>1.8</v>
      </c>
      <c r="PE21" s="33"/>
      <c r="PF21" s="14">
        <f t="shared" si="657"/>
        <v>0.30000000000000004</v>
      </c>
      <c r="PG21" s="15"/>
      <c r="PH21" s="15"/>
      <c r="PJ21" s="14">
        <v>1.2</v>
      </c>
      <c r="PK21" s="33">
        <v>1</v>
      </c>
      <c r="PL21" s="14">
        <f t="shared" si="658"/>
        <v>0.60000000000000009</v>
      </c>
      <c r="PM21" s="15"/>
      <c r="PN21" s="15"/>
      <c r="PP21" s="14">
        <v>1.8</v>
      </c>
      <c r="PQ21" s="33"/>
      <c r="PR21" s="14">
        <f t="shared" si="659"/>
        <v>0.40000000000000013</v>
      </c>
      <c r="PS21" s="15"/>
      <c r="PT21" s="15"/>
      <c r="PV21" s="14">
        <v>1.4</v>
      </c>
      <c r="PW21" s="33">
        <v>1</v>
      </c>
      <c r="PX21" s="14">
        <f t="shared" si="660"/>
        <v>0.40000000000000013</v>
      </c>
      <c r="PY21" s="15"/>
      <c r="PZ21" s="15"/>
      <c r="QB21" s="14">
        <v>2.1</v>
      </c>
      <c r="QC21" s="33"/>
      <c r="QD21" s="14">
        <f t="shared" si="661"/>
        <v>0.29999999999999982</v>
      </c>
      <c r="QE21" s="15"/>
      <c r="QF21" s="15"/>
      <c r="QH21" s="14">
        <v>1.6</v>
      </c>
      <c r="QI21" s="33"/>
      <c r="QJ21" s="14">
        <f t="shared" si="662"/>
        <v>0.5</v>
      </c>
      <c r="QK21" s="15"/>
      <c r="QL21" s="15"/>
      <c r="QN21" s="14">
        <v>1.2</v>
      </c>
      <c r="QO21" s="33">
        <v>1</v>
      </c>
      <c r="QP21" s="14">
        <f t="shared" si="663"/>
        <v>0.40000000000000013</v>
      </c>
      <c r="QQ21" s="15"/>
      <c r="QR21" s="15"/>
      <c r="QT21" s="14">
        <v>1.9</v>
      </c>
      <c r="QU21" s="33"/>
      <c r="QV21" s="14">
        <f t="shared" si="664"/>
        <v>0.30000000000000027</v>
      </c>
      <c r="QW21" s="15"/>
      <c r="QX21" s="15"/>
      <c r="QZ21" s="14">
        <v>1.7</v>
      </c>
      <c r="RA21" s="33"/>
      <c r="RB21" s="14">
        <f t="shared" si="665"/>
        <v>0.19999999999999996</v>
      </c>
      <c r="RC21" s="15"/>
      <c r="RD21" s="15"/>
      <c r="RF21" s="14">
        <v>1.2</v>
      </c>
      <c r="RG21" s="33"/>
      <c r="RH21" s="14">
        <f t="shared" si="666"/>
        <v>0.5</v>
      </c>
      <c r="RI21" s="15"/>
      <c r="RJ21" s="15"/>
      <c r="RL21" s="14">
        <v>0.8</v>
      </c>
      <c r="RM21" s="33">
        <v>2</v>
      </c>
      <c r="RN21" s="14">
        <f t="shared" si="667"/>
        <v>0.39999999999999991</v>
      </c>
      <c r="RO21" s="15"/>
      <c r="RP21" s="15"/>
      <c r="RR21" s="14">
        <v>2.4</v>
      </c>
      <c r="RS21" s="33"/>
      <c r="RT21" s="14">
        <f t="shared" si="668"/>
        <v>0.39999999999999991</v>
      </c>
      <c r="RU21" s="15"/>
      <c r="RV21" s="15"/>
      <c r="RX21" s="14">
        <v>2.2000000000000002</v>
      </c>
      <c r="RY21" s="33"/>
      <c r="RZ21" s="14">
        <f t="shared" si="669"/>
        <v>0.19999999999999973</v>
      </c>
      <c r="SA21" s="15"/>
      <c r="SB21" s="15"/>
      <c r="SD21" s="14">
        <v>1.9</v>
      </c>
      <c r="SE21" s="33"/>
      <c r="SF21" s="14">
        <f t="shared" si="670"/>
        <v>0.30000000000000027</v>
      </c>
      <c r="SG21" s="15"/>
      <c r="SH21" s="15"/>
      <c r="SJ21" s="14">
        <v>1.5</v>
      </c>
      <c r="SK21" s="33"/>
      <c r="SL21" s="14">
        <f t="shared" si="671"/>
        <v>0.39999999999999991</v>
      </c>
      <c r="SM21" s="15"/>
      <c r="SN21" s="15"/>
      <c r="SP21" s="14">
        <v>0.9</v>
      </c>
      <c r="SQ21" s="33">
        <v>1</v>
      </c>
      <c r="SR21" s="14">
        <f t="shared" si="672"/>
        <v>0.6</v>
      </c>
      <c r="SS21" s="15"/>
      <c r="ST21" s="15"/>
      <c r="SV21" s="14">
        <v>0.9</v>
      </c>
      <c r="SW21" s="33">
        <v>1</v>
      </c>
      <c r="SX21" s="14">
        <f t="shared" si="673"/>
        <v>0.99999999999999989</v>
      </c>
      <c r="SY21" s="15"/>
      <c r="SZ21" s="15"/>
      <c r="TB21" s="14">
        <v>1.5</v>
      </c>
      <c r="TC21" s="33"/>
      <c r="TD21" s="14">
        <f t="shared" si="674"/>
        <v>0.39999999999999991</v>
      </c>
      <c r="TE21" s="15"/>
      <c r="TF21" s="15"/>
      <c r="TH21" s="14">
        <v>1.4</v>
      </c>
      <c r="TI21" s="33"/>
      <c r="TJ21" s="14">
        <f t="shared" si="675"/>
        <v>0.10000000000000009</v>
      </c>
      <c r="TK21" s="15"/>
      <c r="TL21" s="15"/>
      <c r="TN21" s="14">
        <v>0.9</v>
      </c>
      <c r="TO21" s="33">
        <v>1</v>
      </c>
      <c r="TP21" s="14">
        <f t="shared" si="676"/>
        <v>0.49999999999999989</v>
      </c>
      <c r="TQ21" s="15"/>
      <c r="TR21" s="15"/>
      <c r="TT21" s="14">
        <v>1.5</v>
      </c>
      <c r="TU21" s="33">
        <v>1</v>
      </c>
      <c r="TV21" s="14">
        <f t="shared" si="677"/>
        <v>0.39999999999999991</v>
      </c>
      <c r="TW21" s="15"/>
      <c r="TX21" s="15"/>
      <c r="TZ21" s="14">
        <v>1.9</v>
      </c>
      <c r="UA21" s="33"/>
      <c r="UB21" s="14">
        <f t="shared" si="678"/>
        <v>0.60000000000000009</v>
      </c>
      <c r="UC21" s="15"/>
      <c r="UD21" s="15"/>
      <c r="UF21" s="14">
        <v>1.5</v>
      </c>
      <c r="UG21" s="33"/>
      <c r="UH21" s="14">
        <f t="shared" si="679"/>
        <v>0.39999999999999991</v>
      </c>
      <c r="UI21" s="15"/>
      <c r="UJ21" s="15"/>
      <c r="UL21" s="14">
        <v>1.1000000000000001</v>
      </c>
      <c r="UM21" s="33">
        <v>1</v>
      </c>
      <c r="UN21" s="14">
        <f t="shared" si="680"/>
        <v>0.39999999999999991</v>
      </c>
      <c r="UO21" s="15"/>
      <c r="UP21" s="15"/>
      <c r="UR21" s="14">
        <v>1.8</v>
      </c>
      <c r="US21" s="33"/>
      <c r="UT21" s="14">
        <f t="shared" si="681"/>
        <v>0.30000000000000004</v>
      </c>
      <c r="UU21" s="15"/>
      <c r="UV21" s="15"/>
      <c r="UX21" s="14">
        <v>1.7</v>
      </c>
      <c r="UY21" s="33">
        <v>1</v>
      </c>
      <c r="UZ21" s="14">
        <f t="shared" si="682"/>
        <v>0.10000000000000009</v>
      </c>
      <c r="VA21" s="15"/>
      <c r="VB21" s="15"/>
      <c r="VD21" s="14">
        <v>1.9</v>
      </c>
      <c r="VE21" s="33"/>
      <c r="VF21" s="14">
        <f t="shared" si="683"/>
        <v>0.80000000000000027</v>
      </c>
      <c r="VG21" s="15"/>
      <c r="VH21" s="15"/>
      <c r="VJ21" s="14">
        <v>1.8</v>
      </c>
      <c r="VK21" s="33"/>
      <c r="VL21" s="14">
        <f t="shared" si="684"/>
        <v>9.9999999999999867E-2</v>
      </c>
      <c r="VM21" s="15"/>
      <c r="VN21" s="15"/>
      <c r="VP21" s="14">
        <v>1.4</v>
      </c>
      <c r="VQ21" s="33"/>
      <c r="VR21" s="14">
        <f t="shared" si="685"/>
        <v>0.40000000000000013</v>
      </c>
      <c r="VS21" s="15"/>
      <c r="VT21" s="15"/>
      <c r="VV21" s="14">
        <v>1.9</v>
      </c>
      <c r="VW21" s="33"/>
      <c r="VX21" s="14">
        <f t="shared" si="686"/>
        <v>-0.5</v>
      </c>
      <c r="VY21" s="15"/>
      <c r="VZ21" s="15"/>
      <c r="WB21" s="14">
        <v>0.7</v>
      </c>
      <c r="WC21" s="33">
        <v>1</v>
      </c>
      <c r="WD21" s="14">
        <f t="shared" si="687"/>
        <v>1.2</v>
      </c>
      <c r="WE21" s="15"/>
      <c r="WF21" s="15"/>
      <c r="WH21" s="14">
        <v>1.1000000000000001</v>
      </c>
      <c r="WI21" s="33">
        <v>1</v>
      </c>
      <c r="WJ21" s="14">
        <f t="shared" si="688"/>
        <v>0.59999999999999987</v>
      </c>
      <c r="WK21" s="15"/>
      <c r="WL21" s="15"/>
      <c r="WN21" s="14">
        <v>1.5</v>
      </c>
      <c r="WO21" s="33"/>
      <c r="WP21" s="14">
        <f t="shared" si="689"/>
        <v>0.60000000000000009</v>
      </c>
      <c r="WQ21" s="15"/>
      <c r="WR21" s="15"/>
      <c r="WT21" s="14">
        <v>1.2</v>
      </c>
      <c r="WU21" s="33">
        <v>1</v>
      </c>
      <c r="WV21" s="14">
        <f t="shared" si="690"/>
        <v>0.30000000000000004</v>
      </c>
      <c r="WW21" s="15"/>
      <c r="WX21" s="15"/>
      <c r="WZ21" s="14">
        <v>1.9</v>
      </c>
      <c r="XA21" s="33"/>
      <c r="XB21" s="14">
        <f t="shared" si="691"/>
        <v>0.30000000000000027</v>
      </c>
      <c r="XC21" s="15"/>
      <c r="XD21" s="15"/>
      <c r="XF21" s="14">
        <v>1.7</v>
      </c>
      <c r="XG21" s="33">
        <v>1</v>
      </c>
      <c r="XH21" s="14">
        <f t="shared" si="692"/>
        <v>0.19999999999999996</v>
      </c>
      <c r="XI21" s="15"/>
      <c r="XJ21" s="15"/>
      <c r="XL21" s="14">
        <v>1.1000000000000001</v>
      </c>
      <c r="XM21" s="33">
        <v>1</v>
      </c>
      <c r="XN21" s="14">
        <f t="shared" si="693"/>
        <v>1.6</v>
      </c>
      <c r="XO21" s="15"/>
      <c r="XP21" s="15"/>
      <c r="XR21" s="14">
        <v>1.8</v>
      </c>
      <c r="XS21" s="33"/>
      <c r="XT21" s="14">
        <f t="shared" si="694"/>
        <v>0.30000000000000004</v>
      </c>
      <c r="XU21" s="15"/>
      <c r="XV21" s="15"/>
      <c r="XX21" s="14">
        <v>1.5</v>
      </c>
      <c r="XY21" s="33">
        <v>2</v>
      </c>
      <c r="XZ21" s="14">
        <f t="shared" si="695"/>
        <v>0.30000000000000004</v>
      </c>
      <c r="YA21" s="15"/>
      <c r="YB21" s="15"/>
      <c r="YD21" s="14">
        <v>1.6</v>
      </c>
      <c r="YE21" s="33"/>
      <c r="YF21" s="14">
        <f t="shared" si="696"/>
        <v>1.9</v>
      </c>
      <c r="YG21" s="15"/>
      <c r="YH21" s="15"/>
      <c r="YJ21" s="14">
        <v>1.1000000000000001</v>
      </c>
      <c r="YK21" s="33">
        <v>1</v>
      </c>
      <c r="YL21" s="14">
        <f t="shared" si="697"/>
        <v>0.5</v>
      </c>
      <c r="YM21" s="15"/>
      <c r="YN21" s="15"/>
      <c r="YP21" s="14">
        <v>1.8</v>
      </c>
      <c r="YQ21" s="33"/>
      <c r="YR21" s="14">
        <f t="shared" si="698"/>
        <v>0.30000000000000004</v>
      </c>
      <c r="YS21" s="15"/>
      <c r="YT21" s="15"/>
      <c r="YV21" s="14">
        <v>0.1</v>
      </c>
      <c r="YW21" s="33">
        <v>1</v>
      </c>
      <c r="YX21" s="14">
        <f t="shared" si="699"/>
        <v>1.7</v>
      </c>
      <c r="YY21" s="15"/>
      <c r="YZ21" s="15"/>
      <c r="ZB21" s="14">
        <v>0.7</v>
      </c>
      <c r="ZC21" s="33">
        <v>1</v>
      </c>
      <c r="ZD21" s="14">
        <f t="shared" si="700"/>
        <v>0.40000000000000013</v>
      </c>
      <c r="ZE21" s="15"/>
      <c r="ZF21" s="15"/>
      <c r="ZH21" s="14">
        <v>2.7</v>
      </c>
      <c r="ZI21" s="33"/>
      <c r="ZJ21" s="14">
        <f t="shared" si="701"/>
        <v>-1.0000000000000002</v>
      </c>
      <c r="ZK21" s="15"/>
      <c r="ZL21" s="15"/>
      <c r="ZN21" s="14">
        <v>2.8</v>
      </c>
      <c r="ZO21" s="33"/>
      <c r="ZP21" s="14">
        <f t="shared" si="702"/>
        <v>-9.9999999999999645E-2</v>
      </c>
      <c r="ZQ21" s="15"/>
      <c r="ZR21" s="15"/>
      <c r="ZT21" s="14">
        <v>1.6</v>
      </c>
      <c r="ZU21" s="33">
        <v>1</v>
      </c>
      <c r="ZV21" s="14">
        <f t="shared" si="703"/>
        <v>1.1999999999999997</v>
      </c>
      <c r="ZW21" s="15"/>
      <c r="ZX21" s="15"/>
      <c r="ZZ21" s="14">
        <v>2.1</v>
      </c>
      <c r="AAA21" s="33"/>
      <c r="AAB21" s="14">
        <f t="shared" si="704"/>
        <v>0.5</v>
      </c>
      <c r="AAC21" s="15"/>
      <c r="AAD21" s="15"/>
      <c r="AAF21" s="14">
        <v>1.5</v>
      </c>
      <c r="AAG21" s="33"/>
      <c r="AAH21" s="14">
        <f t="shared" si="705"/>
        <v>0.60000000000000009</v>
      </c>
      <c r="AAI21" s="15"/>
      <c r="AAJ21" s="15"/>
      <c r="AAL21" s="14">
        <v>1.2</v>
      </c>
      <c r="AAM21" s="33">
        <v>1</v>
      </c>
      <c r="AAN21" s="14">
        <f t="shared" si="706"/>
        <v>0.30000000000000004</v>
      </c>
      <c r="AAO21" s="15"/>
      <c r="AAP21" s="15"/>
      <c r="AAR21" s="14">
        <v>1.8</v>
      </c>
      <c r="AAS21" s="33"/>
      <c r="AAT21" s="14">
        <f t="shared" si="707"/>
        <v>0.40000000000000013</v>
      </c>
      <c r="AAU21" s="15"/>
      <c r="AAV21" s="15"/>
      <c r="AAX21" s="14">
        <v>1.3</v>
      </c>
      <c r="AAY21" s="33">
        <v>1</v>
      </c>
      <c r="AAZ21" s="14">
        <f t="shared" si="708"/>
        <v>0.5</v>
      </c>
      <c r="ABA21" s="15"/>
      <c r="ABB21" s="15"/>
      <c r="ABD21" s="14">
        <v>1.8</v>
      </c>
      <c r="ABE21" s="33"/>
      <c r="ABF21" s="14">
        <f t="shared" si="709"/>
        <v>0.49999999999999978</v>
      </c>
      <c r="ABG21" s="15"/>
      <c r="ABH21" s="15"/>
      <c r="ABJ21" s="14">
        <v>1.3</v>
      </c>
      <c r="ABK21" s="33">
        <v>1</v>
      </c>
      <c r="ABL21" s="14">
        <f t="shared" si="710"/>
        <v>0.5</v>
      </c>
      <c r="ABM21" s="15"/>
      <c r="ABN21" s="15"/>
      <c r="ABP21" s="14">
        <v>1.7</v>
      </c>
      <c r="ABQ21" s="33"/>
      <c r="ABR21" s="14">
        <f t="shared" si="711"/>
        <v>0.59999999999999987</v>
      </c>
      <c r="ABS21" s="15"/>
      <c r="ABT21" s="15"/>
      <c r="ABV21" s="14">
        <v>1.5</v>
      </c>
      <c r="ABW21" s="33"/>
      <c r="ABX21" s="14">
        <f t="shared" si="712"/>
        <v>0.19999999999999996</v>
      </c>
      <c r="ABY21" s="15"/>
      <c r="ABZ21" s="15"/>
      <c r="ACB21" s="14">
        <v>0.8</v>
      </c>
      <c r="ACC21" s="33">
        <v>1</v>
      </c>
      <c r="ACD21" s="14">
        <f t="shared" si="713"/>
        <v>0.7</v>
      </c>
      <c r="ACE21" s="15"/>
      <c r="ACF21" s="15"/>
      <c r="ACH21" s="14">
        <v>1.2</v>
      </c>
      <c r="ACI21" s="33"/>
      <c r="ACJ21" s="14">
        <f t="shared" si="714"/>
        <v>0.60000000000000009</v>
      </c>
      <c r="ACK21" s="15"/>
      <c r="ACL21" s="15"/>
      <c r="ACN21" s="14">
        <v>0.7</v>
      </c>
      <c r="ACO21" s="33">
        <v>1</v>
      </c>
      <c r="ACP21" s="14">
        <f t="shared" si="715"/>
        <v>0.5</v>
      </c>
      <c r="ACQ21" s="15"/>
      <c r="ACR21" s="15"/>
      <c r="ACT21" s="14">
        <v>1.2</v>
      </c>
      <c r="ACU21" s="33"/>
      <c r="ACV21" s="14">
        <f t="shared" si="716"/>
        <v>0.5</v>
      </c>
      <c r="ACW21" s="15"/>
      <c r="ACX21" s="15"/>
      <c r="ACZ21" s="14">
        <v>0.8</v>
      </c>
      <c r="ADA21" s="33">
        <v>1</v>
      </c>
      <c r="ADB21" s="14">
        <f t="shared" si="717"/>
        <v>0.39999999999999991</v>
      </c>
      <c r="ADC21" s="15"/>
      <c r="ADD21" s="15"/>
      <c r="ADF21" s="14">
        <v>1.3</v>
      </c>
      <c r="ADG21" s="33">
        <v>1</v>
      </c>
      <c r="ADH21" s="14">
        <f t="shared" si="718"/>
        <v>0.5</v>
      </c>
      <c r="ADI21" s="15"/>
      <c r="ADJ21" s="15"/>
      <c r="ADL21" s="14">
        <v>1.8</v>
      </c>
      <c r="ADM21" s="33">
        <v>1</v>
      </c>
      <c r="ADN21" s="14">
        <f t="shared" si="719"/>
        <v>0.49999999999999978</v>
      </c>
      <c r="ADO21" s="15"/>
      <c r="ADP21" s="15"/>
      <c r="ADR21" s="14">
        <v>2.4</v>
      </c>
      <c r="ADS21" s="33"/>
      <c r="ADT21" s="14">
        <f t="shared" si="720"/>
        <v>0.39999999999999991</v>
      </c>
      <c r="ADU21" s="15"/>
      <c r="ADV21" s="15"/>
      <c r="ADX21" s="14">
        <v>2.1</v>
      </c>
      <c r="ADY21" s="33"/>
      <c r="ADZ21" s="14">
        <f t="shared" si="721"/>
        <v>0.29999999999999982</v>
      </c>
      <c r="AEA21" s="15"/>
      <c r="AEB21" s="15"/>
      <c r="AED21" s="14">
        <v>1.6</v>
      </c>
      <c r="AEE21" s="33">
        <v>1</v>
      </c>
      <c r="AEF21" s="14">
        <f t="shared" si="722"/>
        <v>0.5</v>
      </c>
      <c r="AEG21" s="15"/>
      <c r="AEH21" s="15"/>
      <c r="AEJ21" s="14">
        <v>2.4</v>
      </c>
      <c r="AEK21" s="33"/>
      <c r="AEL21" s="14">
        <f t="shared" si="723"/>
        <v>0.20000000000000018</v>
      </c>
      <c r="AEM21" s="15"/>
      <c r="AEN21" s="15"/>
      <c r="AEP21" s="14">
        <v>2.1</v>
      </c>
      <c r="AEQ21" s="33"/>
      <c r="AER21" s="14">
        <f t="shared" si="724"/>
        <v>0.29999999999999982</v>
      </c>
      <c r="AES21" s="15"/>
      <c r="AET21" s="15"/>
      <c r="AEV21" s="14">
        <v>1.7</v>
      </c>
      <c r="AEW21" s="33"/>
      <c r="AEX21" s="14">
        <f t="shared" si="725"/>
        <v>0.40000000000000013</v>
      </c>
      <c r="AEY21" s="15"/>
      <c r="AEZ21" s="15"/>
      <c r="AFB21" s="14">
        <v>1.3</v>
      </c>
      <c r="AFC21" s="33">
        <v>1</v>
      </c>
      <c r="AFD21" s="14">
        <f t="shared" si="726"/>
        <v>0.39999999999999991</v>
      </c>
      <c r="AFE21" s="15"/>
      <c r="AFF21" s="15"/>
      <c r="AFH21" s="14">
        <v>0.9</v>
      </c>
      <c r="AFI21" s="33">
        <v>1</v>
      </c>
      <c r="AFJ21" s="14">
        <f t="shared" si="727"/>
        <v>1.4</v>
      </c>
      <c r="AFK21" s="15"/>
      <c r="AFL21" s="15"/>
      <c r="AFN21" s="14">
        <v>1.8</v>
      </c>
      <c r="AFO21" s="33"/>
      <c r="AFP21" s="14">
        <f t="shared" si="728"/>
        <v>9.9999999999999867E-2</v>
      </c>
      <c r="AFQ21" s="15"/>
      <c r="AFR21" s="15"/>
      <c r="AFT21" s="14">
        <v>1.6</v>
      </c>
      <c r="AFU21" s="33"/>
      <c r="AFV21" s="14">
        <f t="shared" si="729"/>
        <v>0.19999999999999996</v>
      </c>
      <c r="AFW21" s="15"/>
      <c r="AFX21" s="15"/>
      <c r="AFZ21" s="14">
        <v>1.1000000000000001</v>
      </c>
      <c r="AGA21" s="33">
        <v>1</v>
      </c>
      <c r="AGB21" s="14">
        <f t="shared" si="730"/>
        <v>0.5</v>
      </c>
      <c r="AGC21" s="15"/>
      <c r="AGD21" s="15"/>
      <c r="AGF21" s="14">
        <v>1.1000000000000001</v>
      </c>
      <c r="AGG21" s="33">
        <v>1</v>
      </c>
      <c r="AGH21" s="14">
        <f t="shared" si="731"/>
        <v>1</v>
      </c>
      <c r="AGI21" s="15"/>
      <c r="AGJ21" s="15"/>
      <c r="AGL21" s="14">
        <v>2.8</v>
      </c>
      <c r="AGM21" s="33"/>
      <c r="AGN21" s="14">
        <f t="shared" si="732"/>
        <v>-0.69999999999999973</v>
      </c>
      <c r="AGO21" s="15"/>
      <c r="AGP21" s="15"/>
      <c r="AGR21" s="14">
        <v>2.4</v>
      </c>
      <c r="AGS21" s="33"/>
      <c r="AGT21" s="14">
        <f t="shared" si="733"/>
        <v>0.39999999999999991</v>
      </c>
      <c r="AGU21" s="15"/>
      <c r="AGV21" s="15"/>
      <c r="AGX21" s="14">
        <v>2.1</v>
      </c>
      <c r="AGY21" s="33"/>
      <c r="AGZ21" s="14">
        <f t="shared" si="734"/>
        <v>0.29999999999999982</v>
      </c>
      <c r="AHA21" s="15"/>
      <c r="AHB21" s="15"/>
      <c r="AHD21" s="14">
        <v>1.8</v>
      </c>
      <c r="AHE21" s="33"/>
      <c r="AHF21" s="14">
        <f t="shared" si="735"/>
        <v>0.30000000000000004</v>
      </c>
      <c r="AHG21" s="15"/>
      <c r="AHH21" s="15"/>
      <c r="AHJ21" s="14">
        <v>1.5</v>
      </c>
      <c r="AHK21" s="33">
        <v>1</v>
      </c>
      <c r="AHL21" s="14">
        <f t="shared" si="736"/>
        <v>0.30000000000000004</v>
      </c>
      <c r="AHM21" s="15"/>
      <c r="AHN21" s="15"/>
      <c r="AHP21" s="14">
        <v>2.2999999999999998</v>
      </c>
      <c r="AHQ21" s="33"/>
      <c r="AHR21" s="14">
        <f t="shared" si="737"/>
        <v>0.20000000000000018</v>
      </c>
      <c r="AHS21" s="15"/>
      <c r="AHT21" s="15"/>
      <c r="AHV21" s="14">
        <v>1.9</v>
      </c>
      <c r="AHW21" s="33"/>
      <c r="AHX21" s="14">
        <f t="shared" si="738"/>
        <v>0.39999999999999991</v>
      </c>
      <c r="AHY21" s="15"/>
      <c r="AHZ21" s="15"/>
      <c r="AIB21" s="14">
        <v>1.5</v>
      </c>
      <c r="AIC21" s="33"/>
      <c r="AID21" s="14">
        <f t="shared" si="739"/>
        <v>0.39999999999999991</v>
      </c>
      <c r="AIE21" s="15"/>
      <c r="AIF21" s="15"/>
      <c r="AIH21" s="14">
        <v>1.3</v>
      </c>
      <c r="AII21" s="33">
        <v>1</v>
      </c>
      <c r="AIJ21" s="14">
        <f t="shared" si="740"/>
        <v>0.19999999999999996</v>
      </c>
      <c r="AIK21" s="15"/>
      <c r="AIL21" s="15"/>
      <c r="AIN21" s="14">
        <v>1.9</v>
      </c>
      <c r="AIO21" s="33"/>
      <c r="AIP21" s="14">
        <f t="shared" si="741"/>
        <v>0.39999999999999991</v>
      </c>
      <c r="AIQ21" s="15"/>
      <c r="AIR21" s="15"/>
      <c r="AIT21" s="14">
        <v>1.2</v>
      </c>
      <c r="AIU21" s="33">
        <v>1</v>
      </c>
      <c r="AIV21" s="14">
        <f t="shared" si="742"/>
        <v>0.7</v>
      </c>
      <c r="AIW21" s="15"/>
      <c r="AIX21" s="15"/>
      <c r="AIZ21" s="14">
        <v>2.2000000000000002</v>
      </c>
      <c r="AJA21" s="33"/>
      <c r="AJB21" s="14">
        <f t="shared" si="743"/>
        <v>0</v>
      </c>
      <c r="AJC21" s="15"/>
      <c r="AJD21" s="15"/>
      <c r="AJF21" s="14">
        <v>1.9</v>
      </c>
      <c r="AJG21" s="33"/>
      <c r="AJH21" s="14">
        <f t="shared" si="744"/>
        <v>0.30000000000000027</v>
      </c>
      <c r="AJI21" s="15"/>
      <c r="AJJ21" s="15"/>
      <c r="AJL21" s="14">
        <v>1.7</v>
      </c>
      <c r="AJM21" s="33"/>
      <c r="AJN21" s="14">
        <f t="shared" si="745"/>
        <v>0.19999999999999996</v>
      </c>
      <c r="AJO21" s="15"/>
      <c r="AJP21" s="15"/>
      <c r="AJR21" s="14">
        <v>1.6</v>
      </c>
      <c r="AJS21" s="33">
        <v>1</v>
      </c>
      <c r="AJT21" s="14">
        <f t="shared" si="746"/>
        <v>9.9999999999999867E-2</v>
      </c>
      <c r="AJU21" s="15"/>
      <c r="AJV21" s="15"/>
      <c r="AJX21" s="14">
        <v>2.4</v>
      </c>
      <c r="AJY21" s="33"/>
      <c r="AJZ21" s="14">
        <f t="shared" si="747"/>
        <v>0.20000000000000018</v>
      </c>
      <c r="AKA21" s="15"/>
      <c r="AKB21" s="15"/>
      <c r="AKD21" s="14">
        <v>2.2999999999999998</v>
      </c>
      <c r="AKE21" s="33"/>
      <c r="AKF21" s="14">
        <f t="shared" si="748"/>
        <v>0.10000000000000009</v>
      </c>
      <c r="AKG21" s="15"/>
      <c r="AKH21" s="15"/>
      <c r="AKJ21" s="14">
        <v>1.8</v>
      </c>
      <c r="AKK21" s="33"/>
      <c r="AKL21" s="14">
        <f t="shared" si="749"/>
        <v>0.49999999999999978</v>
      </c>
      <c r="AKM21" s="15"/>
      <c r="AKN21" s="15"/>
      <c r="AKP21" s="14">
        <v>1.5</v>
      </c>
      <c r="AKQ21" s="33">
        <v>1</v>
      </c>
      <c r="AKR21" s="14">
        <f t="shared" si="750"/>
        <v>0.30000000000000004</v>
      </c>
      <c r="AKS21" s="15"/>
      <c r="AKT21" s="15"/>
      <c r="AKV21" s="14">
        <v>2.6</v>
      </c>
      <c r="AKW21" s="33"/>
      <c r="AKX21" s="14">
        <f t="shared" si="751"/>
        <v>-0.10000000000000009</v>
      </c>
      <c r="AKY21" s="15"/>
      <c r="AKZ21" s="15"/>
      <c r="ALB21" s="14">
        <v>2.2000000000000002</v>
      </c>
      <c r="ALC21" s="33"/>
      <c r="ALD21" s="14">
        <f t="shared" si="752"/>
        <v>0.39999999999999991</v>
      </c>
      <c r="ALE21" s="15"/>
      <c r="ALF21" s="15"/>
      <c r="ALH21" s="14">
        <v>2.2999999999999998</v>
      </c>
      <c r="ALI21" s="33"/>
      <c r="ALJ21" s="14">
        <f t="shared" si="753"/>
        <v>-9.9999999999999645E-2</v>
      </c>
      <c r="ALK21" s="15"/>
      <c r="ALL21" s="15"/>
      <c r="ALN21" s="14">
        <v>1.7</v>
      </c>
      <c r="ALO21" s="33"/>
      <c r="ALP21" s="14">
        <f t="shared" si="754"/>
        <v>0.59999999999999987</v>
      </c>
      <c r="ALQ21" s="15"/>
      <c r="ALR21" s="15"/>
      <c r="ALT21" s="14">
        <v>1.8</v>
      </c>
      <c r="ALU21" s="33"/>
      <c r="ALV21" s="14">
        <f t="shared" si="755"/>
        <v>-0.10000000000000009</v>
      </c>
      <c r="ALW21" s="15"/>
      <c r="ALX21" s="15"/>
      <c r="ALZ21" s="14">
        <v>1.5</v>
      </c>
      <c r="AMA21" s="33">
        <v>1</v>
      </c>
      <c r="AMB21" s="14">
        <f t="shared" si="756"/>
        <v>0.30000000000000004</v>
      </c>
      <c r="AMC21" s="15"/>
      <c r="AMD21" s="15"/>
      <c r="AMF21" s="14">
        <v>1.6</v>
      </c>
      <c r="AMG21" s="33"/>
      <c r="AMH21" s="14">
        <f t="shared" si="757"/>
        <v>0.89999999999999991</v>
      </c>
      <c r="AMI21" s="15"/>
      <c r="AMJ21" s="15"/>
      <c r="AML21" s="14">
        <v>1.2</v>
      </c>
      <c r="AMM21" s="33">
        <v>1</v>
      </c>
      <c r="AMN21" s="14">
        <f t="shared" si="758"/>
        <v>0.40000000000000013</v>
      </c>
      <c r="AMO21" s="15"/>
      <c r="AMP21" s="15"/>
      <c r="AMR21" s="14">
        <v>1.7</v>
      </c>
      <c r="AMS21" s="33"/>
      <c r="AMT21" s="14">
        <f t="shared" si="759"/>
        <v>0.50000000000000022</v>
      </c>
      <c r="AMU21" s="15"/>
      <c r="AMV21" s="15"/>
      <c r="AMX21" s="14">
        <v>2.2999999999999998</v>
      </c>
      <c r="AMY21" s="33"/>
      <c r="AMZ21" s="14">
        <f t="shared" si="760"/>
        <v>-0.59999999999999987</v>
      </c>
      <c r="ANA21" s="15"/>
      <c r="ANB21" s="15"/>
      <c r="AND21" s="14">
        <v>2.2999999999999998</v>
      </c>
      <c r="ANE21" s="33"/>
      <c r="ANF21" s="14">
        <f t="shared" si="761"/>
        <v>0</v>
      </c>
      <c r="ANG21" s="15"/>
      <c r="ANH21" s="15"/>
      <c r="ANJ21" s="14">
        <v>1.8</v>
      </c>
      <c r="ANK21" s="33"/>
      <c r="ANL21" s="14">
        <f t="shared" si="762"/>
        <v>0.49999999999999978</v>
      </c>
      <c r="ANM21" s="15"/>
      <c r="ANN21" s="15"/>
      <c r="ANP21" s="14">
        <v>1.7</v>
      </c>
      <c r="ANQ21" s="33"/>
      <c r="ANR21" s="14">
        <f t="shared" si="763"/>
        <v>0.10000000000000009</v>
      </c>
      <c r="ANS21" s="15"/>
      <c r="ANT21" s="15"/>
      <c r="ANV21" s="14">
        <v>1.4</v>
      </c>
      <c r="ANW21" s="33">
        <v>1</v>
      </c>
      <c r="ANX21" s="14">
        <f t="shared" si="764"/>
        <v>0.30000000000000004</v>
      </c>
      <c r="ANY21" s="15"/>
      <c r="ANZ21" s="15"/>
      <c r="AOB21" s="14"/>
      <c r="AOC21" s="33"/>
      <c r="AOD21" s="14">
        <f t="shared" si="765"/>
        <v>2.4</v>
      </c>
      <c r="AOE21" s="15"/>
      <c r="AOF21" s="15"/>
      <c r="AOH21" s="14"/>
      <c r="AOI21" s="33"/>
      <c r="AOJ21" s="14">
        <f t="shared" si="766"/>
        <v>0</v>
      </c>
      <c r="AOK21" s="15"/>
      <c r="AOL21" s="15"/>
      <c r="AON21" s="14"/>
      <c r="AOO21" s="33"/>
      <c r="AOP21" s="14">
        <f t="shared" si="767"/>
        <v>0</v>
      </c>
      <c r="AOQ21" s="15"/>
      <c r="AOR21" s="15"/>
    </row>
    <row r="22" spans="1:1024 1026:1084" x14ac:dyDescent="0.25">
      <c r="A22" s="3" t="s">
        <v>36</v>
      </c>
      <c r="B22" s="3"/>
      <c r="C22" s="5" t="s">
        <v>35</v>
      </c>
      <c r="D22" s="9">
        <v>0.5</v>
      </c>
      <c r="F22" s="15">
        <v>1.6</v>
      </c>
      <c r="G22" s="15"/>
      <c r="H22" s="11"/>
      <c r="I22" s="15"/>
      <c r="J22" s="15"/>
      <c r="L22" s="15">
        <v>0.6</v>
      </c>
      <c r="M22" s="15">
        <v>1</v>
      </c>
      <c r="N22" s="13">
        <f t="shared" si="768"/>
        <v>1</v>
      </c>
      <c r="O22" s="15"/>
      <c r="P22" s="15"/>
      <c r="R22" s="15">
        <v>2.1</v>
      </c>
      <c r="S22" s="15"/>
      <c r="T22" s="13">
        <f t="shared" si="769"/>
        <v>-0.5</v>
      </c>
      <c r="U22" s="15"/>
      <c r="V22" s="15"/>
      <c r="X22" s="15">
        <v>2.2999999999999998</v>
      </c>
      <c r="Y22" s="15"/>
      <c r="Z22" s="13">
        <f t="shared" si="770"/>
        <v>-0.19999999999999973</v>
      </c>
      <c r="AA22" s="15"/>
      <c r="AB22" s="15"/>
      <c r="AD22" s="15">
        <v>1.9</v>
      </c>
      <c r="AE22" s="15">
        <v>-1</v>
      </c>
      <c r="AF22" s="13">
        <f t="shared" si="771"/>
        <v>0.39999999999999991</v>
      </c>
      <c r="AG22" s="15"/>
      <c r="AH22" s="15"/>
      <c r="AJ22" s="15">
        <v>0.9</v>
      </c>
      <c r="AK22" s="15"/>
      <c r="AL22" s="13">
        <f t="shared" si="772"/>
        <v>0</v>
      </c>
      <c r="AM22" s="15"/>
      <c r="AN22" s="15"/>
      <c r="AP22" s="15">
        <v>0.9</v>
      </c>
      <c r="AQ22" s="15"/>
      <c r="AR22" s="13">
        <f t="shared" si="773"/>
        <v>0</v>
      </c>
      <c r="AS22" s="15"/>
      <c r="AT22" s="15"/>
      <c r="AV22" s="15">
        <v>0.8</v>
      </c>
      <c r="AW22" s="15"/>
      <c r="AX22" s="13">
        <f t="shared" si="774"/>
        <v>9.9999999999999978E-2</v>
      </c>
      <c r="AY22" s="15"/>
      <c r="AZ22" s="15"/>
      <c r="BB22" s="15">
        <v>0.7</v>
      </c>
      <c r="BC22" s="15"/>
      <c r="BD22" s="13">
        <f t="shared" si="775"/>
        <v>0.10000000000000009</v>
      </c>
      <c r="BE22" s="15"/>
      <c r="BF22" s="15"/>
      <c r="BH22" s="15">
        <v>0.6</v>
      </c>
      <c r="BI22" s="15"/>
      <c r="BJ22" s="13">
        <f t="shared" si="776"/>
        <v>9.9999999999999978E-2</v>
      </c>
      <c r="BK22" s="15"/>
      <c r="BL22" s="15"/>
      <c r="BN22" s="15">
        <v>0.4</v>
      </c>
      <c r="BO22" s="15"/>
      <c r="BP22" s="13">
        <f t="shared" si="777"/>
        <v>0.19999999999999996</v>
      </c>
      <c r="BQ22" s="15"/>
      <c r="BR22" s="15"/>
      <c r="BT22" s="15">
        <v>0.2</v>
      </c>
      <c r="BU22" s="15"/>
      <c r="BV22" s="13">
        <f t="shared" si="778"/>
        <v>0.2</v>
      </c>
      <c r="BW22" s="15"/>
      <c r="BX22" s="15"/>
      <c r="BZ22" s="15">
        <v>0.2</v>
      </c>
      <c r="CA22" s="15">
        <v>1</v>
      </c>
      <c r="CB22" s="13">
        <f t="shared" si="779"/>
        <v>0</v>
      </c>
      <c r="CC22" s="15"/>
      <c r="CD22" s="15"/>
      <c r="CF22" s="15">
        <v>1.2</v>
      </c>
      <c r="CG22" s="15"/>
      <c r="CH22" s="13">
        <f t="shared" si="780"/>
        <v>0</v>
      </c>
      <c r="CI22" s="15"/>
      <c r="CJ22" s="15"/>
      <c r="CL22" s="15">
        <v>0.8</v>
      </c>
      <c r="CM22" s="15"/>
      <c r="CN22" s="13">
        <f t="shared" si="781"/>
        <v>0.39999999999999991</v>
      </c>
      <c r="CO22" s="15"/>
      <c r="CP22" s="15"/>
      <c r="CR22" s="15">
        <v>0.8</v>
      </c>
      <c r="CS22" s="15"/>
      <c r="CT22" s="13">
        <f t="shared" si="782"/>
        <v>0</v>
      </c>
      <c r="CU22" s="15"/>
      <c r="CV22" s="15"/>
      <c r="CX22" s="15">
        <v>0.8</v>
      </c>
      <c r="CY22" s="33"/>
      <c r="CZ22" s="13">
        <f t="shared" si="783"/>
        <v>0</v>
      </c>
      <c r="DA22" s="15"/>
      <c r="DB22" s="15"/>
      <c r="DD22" s="15">
        <v>0.4</v>
      </c>
      <c r="DE22" s="33">
        <v>1</v>
      </c>
      <c r="DF22" s="13">
        <f t="shared" si="784"/>
        <v>0.4</v>
      </c>
      <c r="DG22" s="15"/>
      <c r="DH22" s="15"/>
      <c r="DJ22" s="15">
        <v>1.4</v>
      </c>
      <c r="DK22" s="33"/>
      <c r="DL22" s="13">
        <f t="shared" si="785"/>
        <v>0</v>
      </c>
      <c r="DM22" s="15"/>
      <c r="DN22" s="15"/>
      <c r="DP22" s="15">
        <v>1.2</v>
      </c>
      <c r="DQ22" s="33"/>
      <c r="DR22" s="13">
        <f t="shared" si="786"/>
        <v>0.19999999999999996</v>
      </c>
      <c r="DS22" s="15"/>
      <c r="DT22" s="15"/>
      <c r="DV22" s="15">
        <v>1.2</v>
      </c>
      <c r="DW22" s="33"/>
      <c r="DX22" s="13">
        <f t="shared" si="787"/>
        <v>0</v>
      </c>
      <c r="DY22" s="15"/>
      <c r="DZ22" s="15"/>
      <c r="EB22" s="15">
        <v>1.2</v>
      </c>
      <c r="EC22" s="33"/>
      <c r="ED22" s="13">
        <f t="shared" si="788"/>
        <v>0</v>
      </c>
      <c r="EE22" s="15"/>
      <c r="EF22" s="15"/>
      <c r="EH22" s="15">
        <v>1.1000000000000001</v>
      </c>
      <c r="EI22" s="33"/>
      <c r="EJ22" s="13">
        <f t="shared" si="789"/>
        <v>9.9999999999999867E-2</v>
      </c>
      <c r="EK22" s="15"/>
      <c r="EL22" s="15"/>
      <c r="EN22" s="15">
        <v>0.8</v>
      </c>
      <c r="EO22" s="33"/>
      <c r="EP22" s="13">
        <f t="shared" si="790"/>
        <v>0.30000000000000004</v>
      </c>
      <c r="EQ22" s="15"/>
      <c r="ER22" s="15"/>
      <c r="ET22" s="15">
        <v>0.8</v>
      </c>
      <c r="EU22" s="33"/>
      <c r="EV22" s="13">
        <f t="shared" si="791"/>
        <v>0</v>
      </c>
      <c r="EW22" s="15"/>
      <c r="EX22" s="15"/>
      <c r="EZ22" s="15">
        <v>0.8</v>
      </c>
      <c r="FA22" s="33"/>
      <c r="FB22" s="14">
        <f t="shared" si="792"/>
        <v>0</v>
      </c>
      <c r="FC22" s="15"/>
      <c r="FD22" s="15"/>
      <c r="FF22" s="15">
        <v>0.6</v>
      </c>
      <c r="FG22" s="33"/>
      <c r="FH22" s="14">
        <f t="shared" si="614"/>
        <v>0.20000000000000007</v>
      </c>
      <c r="FI22" s="15"/>
      <c r="FJ22" s="15"/>
      <c r="FL22" s="15"/>
      <c r="FM22" s="33"/>
      <c r="FN22" s="14">
        <f t="shared" si="615"/>
        <v>0.6</v>
      </c>
      <c r="FO22" s="15"/>
      <c r="FP22" s="15"/>
      <c r="FR22" s="15">
        <v>0.8</v>
      </c>
      <c r="FS22" s="33"/>
      <c r="FT22" s="14">
        <f t="shared" si="616"/>
        <v>-0.8</v>
      </c>
      <c r="FU22" s="15"/>
      <c r="FV22" s="15"/>
      <c r="FX22" s="15">
        <v>0.6</v>
      </c>
      <c r="FY22" s="33"/>
      <c r="FZ22" s="14">
        <f t="shared" si="617"/>
        <v>0.20000000000000007</v>
      </c>
      <c r="GA22" s="15"/>
      <c r="GB22" s="15"/>
      <c r="GD22" s="15">
        <v>1.4</v>
      </c>
      <c r="GE22" s="33"/>
      <c r="GF22" s="14">
        <f t="shared" si="618"/>
        <v>-0.79999999999999993</v>
      </c>
      <c r="GG22" s="15"/>
      <c r="GH22" s="15"/>
      <c r="GJ22" s="15">
        <v>0.4</v>
      </c>
      <c r="GK22" s="33">
        <v>1</v>
      </c>
      <c r="GL22" s="14">
        <f t="shared" si="619"/>
        <v>0.99999999999999989</v>
      </c>
      <c r="GM22" s="15"/>
      <c r="GN22" s="15"/>
      <c r="GP22" s="15">
        <v>1.2</v>
      </c>
      <c r="GQ22" s="33"/>
      <c r="GR22" s="14">
        <f t="shared" si="620"/>
        <v>0.19999999999999996</v>
      </c>
      <c r="GS22" s="15"/>
      <c r="GT22" s="15"/>
      <c r="GV22" s="15">
        <v>1.2</v>
      </c>
      <c r="GW22" s="33"/>
      <c r="GX22" s="14">
        <f t="shared" si="621"/>
        <v>0</v>
      </c>
      <c r="GY22" s="15"/>
      <c r="GZ22" s="15"/>
      <c r="HB22" s="15">
        <v>1.1000000000000001</v>
      </c>
      <c r="HC22" s="33"/>
      <c r="HD22" s="14">
        <f t="shared" si="622"/>
        <v>9.9999999999999867E-2</v>
      </c>
      <c r="HE22" s="15"/>
      <c r="HF22" s="15"/>
      <c r="HH22" s="15">
        <v>0.8</v>
      </c>
      <c r="HI22" s="33"/>
      <c r="HJ22" s="14">
        <f t="shared" si="623"/>
        <v>0.30000000000000004</v>
      </c>
      <c r="HK22" s="15"/>
      <c r="HL22" s="15"/>
      <c r="HN22" s="15">
        <v>0.7</v>
      </c>
      <c r="HO22" s="33"/>
      <c r="HP22" s="14">
        <f t="shared" si="624"/>
        <v>0.10000000000000009</v>
      </c>
      <c r="HQ22" s="15"/>
      <c r="HR22" s="15"/>
      <c r="HT22" s="15">
        <v>0.8</v>
      </c>
      <c r="HU22" s="33"/>
      <c r="HV22" s="14">
        <f t="shared" si="625"/>
        <v>-0.10000000000000009</v>
      </c>
      <c r="HW22" s="15"/>
      <c r="HX22" s="15"/>
      <c r="HZ22" s="15">
        <v>0.6</v>
      </c>
      <c r="IA22" s="33"/>
      <c r="IB22" s="14">
        <f t="shared" si="626"/>
        <v>0.20000000000000007</v>
      </c>
      <c r="IC22" s="15"/>
      <c r="ID22" s="15"/>
      <c r="IF22" s="15">
        <v>0.6</v>
      </c>
      <c r="IG22" s="33">
        <v>1</v>
      </c>
      <c r="IH22" s="14">
        <f t="shared" si="627"/>
        <v>0</v>
      </c>
      <c r="II22" s="15"/>
      <c r="IJ22" s="15"/>
      <c r="IL22" s="15">
        <v>1.6</v>
      </c>
      <c r="IM22" s="33"/>
      <c r="IN22" s="14">
        <f t="shared" si="628"/>
        <v>0</v>
      </c>
      <c r="IO22" s="15"/>
      <c r="IP22" s="15"/>
      <c r="IR22" s="15">
        <v>1.4</v>
      </c>
      <c r="IS22" s="33"/>
      <c r="IT22" s="14">
        <f t="shared" si="629"/>
        <v>0.20000000000000018</v>
      </c>
      <c r="IU22" s="15"/>
      <c r="IV22" s="15"/>
      <c r="IX22" s="15">
        <v>1.4</v>
      </c>
      <c r="IY22" s="33"/>
      <c r="IZ22" s="14">
        <f t="shared" si="630"/>
        <v>0</v>
      </c>
      <c r="JA22" s="15"/>
      <c r="JB22" s="15"/>
      <c r="JD22" s="15">
        <v>1.2</v>
      </c>
      <c r="JE22" s="33"/>
      <c r="JF22" s="14">
        <f t="shared" si="631"/>
        <v>0.19999999999999996</v>
      </c>
      <c r="JG22" s="15"/>
      <c r="JH22" s="15"/>
      <c r="JJ22" s="15">
        <v>1.1000000000000001</v>
      </c>
      <c r="JK22" s="33"/>
      <c r="JL22" s="14">
        <f t="shared" si="632"/>
        <v>9.9999999999999867E-2</v>
      </c>
      <c r="JM22" s="15"/>
      <c r="JN22" s="15"/>
      <c r="JP22" s="15">
        <v>0.8</v>
      </c>
      <c r="JQ22" s="33">
        <v>1</v>
      </c>
      <c r="JR22" s="14">
        <f t="shared" si="633"/>
        <v>0.30000000000000004</v>
      </c>
      <c r="JS22" s="15"/>
      <c r="JT22" s="15"/>
      <c r="JV22" s="15">
        <v>1.9</v>
      </c>
      <c r="JW22" s="33"/>
      <c r="JX22" s="14">
        <f t="shared" si="634"/>
        <v>-9.9999999999999867E-2</v>
      </c>
      <c r="JY22" s="15"/>
      <c r="JZ22" s="15"/>
      <c r="KB22" s="15">
        <v>1.8</v>
      </c>
      <c r="KC22" s="33"/>
      <c r="KD22" s="14">
        <f t="shared" si="635"/>
        <v>9.9999999999999867E-2</v>
      </c>
      <c r="KE22" s="15"/>
      <c r="KF22" s="15"/>
      <c r="KH22" s="15">
        <v>1.6</v>
      </c>
      <c r="KI22" s="33"/>
      <c r="KJ22" s="14">
        <f t="shared" si="636"/>
        <v>0.19999999999999996</v>
      </c>
      <c r="KK22" s="15"/>
      <c r="KL22" s="15"/>
      <c r="KN22" s="15">
        <v>1.4</v>
      </c>
      <c r="KO22" s="33"/>
      <c r="KP22" s="14">
        <f t="shared" si="637"/>
        <v>0.20000000000000018</v>
      </c>
      <c r="KQ22" s="15"/>
      <c r="KR22" s="15"/>
      <c r="KT22" s="15">
        <v>1.2</v>
      </c>
      <c r="KU22" s="33"/>
      <c r="KV22" s="14">
        <f t="shared" si="638"/>
        <v>0.19999999999999996</v>
      </c>
      <c r="KW22" s="15"/>
      <c r="KX22" s="15"/>
      <c r="KZ22" s="15">
        <v>1.2</v>
      </c>
      <c r="LA22" s="33"/>
      <c r="LB22" s="14">
        <f t="shared" si="639"/>
        <v>0</v>
      </c>
      <c r="LC22" s="15"/>
      <c r="LD22" s="15"/>
      <c r="LF22" s="15">
        <v>0.9</v>
      </c>
      <c r="LG22" s="33"/>
      <c r="LH22" s="14">
        <f t="shared" si="640"/>
        <v>0.29999999999999993</v>
      </c>
      <c r="LI22" s="15"/>
      <c r="LJ22" s="15"/>
      <c r="LL22" s="15">
        <v>0.9</v>
      </c>
      <c r="LM22" s="33"/>
      <c r="LN22" s="14">
        <f t="shared" si="641"/>
        <v>0</v>
      </c>
      <c r="LO22" s="15"/>
      <c r="LP22" s="15"/>
      <c r="LR22" s="15">
        <v>0.9</v>
      </c>
      <c r="LS22" s="33"/>
      <c r="LT22" s="14">
        <f t="shared" si="642"/>
        <v>0</v>
      </c>
      <c r="LU22" s="15"/>
      <c r="LV22" s="15"/>
      <c r="LX22" s="15">
        <v>0.8</v>
      </c>
      <c r="LY22" s="33">
        <v>1</v>
      </c>
      <c r="LZ22" s="14">
        <f t="shared" si="643"/>
        <v>9.9999999999999978E-2</v>
      </c>
      <c r="MA22" s="15"/>
      <c r="MB22" s="15"/>
      <c r="MD22" s="15">
        <v>1.6</v>
      </c>
      <c r="ME22" s="33"/>
      <c r="MF22" s="14">
        <f t="shared" si="644"/>
        <v>0.19999999999999996</v>
      </c>
      <c r="MG22" s="15"/>
      <c r="MH22" s="15"/>
      <c r="MJ22" s="15">
        <v>1.4</v>
      </c>
      <c r="MK22" s="33"/>
      <c r="ML22" s="14">
        <f t="shared" si="645"/>
        <v>0.20000000000000018</v>
      </c>
      <c r="MM22" s="15"/>
      <c r="MN22" s="15"/>
      <c r="MP22" s="15">
        <v>1</v>
      </c>
      <c r="MQ22" s="33">
        <v>1</v>
      </c>
      <c r="MR22" s="14">
        <f t="shared" si="646"/>
        <v>0.39999999999999991</v>
      </c>
      <c r="MS22" s="15"/>
      <c r="MT22" s="15"/>
      <c r="MV22" s="15">
        <v>1.9</v>
      </c>
      <c r="MW22" s="33"/>
      <c r="MX22" s="14">
        <f t="shared" si="647"/>
        <v>0.10000000000000009</v>
      </c>
      <c r="MY22" s="15"/>
      <c r="MZ22" s="15"/>
      <c r="NB22" s="15">
        <v>1.8</v>
      </c>
      <c r="NC22" s="33"/>
      <c r="ND22" s="14">
        <f t="shared" si="648"/>
        <v>9.9999999999999867E-2</v>
      </c>
      <c r="NE22" s="15"/>
      <c r="NF22" s="15"/>
      <c r="NH22" s="15">
        <v>1.8</v>
      </c>
      <c r="NI22" s="33"/>
      <c r="NJ22" s="14">
        <f t="shared" si="649"/>
        <v>0</v>
      </c>
      <c r="NK22" s="15"/>
      <c r="NL22" s="15"/>
      <c r="NN22" s="15">
        <v>1.6</v>
      </c>
      <c r="NO22" s="33"/>
      <c r="NP22" s="14">
        <f t="shared" si="650"/>
        <v>0.19999999999999996</v>
      </c>
      <c r="NQ22" s="15"/>
      <c r="NR22" s="15"/>
      <c r="NT22" s="15">
        <v>1.5</v>
      </c>
      <c r="NU22" s="33"/>
      <c r="NV22" s="14">
        <f t="shared" si="651"/>
        <v>0.10000000000000009</v>
      </c>
      <c r="NW22" s="15"/>
      <c r="NX22" s="15"/>
      <c r="NZ22" s="15">
        <v>1</v>
      </c>
      <c r="OA22" s="33"/>
      <c r="OB22" s="14">
        <f t="shared" si="652"/>
        <v>0.5</v>
      </c>
      <c r="OC22" s="15"/>
      <c r="OD22" s="15"/>
      <c r="OF22" s="15">
        <v>0.9</v>
      </c>
      <c r="OG22" s="33">
        <v>1</v>
      </c>
      <c r="OH22" s="14">
        <f t="shared" si="653"/>
        <v>9.9999999999999978E-2</v>
      </c>
      <c r="OI22" s="15"/>
      <c r="OJ22" s="15"/>
      <c r="OL22" s="15">
        <v>0.8</v>
      </c>
      <c r="OM22" s="33">
        <v>1</v>
      </c>
      <c r="ON22" s="14">
        <f t="shared" si="654"/>
        <v>1.0999999999999999</v>
      </c>
      <c r="OO22" s="15"/>
      <c r="OP22" s="15"/>
      <c r="OR22" s="15">
        <v>2.8</v>
      </c>
      <c r="OS22" s="33"/>
      <c r="OT22" s="14">
        <f t="shared" si="655"/>
        <v>-0.99999999999999978</v>
      </c>
      <c r="OU22" s="15"/>
      <c r="OV22" s="15"/>
      <c r="OX22" s="15">
        <v>2.6</v>
      </c>
      <c r="OY22" s="33"/>
      <c r="OZ22" s="14">
        <f t="shared" si="656"/>
        <v>0.19999999999999973</v>
      </c>
      <c r="PA22" s="15"/>
      <c r="PB22" s="15"/>
      <c r="PD22" s="15">
        <v>2.4</v>
      </c>
      <c r="PE22" s="33"/>
      <c r="PF22" s="14">
        <f t="shared" si="657"/>
        <v>0.20000000000000018</v>
      </c>
      <c r="PG22" s="15"/>
      <c r="PH22" s="15"/>
      <c r="PJ22" s="15">
        <v>1.8</v>
      </c>
      <c r="PK22" s="33"/>
      <c r="PL22" s="14">
        <f t="shared" si="658"/>
        <v>0.59999999999999987</v>
      </c>
      <c r="PM22" s="15"/>
      <c r="PN22" s="15"/>
      <c r="PP22" s="15">
        <v>1.8</v>
      </c>
      <c r="PQ22" s="33"/>
      <c r="PR22" s="14">
        <f t="shared" si="659"/>
        <v>0</v>
      </c>
      <c r="PS22" s="15"/>
      <c r="PT22" s="15"/>
      <c r="PV22" s="15">
        <v>1.8</v>
      </c>
      <c r="PW22" s="33"/>
      <c r="PX22" s="14">
        <f t="shared" si="660"/>
        <v>0</v>
      </c>
      <c r="PY22" s="15"/>
      <c r="PZ22" s="15"/>
      <c r="QB22" s="15">
        <v>1.5</v>
      </c>
      <c r="QC22" s="33"/>
      <c r="QD22" s="14">
        <f t="shared" si="661"/>
        <v>0.30000000000000004</v>
      </c>
      <c r="QE22" s="15"/>
      <c r="QF22" s="15"/>
      <c r="QH22" s="15">
        <v>1.3</v>
      </c>
      <c r="QI22" s="33"/>
      <c r="QJ22" s="14">
        <f t="shared" si="662"/>
        <v>0.19999999999999996</v>
      </c>
      <c r="QK22" s="15"/>
      <c r="QL22" s="15"/>
      <c r="QN22" s="15">
        <v>1.1000000000000001</v>
      </c>
      <c r="QO22" s="33"/>
      <c r="QP22" s="14">
        <f t="shared" si="663"/>
        <v>0.19999999999999996</v>
      </c>
      <c r="QQ22" s="15"/>
      <c r="QR22" s="15"/>
      <c r="QT22" s="15">
        <v>0.9</v>
      </c>
      <c r="QU22" s="33"/>
      <c r="QV22" s="14">
        <f t="shared" si="664"/>
        <v>0.20000000000000007</v>
      </c>
      <c r="QW22" s="15"/>
      <c r="QX22" s="15"/>
      <c r="QZ22" s="15">
        <v>0.8</v>
      </c>
      <c r="RA22" s="33"/>
      <c r="RB22" s="14">
        <f t="shared" si="665"/>
        <v>9.9999999999999978E-2</v>
      </c>
      <c r="RC22" s="15"/>
      <c r="RD22" s="15"/>
      <c r="RF22" s="15">
        <v>0.4</v>
      </c>
      <c r="RG22" s="33">
        <v>1</v>
      </c>
      <c r="RH22" s="14">
        <f t="shared" si="666"/>
        <v>0.4</v>
      </c>
      <c r="RI22" s="15"/>
      <c r="RJ22" s="15"/>
      <c r="RL22" s="15">
        <v>1.4</v>
      </c>
      <c r="RM22" s="33"/>
      <c r="RN22" s="14">
        <f t="shared" si="667"/>
        <v>0</v>
      </c>
      <c r="RO22" s="15"/>
      <c r="RP22" s="15"/>
      <c r="RR22" s="15">
        <v>1.3</v>
      </c>
      <c r="RS22" s="33"/>
      <c r="RT22" s="14">
        <f t="shared" si="668"/>
        <v>9.9999999999999867E-2</v>
      </c>
      <c r="RU22" s="15"/>
      <c r="RV22" s="15"/>
      <c r="RX22" s="15">
        <v>1.1000000000000001</v>
      </c>
      <c r="RY22" s="33"/>
      <c r="RZ22" s="14">
        <f t="shared" si="669"/>
        <v>0.19999999999999996</v>
      </c>
      <c r="SA22" s="15"/>
      <c r="SB22" s="15"/>
      <c r="SD22" s="15">
        <v>0.9</v>
      </c>
      <c r="SE22" s="33"/>
      <c r="SF22" s="14">
        <f t="shared" si="670"/>
        <v>0.20000000000000007</v>
      </c>
      <c r="SG22" s="15"/>
      <c r="SH22" s="15"/>
      <c r="SJ22" s="15">
        <v>0.6</v>
      </c>
      <c r="SK22" s="33">
        <v>1</v>
      </c>
      <c r="SL22" s="14">
        <f t="shared" si="671"/>
        <v>0.30000000000000004</v>
      </c>
      <c r="SM22" s="15"/>
      <c r="SN22" s="15"/>
      <c r="SP22" s="15">
        <v>1.5</v>
      </c>
      <c r="SQ22" s="33"/>
      <c r="SR22" s="14">
        <f t="shared" si="672"/>
        <v>0.10000000000000009</v>
      </c>
      <c r="SS22" s="15"/>
      <c r="ST22" s="15"/>
      <c r="SV22" s="15">
        <v>1.1000000000000001</v>
      </c>
      <c r="SW22" s="33"/>
      <c r="SX22" s="14">
        <f t="shared" si="673"/>
        <v>0.39999999999999991</v>
      </c>
      <c r="SY22" s="15"/>
      <c r="SZ22" s="15"/>
      <c r="TB22" s="15">
        <v>0.9</v>
      </c>
      <c r="TC22" s="33"/>
      <c r="TD22" s="14">
        <f t="shared" si="674"/>
        <v>0.20000000000000007</v>
      </c>
      <c r="TE22" s="15"/>
      <c r="TF22" s="15"/>
      <c r="TH22" s="15">
        <v>0.8</v>
      </c>
      <c r="TI22" s="33"/>
      <c r="TJ22" s="14">
        <f t="shared" si="675"/>
        <v>9.9999999999999978E-2</v>
      </c>
      <c r="TK22" s="15"/>
      <c r="TL22" s="15"/>
      <c r="TN22" s="15">
        <v>0.3</v>
      </c>
      <c r="TO22" s="33">
        <v>1</v>
      </c>
      <c r="TP22" s="14">
        <f t="shared" si="676"/>
        <v>0.5</v>
      </c>
      <c r="TQ22" s="15"/>
      <c r="TR22" s="15"/>
      <c r="TT22" s="15">
        <v>1.1000000000000001</v>
      </c>
      <c r="TU22" s="33"/>
      <c r="TV22" s="14">
        <f t="shared" si="677"/>
        <v>0.19999999999999996</v>
      </c>
      <c r="TW22" s="15"/>
      <c r="TX22" s="15"/>
      <c r="TZ22" s="15">
        <v>1.1000000000000001</v>
      </c>
      <c r="UA22" s="33"/>
      <c r="UB22" s="14">
        <f t="shared" si="678"/>
        <v>0</v>
      </c>
      <c r="UC22" s="15"/>
      <c r="UD22" s="15"/>
      <c r="UF22" s="15">
        <v>0.9</v>
      </c>
      <c r="UG22" s="33"/>
      <c r="UH22" s="14">
        <f t="shared" si="679"/>
        <v>0.20000000000000007</v>
      </c>
      <c r="UI22" s="15"/>
      <c r="UJ22" s="15"/>
      <c r="UL22" s="15">
        <v>0.8</v>
      </c>
      <c r="UM22" s="33"/>
      <c r="UN22" s="14">
        <f t="shared" si="680"/>
        <v>9.9999999999999978E-2</v>
      </c>
      <c r="UO22" s="15"/>
      <c r="UP22" s="15"/>
      <c r="UR22" s="15">
        <v>1.7</v>
      </c>
      <c r="US22" s="33"/>
      <c r="UT22" s="14">
        <f t="shared" si="681"/>
        <v>-0.89999999999999991</v>
      </c>
      <c r="UU22" s="15"/>
      <c r="UV22" s="15"/>
      <c r="UX22" s="15">
        <v>1.5</v>
      </c>
      <c r="UY22" s="33"/>
      <c r="UZ22" s="14">
        <f t="shared" si="682"/>
        <v>0.19999999999999996</v>
      </c>
      <c r="VA22" s="15"/>
      <c r="VB22" s="15"/>
      <c r="VD22" s="15">
        <v>1.2</v>
      </c>
      <c r="VE22" s="33"/>
      <c r="VF22" s="14">
        <f t="shared" si="683"/>
        <v>0.30000000000000004</v>
      </c>
      <c r="VG22" s="15"/>
      <c r="VH22" s="15"/>
      <c r="VJ22" s="15">
        <v>0.9</v>
      </c>
      <c r="VK22" s="33"/>
      <c r="VL22" s="14">
        <f t="shared" si="684"/>
        <v>0.29999999999999993</v>
      </c>
      <c r="VM22" s="15"/>
      <c r="VN22" s="15"/>
      <c r="VP22" s="15">
        <v>0.6</v>
      </c>
      <c r="VQ22" s="33">
        <v>1</v>
      </c>
      <c r="VR22" s="14">
        <f t="shared" si="685"/>
        <v>0.30000000000000004</v>
      </c>
      <c r="VS22" s="15"/>
      <c r="VT22" s="15"/>
      <c r="VV22" s="15">
        <v>0.3</v>
      </c>
      <c r="VW22" s="33">
        <v>1</v>
      </c>
      <c r="VX22" s="14">
        <f t="shared" si="686"/>
        <v>1.3</v>
      </c>
      <c r="VY22" s="15"/>
      <c r="VZ22" s="15"/>
      <c r="WB22" s="15">
        <v>1.6</v>
      </c>
      <c r="WC22" s="33"/>
      <c r="WD22" s="14">
        <f t="shared" si="687"/>
        <v>-0.30000000000000004</v>
      </c>
      <c r="WE22" s="15"/>
      <c r="WF22" s="15"/>
      <c r="WH22" s="15">
        <v>0.9</v>
      </c>
      <c r="WI22" s="33"/>
      <c r="WJ22" s="14">
        <f t="shared" si="688"/>
        <v>0.70000000000000007</v>
      </c>
      <c r="WK22" s="15"/>
      <c r="WL22" s="15"/>
      <c r="WN22" s="15">
        <v>0.8</v>
      </c>
      <c r="WO22" s="33"/>
      <c r="WP22" s="14">
        <f t="shared" si="689"/>
        <v>9.9999999999999978E-2</v>
      </c>
      <c r="WQ22" s="15"/>
      <c r="WR22" s="15"/>
      <c r="WT22" s="15">
        <v>0.6</v>
      </c>
      <c r="WU22" s="33">
        <v>1</v>
      </c>
      <c r="WV22" s="14">
        <f t="shared" si="690"/>
        <v>0.20000000000000007</v>
      </c>
      <c r="WW22" s="15"/>
      <c r="WX22" s="15"/>
      <c r="WZ22" s="15">
        <v>1.5</v>
      </c>
      <c r="XA22" s="33"/>
      <c r="XB22" s="14">
        <f t="shared" si="691"/>
        <v>0.10000000000000009</v>
      </c>
      <c r="XC22" s="15"/>
      <c r="XD22" s="15"/>
      <c r="XF22" s="15">
        <v>1.4</v>
      </c>
      <c r="XG22" s="33"/>
      <c r="XH22" s="14">
        <f t="shared" si="692"/>
        <v>0.10000000000000009</v>
      </c>
      <c r="XI22" s="15"/>
      <c r="XJ22" s="15"/>
      <c r="XL22" s="15">
        <v>1.2</v>
      </c>
      <c r="XM22" s="33"/>
      <c r="XN22" s="14">
        <f t="shared" si="693"/>
        <v>0.19999999999999996</v>
      </c>
      <c r="XO22" s="15"/>
      <c r="XP22" s="15"/>
      <c r="XR22" s="15">
        <v>1.1000000000000001</v>
      </c>
      <c r="XS22" s="33"/>
      <c r="XT22" s="14">
        <f t="shared" si="694"/>
        <v>9.9999999999999867E-2</v>
      </c>
      <c r="XU22" s="15"/>
      <c r="XV22" s="15"/>
      <c r="XX22" s="15">
        <v>0.9</v>
      </c>
      <c r="XY22" s="33"/>
      <c r="XZ22" s="14">
        <f t="shared" si="695"/>
        <v>0.20000000000000007</v>
      </c>
      <c r="YA22" s="15"/>
      <c r="YB22" s="15"/>
      <c r="YD22" s="15">
        <v>0.6</v>
      </c>
      <c r="YE22" s="33">
        <v>1</v>
      </c>
      <c r="YF22" s="14">
        <f t="shared" si="696"/>
        <v>0.30000000000000004</v>
      </c>
      <c r="YG22" s="15"/>
      <c r="YH22" s="15"/>
      <c r="YJ22" s="15">
        <v>0.5</v>
      </c>
      <c r="YK22" s="33">
        <v>1</v>
      </c>
      <c r="YL22" s="14">
        <f t="shared" si="697"/>
        <v>1.1000000000000001</v>
      </c>
      <c r="YM22" s="15"/>
      <c r="YN22" s="15"/>
      <c r="YP22" s="15">
        <v>1.3</v>
      </c>
      <c r="YQ22" s="33"/>
      <c r="YR22" s="14">
        <f t="shared" si="698"/>
        <v>0.19999999999999996</v>
      </c>
      <c r="YS22" s="15"/>
      <c r="YT22" s="15"/>
      <c r="YV22" s="15">
        <v>0.1</v>
      </c>
      <c r="YW22" s="33"/>
      <c r="YX22" s="14">
        <f t="shared" si="699"/>
        <v>1.2</v>
      </c>
      <c r="YY22" s="15"/>
      <c r="YZ22" s="15"/>
      <c r="ZB22" s="15">
        <v>1.2</v>
      </c>
      <c r="ZC22" s="33"/>
      <c r="ZD22" s="14">
        <f t="shared" si="700"/>
        <v>-1.0999999999999999</v>
      </c>
      <c r="ZE22" s="15"/>
      <c r="ZF22" s="15"/>
      <c r="ZH22" s="15">
        <v>0.5</v>
      </c>
      <c r="ZI22" s="33"/>
      <c r="ZJ22" s="14">
        <f t="shared" si="701"/>
        <v>0.7</v>
      </c>
      <c r="ZK22" s="15"/>
      <c r="ZL22" s="15"/>
      <c r="ZN22" s="15">
        <v>0.8</v>
      </c>
      <c r="ZO22" s="33"/>
      <c r="ZP22" s="14">
        <f t="shared" si="702"/>
        <v>-0.30000000000000004</v>
      </c>
      <c r="ZQ22" s="15"/>
      <c r="ZR22" s="15"/>
      <c r="ZT22" s="15">
        <v>0.8</v>
      </c>
      <c r="ZU22" s="33"/>
      <c r="ZV22" s="14">
        <f t="shared" si="703"/>
        <v>0</v>
      </c>
      <c r="ZW22" s="15"/>
      <c r="ZX22" s="15"/>
      <c r="ZZ22" s="15">
        <v>0.5</v>
      </c>
      <c r="AAA22" s="33">
        <v>1</v>
      </c>
      <c r="AAB22" s="14">
        <f t="shared" si="704"/>
        <v>0.30000000000000004</v>
      </c>
      <c r="AAC22" s="15"/>
      <c r="AAD22" s="15"/>
      <c r="AAF22" s="15">
        <v>1.2</v>
      </c>
      <c r="AAG22" s="33"/>
      <c r="AAH22" s="14">
        <f t="shared" si="705"/>
        <v>0.30000000000000004</v>
      </c>
      <c r="AAI22" s="15"/>
      <c r="AAJ22" s="15"/>
      <c r="AAL22" s="15">
        <v>1.1000000000000001</v>
      </c>
      <c r="AAM22" s="33"/>
      <c r="AAN22" s="14">
        <f t="shared" si="706"/>
        <v>9.9999999999999867E-2</v>
      </c>
      <c r="AAO22" s="15"/>
      <c r="AAP22" s="15"/>
      <c r="AAR22" s="15">
        <v>0.8</v>
      </c>
      <c r="AAS22" s="33"/>
      <c r="AAT22" s="14">
        <f t="shared" si="707"/>
        <v>0.30000000000000004</v>
      </c>
      <c r="AAU22" s="15"/>
      <c r="AAV22" s="15"/>
      <c r="AAX22" s="15">
        <v>0.7</v>
      </c>
      <c r="AAY22" s="33"/>
      <c r="AAZ22" s="14">
        <f t="shared" si="708"/>
        <v>0.10000000000000009</v>
      </c>
      <c r="ABA22" s="15"/>
      <c r="ABB22" s="15"/>
      <c r="ABD22" s="15">
        <v>0.3</v>
      </c>
      <c r="ABE22" s="33">
        <v>1</v>
      </c>
      <c r="ABF22" s="14">
        <f t="shared" si="709"/>
        <v>0.39999999999999997</v>
      </c>
      <c r="ABG22" s="15"/>
      <c r="ABH22" s="15"/>
      <c r="ABJ22" s="15">
        <v>1.3</v>
      </c>
      <c r="ABK22" s="33"/>
      <c r="ABL22" s="14">
        <f t="shared" si="710"/>
        <v>0</v>
      </c>
      <c r="ABM22" s="15"/>
      <c r="ABN22" s="15"/>
      <c r="ABP22" s="15">
        <v>1.1000000000000001</v>
      </c>
      <c r="ABQ22" s="33"/>
      <c r="ABR22" s="14">
        <f t="shared" si="711"/>
        <v>0.19999999999999996</v>
      </c>
      <c r="ABS22" s="15"/>
      <c r="ABT22" s="15"/>
      <c r="ABV22" s="15">
        <v>0.8</v>
      </c>
      <c r="ABW22" s="33"/>
      <c r="ABX22" s="14">
        <f t="shared" si="712"/>
        <v>0.30000000000000004</v>
      </c>
      <c r="ABY22" s="15"/>
      <c r="ABZ22" s="15"/>
      <c r="ACB22" s="15">
        <v>0.8</v>
      </c>
      <c r="ACC22" s="33"/>
      <c r="ACD22" s="14">
        <f t="shared" si="713"/>
        <v>0</v>
      </c>
      <c r="ACE22" s="15"/>
      <c r="ACF22" s="15"/>
      <c r="ACH22" s="15">
        <v>0.4</v>
      </c>
      <c r="ACI22" s="33"/>
      <c r="ACJ22" s="14">
        <f t="shared" si="714"/>
        <v>0.4</v>
      </c>
      <c r="ACK22" s="15"/>
      <c r="ACL22" s="15"/>
      <c r="ACN22" s="15">
        <v>0.5</v>
      </c>
      <c r="ACO22" s="33"/>
      <c r="ACP22" s="14">
        <f t="shared" si="715"/>
        <v>-9.9999999999999978E-2</v>
      </c>
      <c r="ACQ22" s="15"/>
      <c r="ACR22" s="15"/>
      <c r="ACT22" s="15">
        <v>0.3</v>
      </c>
      <c r="ACU22" s="33">
        <v>1</v>
      </c>
      <c r="ACV22" s="14">
        <f t="shared" si="716"/>
        <v>0.2</v>
      </c>
      <c r="ACW22" s="15"/>
      <c r="ACX22" s="15"/>
      <c r="ACZ22" s="15">
        <v>1.1000000000000001</v>
      </c>
      <c r="ADA22" s="33"/>
      <c r="ADB22" s="14">
        <f t="shared" si="717"/>
        <v>0.19999999999999996</v>
      </c>
      <c r="ADC22" s="15"/>
      <c r="ADD22" s="15"/>
      <c r="ADF22" s="15">
        <v>0.6</v>
      </c>
      <c r="ADG22" s="33">
        <v>1</v>
      </c>
      <c r="ADH22" s="14">
        <f t="shared" si="718"/>
        <v>0.50000000000000011</v>
      </c>
      <c r="ADI22" s="15"/>
      <c r="ADJ22" s="15"/>
      <c r="ADL22" s="15">
        <v>1.9</v>
      </c>
      <c r="ADM22" s="33"/>
      <c r="ADN22" s="14">
        <f t="shared" si="719"/>
        <v>-0.29999999999999982</v>
      </c>
      <c r="ADO22" s="15"/>
      <c r="ADP22" s="15"/>
      <c r="ADR22" s="15">
        <v>1.5</v>
      </c>
      <c r="ADS22" s="33"/>
      <c r="ADT22" s="14">
        <f t="shared" si="720"/>
        <v>0.39999999999999991</v>
      </c>
      <c r="ADU22" s="15"/>
      <c r="ADV22" s="15"/>
      <c r="ADX22" s="15">
        <v>1.5</v>
      </c>
      <c r="ADY22" s="33"/>
      <c r="ADZ22" s="14">
        <f t="shared" si="721"/>
        <v>0</v>
      </c>
      <c r="AEA22" s="15"/>
      <c r="AEB22" s="15"/>
      <c r="AED22" s="15">
        <v>1.4</v>
      </c>
      <c r="AEE22" s="33"/>
      <c r="AEF22" s="14">
        <f t="shared" si="722"/>
        <v>0.10000000000000009</v>
      </c>
      <c r="AEG22" s="15"/>
      <c r="AEH22" s="15"/>
      <c r="AEJ22" s="15">
        <v>1.3</v>
      </c>
      <c r="AEK22" s="33"/>
      <c r="AEL22" s="14">
        <f t="shared" si="723"/>
        <v>9.9999999999999867E-2</v>
      </c>
      <c r="AEM22" s="15"/>
      <c r="AEN22" s="15"/>
      <c r="AEP22" s="15">
        <v>1.2</v>
      </c>
      <c r="AEQ22" s="33"/>
      <c r="AER22" s="14">
        <f t="shared" si="724"/>
        <v>0.10000000000000009</v>
      </c>
      <c r="AES22" s="15"/>
      <c r="AET22" s="15"/>
      <c r="AEV22" s="15">
        <v>1.1000000000000001</v>
      </c>
      <c r="AEW22" s="33"/>
      <c r="AEX22" s="14">
        <f t="shared" si="725"/>
        <v>9.9999999999999867E-2</v>
      </c>
      <c r="AEY22" s="15"/>
      <c r="AEZ22" s="15"/>
      <c r="AFB22" s="15">
        <v>1.1000000000000001</v>
      </c>
      <c r="AFC22" s="33"/>
      <c r="AFD22" s="14">
        <f t="shared" si="726"/>
        <v>0</v>
      </c>
      <c r="AFE22" s="15"/>
      <c r="AFF22" s="15"/>
      <c r="AFH22" s="15">
        <v>0.9</v>
      </c>
      <c r="AFI22" s="33"/>
      <c r="AFJ22" s="14">
        <f t="shared" si="727"/>
        <v>0.20000000000000007</v>
      </c>
      <c r="AFK22" s="15"/>
      <c r="AFL22" s="15"/>
      <c r="AFN22" s="15">
        <v>0.8</v>
      </c>
      <c r="AFO22" s="33"/>
      <c r="AFP22" s="14">
        <f t="shared" si="728"/>
        <v>9.9999999999999978E-2</v>
      </c>
      <c r="AFQ22" s="15"/>
      <c r="AFR22" s="15"/>
      <c r="AFT22" s="15">
        <v>0.9</v>
      </c>
      <c r="AFU22" s="33"/>
      <c r="AFV22" s="14">
        <f t="shared" si="729"/>
        <v>-9.9999999999999978E-2</v>
      </c>
      <c r="AFW22" s="15"/>
      <c r="AFX22" s="15"/>
      <c r="AFZ22" s="15">
        <v>0.8</v>
      </c>
      <c r="AGA22" s="33">
        <v>1</v>
      </c>
      <c r="AGB22" s="14">
        <f t="shared" si="730"/>
        <v>9.9999999999999978E-2</v>
      </c>
      <c r="AGC22" s="15"/>
      <c r="AGD22" s="15"/>
      <c r="AGF22" s="15">
        <v>1.6</v>
      </c>
      <c r="AGG22" s="33"/>
      <c r="AGH22" s="14">
        <f t="shared" si="731"/>
        <v>0.19999999999999996</v>
      </c>
      <c r="AGI22" s="15"/>
      <c r="AGJ22" s="15"/>
      <c r="AGL22" s="15">
        <v>1.2</v>
      </c>
      <c r="AGM22" s="33"/>
      <c r="AGN22" s="14">
        <f t="shared" si="732"/>
        <v>0.40000000000000013</v>
      </c>
      <c r="AGO22" s="15"/>
      <c r="AGP22" s="15"/>
      <c r="AGR22" s="15">
        <v>1.3</v>
      </c>
      <c r="AGS22" s="33"/>
      <c r="AGT22" s="14">
        <f t="shared" si="733"/>
        <v>-0.10000000000000009</v>
      </c>
      <c r="AGU22" s="15"/>
      <c r="AGV22" s="15"/>
      <c r="AGX22" s="15">
        <v>1.1000000000000001</v>
      </c>
      <c r="AGY22" s="33"/>
      <c r="AGZ22" s="14">
        <f t="shared" si="734"/>
        <v>0.19999999999999996</v>
      </c>
      <c r="AHA22" s="15"/>
      <c r="AHB22" s="15"/>
      <c r="AHD22" s="15">
        <v>1.1000000000000001</v>
      </c>
      <c r="AHE22" s="33"/>
      <c r="AHF22" s="14">
        <f t="shared" si="735"/>
        <v>0</v>
      </c>
      <c r="AHG22" s="15"/>
      <c r="AHH22" s="15"/>
      <c r="AHJ22" s="15">
        <v>1.1000000000000001</v>
      </c>
      <c r="AHK22" s="33"/>
      <c r="AHL22" s="14">
        <f t="shared" si="736"/>
        <v>0</v>
      </c>
      <c r="AHM22" s="15"/>
      <c r="AHN22" s="15"/>
      <c r="AHP22" s="15">
        <v>1</v>
      </c>
      <c r="AHQ22" s="33"/>
      <c r="AHR22" s="14">
        <f t="shared" si="737"/>
        <v>0.10000000000000009</v>
      </c>
      <c r="AHS22" s="15"/>
      <c r="AHT22" s="15"/>
      <c r="AHV22" s="15">
        <v>0.8</v>
      </c>
      <c r="AHW22" s="33"/>
      <c r="AHX22" s="14">
        <f t="shared" si="738"/>
        <v>0.19999999999999996</v>
      </c>
      <c r="AHY22" s="15"/>
      <c r="AHZ22" s="15"/>
      <c r="AIB22" s="15">
        <v>0.8</v>
      </c>
      <c r="AIC22" s="33"/>
      <c r="AID22" s="14">
        <f t="shared" si="739"/>
        <v>0</v>
      </c>
      <c r="AIE22" s="15"/>
      <c r="AIF22" s="15"/>
      <c r="AIH22" s="15">
        <v>0.7</v>
      </c>
      <c r="AII22" s="33"/>
      <c r="AIJ22" s="14">
        <f t="shared" si="740"/>
        <v>0.10000000000000009</v>
      </c>
      <c r="AIK22" s="15"/>
      <c r="AIL22" s="15"/>
      <c r="AIN22" s="15">
        <v>0.7</v>
      </c>
      <c r="AIO22" s="33"/>
      <c r="AIP22" s="14">
        <f t="shared" si="741"/>
        <v>0</v>
      </c>
      <c r="AIQ22" s="15"/>
      <c r="AIR22" s="15"/>
      <c r="AIT22" s="15">
        <v>0.3</v>
      </c>
      <c r="AIU22" s="33">
        <v>1</v>
      </c>
      <c r="AIV22" s="14">
        <f t="shared" si="742"/>
        <v>0.39999999999999997</v>
      </c>
      <c r="AIW22" s="15"/>
      <c r="AIX22" s="15"/>
      <c r="AIZ22" s="15">
        <v>1.4</v>
      </c>
      <c r="AJA22" s="33"/>
      <c r="AJB22" s="14">
        <f t="shared" si="743"/>
        <v>-9.9999999999999867E-2</v>
      </c>
      <c r="AJC22" s="15"/>
      <c r="AJD22" s="15"/>
      <c r="AJF22" s="15">
        <v>0.3</v>
      </c>
      <c r="AJG22" s="33"/>
      <c r="AJH22" s="14">
        <f t="shared" si="744"/>
        <v>1.0999999999999999</v>
      </c>
      <c r="AJI22" s="15"/>
      <c r="AJJ22" s="15"/>
      <c r="AJL22" s="15">
        <v>1.3</v>
      </c>
      <c r="AJM22" s="33"/>
      <c r="AJN22" s="14">
        <f t="shared" si="745"/>
        <v>-1</v>
      </c>
      <c r="AJO22" s="15"/>
      <c r="AJP22" s="15"/>
      <c r="AJR22" s="15">
        <v>1.1000000000000001</v>
      </c>
      <c r="AJS22" s="33"/>
      <c r="AJT22" s="14">
        <f t="shared" si="746"/>
        <v>0.19999999999999996</v>
      </c>
      <c r="AJU22" s="15"/>
      <c r="AJV22" s="15"/>
      <c r="AJX22" s="15">
        <v>0.2</v>
      </c>
      <c r="AJY22" s="33"/>
      <c r="AJZ22" s="14">
        <f t="shared" si="747"/>
        <v>0.90000000000000013</v>
      </c>
      <c r="AKA22" s="15"/>
      <c r="AKB22" s="15"/>
      <c r="AKD22" s="15">
        <v>0.6</v>
      </c>
      <c r="AKE22" s="33">
        <v>1</v>
      </c>
      <c r="AKF22" s="14">
        <f t="shared" si="748"/>
        <v>-0.39999999999999997</v>
      </c>
      <c r="AKG22" s="15"/>
      <c r="AKH22" s="15"/>
      <c r="AKJ22" s="15">
        <v>1.7</v>
      </c>
      <c r="AKK22" s="33"/>
      <c r="AKL22" s="14">
        <f t="shared" si="749"/>
        <v>-9.9999999999999867E-2</v>
      </c>
      <c r="AKM22" s="15"/>
      <c r="AKN22" s="15"/>
      <c r="AKP22" s="15">
        <v>1.5</v>
      </c>
      <c r="AKQ22" s="33"/>
      <c r="AKR22" s="14">
        <f t="shared" si="750"/>
        <v>0.19999999999999996</v>
      </c>
      <c r="AKS22" s="15"/>
      <c r="AKT22" s="15"/>
      <c r="AKV22" s="15">
        <v>1.8</v>
      </c>
      <c r="AKW22" s="33"/>
      <c r="AKX22" s="14">
        <f t="shared" si="751"/>
        <v>-0.30000000000000004</v>
      </c>
      <c r="AKY22" s="15"/>
      <c r="AKZ22" s="15"/>
      <c r="ALB22" s="15">
        <v>1.5</v>
      </c>
      <c r="ALC22" s="33"/>
      <c r="ALD22" s="14">
        <f t="shared" si="752"/>
        <v>0.30000000000000004</v>
      </c>
      <c r="ALE22" s="15"/>
      <c r="ALF22" s="15"/>
      <c r="ALH22" s="15">
        <v>1.5</v>
      </c>
      <c r="ALI22" s="33"/>
      <c r="ALJ22" s="14">
        <f t="shared" si="753"/>
        <v>0</v>
      </c>
      <c r="ALK22" s="15"/>
      <c r="ALL22" s="15"/>
      <c r="ALN22" s="15">
        <v>1.4</v>
      </c>
      <c r="ALO22" s="33"/>
      <c r="ALP22" s="14">
        <f t="shared" si="754"/>
        <v>0.10000000000000009</v>
      </c>
      <c r="ALQ22" s="15"/>
      <c r="ALR22" s="15"/>
      <c r="ALT22" s="15">
        <v>1.6</v>
      </c>
      <c r="ALU22" s="33"/>
      <c r="ALV22" s="14">
        <f t="shared" si="755"/>
        <v>-0.20000000000000018</v>
      </c>
      <c r="ALW22" s="15"/>
      <c r="ALX22" s="15"/>
      <c r="ALZ22" s="15">
        <v>1.2</v>
      </c>
      <c r="AMA22" s="33"/>
      <c r="AMB22" s="14">
        <f t="shared" si="756"/>
        <v>0.40000000000000013</v>
      </c>
      <c r="AMC22" s="15"/>
      <c r="AMD22" s="15"/>
      <c r="AMF22" s="15">
        <v>0.7</v>
      </c>
      <c r="AMG22" s="33"/>
      <c r="AMH22" s="14">
        <f t="shared" si="757"/>
        <v>0.5</v>
      </c>
      <c r="AMI22" s="15"/>
      <c r="AMJ22" s="15"/>
      <c r="AML22" s="15">
        <v>0.9</v>
      </c>
      <c r="AMM22" s="33"/>
      <c r="AMN22" s="14">
        <f t="shared" si="758"/>
        <v>-0.20000000000000007</v>
      </c>
      <c r="AMO22" s="15"/>
      <c r="AMP22" s="15"/>
      <c r="AMR22" s="15">
        <v>0.8</v>
      </c>
      <c r="AMS22" s="33"/>
      <c r="AMT22" s="14">
        <f t="shared" si="759"/>
        <v>9.9999999999999978E-2</v>
      </c>
      <c r="AMU22" s="15"/>
      <c r="AMV22" s="15"/>
      <c r="AMX22" s="15">
        <v>0.4</v>
      </c>
      <c r="AMY22" s="33">
        <v>1</v>
      </c>
      <c r="AMZ22" s="14">
        <f t="shared" si="760"/>
        <v>0.4</v>
      </c>
      <c r="ANA22" s="15"/>
      <c r="ANB22" s="15"/>
      <c r="AND22" s="15">
        <v>1.4</v>
      </c>
      <c r="ANE22" s="33"/>
      <c r="ANF22" s="14">
        <f t="shared" si="761"/>
        <v>0</v>
      </c>
      <c r="ANG22" s="15"/>
      <c r="ANH22" s="15"/>
      <c r="ANJ22" s="15">
        <v>1.3</v>
      </c>
      <c r="ANK22" s="33"/>
      <c r="ANL22" s="14">
        <f t="shared" si="762"/>
        <v>9.9999999999999867E-2</v>
      </c>
      <c r="ANM22" s="15"/>
      <c r="ANN22" s="15"/>
      <c r="ANP22" s="15">
        <v>1.2</v>
      </c>
      <c r="ANQ22" s="33"/>
      <c r="ANR22" s="14">
        <f t="shared" si="763"/>
        <v>0.10000000000000009</v>
      </c>
      <c r="ANS22" s="15"/>
      <c r="ANT22" s="15"/>
      <c r="ANV22" s="15">
        <v>1.2</v>
      </c>
      <c r="ANW22" s="33"/>
      <c r="ANX22" s="14">
        <f t="shared" si="764"/>
        <v>0</v>
      </c>
      <c r="ANY22" s="15"/>
      <c r="ANZ22" s="15"/>
      <c r="AOB22" s="15"/>
      <c r="AOC22" s="33"/>
      <c r="AOD22" s="14">
        <f t="shared" si="765"/>
        <v>1.2</v>
      </c>
      <c r="AOE22" s="15"/>
      <c r="AOF22" s="15"/>
      <c r="AOH22" s="15"/>
      <c r="AOI22" s="33"/>
      <c r="AOJ22" s="14">
        <f t="shared" si="766"/>
        <v>0</v>
      </c>
      <c r="AOK22" s="15"/>
      <c r="AOL22" s="15"/>
      <c r="AON22" s="15"/>
      <c r="AOO22" s="33"/>
      <c r="AOP22" s="14">
        <f t="shared" si="767"/>
        <v>0</v>
      </c>
      <c r="AOQ22" s="15"/>
      <c r="AOR22" s="15"/>
    </row>
    <row r="23" spans="1:1024 1026:1084" x14ac:dyDescent="0.25">
      <c r="A23" s="3" t="s">
        <v>37</v>
      </c>
      <c r="B23" s="3"/>
      <c r="C23" s="5" t="s">
        <v>35</v>
      </c>
      <c r="D23" s="9">
        <v>1</v>
      </c>
      <c r="F23" s="14">
        <v>0.9</v>
      </c>
      <c r="G23" s="15"/>
      <c r="H23" s="11"/>
      <c r="I23" s="15"/>
      <c r="J23" s="15"/>
      <c r="L23" s="14">
        <v>0.8</v>
      </c>
      <c r="M23" s="15"/>
      <c r="N23" s="13">
        <f t="shared" si="768"/>
        <v>9.9999999999999978E-2</v>
      </c>
      <c r="O23" s="15"/>
      <c r="P23" s="15"/>
      <c r="R23" s="14">
        <v>0.4</v>
      </c>
      <c r="S23" s="15"/>
      <c r="T23" s="13">
        <f t="shared" si="769"/>
        <v>0.4</v>
      </c>
      <c r="U23" s="15"/>
      <c r="V23" s="15"/>
      <c r="X23" s="14">
        <v>0.5</v>
      </c>
      <c r="Y23" s="15"/>
      <c r="Z23" s="13">
        <f t="shared" si="770"/>
        <v>-9.9999999999999978E-2</v>
      </c>
      <c r="AA23" s="15"/>
      <c r="AB23" s="15"/>
      <c r="AD23" s="14">
        <v>0.1</v>
      </c>
      <c r="AE23" s="15"/>
      <c r="AF23" s="13">
        <f t="shared" si="771"/>
        <v>0.4</v>
      </c>
      <c r="AG23" s="15"/>
      <c r="AH23" s="15"/>
      <c r="AJ23" s="14">
        <v>0</v>
      </c>
      <c r="AK23" s="23">
        <v>1</v>
      </c>
      <c r="AL23" s="13">
        <f t="shared" si="772"/>
        <v>0.1</v>
      </c>
      <c r="AM23" s="15"/>
      <c r="AN23" s="15"/>
      <c r="AP23" s="14">
        <v>1</v>
      </c>
      <c r="AQ23" s="15"/>
      <c r="AR23" s="13">
        <f t="shared" si="773"/>
        <v>0</v>
      </c>
      <c r="AS23" s="15"/>
      <c r="AT23" s="15"/>
      <c r="AV23" s="14">
        <v>0.6</v>
      </c>
      <c r="AW23" s="15"/>
      <c r="AX23" s="13">
        <f t="shared" si="774"/>
        <v>0.4</v>
      </c>
      <c r="AY23" s="15"/>
      <c r="AZ23" s="15"/>
      <c r="BB23" s="14">
        <v>0.9</v>
      </c>
      <c r="BC23" s="15"/>
      <c r="BD23" s="13">
        <f t="shared" si="775"/>
        <v>-0.30000000000000004</v>
      </c>
      <c r="BE23" s="15"/>
      <c r="BF23" s="15"/>
      <c r="BH23" s="14">
        <v>0.4</v>
      </c>
      <c r="BI23" s="15"/>
      <c r="BJ23" s="13">
        <f t="shared" si="776"/>
        <v>0.5</v>
      </c>
      <c r="BK23" s="15"/>
      <c r="BL23" s="15"/>
      <c r="BN23" s="14">
        <v>0.4</v>
      </c>
      <c r="BO23" s="15"/>
      <c r="BP23" s="13">
        <f t="shared" si="777"/>
        <v>0</v>
      </c>
      <c r="BQ23" s="15"/>
      <c r="BR23" s="15"/>
      <c r="BT23" s="14">
        <v>0.1</v>
      </c>
      <c r="BU23" s="15"/>
      <c r="BV23" s="13">
        <f t="shared" si="778"/>
        <v>0.30000000000000004</v>
      </c>
      <c r="BW23" s="15"/>
      <c r="BX23" s="15"/>
      <c r="BZ23" s="14">
        <v>0.1</v>
      </c>
      <c r="CA23" s="15">
        <v>1</v>
      </c>
      <c r="CB23" s="13">
        <f t="shared" si="779"/>
        <v>0</v>
      </c>
      <c r="CC23" s="15"/>
      <c r="CD23" s="15"/>
      <c r="CF23" s="14">
        <v>0</v>
      </c>
      <c r="CG23" s="15">
        <v>1</v>
      </c>
      <c r="CH23" s="13">
        <f t="shared" si="780"/>
        <v>1.1000000000000001</v>
      </c>
      <c r="CI23" s="15"/>
      <c r="CJ23" s="15"/>
      <c r="CL23" s="14">
        <v>0.8</v>
      </c>
      <c r="CM23" s="15"/>
      <c r="CN23" s="13">
        <f t="shared" si="781"/>
        <v>0.19999999999999996</v>
      </c>
      <c r="CO23" s="15"/>
      <c r="CP23" s="15"/>
      <c r="CR23" s="14">
        <v>0.8</v>
      </c>
      <c r="CS23" s="15"/>
      <c r="CT23" s="13">
        <f t="shared" si="782"/>
        <v>0</v>
      </c>
      <c r="CU23" s="15"/>
      <c r="CV23" s="15"/>
      <c r="CX23" s="14">
        <v>0.6</v>
      </c>
      <c r="CY23" s="33"/>
      <c r="CZ23" s="13">
        <f t="shared" si="783"/>
        <v>0.20000000000000007</v>
      </c>
      <c r="DA23" s="15"/>
      <c r="DB23" s="15"/>
      <c r="DD23" s="14">
        <v>0.4</v>
      </c>
      <c r="DE23" s="33">
        <v>1</v>
      </c>
      <c r="DF23" s="13">
        <f t="shared" si="784"/>
        <v>0.19999999999999996</v>
      </c>
      <c r="DG23" s="15"/>
      <c r="DH23" s="15"/>
      <c r="DJ23" s="14">
        <v>1.6</v>
      </c>
      <c r="DK23" s="33"/>
      <c r="DL23" s="13">
        <f t="shared" si="785"/>
        <v>-0.20000000000000018</v>
      </c>
      <c r="DM23" s="15"/>
      <c r="DN23" s="15"/>
      <c r="DP23" s="14">
        <v>1.4</v>
      </c>
      <c r="DQ23" s="33"/>
      <c r="DR23" s="13">
        <f t="shared" si="786"/>
        <v>0.20000000000000018</v>
      </c>
      <c r="DS23" s="15"/>
      <c r="DT23" s="15"/>
      <c r="DV23" s="14">
        <v>1.4</v>
      </c>
      <c r="DW23" s="33"/>
      <c r="DX23" s="13">
        <f t="shared" si="787"/>
        <v>0</v>
      </c>
      <c r="DY23" s="15"/>
      <c r="DZ23" s="15"/>
      <c r="EB23" s="14">
        <v>1.2</v>
      </c>
      <c r="EC23" s="33"/>
      <c r="ED23" s="13">
        <f t="shared" si="788"/>
        <v>0.19999999999999996</v>
      </c>
      <c r="EE23" s="15"/>
      <c r="EF23" s="15"/>
      <c r="EH23" s="14">
        <v>1.1000000000000001</v>
      </c>
      <c r="EI23" s="33"/>
      <c r="EJ23" s="13">
        <f t="shared" si="789"/>
        <v>9.9999999999999867E-2</v>
      </c>
      <c r="EK23" s="15"/>
      <c r="EL23" s="15"/>
      <c r="EN23" s="14">
        <v>0.8</v>
      </c>
      <c r="EO23" s="33"/>
      <c r="EP23" s="13">
        <f t="shared" si="790"/>
        <v>0.30000000000000004</v>
      </c>
      <c r="EQ23" s="15"/>
      <c r="ER23" s="15"/>
      <c r="ET23" s="14">
        <v>0.8</v>
      </c>
      <c r="EU23" s="33"/>
      <c r="EV23" s="13">
        <f t="shared" si="791"/>
        <v>0</v>
      </c>
      <c r="EW23" s="15"/>
      <c r="EX23" s="15"/>
      <c r="EZ23" s="14">
        <v>0.6</v>
      </c>
      <c r="FA23" s="33"/>
      <c r="FB23" s="14">
        <f t="shared" si="792"/>
        <v>0.20000000000000007</v>
      </c>
      <c r="FC23" s="15"/>
      <c r="FD23" s="15"/>
      <c r="FF23" s="14">
        <v>0.6</v>
      </c>
      <c r="FG23" s="33"/>
      <c r="FH23" s="14">
        <f t="shared" si="614"/>
        <v>0</v>
      </c>
      <c r="FI23" s="15"/>
      <c r="FJ23" s="15"/>
      <c r="FL23" s="14"/>
      <c r="FM23" s="33">
        <v>1</v>
      </c>
      <c r="FN23" s="14">
        <f t="shared" si="615"/>
        <v>0.6</v>
      </c>
      <c r="FO23" s="15"/>
      <c r="FP23" s="15"/>
      <c r="FR23" s="14">
        <v>1.5</v>
      </c>
      <c r="FS23" s="33"/>
      <c r="FT23" s="14">
        <f t="shared" si="616"/>
        <v>-0.5</v>
      </c>
      <c r="FU23" s="15"/>
      <c r="FV23" s="15"/>
      <c r="FX23" s="14">
        <v>1.4</v>
      </c>
      <c r="FY23" s="33"/>
      <c r="FZ23" s="14">
        <f t="shared" si="617"/>
        <v>0.10000000000000009</v>
      </c>
      <c r="GA23" s="15"/>
      <c r="GB23" s="15"/>
      <c r="GD23" s="14">
        <v>1.4</v>
      </c>
      <c r="GE23" s="33"/>
      <c r="GF23" s="14">
        <f t="shared" si="618"/>
        <v>0</v>
      </c>
      <c r="GG23" s="15"/>
      <c r="GH23" s="15"/>
      <c r="GJ23" s="14">
        <v>1.2</v>
      </c>
      <c r="GK23" s="33"/>
      <c r="GL23" s="14">
        <f t="shared" si="619"/>
        <v>0.19999999999999996</v>
      </c>
      <c r="GM23" s="15"/>
      <c r="GN23" s="15"/>
      <c r="GP23" s="14">
        <v>1.2</v>
      </c>
      <c r="GQ23" s="33"/>
      <c r="GR23" s="14">
        <f t="shared" si="620"/>
        <v>0</v>
      </c>
      <c r="GS23" s="15"/>
      <c r="GT23" s="15"/>
      <c r="GV23" s="14">
        <v>1.2</v>
      </c>
      <c r="GW23" s="33"/>
      <c r="GX23" s="14">
        <f t="shared" si="621"/>
        <v>0</v>
      </c>
      <c r="GY23" s="15"/>
      <c r="GZ23" s="15"/>
      <c r="HB23" s="14">
        <v>0.9</v>
      </c>
      <c r="HC23" s="33"/>
      <c r="HD23" s="14">
        <f t="shared" si="622"/>
        <v>0.29999999999999993</v>
      </c>
      <c r="HE23" s="15"/>
      <c r="HF23" s="15"/>
      <c r="HH23" s="14">
        <v>0.8</v>
      </c>
      <c r="HI23" s="33"/>
      <c r="HJ23" s="14">
        <f t="shared" si="623"/>
        <v>9.9999999999999978E-2</v>
      </c>
      <c r="HK23" s="15"/>
      <c r="HL23" s="15"/>
      <c r="HN23" s="14">
        <v>0.8</v>
      </c>
      <c r="HO23" s="33"/>
      <c r="HP23" s="14">
        <f t="shared" si="624"/>
        <v>0</v>
      </c>
      <c r="HQ23" s="15"/>
      <c r="HR23" s="15"/>
      <c r="HT23" s="14">
        <v>0.8</v>
      </c>
      <c r="HU23" s="33"/>
      <c r="HV23" s="14">
        <f t="shared" si="625"/>
        <v>0</v>
      </c>
      <c r="HW23" s="15"/>
      <c r="HX23" s="15"/>
      <c r="HZ23" s="14">
        <v>0.4</v>
      </c>
      <c r="IA23" s="33"/>
      <c r="IB23" s="14">
        <f t="shared" si="626"/>
        <v>0.4</v>
      </c>
      <c r="IC23" s="15"/>
      <c r="ID23" s="15"/>
      <c r="IF23" s="14">
        <v>0.4</v>
      </c>
      <c r="IG23" s="33">
        <v>1</v>
      </c>
      <c r="IH23" s="14">
        <f t="shared" si="627"/>
        <v>0</v>
      </c>
      <c r="II23" s="15"/>
      <c r="IJ23" s="15"/>
      <c r="IL23" s="14">
        <v>1.2</v>
      </c>
      <c r="IM23" s="33"/>
      <c r="IN23" s="14">
        <f t="shared" si="628"/>
        <v>0.19999999999999996</v>
      </c>
      <c r="IO23" s="15"/>
      <c r="IP23" s="15"/>
      <c r="IR23" s="14">
        <v>1.1000000000000001</v>
      </c>
      <c r="IS23" s="33"/>
      <c r="IT23" s="14">
        <f t="shared" si="629"/>
        <v>9.9999999999999867E-2</v>
      </c>
      <c r="IU23" s="15"/>
      <c r="IV23" s="15"/>
      <c r="IX23" s="14">
        <v>0.8</v>
      </c>
      <c r="IY23" s="33"/>
      <c r="IZ23" s="14">
        <f t="shared" si="630"/>
        <v>0.30000000000000004</v>
      </c>
      <c r="JA23" s="15"/>
      <c r="JB23" s="15"/>
      <c r="JD23" s="14">
        <v>0.8</v>
      </c>
      <c r="JE23" s="33"/>
      <c r="JF23" s="14">
        <f t="shared" si="631"/>
        <v>0</v>
      </c>
      <c r="JG23" s="15"/>
      <c r="JH23" s="15"/>
      <c r="JJ23" s="14">
        <v>0.8</v>
      </c>
      <c r="JK23" s="33"/>
      <c r="JL23" s="14">
        <f t="shared" si="632"/>
        <v>0</v>
      </c>
      <c r="JM23" s="15"/>
      <c r="JN23" s="15"/>
      <c r="JP23" s="14">
        <v>0.6</v>
      </c>
      <c r="JQ23" s="33">
        <v>1</v>
      </c>
      <c r="JR23" s="14">
        <f t="shared" si="633"/>
        <v>0.20000000000000007</v>
      </c>
      <c r="JS23" s="15"/>
      <c r="JT23" s="15"/>
      <c r="JV23" s="14">
        <v>1.3</v>
      </c>
      <c r="JW23" s="33"/>
      <c r="JX23" s="14">
        <f t="shared" si="634"/>
        <v>0.30000000000000004</v>
      </c>
      <c r="JY23" s="15"/>
      <c r="JZ23" s="15"/>
      <c r="KB23" s="14">
        <v>1</v>
      </c>
      <c r="KC23" s="33"/>
      <c r="KD23" s="14">
        <f t="shared" si="635"/>
        <v>0.30000000000000004</v>
      </c>
      <c r="KE23" s="15"/>
      <c r="KF23" s="15"/>
      <c r="KH23" s="14">
        <v>1.1000000000000001</v>
      </c>
      <c r="KI23" s="33"/>
      <c r="KJ23" s="14">
        <f t="shared" si="636"/>
        <v>-0.10000000000000009</v>
      </c>
      <c r="KK23" s="15"/>
      <c r="KL23" s="15"/>
      <c r="KN23" s="14">
        <v>0.8</v>
      </c>
      <c r="KO23" s="33">
        <v>1</v>
      </c>
      <c r="KP23" s="14">
        <f t="shared" si="637"/>
        <v>0.30000000000000004</v>
      </c>
      <c r="KQ23" s="15"/>
      <c r="KR23" s="15"/>
      <c r="KT23" s="14">
        <v>1.6</v>
      </c>
      <c r="KU23" s="33"/>
      <c r="KV23" s="14">
        <f t="shared" si="638"/>
        <v>0.19999999999999996</v>
      </c>
      <c r="KW23" s="15"/>
      <c r="KX23" s="15"/>
      <c r="KZ23" s="14">
        <v>1.6</v>
      </c>
      <c r="LA23" s="33"/>
      <c r="LB23" s="14">
        <f t="shared" si="639"/>
        <v>0</v>
      </c>
      <c r="LC23" s="15"/>
      <c r="LD23" s="15"/>
      <c r="LF23" s="14">
        <v>1.6</v>
      </c>
      <c r="LG23" s="33"/>
      <c r="LH23" s="14">
        <f t="shared" si="640"/>
        <v>0</v>
      </c>
      <c r="LI23" s="15"/>
      <c r="LJ23" s="15"/>
      <c r="LL23" s="14">
        <v>1.4</v>
      </c>
      <c r="LM23" s="33"/>
      <c r="LN23" s="14">
        <f t="shared" si="641"/>
        <v>0.20000000000000018</v>
      </c>
      <c r="LO23" s="15"/>
      <c r="LP23" s="15"/>
      <c r="LR23" s="14">
        <v>0.1</v>
      </c>
      <c r="LS23" s="33"/>
      <c r="LT23" s="14">
        <f t="shared" si="642"/>
        <v>1.2999999999999998</v>
      </c>
      <c r="LU23" s="15"/>
      <c r="LV23" s="15"/>
      <c r="LX23" s="14">
        <v>1.1000000000000001</v>
      </c>
      <c r="LY23" s="33"/>
      <c r="LZ23" s="14">
        <f t="shared" si="643"/>
        <v>-1</v>
      </c>
      <c r="MA23" s="15"/>
      <c r="MB23" s="15"/>
      <c r="MD23" s="14">
        <v>0.9</v>
      </c>
      <c r="ME23" s="33">
        <v>1</v>
      </c>
      <c r="MF23" s="14">
        <f t="shared" si="644"/>
        <v>0.20000000000000007</v>
      </c>
      <c r="MG23" s="15"/>
      <c r="MH23" s="15"/>
      <c r="MJ23" s="14">
        <v>0.8</v>
      </c>
      <c r="MK23" s="33"/>
      <c r="ML23" s="14">
        <f t="shared" si="645"/>
        <v>1.0999999999999999</v>
      </c>
      <c r="MM23" s="15"/>
      <c r="MN23" s="15"/>
      <c r="MP23" s="14">
        <v>0.6</v>
      </c>
      <c r="MQ23" s="33"/>
      <c r="MR23" s="14">
        <f t="shared" si="646"/>
        <v>0.20000000000000007</v>
      </c>
      <c r="MS23" s="15"/>
      <c r="MT23" s="15"/>
      <c r="MV23" s="14">
        <v>0.2</v>
      </c>
      <c r="MW23" s="33"/>
      <c r="MX23" s="14">
        <f t="shared" si="647"/>
        <v>0.39999999999999997</v>
      </c>
      <c r="MY23" s="15"/>
      <c r="MZ23" s="15"/>
      <c r="NB23" s="14">
        <v>0.1</v>
      </c>
      <c r="NC23" s="33">
        <v>1</v>
      </c>
      <c r="ND23" s="14">
        <f t="shared" si="648"/>
        <v>0.1</v>
      </c>
      <c r="NE23" s="15"/>
      <c r="NF23" s="15"/>
      <c r="NH23" s="14">
        <v>0.8</v>
      </c>
      <c r="NI23" s="33">
        <v>1</v>
      </c>
      <c r="NJ23" s="14">
        <f t="shared" si="649"/>
        <v>0.30000000000000004</v>
      </c>
      <c r="NK23" s="15"/>
      <c r="NL23" s="15"/>
      <c r="NN23" s="14">
        <v>1.8</v>
      </c>
      <c r="NO23" s="33"/>
      <c r="NP23" s="14">
        <f t="shared" si="650"/>
        <v>0</v>
      </c>
      <c r="NQ23" s="15"/>
      <c r="NR23" s="15"/>
      <c r="NT23" s="14">
        <v>1.8</v>
      </c>
      <c r="NU23" s="33"/>
      <c r="NV23" s="14">
        <f t="shared" si="651"/>
        <v>0</v>
      </c>
      <c r="NW23" s="15"/>
      <c r="NX23" s="15"/>
      <c r="NZ23" s="14">
        <v>1.8</v>
      </c>
      <c r="OA23" s="33"/>
      <c r="OB23" s="14">
        <f t="shared" si="652"/>
        <v>0</v>
      </c>
      <c r="OC23" s="15"/>
      <c r="OD23" s="15"/>
      <c r="OF23" s="14">
        <v>1.6</v>
      </c>
      <c r="OG23" s="33"/>
      <c r="OH23" s="14">
        <f t="shared" si="653"/>
        <v>0.19999999999999996</v>
      </c>
      <c r="OI23" s="15"/>
      <c r="OJ23" s="15"/>
      <c r="OL23" s="14">
        <v>1.4</v>
      </c>
      <c r="OM23" s="33"/>
      <c r="ON23" s="14">
        <f t="shared" si="654"/>
        <v>0.20000000000000018</v>
      </c>
      <c r="OO23" s="15"/>
      <c r="OP23" s="15"/>
      <c r="OR23" s="14">
        <v>1.2</v>
      </c>
      <c r="OS23" s="33"/>
      <c r="OT23" s="14">
        <f t="shared" si="655"/>
        <v>0.19999999999999996</v>
      </c>
      <c r="OU23" s="15"/>
      <c r="OV23" s="15"/>
      <c r="OX23" s="14">
        <v>1.1000000000000001</v>
      </c>
      <c r="OY23" s="33">
        <v>1</v>
      </c>
      <c r="OZ23" s="14">
        <f t="shared" si="656"/>
        <v>9.9999999999999867E-2</v>
      </c>
      <c r="PA23" s="15"/>
      <c r="PB23" s="15"/>
      <c r="PD23" s="14">
        <v>0.9</v>
      </c>
      <c r="PE23" s="33"/>
      <c r="PF23" s="14">
        <f t="shared" si="657"/>
        <v>1.2000000000000002</v>
      </c>
      <c r="PG23" s="15"/>
      <c r="PH23" s="15"/>
      <c r="PJ23" s="14">
        <v>0.6</v>
      </c>
      <c r="PK23" s="33"/>
      <c r="PL23" s="14">
        <f t="shared" si="658"/>
        <v>0.30000000000000004</v>
      </c>
      <c r="PM23" s="15"/>
      <c r="PN23" s="15"/>
      <c r="PP23" s="14">
        <v>0.5</v>
      </c>
      <c r="PQ23" s="33">
        <v>1</v>
      </c>
      <c r="PR23" s="14">
        <f t="shared" si="659"/>
        <v>9.9999999999999978E-2</v>
      </c>
      <c r="PS23" s="15"/>
      <c r="PT23" s="15"/>
      <c r="PV23" s="14">
        <v>1.6</v>
      </c>
      <c r="PW23" s="33"/>
      <c r="PX23" s="14">
        <f t="shared" si="660"/>
        <v>-0.10000000000000009</v>
      </c>
      <c r="PY23" s="15"/>
      <c r="PZ23" s="15"/>
      <c r="QB23" s="14">
        <v>1.3</v>
      </c>
      <c r="QC23" s="33"/>
      <c r="QD23" s="14">
        <f t="shared" si="661"/>
        <v>0.30000000000000004</v>
      </c>
      <c r="QE23" s="15"/>
      <c r="QF23" s="15"/>
      <c r="QH23" s="14">
        <v>1.2</v>
      </c>
      <c r="QI23" s="33"/>
      <c r="QJ23" s="14">
        <f t="shared" si="662"/>
        <v>0.10000000000000009</v>
      </c>
      <c r="QK23" s="15"/>
      <c r="QL23" s="15"/>
      <c r="QN23" s="14">
        <v>1.1000000000000001</v>
      </c>
      <c r="QO23" s="33"/>
      <c r="QP23" s="14">
        <f t="shared" si="663"/>
        <v>9.9999999999999867E-2</v>
      </c>
      <c r="QQ23" s="15"/>
      <c r="QR23" s="15"/>
      <c r="QT23" s="14">
        <v>0.9</v>
      </c>
      <c r="QU23" s="33">
        <v>1</v>
      </c>
      <c r="QV23" s="14">
        <f t="shared" si="664"/>
        <v>0.20000000000000007</v>
      </c>
      <c r="QW23" s="15"/>
      <c r="QX23" s="15"/>
      <c r="QZ23" s="14">
        <v>1.8</v>
      </c>
      <c r="RA23" s="33"/>
      <c r="RB23" s="14">
        <f t="shared" si="665"/>
        <v>9.9999999999999867E-2</v>
      </c>
      <c r="RC23" s="15"/>
      <c r="RD23" s="15"/>
      <c r="RF23" s="14">
        <v>1.6</v>
      </c>
      <c r="RG23" s="33"/>
      <c r="RH23" s="14">
        <f t="shared" si="666"/>
        <v>0.19999999999999996</v>
      </c>
      <c r="RI23" s="15"/>
      <c r="RJ23" s="15"/>
      <c r="RL23" s="14">
        <v>1.5</v>
      </c>
      <c r="RM23" s="33"/>
      <c r="RN23" s="14">
        <f t="shared" si="667"/>
        <v>0.10000000000000009</v>
      </c>
      <c r="RO23" s="15"/>
      <c r="RP23" s="15"/>
      <c r="RR23" s="14">
        <v>1.5</v>
      </c>
      <c r="RS23" s="33"/>
      <c r="RT23" s="14">
        <f t="shared" si="668"/>
        <v>0</v>
      </c>
      <c r="RU23" s="15"/>
      <c r="RV23" s="15"/>
      <c r="RX23" s="14">
        <v>1.4</v>
      </c>
      <c r="RY23" s="33"/>
      <c r="RZ23" s="14">
        <f t="shared" si="669"/>
        <v>0.10000000000000009</v>
      </c>
      <c r="SA23" s="15"/>
      <c r="SB23" s="15"/>
      <c r="SD23" s="14">
        <v>1.2</v>
      </c>
      <c r="SE23" s="33"/>
      <c r="SF23" s="14">
        <f t="shared" si="670"/>
        <v>0.19999999999999996</v>
      </c>
      <c r="SG23" s="15"/>
      <c r="SH23" s="15"/>
      <c r="SJ23" s="14">
        <v>1.1000000000000001</v>
      </c>
      <c r="SK23" s="33"/>
      <c r="SL23" s="14">
        <f t="shared" si="671"/>
        <v>9.9999999999999867E-2</v>
      </c>
      <c r="SM23" s="15"/>
      <c r="SN23" s="15"/>
      <c r="SP23" s="14">
        <v>0.9</v>
      </c>
      <c r="SQ23" s="33"/>
      <c r="SR23" s="14">
        <f t="shared" si="672"/>
        <v>0.20000000000000007</v>
      </c>
      <c r="SS23" s="15"/>
      <c r="ST23" s="15"/>
      <c r="SV23" s="14">
        <v>0.8</v>
      </c>
      <c r="SW23" s="33"/>
      <c r="SX23" s="14">
        <f t="shared" si="673"/>
        <v>9.9999999999999978E-2</v>
      </c>
      <c r="SY23" s="15"/>
      <c r="SZ23" s="15"/>
      <c r="TB23" s="14">
        <v>0.4</v>
      </c>
      <c r="TC23" s="33">
        <v>1</v>
      </c>
      <c r="TD23" s="14">
        <f t="shared" si="674"/>
        <v>0.4</v>
      </c>
      <c r="TE23" s="15"/>
      <c r="TF23" s="15"/>
      <c r="TH23" s="14">
        <v>1.4</v>
      </c>
      <c r="TI23" s="33"/>
      <c r="TJ23" s="14">
        <f t="shared" si="675"/>
        <v>0</v>
      </c>
      <c r="TK23" s="15"/>
      <c r="TL23" s="15"/>
      <c r="TN23" s="14">
        <v>1.2</v>
      </c>
      <c r="TO23" s="33"/>
      <c r="TP23" s="14">
        <f t="shared" si="676"/>
        <v>0.19999999999999996</v>
      </c>
      <c r="TQ23" s="15"/>
      <c r="TR23" s="15"/>
      <c r="TT23" s="14">
        <v>1.1000000000000001</v>
      </c>
      <c r="TU23" s="33"/>
      <c r="TV23" s="14">
        <f t="shared" si="677"/>
        <v>9.9999999999999867E-2</v>
      </c>
      <c r="TW23" s="15"/>
      <c r="TX23" s="15"/>
      <c r="TZ23" s="14">
        <v>0.9</v>
      </c>
      <c r="UA23" s="33">
        <v>1</v>
      </c>
      <c r="UB23" s="14">
        <f t="shared" si="678"/>
        <v>0.20000000000000007</v>
      </c>
      <c r="UC23" s="15"/>
      <c r="UD23" s="15"/>
      <c r="UF23" s="14">
        <v>0.9</v>
      </c>
      <c r="UG23" s="33"/>
      <c r="UH23" s="14">
        <f t="shared" si="679"/>
        <v>0.99999999999999989</v>
      </c>
      <c r="UI23" s="15"/>
      <c r="UJ23" s="15"/>
      <c r="UL23" s="14">
        <v>0.8</v>
      </c>
      <c r="UM23" s="33">
        <v>1</v>
      </c>
      <c r="UN23" s="14">
        <f t="shared" si="680"/>
        <v>9.9999999999999978E-2</v>
      </c>
      <c r="UO23" s="15"/>
      <c r="UP23" s="15"/>
      <c r="UR23" s="14">
        <v>1.8</v>
      </c>
      <c r="US23" s="33"/>
      <c r="UT23" s="14">
        <f t="shared" si="681"/>
        <v>0</v>
      </c>
      <c r="UU23" s="15"/>
      <c r="UV23" s="15"/>
      <c r="UX23" s="14">
        <v>1.6</v>
      </c>
      <c r="UY23" s="33"/>
      <c r="UZ23" s="14">
        <f t="shared" si="682"/>
        <v>0.19999999999999996</v>
      </c>
      <c r="VA23" s="15"/>
      <c r="VB23" s="15"/>
      <c r="VD23" s="14">
        <v>1.2</v>
      </c>
      <c r="VE23" s="33"/>
      <c r="VF23" s="14">
        <f t="shared" si="683"/>
        <v>0.40000000000000013</v>
      </c>
      <c r="VG23" s="15"/>
      <c r="VH23" s="15"/>
      <c r="VJ23" s="14">
        <v>1.1000000000000001</v>
      </c>
      <c r="VK23" s="33"/>
      <c r="VL23" s="14">
        <f t="shared" si="684"/>
        <v>9.9999999999999867E-2</v>
      </c>
      <c r="VM23" s="15"/>
      <c r="VN23" s="15"/>
      <c r="VP23" s="14">
        <v>0.8</v>
      </c>
      <c r="VQ23" s="33">
        <v>1</v>
      </c>
      <c r="VR23" s="14">
        <f t="shared" si="685"/>
        <v>0.30000000000000004</v>
      </c>
      <c r="VS23" s="15"/>
      <c r="VT23" s="15"/>
      <c r="VV23" s="14">
        <v>0.8</v>
      </c>
      <c r="VW23" s="33">
        <v>1</v>
      </c>
      <c r="VX23" s="14">
        <f t="shared" si="686"/>
        <v>1</v>
      </c>
      <c r="VY23" s="15"/>
      <c r="VZ23" s="15"/>
      <c r="WB23" s="14">
        <v>1.8</v>
      </c>
      <c r="WC23" s="33"/>
      <c r="WD23" s="14">
        <f t="shared" si="687"/>
        <v>0</v>
      </c>
      <c r="WE23" s="15"/>
      <c r="WF23" s="15"/>
      <c r="WH23" s="14">
        <v>1.7</v>
      </c>
      <c r="WI23" s="33"/>
      <c r="WJ23" s="14">
        <f t="shared" si="688"/>
        <v>0.10000000000000009</v>
      </c>
      <c r="WK23" s="15"/>
      <c r="WL23" s="15"/>
      <c r="WN23" s="14">
        <v>1.4</v>
      </c>
      <c r="WO23" s="33"/>
      <c r="WP23" s="14">
        <f t="shared" si="689"/>
        <v>0.30000000000000004</v>
      </c>
      <c r="WQ23" s="15"/>
      <c r="WR23" s="15"/>
      <c r="WT23" s="14">
        <v>1.2</v>
      </c>
      <c r="WU23" s="33"/>
      <c r="WV23" s="14">
        <f t="shared" si="690"/>
        <v>0.19999999999999996</v>
      </c>
      <c r="WW23" s="15"/>
      <c r="WX23" s="15"/>
      <c r="WZ23" s="14">
        <v>1.1000000000000001</v>
      </c>
      <c r="XA23" s="33">
        <v>1</v>
      </c>
      <c r="XB23" s="14">
        <f t="shared" si="691"/>
        <v>9.9999999999999867E-2</v>
      </c>
      <c r="XC23" s="15"/>
      <c r="XD23" s="15"/>
      <c r="XF23" s="14">
        <v>1.9</v>
      </c>
      <c r="XG23" s="33"/>
      <c r="XH23" s="14">
        <f t="shared" si="692"/>
        <v>0.20000000000000018</v>
      </c>
      <c r="XI23" s="15"/>
      <c r="XJ23" s="15"/>
      <c r="XL23" s="14">
        <v>1.8</v>
      </c>
      <c r="XM23" s="33"/>
      <c r="XN23" s="14">
        <f t="shared" si="693"/>
        <v>9.9999999999999867E-2</v>
      </c>
      <c r="XO23" s="15"/>
      <c r="XP23" s="15"/>
      <c r="XR23" s="14">
        <v>1.8</v>
      </c>
      <c r="XS23" s="33"/>
      <c r="XT23" s="14">
        <f t="shared" si="694"/>
        <v>0</v>
      </c>
      <c r="XU23" s="15"/>
      <c r="XV23" s="15"/>
      <c r="XX23" s="14">
        <v>1.7</v>
      </c>
      <c r="XY23" s="33"/>
      <c r="XZ23" s="14">
        <f t="shared" si="695"/>
        <v>0.10000000000000009</v>
      </c>
      <c r="YA23" s="15"/>
      <c r="YB23" s="15"/>
      <c r="YD23" s="14">
        <v>1.3</v>
      </c>
      <c r="YE23" s="33"/>
      <c r="YF23" s="14">
        <f t="shared" si="696"/>
        <v>0.39999999999999991</v>
      </c>
      <c r="YG23" s="15"/>
      <c r="YH23" s="15"/>
      <c r="YJ23" s="14">
        <v>1.1000000000000001</v>
      </c>
      <c r="YK23" s="33"/>
      <c r="YL23" s="14">
        <f t="shared" si="697"/>
        <v>0.19999999999999996</v>
      </c>
      <c r="YM23" s="15"/>
      <c r="YN23" s="15"/>
      <c r="YP23" s="14">
        <v>0.9</v>
      </c>
      <c r="YQ23" s="33"/>
      <c r="YR23" s="14">
        <f t="shared" si="698"/>
        <v>0.20000000000000007</v>
      </c>
      <c r="YS23" s="15"/>
      <c r="YT23" s="15"/>
      <c r="YV23" s="14">
        <v>0.8</v>
      </c>
      <c r="YW23" s="33"/>
      <c r="YX23" s="14">
        <f t="shared" si="699"/>
        <v>9.9999999999999978E-2</v>
      </c>
      <c r="YY23" s="15"/>
      <c r="YZ23" s="15"/>
      <c r="ZB23" s="14">
        <v>0.8</v>
      </c>
      <c r="ZC23" s="33"/>
      <c r="ZD23" s="14">
        <f t="shared" si="700"/>
        <v>0</v>
      </c>
      <c r="ZE23" s="15"/>
      <c r="ZF23" s="15"/>
      <c r="ZH23" s="14">
        <v>0.6</v>
      </c>
      <c r="ZI23" s="33">
        <v>1</v>
      </c>
      <c r="ZJ23" s="14">
        <f t="shared" si="701"/>
        <v>0.20000000000000007</v>
      </c>
      <c r="ZK23" s="15"/>
      <c r="ZL23" s="15"/>
      <c r="ZN23" s="14">
        <v>1.3</v>
      </c>
      <c r="ZO23" s="33"/>
      <c r="ZP23" s="14">
        <f t="shared" si="702"/>
        <v>0.30000000000000004</v>
      </c>
      <c r="ZQ23" s="15"/>
      <c r="ZR23" s="15"/>
      <c r="ZT23" s="14">
        <v>1.2</v>
      </c>
      <c r="ZU23" s="33"/>
      <c r="ZV23" s="14">
        <f t="shared" si="703"/>
        <v>0.10000000000000009</v>
      </c>
      <c r="ZW23" s="15"/>
      <c r="ZX23" s="15"/>
      <c r="ZZ23" s="14">
        <v>0.9</v>
      </c>
      <c r="AAA23" s="33"/>
      <c r="AAB23" s="14">
        <f t="shared" si="704"/>
        <v>0.29999999999999993</v>
      </c>
      <c r="AAC23" s="15"/>
      <c r="AAD23" s="15"/>
      <c r="AAF23" s="14">
        <v>0.6</v>
      </c>
      <c r="AAG23" s="33">
        <v>1</v>
      </c>
      <c r="AAH23" s="14">
        <f t="shared" si="705"/>
        <v>0.30000000000000004</v>
      </c>
      <c r="AAI23" s="15"/>
      <c r="AAJ23" s="15"/>
      <c r="AAL23" s="14">
        <v>1.7</v>
      </c>
      <c r="AAM23" s="33"/>
      <c r="AAN23" s="14">
        <f t="shared" si="706"/>
        <v>-9.9999999999999867E-2</v>
      </c>
      <c r="AAO23" s="15"/>
      <c r="AAP23" s="15"/>
      <c r="AAR23" s="14">
        <v>1.7</v>
      </c>
      <c r="AAS23" s="33"/>
      <c r="AAT23" s="14">
        <f t="shared" si="707"/>
        <v>0</v>
      </c>
      <c r="AAU23" s="15"/>
      <c r="AAV23" s="15"/>
      <c r="AAX23" s="14">
        <v>1.4</v>
      </c>
      <c r="AAY23" s="33"/>
      <c r="AAZ23" s="14">
        <f t="shared" si="708"/>
        <v>0.30000000000000004</v>
      </c>
      <c r="ABA23" s="15"/>
      <c r="ABB23" s="15"/>
      <c r="ABD23" s="14">
        <v>1.2</v>
      </c>
      <c r="ABE23" s="33"/>
      <c r="ABF23" s="14">
        <f t="shared" si="709"/>
        <v>0.19999999999999996</v>
      </c>
      <c r="ABG23" s="15"/>
      <c r="ABH23" s="15"/>
      <c r="ABJ23" s="14">
        <v>1.2</v>
      </c>
      <c r="ABK23" s="33"/>
      <c r="ABL23" s="14">
        <f t="shared" si="710"/>
        <v>0</v>
      </c>
      <c r="ABM23" s="15"/>
      <c r="ABN23" s="15"/>
      <c r="ABP23" s="14">
        <v>2</v>
      </c>
      <c r="ABQ23" s="33"/>
      <c r="ABR23" s="14">
        <f t="shared" si="711"/>
        <v>-0.8</v>
      </c>
      <c r="ABS23" s="15"/>
      <c r="ABT23" s="15"/>
      <c r="ABV23" s="14">
        <v>1.9</v>
      </c>
      <c r="ABW23" s="33"/>
      <c r="ABX23" s="14">
        <f t="shared" si="712"/>
        <v>0.10000000000000009</v>
      </c>
      <c r="ABY23" s="15"/>
      <c r="ABZ23" s="15"/>
      <c r="ACB23" s="14">
        <v>1.4</v>
      </c>
      <c r="ACC23" s="33"/>
      <c r="ACD23" s="14">
        <f t="shared" si="713"/>
        <v>0.5</v>
      </c>
      <c r="ACE23" s="15"/>
      <c r="ACF23" s="15"/>
      <c r="ACH23" s="14">
        <v>1.3</v>
      </c>
      <c r="ACI23" s="33"/>
      <c r="ACJ23" s="14">
        <f t="shared" si="714"/>
        <v>9.9999999999999867E-2</v>
      </c>
      <c r="ACK23" s="15"/>
      <c r="ACL23" s="15"/>
      <c r="ACN23" s="14">
        <v>1</v>
      </c>
      <c r="ACO23" s="33"/>
      <c r="ACP23" s="14">
        <f t="shared" si="715"/>
        <v>0.30000000000000004</v>
      </c>
      <c r="ACQ23" s="15"/>
      <c r="ACR23" s="15"/>
      <c r="ACT23" s="14">
        <v>1.1000000000000001</v>
      </c>
      <c r="ACU23" s="33"/>
      <c r="ACV23" s="14">
        <f t="shared" si="716"/>
        <v>-0.10000000000000009</v>
      </c>
      <c r="ACW23" s="15"/>
      <c r="ACX23" s="15"/>
      <c r="ACZ23" s="14">
        <v>0.8</v>
      </c>
      <c r="ADA23" s="33"/>
      <c r="ADB23" s="14">
        <f t="shared" si="717"/>
        <v>0.30000000000000004</v>
      </c>
      <c r="ADC23" s="15"/>
      <c r="ADD23" s="15"/>
      <c r="ADF23" s="14">
        <v>0.5</v>
      </c>
      <c r="ADG23" s="33">
        <v>1</v>
      </c>
      <c r="ADH23" s="14">
        <f t="shared" si="718"/>
        <v>0.30000000000000004</v>
      </c>
      <c r="ADI23" s="15"/>
      <c r="ADJ23" s="15"/>
      <c r="ADL23" s="14">
        <v>1.5</v>
      </c>
      <c r="ADM23" s="33"/>
      <c r="ADN23" s="14">
        <f t="shared" si="719"/>
        <v>0</v>
      </c>
      <c r="ADO23" s="15"/>
      <c r="ADP23" s="15"/>
      <c r="ADR23" s="14">
        <v>1.2</v>
      </c>
      <c r="ADS23" s="33"/>
      <c r="ADT23" s="14">
        <f t="shared" si="720"/>
        <v>0.30000000000000004</v>
      </c>
      <c r="ADU23" s="15"/>
      <c r="ADV23" s="15"/>
      <c r="ADX23" s="14">
        <v>1.1000000000000001</v>
      </c>
      <c r="ADY23" s="33"/>
      <c r="ADZ23" s="14">
        <f t="shared" si="721"/>
        <v>9.9999999999999867E-2</v>
      </c>
      <c r="AEA23" s="15"/>
      <c r="AEB23" s="15"/>
      <c r="AED23" s="14">
        <v>0.6</v>
      </c>
      <c r="AEE23" s="33">
        <v>1</v>
      </c>
      <c r="AEF23" s="14">
        <f t="shared" si="722"/>
        <v>0.50000000000000011</v>
      </c>
      <c r="AEG23" s="15"/>
      <c r="AEH23" s="15"/>
      <c r="AEJ23" s="14">
        <v>1.3</v>
      </c>
      <c r="AEK23" s="33"/>
      <c r="AEL23" s="14">
        <f t="shared" si="723"/>
        <v>0.30000000000000004</v>
      </c>
      <c r="AEM23" s="15"/>
      <c r="AEN23" s="15"/>
      <c r="AEP23" s="14">
        <v>1.1000000000000001</v>
      </c>
      <c r="AEQ23" s="33"/>
      <c r="AER23" s="14">
        <f t="shared" si="724"/>
        <v>0.19999999999999996</v>
      </c>
      <c r="AES23" s="15"/>
      <c r="AET23" s="15"/>
      <c r="AEV23" s="14">
        <v>0.9</v>
      </c>
      <c r="AEW23" s="33"/>
      <c r="AEX23" s="14">
        <f t="shared" si="725"/>
        <v>0.20000000000000007</v>
      </c>
      <c r="AEY23" s="15"/>
      <c r="AEZ23" s="15"/>
      <c r="AFB23" s="14">
        <v>0.5</v>
      </c>
      <c r="AFC23" s="33">
        <v>1</v>
      </c>
      <c r="AFD23" s="14">
        <f t="shared" si="726"/>
        <v>0.4</v>
      </c>
      <c r="AFE23" s="15"/>
      <c r="AFF23" s="15"/>
      <c r="AFH23" s="14">
        <v>1.4</v>
      </c>
      <c r="AFI23" s="33"/>
      <c r="AFJ23" s="14">
        <f t="shared" si="727"/>
        <v>0.10000000000000009</v>
      </c>
      <c r="AFK23" s="15"/>
      <c r="AFL23" s="15"/>
      <c r="AFN23" s="14">
        <v>1.1000000000000001</v>
      </c>
      <c r="AFO23" s="33"/>
      <c r="AFP23" s="14">
        <f t="shared" si="728"/>
        <v>0.29999999999999982</v>
      </c>
      <c r="AFQ23" s="15"/>
      <c r="AFR23" s="15"/>
      <c r="AFT23" s="14">
        <v>0.9</v>
      </c>
      <c r="AFU23" s="33"/>
      <c r="AFV23" s="14">
        <f t="shared" si="729"/>
        <v>0.20000000000000007</v>
      </c>
      <c r="AFW23" s="15"/>
      <c r="AFX23" s="15"/>
      <c r="AFZ23" s="14">
        <v>0.7</v>
      </c>
      <c r="AGA23" s="33">
        <v>1</v>
      </c>
      <c r="AGB23" s="14">
        <f t="shared" si="730"/>
        <v>0.20000000000000007</v>
      </c>
      <c r="AGC23" s="15"/>
      <c r="AGD23" s="15"/>
      <c r="AGF23" s="14">
        <v>1.5</v>
      </c>
      <c r="AGG23" s="33"/>
      <c r="AGH23" s="14">
        <f t="shared" si="731"/>
        <v>0.19999999999999996</v>
      </c>
      <c r="AGI23" s="15"/>
      <c r="AGJ23" s="15"/>
      <c r="AGL23" s="14">
        <v>1.1000000000000001</v>
      </c>
      <c r="AGM23" s="33"/>
      <c r="AGN23" s="14">
        <f t="shared" si="732"/>
        <v>0.39999999999999991</v>
      </c>
      <c r="AGO23" s="15"/>
      <c r="AGP23" s="15"/>
      <c r="AGR23" s="14">
        <v>0.8</v>
      </c>
      <c r="AGS23" s="33"/>
      <c r="AGT23" s="14">
        <f t="shared" si="733"/>
        <v>0.30000000000000004</v>
      </c>
      <c r="AGU23" s="15"/>
      <c r="AGV23" s="15"/>
      <c r="AGX23" s="14">
        <v>0.6</v>
      </c>
      <c r="AGY23" s="33">
        <v>1</v>
      </c>
      <c r="AGZ23" s="14">
        <f t="shared" si="734"/>
        <v>0.20000000000000007</v>
      </c>
      <c r="AHA23" s="15"/>
      <c r="AHB23" s="15"/>
      <c r="AHD23" s="14">
        <v>1.2</v>
      </c>
      <c r="AHE23" s="33"/>
      <c r="AHF23" s="14">
        <f t="shared" si="735"/>
        <v>0.40000000000000013</v>
      </c>
      <c r="AHG23" s="15"/>
      <c r="AHH23" s="15"/>
      <c r="AHJ23" s="14">
        <v>0.9</v>
      </c>
      <c r="AHK23" s="33"/>
      <c r="AHL23" s="14">
        <f t="shared" si="736"/>
        <v>0.29999999999999993</v>
      </c>
      <c r="AHM23" s="15"/>
      <c r="AHN23" s="15"/>
      <c r="AHP23" s="14">
        <v>0.7</v>
      </c>
      <c r="AHQ23" s="33">
        <v>1</v>
      </c>
      <c r="AHR23" s="14">
        <f t="shared" si="737"/>
        <v>0.20000000000000007</v>
      </c>
      <c r="AHS23" s="15"/>
      <c r="AHT23" s="15"/>
      <c r="AHV23" s="14">
        <v>1.3</v>
      </c>
      <c r="AHW23" s="33"/>
      <c r="AHX23" s="14">
        <f t="shared" si="738"/>
        <v>0.39999999999999991</v>
      </c>
      <c r="AHY23" s="15"/>
      <c r="AHZ23" s="15"/>
      <c r="AIB23" s="14">
        <v>0.9</v>
      </c>
      <c r="AIC23" s="33"/>
      <c r="AID23" s="14">
        <f t="shared" si="739"/>
        <v>0.4</v>
      </c>
      <c r="AIE23" s="15"/>
      <c r="AIF23" s="15"/>
      <c r="AIH23" s="14">
        <v>0.6</v>
      </c>
      <c r="AII23" s="33">
        <v>1</v>
      </c>
      <c r="AIJ23" s="14">
        <f t="shared" si="740"/>
        <v>0.30000000000000004</v>
      </c>
      <c r="AIK23" s="15"/>
      <c r="AIL23" s="15"/>
      <c r="AIN23" s="14">
        <v>1.4</v>
      </c>
      <c r="AIO23" s="33"/>
      <c r="AIP23" s="14">
        <f t="shared" si="741"/>
        <v>0.20000000000000018</v>
      </c>
      <c r="AIQ23" s="15"/>
      <c r="AIR23" s="15"/>
      <c r="AIT23" s="14">
        <v>1.2</v>
      </c>
      <c r="AIU23" s="33"/>
      <c r="AIV23" s="14">
        <f t="shared" si="742"/>
        <v>0.19999999999999996</v>
      </c>
      <c r="AIW23" s="15"/>
      <c r="AIX23" s="15"/>
      <c r="AIZ23" s="14">
        <v>0.7</v>
      </c>
      <c r="AJA23" s="33">
        <v>1</v>
      </c>
      <c r="AJB23" s="14">
        <f t="shared" si="743"/>
        <v>0.5</v>
      </c>
      <c r="AJC23" s="15"/>
      <c r="AJD23" s="15"/>
      <c r="AJF23" s="14">
        <v>1.8</v>
      </c>
      <c r="AJG23" s="33"/>
      <c r="AJH23" s="14">
        <f t="shared" si="744"/>
        <v>-0.10000000000000009</v>
      </c>
      <c r="AJI23" s="15"/>
      <c r="AJJ23" s="15"/>
      <c r="AJL23" s="14">
        <v>0.5</v>
      </c>
      <c r="AJM23" s="33">
        <v>1</v>
      </c>
      <c r="AJN23" s="14">
        <f t="shared" si="745"/>
        <v>1.3</v>
      </c>
      <c r="AJO23" s="15"/>
      <c r="AJP23" s="15"/>
      <c r="AJR23" s="14">
        <v>1.2</v>
      </c>
      <c r="AJS23" s="33"/>
      <c r="AJT23" s="14">
        <f t="shared" si="746"/>
        <v>0.30000000000000004</v>
      </c>
      <c r="AJU23" s="15"/>
      <c r="AJV23" s="15"/>
      <c r="AJX23" s="14">
        <v>0.8</v>
      </c>
      <c r="AJY23" s="33"/>
      <c r="AJZ23" s="14">
        <f t="shared" si="747"/>
        <v>0.39999999999999991</v>
      </c>
      <c r="AKA23" s="15"/>
      <c r="AKB23" s="15"/>
      <c r="AKD23" s="14">
        <v>0.5</v>
      </c>
      <c r="AKE23" s="33">
        <v>1</v>
      </c>
      <c r="AKF23" s="14">
        <f t="shared" si="748"/>
        <v>0.30000000000000004</v>
      </c>
      <c r="AKG23" s="15"/>
      <c r="AKH23" s="15"/>
      <c r="AKJ23" s="14">
        <v>1.3</v>
      </c>
      <c r="AKK23" s="33"/>
      <c r="AKL23" s="14">
        <f t="shared" si="749"/>
        <v>0.19999999999999996</v>
      </c>
      <c r="AKM23" s="15"/>
      <c r="AKN23" s="15"/>
      <c r="AKP23" s="14">
        <v>1.1000000000000001</v>
      </c>
      <c r="AKQ23" s="33"/>
      <c r="AKR23" s="14">
        <f t="shared" si="750"/>
        <v>0.19999999999999996</v>
      </c>
      <c r="AKS23" s="15"/>
      <c r="AKT23" s="15"/>
      <c r="AKV23" s="14">
        <v>0.8</v>
      </c>
      <c r="AKW23" s="33"/>
      <c r="AKX23" s="14">
        <f t="shared" si="751"/>
        <v>0.30000000000000004</v>
      </c>
      <c r="AKY23" s="15"/>
      <c r="AKZ23" s="15"/>
      <c r="ALB23" s="14">
        <v>0.8</v>
      </c>
      <c r="ALC23" s="33"/>
      <c r="ALD23" s="14">
        <f t="shared" si="752"/>
        <v>0</v>
      </c>
      <c r="ALE23" s="15"/>
      <c r="ALF23" s="15"/>
      <c r="ALH23" s="14">
        <v>0.7</v>
      </c>
      <c r="ALI23" s="33">
        <v>1</v>
      </c>
      <c r="ALJ23" s="14">
        <f t="shared" si="753"/>
        <v>0.10000000000000009</v>
      </c>
      <c r="ALK23" s="15"/>
      <c r="ALL23" s="15"/>
      <c r="ALN23" s="14">
        <v>1.5</v>
      </c>
      <c r="ALO23" s="33"/>
      <c r="ALP23" s="14">
        <f t="shared" si="754"/>
        <v>0.19999999999999996</v>
      </c>
      <c r="ALQ23" s="15"/>
      <c r="ALR23" s="15"/>
      <c r="ALT23" s="14">
        <v>1.4</v>
      </c>
      <c r="ALU23" s="33"/>
      <c r="ALV23" s="14">
        <f t="shared" si="755"/>
        <v>0.10000000000000009</v>
      </c>
      <c r="ALW23" s="15"/>
      <c r="ALX23" s="15"/>
      <c r="ALZ23" s="14">
        <v>1.2</v>
      </c>
      <c r="AMA23" s="33"/>
      <c r="AMB23" s="14">
        <f t="shared" si="756"/>
        <v>0.19999999999999996</v>
      </c>
      <c r="AMC23" s="15"/>
      <c r="AMD23" s="15"/>
      <c r="AMF23" s="14">
        <v>0.8</v>
      </c>
      <c r="AMG23" s="33"/>
      <c r="AMH23" s="14">
        <f t="shared" si="757"/>
        <v>0.39999999999999991</v>
      </c>
      <c r="AMI23" s="15"/>
      <c r="AMJ23" s="15"/>
      <c r="AML23" s="14">
        <v>0.9</v>
      </c>
      <c r="AMM23" s="33"/>
      <c r="AMN23" s="14">
        <f t="shared" si="758"/>
        <v>-9.9999999999999978E-2</v>
      </c>
      <c r="AMO23" s="15"/>
      <c r="AMP23" s="15"/>
      <c r="AMR23" s="14">
        <v>0.5</v>
      </c>
      <c r="AMS23" s="33">
        <v>1</v>
      </c>
      <c r="AMT23" s="14">
        <f t="shared" si="759"/>
        <v>0.4</v>
      </c>
      <c r="AMU23" s="15"/>
      <c r="AMV23" s="15"/>
      <c r="AMX23" s="14">
        <v>1.4</v>
      </c>
      <c r="AMY23" s="33"/>
      <c r="AMZ23" s="14">
        <f t="shared" si="760"/>
        <v>0.10000000000000009</v>
      </c>
      <c r="ANA23" s="15"/>
      <c r="ANB23" s="15"/>
      <c r="AND23" s="14">
        <v>0.8</v>
      </c>
      <c r="ANE23" s="33"/>
      <c r="ANF23" s="14">
        <f t="shared" si="761"/>
        <v>0.59999999999999987</v>
      </c>
      <c r="ANG23" s="15"/>
      <c r="ANH23" s="15"/>
      <c r="ANJ23" s="14">
        <v>0.8</v>
      </c>
      <c r="ANK23" s="33">
        <v>1</v>
      </c>
      <c r="ANL23" s="14">
        <f t="shared" si="762"/>
        <v>0</v>
      </c>
      <c r="ANM23" s="15"/>
      <c r="ANN23" s="15"/>
      <c r="ANP23" s="14">
        <v>1.3</v>
      </c>
      <c r="ANQ23" s="33"/>
      <c r="ANR23" s="14">
        <f t="shared" si="763"/>
        <v>0.5</v>
      </c>
      <c r="ANS23" s="15"/>
      <c r="ANT23" s="15"/>
      <c r="ANV23" s="14">
        <v>1.5</v>
      </c>
      <c r="ANW23" s="33"/>
      <c r="ANX23" s="14">
        <f t="shared" si="764"/>
        <v>-0.19999999999999996</v>
      </c>
      <c r="ANY23" s="15"/>
      <c r="ANZ23" s="15"/>
      <c r="AOB23" s="14"/>
      <c r="AOC23" s="33"/>
      <c r="AOD23" s="14">
        <f t="shared" si="765"/>
        <v>1.5</v>
      </c>
      <c r="AOE23" s="15"/>
      <c r="AOF23" s="15"/>
      <c r="AOH23" s="14"/>
      <c r="AOI23" s="33"/>
      <c r="AOJ23" s="14">
        <f t="shared" si="766"/>
        <v>0</v>
      </c>
      <c r="AOK23" s="15"/>
      <c r="AOL23" s="15"/>
      <c r="AON23" s="14"/>
      <c r="AOO23" s="33"/>
      <c r="AOP23" s="14">
        <f t="shared" si="767"/>
        <v>0</v>
      </c>
      <c r="AOQ23" s="15"/>
      <c r="AOR23" s="15"/>
    </row>
    <row r="24" spans="1:1024 1026:1084" x14ac:dyDescent="0.25">
      <c r="A24" s="3" t="s">
        <v>28</v>
      </c>
      <c r="B24" s="3"/>
      <c r="C24" s="5" t="s">
        <v>35</v>
      </c>
      <c r="D24" s="9">
        <v>0.5</v>
      </c>
      <c r="F24" s="14">
        <v>1</v>
      </c>
      <c r="G24" s="15"/>
      <c r="H24" s="11"/>
      <c r="I24" s="15"/>
      <c r="J24" s="15"/>
      <c r="L24" s="14">
        <v>1.3</v>
      </c>
      <c r="M24" s="15"/>
      <c r="N24" s="13">
        <f t="shared" si="768"/>
        <v>-0.30000000000000004</v>
      </c>
      <c r="O24" s="15"/>
      <c r="P24" s="15"/>
      <c r="R24" s="14">
        <v>1.1000000000000001</v>
      </c>
      <c r="S24" s="15"/>
      <c r="T24" s="13">
        <f t="shared" si="769"/>
        <v>0.19999999999999996</v>
      </c>
      <c r="U24" s="15"/>
      <c r="V24" s="15"/>
      <c r="X24" s="14">
        <v>0.9</v>
      </c>
      <c r="Y24" s="15"/>
      <c r="Z24" s="13">
        <f t="shared" si="770"/>
        <v>0.20000000000000007</v>
      </c>
      <c r="AA24" s="15"/>
      <c r="AB24" s="15"/>
      <c r="AD24" s="14">
        <v>0.9</v>
      </c>
      <c r="AE24" s="15"/>
      <c r="AF24" s="13">
        <f t="shared" si="771"/>
        <v>0</v>
      </c>
      <c r="AG24" s="15"/>
      <c r="AH24" s="15"/>
      <c r="AJ24" s="14">
        <v>0.8</v>
      </c>
      <c r="AK24" s="15"/>
      <c r="AL24" s="13">
        <f t="shared" si="772"/>
        <v>9.9999999999999978E-2</v>
      </c>
      <c r="AM24" s="15"/>
      <c r="AN24" s="15"/>
      <c r="AP24" s="14">
        <v>0.8</v>
      </c>
      <c r="AQ24" s="15"/>
      <c r="AR24" s="13">
        <f t="shared" si="773"/>
        <v>0</v>
      </c>
      <c r="AS24" s="15"/>
      <c r="AT24" s="15"/>
      <c r="AV24" s="14">
        <v>0.6</v>
      </c>
      <c r="AW24" s="15"/>
      <c r="AX24" s="13">
        <f t="shared" si="774"/>
        <v>0.20000000000000007</v>
      </c>
      <c r="AY24" s="15"/>
      <c r="AZ24" s="15"/>
      <c r="BB24" s="14">
        <v>0.9</v>
      </c>
      <c r="BC24" s="15"/>
      <c r="BD24" s="13">
        <f t="shared" si="775"/>
        <v>-0.30000000000000004</v>
      </c>
      <c r="BE24" s="15"/>
      <c r="BF24" s="15"/>
      <c r="BH24" s="14">
        <v>0.4</v>
      </c>
      <c r="BI24" s="15"/>
      <c r="BJ24" s="13">
        <f t="shared" si="776"/>
        <v>0.5</v>
      </c>
      <c r="BK24" s="15"/>
      <c r="BL24" s="15"/>
      <c r="BN24" s="14">
        <v>0.2</v>
      </c>
      <c r="BO24" s="15"/>
      <c r="BP24" s="13">
        <f t="shared" si="777"/>
        <v>0.2</v>
      </c>
      <c r="BQ24" s="15"/>
      <c r="BR24" s="15"/>
      <c r="BT24" s="14">
        <v>0.2</v>
      </c>
      <c r="BU24" s="15">
        <v>1</v>
      </c>
      <c r="BV24" s="13">
        <f t="shared" si="778"/>
        <v>0</v>
      </c>
      <c r="BW24" s="15"/>
      <c r="BX24" s="15"/>
      <c r="BZ24" s="14">
        <v>0.8</v>
      </c>
      <c r="CA24" s="15"/>
      <c r="CB24" s="13">
        <f t="shared" si="779"/>
        <v>0.39999999999999991</v>
      </c>
      <c r="CC24" s="15"/>
      <c r="CD24" s="15"/>
      <c r="CF24" s="14">
        <v>0.8</v>
      </c>
      <c r="CG24" s="15"/>
      <c r="CH24" s="13">
        <f t="shared" si="780"/>
        <v>0</v>
      </c>
      <c r="CI24" s="15"/>
      <c r="CJ24" s="15"/>
      <c r="CL24" s="14">
        <v>0.8</v>
      </c>
      <c r="CM24" s="15"/>
      <c r="CN24" s="13">
        <f t="shared" si="781"/>
        <v>0</v>
      </c>
      <c r="CO24" s="15"/>
      <c r="CP24" s="15"/>
      <c r="CR24" s="14">
        <v>0.6</v>
      </c>
      <c r="CS24" s="15"/>
      <c r="CT24" s="13">
        <f t="shared" si="782"/>
        <v>0.20000000000000007</v>
      </c>
      <c r="CU24" s="15"/>
      <c r="CV24" s="15"/>
      <c r="CX24" s="14">
        <v>0.5</v>
      </c>
      <c r="CY24" s="33"/>
      <c r="CZ24" s="13">
        <f t="shared" si="783"/>
        <v>9.9999999999999978E-2</v>
      </c>
      <c r="DA24" s="15"/>
      <c r="DB24" s="15"/>
      <c r="DD24" s="14">
        <v>0.6</v>
      </c>
      <c r="DE24" s="33"/>
      <c r="DF24" s="13">
        <f t="shared" si="784"/>
        <v>-9.9999999999999978E-2</v>
      </c>
      <c r="DG24" s="15"/>
      <c r="DH24" s="15"/>
      <c r="DJ24" s="14">
        <v>0.4</v>
      </c>
      <c r="DK24" s="33"/>
      <c r="DL24" s="13">
        <f t="shared" si="785"/>
        <v>0.19999999999999996</v>
      </c>
      <c r="DM24" s="15"/>
      <c r="DN24" s="15"/>
      <c r="DP24" s="14">
        <v>0.2</v>
      </c>
      <c r="DQ24" s="33">
        <v>1</v>
      </c>
      <c r="DR24" s="13">
        <f t="shared" si="786"/>
        <v>0.2</v>
      </c>
      <c r="DS24" s="15"/>
      <c r="DT24" s="15"/>
      <c r="DV24" s="14">
        <v>1.2</v>
      </c>
      <c r="DW24" s="33"/>
      <c r="DX24" s="13">
        <f t="shared" si="787"/>
        <v>0</v>
      </c>
      <c r="DY24" s="15"/>
      <c r="DZ24" s="15"/>
      <c r="EB24" s="14">
        <v>1.4</v>
      </c>
      <c r="EC24" s="33"/>
      <c r="ED24" s="13">
        <f t="shared" si="788"/>
        <v>-0.19999999999999996</v>
      </c>
      <c r="EE24" s="15"/>
      <c r="EF24" s="15"/>
      <c r="EH24" s="14">
        <v>1.3</v>
      </c>
      <c r="EI24" s="33"/>
      <c r="EJ24" s="13">
        <f t="shared" si="789"/>
        <v>9.9999999999999867E-2</v>
      </c>
      <c r="EK24" s="15"/>
      <c r="EL24" s="15"/>
      <c r="EN24" s="14">
        <v>1.2</v>
      </c>
      <c r="EO24" s="33"/>
      <c r="EP24" s="13">
        <f t="shared" si="790"/>
        <v>0.10000000000000009</v>
      </c>
      <c r="EQ24" s="15"/>
      <c r="ER24" s="15"/>
      <c r="ET24" s="14">
        <v>1.2</v>
      </c>
      <c r="EU24" s="33"/>
      <c r="EV24" s="13">
        <f t="shared" si="791"/>
        <v>0</v>
      </c>
      <c r="EW24" s="15"/>
      <c r="EX24" s="15"/>
      <c r="EZ24" s="14">
        <v>1.1000000000000001</v>
      </c>
      <c r="FA24" s="33"/>
      <c r="FB24" s="14">
        <f t="shared" si="792"/>
        <v>9.9999999999999867E-2</v>
      </c>
      <c r="FC24" s="15"/>
      <c r="FD24" s="15"/>
      <c r="FF24" s="14">
        <v>0.8</v>
      </c>
      <c r="FG24" s="33"/>
      <c r="FH24" s="14">
        <f t="shared" si="614"/>
        <v>0.30000000000000004</v>
      </c>
      <c r="FI24" s="15"/>
      <c r="FJ24" s="15"/>
      <c r="FL24" s="14"/>
      <c r="FM24" s="33"/>
      <c r="FN24" s="14">
        <f t="shared" si="615"/>
        <v>0.8</v>
      </c>
      <c r="FO24" s="15"/>
      <c r="FP24" s="15"/>
      <c r="FR24" s="14">
        <v>0.8</v>
      </c>
      <c r="FS24" s="33"/>
      <c r="FT24" s="14">
        <f t="shared" si="616"/>
        <v>-0.8</v>
      </c>
      <c r="FU24" s="15"/>
      <c r="FV24" s="15"/>
      <c r="FX24" s="14">
        <v>0.8</v>
      </c>
      <c r="FY24" s="33"/>
      <c r="FZ24" s="14">
        <f t="shared" si="617"/>
        <v>0</v>
      </c>
      <c r="GA24" s="15"/>
      <c r="GB24" s="15"/>
      <c r="GD24" s="14">
        <v>0.6</v>
      </c>
      <c r="GE24" s="33"/>
      <c r="GF24" s="14">
        <f t="shared" si="618"/>
        <v>0.20000000000000007</v>
      </c>
      <c r="GG24" s="15"/>
      <c r="GH24" s="15"/>
      <c r="GJ24" s="14">
        <v>0.6</v>
      </c>
      <c r="GK24" s="33"/>
      <c r="GL24" s="14">
        <f t="shared" si="619"/>
        <v>0</v>
      </c>
      <c r="GM24" s="15"/>
      <c r="GN24" s="15"/>
      <c r="GP24" s="14">
        <v>0.4</v>
      </c>
      <c r="GQ24" s="33">
        <v>1</v>
      </c>
      <c r="GR24" s="14">
        <f t="shared" si="620"/>
        <v>0.19999999999999996</v>
      </c>
      <c r="GS24" s="15"/>
      <c r="GT24" s="15"/>
      <c r="GV24" s="14">
        <v>1.4</v>
      </c>
      <c r="GW24" s="33"/>
      <c r="GX24" s="14">
        <f t="shared" si="621"/>
        <v>0</v>
      </c>
      <c r="GY24" s="15"/>
      <c r="GZ24" s="15"/>
      <c r="HB24" s="14">
        <v>1.2</v>
      </c>
      <c r="HC24" s="33"/>
      <c r="HD24" s="14">
        <f t="shared" si="622"/>
        <v>0.19999999999999996</v>
      </c>
      <c r="HE24" s="15"/>
      <c r="HF24" s="15"/>
      <c r="HH24" s="14">
        <v>1.2</v>
      </c>
      <c r="HI24" s="33"/>
      <c r="HJ24" s="14">
        <f t="shared" si="623"/>
        <v>0</v>
      </c>
      <c r="HK24" s="15"/>
      <c r="HL24" s="15"/>
      <c r="HN24" s="14">
        <v>1.1000000000000001</v>
      </c>
      <c r="HO24" s="33"/>
      <c r="HP24" s="14">
        <f t="shared" si="624"/>
        <v>9.9999999999999867E-2</v>
      </c>
      <c r="HQ24" s="15"/>
      <c r="HR24" s="15"/>
      <c r="HT24" s="14">
        <v>0.8</v>
      </c>
      <c r="HU24" s="33"/>
      <c r="HV24" s="14">
        <f t="shared" si="625"/>
        <v>0.30000000000000004</v>
      </c>
      <c r="HW24" s="15"/>
      <c r="HX24" s="15"/>
      <c r="HZ24" s="14">
        <v>0.9</v>
      </c>
      <c r="IA24" s="33"/>
      <c r="IB24" s="14">
        <f t="shared" si="626"/>
        <v>-9.9999999999999978E-2</v>
      </c>
      <c r="IC24" s="15"/>
      <c r="ID24" s="15"/>
      <c r="IF24" s="14">
        <v>0.9</v>
      </c>
      <c r="IG24" s="33"/>
      <c r="IH24" s="14">
        <f t="shared" si="627"/>
        <v>0</v>
      </c>
      <c r="II24" s="15"/>
      <c r="IJ24" s="15"/>
      <c r="IL24" s="14">
        <v>0.8</v>
      </c>
      <c r="IM24" s="33"/>
      <c r="IN24" s="14">
        <f t="shared" si="628"/>
        <v>9.9999999999999978E-2</v>
      </c>
      <c r="IO24" s="15"/>
      <c r="IP24" s="15"/>
      <c r="IR24" s="14">
        <v>0.6</v>
      </c>
      <c r="IS24" s="33">
        <v>1</v>
      </c>
      <c r="IT24" s="14">
        <f t="shared" si="629"/>
        <v>0.20000000000000007</v>
      </c>
      <c r="IU24" s="15"/>
      <c r="IV24" s="15"/>
      <c r="IX24" s="14">
        <v>1.2</v>
      </c>
      <c r="IY24" s="33"/>
      <c r="IZ24" s="14">
        <f t="shared" si="630"/>
        <v>0.40000000000000013</v>
      </c>
      <c r="JA24" s="15"/>
      <c r="JB24" s="15"/>
      <c r="JD24" s="14">
        <v>1.2</v>
      </c>
      <c r="JE24" s="33"/>
      <c r="JF24" s="14">
        <f t="shared" si="631"/>
        <v>0</v>
      </c>
      <c r="JG24" s="15"/>
      <c r="JH24" s="15"/>
      <c r="JJ24" s="14">
        <v>1.1000000000000001</v>
      </c>
      <c r="JK24" s="33"/>
      <c r="JL24" s="14">
        <f t="shared" si="632"/>
        <v>9.9999999999999867E-2</v>
      </c>
      <c r="JM24" s="15"/>
      <c r="JN24" s="15"/>
      <c r="JP24" s="14">
        <v>0.8</v>
      </c>
      <c r="JQ24" s="33">
        <v>1</v>
      </c>
      <c r="JR24" s="14">
        <f t="shared" si="633"/>
        <v>0.30000000000000004</v>
      </c>
      <c r="JS24" s="15"/>
      <c r="JT24" s="15"/>
      <c r="JV24" s="14">
        <v>1.9</v>
      </c>
      <c r="JW24" s="33"/>
      <c r="JX24" s="14">
        <f t="shared" si="634"/>
        <v>-9.9999999999999867E-2</v>
      </c>
      <c r="JY24" s="15"/>
      <c r="JZ24" s="15"/>
      <c r="KB24" s="14">
        <v>1.8</v>
      </c>
      <c r="KC24" s="33"/>
      <c r="KD24" s="14">
        <f t="shared" si="635"/>
        <v>9.9999999999999867E-2</v>
      </c>
      <c r="KE24" s="15"/>
      <c r="KF24" s="15"/>
      <c r="KH24" s="14">
        <v>1.6</v>
      </c>
      <c r="KI24" s="33"/>
      <c r="KJ24" s="14">
        <f t="shared" si="636"/>
        <v>0.19999999999999996</v>
      </c>
      <c r="KK24" s="15"/>
      <c r="KL24" s="15"/>
      <c r="KN24" s="14">
        <v>1.4</v>
      </c>
      <c r="KO24" s="33"/>
      <c r="KP24" s="14">
        <f t="shared" si="637"/>
        <v>0.20000000000000018</v>
      </c>
      <c r="KQ24" s="15"/>
      <c r="KR24" s="15"/>
      <c r="KT24" s="14">
        <v>1.2</v>
      </c>
      <c r="KU24" s="33"/>
      <c r="KV24" s="14">
        <f t="shared" si="638"/>
        <v>0.19999999999999996</v>
      </c>
      <c r="KW24" s="15"/>
      <c r="KX24" s="15"/>
      <c r="KZ24" s="14">
        <v>1.1000000000000001</v>
      </c>
      <c r="LA24" s="33"/>
      <c r="LB24" s="14">
        <f t="shared" si="639"/>
        <v>9.9999999999999867E-2</v>
      </c>
      <c r="LC24" s="15"/>
      <c r="LD24" s="15"/>
      <c r="LF24" s="14">
        <v>0.9</v>
      </c>
      <c r="LG24" s="33"/>
      <c r="LH24" s="14">
        <f t="shared" si="640"/>
        <v>0.20000000000000007</v>
      </c>
      <c r="LI24" s="15"/>
      <c r="LJ24" s="15"/>
      <c r="LL24" s="14">
        <v>0.8</v>
      </c>
      <c r="LM24" s="33"/>
      <c r="LN24" s="14">
        <f t="shared" si="641"/>
        <v>9.9999999999999978E-2</v>
      </c>
      <c r="LO24" s="15"/>
      <c r="LP24" s="15"/>
      <c r="LR24" s="14">
        <v>0.8</v>
      </c>
      <c r="LS24" s="33"/>
      <c r="LT24" s="14">
        <f t="shared" si="642"/>
        <v>0</v>
      </c>
      <c r="LU24" s="15"/>
      <c r="LV24" s="15"/>
      <c r="LX24" s="14">
        <v>0.6</v>
      </c>
      <c r="LY24" s="33">
        <v>1</v>
      </c>
      <c r="LZ24" s="14">
        <f t="shared" si="643"/>
        <v>0.20000000000000007</v>
      </c>
      <c r="MA24" s="15"/>
      <c r="MB24" s="15"/>
      <c r="MD24" s="14">
        <v>1.2</v>
      </c>
      <c r="ME24" s="33"/>
      <c r="MF24" s="14">
        <f t="shared" si="644"/>
        <v>0.40000000000000013</v>
      </c>
      <c r="MG24" s="15"/>
      <c r="MH24" s="15"/>
      <c r="MJ24" s="14">
        <v>1.1000000000000001</v>
      </c>
      <c r="MK24" s="33"/>
      <c r="ML24" s="14">
        <f t="shared" si="645"/>
        <v>9.9999999999999867E-2</v>
      </c>
      <c r="MM24" s="15"/>
      <c r="MN24" s="15"/>
      <c r="MP24" s="14">
        <v>0.8</v>
      </c>
      <c r="MQ24" s="33">
        <v>1</v>
      </c>
      <c r="MR24" s="14">
        <f t="shared" si="646"/>
        <v>0.30000000000000004</v>
      </c>
      <c r="MS24" s="15"/>
      <c r="MT24" s="15"/>
      <c r="MV24" s="14">
        <v>1.4</v>
      </c>
      <c r="MW24" s="33"/>
      <c r="MX24" s="14">
        <f t="shared" si="647"/>
        <v>0.40000000000000013</v>
      </c>
      <c r="MY24" s="15"/>
      <c r="MZ24" s="15"/>
      <c r="NB24" s="14">
        <v>1.4</v>
      </c>
      <c r="NC24" s="33"/>
      <c r="ND24" s="14">
        <f t="shared" si="648"/>
        <v>0</v>
      </c>
      <c r="NE24" s="15"/>
      <c r="NF24" s="15"/>
      <c r="NH24" s="14">
        <v>1.1000000000000001</v>
      </c>
      <c r="NI24" s="33"/>
      <c r="NJ24" s="14">
        <f t="shared" si="649"/>
        <v>0.29999999999999982</v>
      </c>
      <c r="NK24" s="15"/>
      <c r="NL24" s="15"/>
      <c r="NN24" s="14">
        <v>0.9</v>
      </c>
      <c r="NO24" s="33"/>
      <c r="NP24" s="14">
        <f t="shared" si="650"/>
        <v>0.20000000000000007</v>
      </c>
      <c r="NQ24" s="15"/>
      <c r="NR24" s="15"/>
      <c r="NT24" s="14">
        <v>0.8</v>
      </c>
      <c r="NU24" s="33"/>
      <c r="NV24" s="14">
        <f t="shared" si="651"/>
        <v>9.9999999999999978E-2</v>
      </c>
      <c r="NW24" s="15"/>
      <c r="NX24" s="15"/>
      <c r="NZ24" s="14">
        <v>0.8</v>
      </c>
      <c r="OA24" s="33"/>
      <c r="OB24" s="14">
        <f t="shared" si="652"/>
        <v>0</v>
      </c>
      <c r="OC24" s="15"/>
      <c r="OD24" s="15"/>
      <c r="OF24" s="14">
        <v>0.4</v>
      </c>
      <c r="OG24" s="33">
        <v>1</v>
      </c>
      <c r="OH24" s="14">
        <f t="shared" si="653"/>
        <v>0.4</v>
      </c>
      <c r="OI24" s="15"/>
      <c r="OJ24" s="15"/>
      <c r="OL24" s="14">
        <v>0.2</v>
      </c>
      <c r="OM24" s="33">
        <v>1</v>
      </c>
      <c r="ON24" s="14">
        <f t="shared" si="654"/>
        <v>1.2</v>
      </c>
      <c r="OO24" s="15"/>
      <c r="OP24" s="15"/>
      <c r="OR24" s="14">
        <v>1.1000000000000001</v>
      </c>
      <c r="OS24" s="33"/>
      <c r="OT24" s="14">
        <f t="shared" si="655"/>
        <v>9.9999999999999867E-2</v>
      </c>
      <c r="OU24" s="15"/>
      <c r="OV24" s="15"/>
      <c r="OX24" s="14">
        <v>1.9</v>
      </c>
      <c r="OY24" s="33"/>
      <c r="OZ24" s="14">
        <f t="shared" si="656"/>
        <v>-0.79999999999999982</v>
      </c>
      <c r="PA24" s="15"/>
      <c r="PB24" s="15"/>
      <c r="PD24" s="14">
        <v>1.8</v>
      </c>
      <c r="PE24" s="33"/>
      <c r="PF24" s="14">
        <f t="shared" si="657"/>
        <v>9.9999999999999867E-2</v>
      </c>
      <c r="PG24" s="15"/>
      <c r="PH24" s="15"/>
      <c r="PJ24" s="14">
        <v>1.5</v>
      </c>
      <c r="PK24" s="33"/>
      <c r="PL24" s="14">
        <f t="shared" si="658"/>
        <v>0.30000000000000004</v>
      </c>
      <c r="PM24" s="15"/>
      <c r="PN24" s="15"/>
      <c r="PP24" s="14">
        <v>1.4</v>
      </c>
      <c r="PQ24" s="33"/>
      <c r="PR24" s="14">
        <f t="shared" si="659"/>
        <v>0.10000000000000009</v>
      </c>
      <c r="PS24" s="15"/>
      <c r="PT24" s="15"/>
      <c r="PV24" s="14">
        <v>1.3</v>
      </c>
      <c r="PW24" s="33"/>
      <c r="PX24" s="14">
        <f t="shared" si="660"/>
        <v>9.9999999999999867E-2</v>
      </c>
      <c r="PY24" s="15"/>
      <c r="PZ24" s="15"/>
      <c r="QB24" s="14">
        <v>1.1000000000000001</v>
      </c>
      <c r="QC24" s="33"/>
      <c r="QD24" s="14">
        <f t="shared" si="661"/>
        <v>0.19999999999999996</v>
      </c>
      <c r="QE24" s="15"/>
      <c r="QF24" s="15"/>
      <c r="QH24" s="14">
        <v>0.9</v>
      </c>
      <c r="QI24" s="33"/>
      <c r="QJ24" s="14">
        <f t="shared" si="662"/>
        <v>0.20000000000000007</v>
      </c>
      <c r="QK24" s="15"/>
      <c r="QL24" s="15"/>
      <c r="QN24" s="14">
        <v>0.7</v>
      </c>
      <c r="QO24" s="33"/>
      <c r="QP24" s="14">
        <f t="shared" si="663"/>
        <v>0.20000000000000007</v>
      </c>
      <c r="QQ24" s="15"/>
      <c r="QR24" s="15"/>
      <c r="QT24" s="14">
        <v>0.7</v>
      </c>
      <c r="QU24" s="33">
        <v>1</v>
      </c>
      <c r="QV24" s="14">
        <f t="shared" si="664"/>
        <v>0</v>
      </c>
      <c r="QW24" s="15"/>
      <c r="QX24" s="15"/>
      <c r="QZ24" s="14">
        <v>1.3</v>
      </c>
      <c r="RA24" s="33"/>
      <c r="RB24" s="14">
        <f t="shared" si="665"/>
        <v>0.39999999999999991</v>
      </c>
      <c r="RC24" s="15"/>
      <c r="RD24" s="15"/>
      <c r="RF24" s="14">
        <v>1.1000000000000001</v>
      </c>
      <c r="RG24" s="33"/>
      <c r="RH24" s="14">
        <f t="shared" si="666"/>
        <v>0.19999999999999996</v>
      </c>
      <c r="RI24" s="15"/>
      <c r="RJ24" s="15"/>
      <c r="RL24" s="14">
        <v>0.9</v>
      </c>
      <c r="RM24" s="33"/>
      <c r="RN24" s="14">
        <f t="shared" si="667"/>
        <v>0.20000000000000007</v>
      </c>
      <c r="RO24" s="15"/>
      <c r="RP24" s="15"/>
      <c r="RR24" s="14">
        <v>0.8</v>
      </c>
      <c r="RS24" s="33"/>
      <c r="RT24" s="14">
        <f t="shared" si="668"/>
        <v>9.9999999999999978E-2</v>
      </c>
      <c r="RU24" s="15"/>
      <c r="RV24" s="15"/>
      <c r="RX24" s="14">
        <v>0.5</v>
      </c>
      <c r="RY24" s="33">
        <v>1</v>
      </c>
      <c r="RZ24" s="14">
        <f t="shared" si="669"/>
        <v>0.30000000000000004</v>
      </c>
      <c r="SA24" s="15"/>
      <c r="SB24" s="15"/>
      <c r="SD24" s="14">
        <v>1.4</v>
      </c>
      <c r="SE24" s="33"/>
      <c r="SF24" s="14">
        <f t="shared" si="670"/>
        <v>0.10000000000000009</v>
      </c>
      <c r="SG24" s="15"/>
      <c r="SH24" s="15"/>
      <c r="SJ24" s="14">
        <v>1.2</v>
      </c>
      <c r="SK24" s="33"/>
      <c r="SL24" s="14">
        <f t="shared" si="671"/>
        <v>0.19999999999999996</v>
      </c>
      <c r="SM24" s="15"/>
      <c r="SN24" s="15"/>
      <c r="SP24" s="14">
        <v>0.9</v>
      </c>
      <c r="SQ24" s="33"/>
      <c r="SR24" s="14">
        <f t="shared" si="672"/>
        <v>0.29999999999999993</v>
      </c>
      <c r="SS24" s="15"/>
      <c r="ST24" s="15"/>
      <c r="SV24" s="14">
        <v>0.8</v>
      </c>
      <c r="SW24" s="33"/>
      <c r="SX24" s="14">
        <f t="shared" si="673"/>
        <v>9.9999999999999978E-2</v>
      </c>
      <c r="SY24" s="15"/>
      <c r="SZ24" s="15"/>
      <c r="TB24" s="14">
        <v>0.5</v>
      </c>
      <c r="TC24" s="33">
        <v>1</v>
      </c>
      <c r="TD24" s="14">
        <f t="shared" si="674"/>
        <v>0.30000000000000004</v>
      </c>
      <c r="TE24" s="15"/>
      <c r="TF24" s="15"/>
      <c r="TH24" s="14">
        <v>1.5</v>
      </c>
      <c r="TI24" s="33"/>
      <c r="TJ24" s="14">
        <f t="shared" si="675"/>
        <v>0</v>
      </c>
      <c r="TK24" s="15"/>
      <c r="TL24" s="15"/>
      <c r="TN24" s="14">
        <v>1.2</v>
      </c>
      <c r="TO24" s="33"/>
      <c r="TP24" s="14">
        <f t="shared" si="676"/>
        <v>0.30000000000000004</v>
      </c>
      <c r="TQ24" s="15"/>
      <c r="TR24" s="15"/>
      <c r="TT24" s="14">
        <v>0.9</v>
      </c>
      <c r="TU24" s="33"/>
      <c r="TV24" s="14">
        <f t="shared" si="677"/>
        <v>0.29999999999999993</v>
      </c>
      <c r="TW24" s="15"/>
      <c r="TX24" s="15"/>
      <c r="TZ24" s="14">
        <v>0.8</v>
      </c>
      <c r="UA24" s="33"/>
      <c r="UB24" s="14">
        <f t="shared" si="678"/>
        <v>9.9999999999999978E-2</v>
      </c>
      <c r="UC24" s="15"/>
      <c r="UD24" s="15"/>
      <c r="UF24" s="14">
        <v>0.6</v>
      </c>
      <c r="UG24" s="33"/>
      <c r="UH24" s="14">
        <f t="shared" si="679"/>
        <v>0.20000000000000007</v>
      </c>
      <c r="UI24" s="15"/>
      <c r="UJ24" s="15"/>
      <c r="UL24" s="14">
        <v>0.5</v>
      </c>
      <c r="UM24" s="33">
        <v>1</v>
      </c>
      <c r="UN24" s="14">
        <f t="shared" si="680"/>
        <v>9.9999999999999978E-2</v>
      </c>
      <c r="UO24" s="15"/>
      <c r="UP24" s="15"/>
      <c r="UR24" s="14">
        <v>0.2</v>
      </c>
      <c r="US24" s="33"/>
      <c r="UT24" s="14">
        <f t="shared" si="681"/>
        <v>1.3</v>
      </c>
      <c r="UU24" s="15"/>
      <c r="UV24" s="15"/>
      <c r="UX24" s="14">
        <v>0</v>
      </c>
      <c r="UY24" s="33"/>
      <c r="UZ24" s="14">
        <f t="shared" si="682"/>
        <v>0.2</v>
      </c>
      <c r="VA24" s="15"/>
      <c r="VB24" s="15"/>
      <c r="VD24" s="14">
        <v>0</v>
      </c>
      <c r="VE24" s="33"/>
      <c r="VF24" s="14">
        <f t="shared" si="683"/>
        <v>0</v>
      </c>
      <c r="VG24" s="15"/>
      <c r="VH24" s="15"/>
      <c r="VJ24" s="14">
        <v>0</v>
      </c>
      <c r="VK24" s="33"/>
      <c r="VL24" s="14">
        <f t="shared" si="684"/>
        <v>0</v>
      </c>
      <c r="VM24" s="15"/>
      <c r="VN24" s="15"/>
      <c r="VP24" s="14">
        <v>0</v>
      </c>
      <c r="VQ24" s="33">
        <v>1</v>
      </c>
      <c r="VR24" s="14">
        <f t="shared" si="685"/>
        <v>0</v>
      </c>
      <c r="VS24" s="15"/>
      <c r="VT24" s="15"/>
      <c r="VV24" s="14">
        <v>0</v>
      </c>
      <c r="VW24" s="33">
        <v>1</v>
      </c>
      <c r="VX24" s="14">
        <f t="shared" si="686"/>
        <v>1</v>
      </c>
      <c r="VY24" s="15"/>
      <c r="VZ24" s="15"/>
      <c r="WB24" s="14">
        <v>0.9</v>
      </c>
      <c r="WC24" s="33"/>
      <c r="WD24" s="14">
        <f t="shared" si="687"/>
        <v>9.9999999999999978E-2</v>
      </c>
      <c r="WE24" s="15"/>
      <c r="WF24" s="15"/>
      <c r="WH24" s="14">
        <v>0.7</v>
      </c>
      <c r="WI24" s="33">
        <v>1</v>
      </c>
      <c r="WJ24" s="14">
        <f t="shared" si="688"/>
        <v>0.20000000000000007</v>
      </c>
      <c r="WK24" s="15"/>
      <c r="WL24" s="15"/>
      <c r="WN24" s="14">
        <v>1.4</v>
      </c>
      <c r="WO24" s="33"/>
      <c r="WP24" s="14">
        <f t="shared" si="689"/>
        <v>0.30000000000000004</v>
      </c>
      <c r="WQ24" s="15"/>
      <c r="WR24" s="15"/>
      <c r="WT24" s="14">
        <v>1.2</v>
      </c>
      <c r="WU24" s="33"/>
      <c r="WV24" s="14">
        <f t="shared" si="690"/>
        <v>0.19999999999999996</v>
      </c>
      <c r="WW24" s="15"/>
      <c r="WX24" s="15"/>
      <c r="WZ24" s="14">
        <v>0.1</v>
      </c>
      <c r="XA24" s="33">
        <v>1</v>
      </c>
      <c r="XB24" s="14">
        <f t="shared" si="691"/>
        <v>1.0999999999999999</v>
      </c>
      <c r="XC24" s="15"/>
      <c r="XD24" s="15"/>
      <c r="XF24" s="14">
        <v>1.1000000000000001</v>
      </c>
      <c r="XG24" s="33"/>
      <c r="XH24" s="14">
        <f t="shared" si="692"/>
        <v>0</v>
      </c>
      <c r="XI24" s="15"/>
      <c r="XJ24" s="15"/>
      <c r="XL24" s="14">
        <v>1.8</v>
      </c>
      <c r="XM24" s="33"/>
      <c r="XN24" s="14">
        <f t="shared" si="693"/>
        <v>-0.7</v>
      </c>
      <c r="XO24" s="15"/>
      <c r="XP24" s="15"/>
      <c r="XR24" s="14">
        <v>1.8</v>
      </c>
      <c r="XS24" s="33"/>
      <c r="XT24" s="14">
        <f t="shared" si="694"/>
        <v>0</v>
      </c>
      <c r="XU24" s="15"/>
      <c r="XV24" s="15"/>
      <c r="XX24" s="14">
        <v>1.8</v>
      </c>
      <c r="XY24" s="33"/>
      <c r="XZ24" s="14">
        <f t="shared" si="695"/>
        <v>0</v>
      </c>
      <c r="YA24" s="15"/>
      <c r="YB24" s="15"/>
      <c r="YD24" s="14">
        <v>1.3</v>
      </c>
      <c r="YE24" s="33"/>
      <c r="YF24" s="14">
        <f t="shared" si="696"/>
        <v>0.5</v>
      </c>
      <c r="YG24" s="15"/>
      <c r="YH24" s="15"/>
      <c r="YJ24" s="14">
        <v>0.2</v>
      </c>
      <c r="YK24" s="33"/>
      <c r="YL24" s="14">
        <f t="shared" si="697"/>
        <v>1.1000000000000001</v>
      </c>
      <c r="YM24" s="15"/>
      <c r="YN24" s="15"/>
      <c r="YP24" s="14">
        <v>0.8</v>
      </c>
      <c r="YQ24" s="33"/>
      <c r="YR24" s="14">
        <f t="shared" si="698"/>
        <v>-0.60000000000000009</v>
      </c>
      <c r="YS24" s="15"/>
      <c r="YT24" s="15"/>
      <c r="YV24" s="14">
        <v>0.9</v>
      </c>
      <c r="YW24" s="33"/>
      <c r="YX24" s="14">
        <f t="shared" si="699"/>
        <v>-9.9999999999999978E-2</v>
      </c>
      <c r="YY24" s="15"/>
      <c r="YZ24" s="15"/>
      <c r="ZB24" s="14">
        <v>0.8</v>
      </c>
      <c r="ZC24" s="33"/>
      <c r="ZD24" s="14">
        <f t="shared" si="700"/>
        <v>9.9999999999999978E-2</v>
      </c>
      <c r="ZE24" s="15"/>
      <c r="ZF24" s="15"/>
      <c r="ZH24" s="14">
        <v>0.6</v>
      </c>
      <c r="ZI24" s="33"/>
      <c r="ZJ24" s="14">
        <f t="shared" si="701"/>
        <v>0.20000000000000007</v>
      </c>
      <c r="ZK24" s="15"/>
      <c r="ZL24" s="15"/>
      <c r="ZN24" s="14">
        <v>0.4</v>
      </c>
      <c r="ZO24" s="33">
        <v>1</v>
      </c>
      <c r="ZP24" s="14">
        <f t="shared" si="702"/>
        <v>0.19999999999999996</v>
      </c>
      <c r="ZQ24" s="15"/>
      <c r="ZR24" s="15"/>
      <c r="ZT24" s="14">
        <v>1.5</v>
      </c>
      <c r="ZU24" s="33"/>
      <c r="ZV24" s="14">
        <f t="shared" si="703"/>
        <v>-0.10000000000000009</v>
      </c>
      <c r="ZW24" s="15"/>
      <c r="ZX24" s="15"/>
      <c r="ZZ24" s="14">
        <v>1.1000000000000001</v>
      </c>
      <c r="AAA24" s="33"/>
      <c r="AAB24" s="14">
        <f t="shared" si="704"/>
        <v>0.39999999999999991</v>
      </c>
      <c r="AAC24" s="15"/>
      <c r="AAD24" s="15"/>
      <c r="AAF24" s="14">
        <v>1</v>
      </c>
      <c r="AAG24" s="33"/>
      <c r="AAH24" s="14">
        <f t="shared" si="705"/>
        <v>0.10000000000000009</v>
      </c>
      <c r="AAI24" s="15"/>
      <c r="AAJ24" s="15"/>
      <c r="AAL24" s="14">
        <v>0.6</v>
      </c>
      <c r="AAM24" s="33"/>
      <c r="AAN24" s="14">
        <f t="shared" si="706"/>
        <v>0.4</v>
      </c>
      <c r="AAO24" s="15"/>
      <c r="AAP24" s="15"/>
      <c r="AAR24" s="14">
        <v>0.8</v>
      </c>
      <c r="AAS24" s="33"/>
      <c r="AAT24" s="14">
        <f t="shared" si="707"/>
        <v>-0.20000000000000007</v>
      </c>
      <c r="AAU24" s="15"/>
      <c r="AAV24" s="15"/>
      <c r="AAX24" s="14">
        <v>0.6</v>
      </c>
      <c r="AAY24" s="33"/>
      <c r="AAZ24" s="14">
        <f t="shared" si="708"/>
        <v>0.20000000000000007</v>
      </c>
      <c r="ABA24" s="15"/>
      <c r="ABB24" s="15"/>
      <c r="ABD24" s="14">
        <v>0.2</v>
      </c>
      <c r="ABE24" s="33">
        <v>1</v>
      </c>
      <c r="ABF24" s="14">
        <f t="shared" si="709"/>
        <v>0.39999999999999997</v>
      </c>
      <c r="ABG24" s="15"/>
      <c r="ABH24" s="15"/>
      <c r="ABJ24" s="14">
        <v>0.4</v>
      </c>
      <c r="ABK24" s="33">
        <v>1</v>
      </c>
      <c r="ABL24" s="14">
        <f t="shared" si="710"/>
        <v>0.79999999999999993</v>
      </c>
      <c r="ABM24" s="15"/>
      <c r="ABN24" s="15"/>
      <c r="ABP24" s="14">
        <v>1.2</v>
      </c>
      <c r="ABQ24" s="33"/>
      <c r="ABR24" s="14">
        <f t="shared" si="711"/>
        <v>0.19999999999999996</v>
      </c>
      <c r="ABS24" s="15"/>
      <c r="ABT24" s="15"/>
      <c r="ABV24" s="14">
        <v>0.9</v>
      </c>
      <c r="ABW24" s="33"/>
      <c r="ABX24" s="14">
        <f t="shared" si="712"/>
        <v>0.29999999999999993</v>
      </c>
      <c r="ABY24" s="15"/>
      <c r="ABZ24" s="15"/>
      <c r="ACB24" s="14">
        <v>0.6</v>
      </c>
      <c r="ACC24" s="33"/>
      <c r="ACD24" s="14">
        <f t="shared" si="713"/>
        <v>0.30000000000000004</v>
      </c>
      <c r="ACE24" s="15"/>
      <c r="ACF24" s="15"/>
      <c r="ACH24" s="14">
        <v>0.5</v>
      </c>
      <c r="ACI24" s="33"/>
      <c r="ACJ24" s="14">
        <f t="shared" si="714"/>
        <v>9.9999999999999978E-2</v>
      </c>
      <c r="ACK24" s="15"/>
      <c r="ACL24" s="15"/>
      <c r="ACN24" s="14">
        <v>0.5</v>
      </c>
      <c r="ACO24" s="33"/>
      <c r="ACP24" s="14">
        <f t="shared" si="715"/>
        <v>0</v>
      </c>
      <c r="ACQ24" s="15"/>
      <c r="ACR24" s="15"/>
      <c r="ACT24" s="14">
        <v>0.4</v>
      </c>
      <c r="ACU24" s="33"/>
      <c r="ACV24" s="14">
        <f t="shared" si="716"/>
        <v>9.9999999999999978E-2</v>
      </c>
      <c r="ACW24" s="15"/>
      <c r="ACX24" s="15"/>
      <c r="ACZ24" s="14">
        <v>0.1</v>
      </c>
      <c r="ADA24" s="33">
        <v>1</v>
      </c>
      <c r="ADB24" s="14">
        <f t="shared" si="717"/>
        <v>0.30000000000000004</v>
      </c>
      <c r="ADC24" s="15"/>
      <c r="ADD24" s="15"/>
      <c r="ADF24" s="14">
        <v>1</v>
      </c>
      <c r="ADG24" s="33"/>
      <c r="ADH24" s="14">
        <f t="shared" si="718"/>
        <v>0.10000000000000009</v>
      </c>
      <c r="ADI24" s="15"/>
      <c r="ADJ24" s="15"/>
      <c r="ADL24" s="14">
        <v>0.8</v>
      </c>
      <c r="ADM24" s="33"/>
      <c r="ADN24" s="14">
        <f t="shared" si="719"/>
        <v>0.19999999999999996</v>
      </c>
      <c r="ADO24" s="15"/>
      <c r="ADP24" s="15"/>
      <c r="ADR24" s="14">
        <v>0.5</v>
      </c>
      <c r="ADS24" s="33">
        <v>1</v>
      </c>
      <c r="ADT24" s="14">
        <f t="shared" si="720"/>
        <v>0.30000000000000004</v>
      </c>
      <c r="ADU24" s="15"/>
      <c r="ADV24" s="15"/>
      <c r="ADX24" s="14">
        <v>0.1</v>
      </c>
      <c r="ADY24" s="33"/>
      <c r="ADZ24" s="14">
        <f t="shared" si="721"/>
        <v>1.4</v>
      </c>
      <c r="AEA24" s="15"/>
      <c r="AEB24" s="15"/>
      <c r="AED24" s="14">
        <v>0</v>
      </c>
      <c r="AEE24" s="33">
        <v>1</v>
      </c>
      <c r="AEF24" s="14">
        <f t="shared" si="722"/>
        <v>0.1</v>
      </c>
      <c r="AEG24" s="15"/>
      <c r="AEH24" s="15"/>
      <c r="AEJ24" s="14">
        <v>0.7</v>
      </c>
      <c r="AEK24" s="33"/>
      <c r="AEL24" s="14">
        <f t="shared" si="723"/>
        <v>0.30000000000000004</v>
      </c>
      <c r="AEM24" s="15"/>
      <c r="AEN24" s="15"/>
      <c r="AEP24" s="14">
        <v>0.5</v>
      </c>
      <c r="AEQ24" s="33">
        <v>1</v>
      </c>
      <c r="AER24" s="14">
        <f t="shared" si="724"/>
        <v>0.19999999999999996</v>
      </c>
      <c r="AES24" s="15"/>
      <c r="AET24" s="15"/>
      <c r="AEV24" s="14">
        <v>1.4</v>
      </c>
      <c r="AEW24" s="33"/>
      <c r="AEX24" s="14">
        <f t="shared" si="725"/>
        <v>0.10000000000000009</v>
      </c>
      <c r="AEY24" s="15"/>
      <c r="AEZ24" s="15"/>
      <c r="AFB24" s="14">
        <v>1.1000000000000001</v>
      </c>
      <c r="AFC24" s="33"/>
      <c r="AFD24" s="14">
        <f t="shared" si="726"/>
        <v>0.29999999999999982</v>
      </c>
      <c r="AFE24" s="15"/>
      <c r="AFF24" s="15"/>
      <c r="AFH24" s="14">
        <v>0.8</v>
      </c>
      <c r="AFI24" s="33"/>
      <c r="AFJ24" s="14">
        <f t="shared" si="727"/>
        <v>0.30000000000000004</v>
      </c>
      <c r="AFK24" s="15"/>
      <c r="AFL24" s="15"/>
      <c r="AFN24" s="14">
        <v>0.8</v>
      </c>
      <c r="AFO24" s="33"/>
      <c r="AFP24" s="14">
        <f t="shared" si="728"/>
        <v>0</v>
      </c>
      <c r="AFQ24" s="15"/>
      <c r="AFR24" s="15"/>
      <c r="AFT24" s="14">
        <v>0.6</v>
      </c>
      <c r="AFU24" s="33"/>
      <c r="AFV24" s="14">
        <f t="shared" si="729"/>
        <v>0.20000000000000007</v>
      </c>
      <c r="AFW24" s="15"/>
      <c r="AFX24" s="15"/>
      <c r="AFZ24" s="14">
        <v>0.4</v>
      </c>
      <c r="AGA24" s="33">
        <v>1</v>
      </c>
      <c r="AGB24" s="14">
        <f t="shared" si="730"/>
        <v>0.19999999999999996</v>
      </c>
      <c r="AGC24" s="15"/>
      <c r="AGD24" s="15"/>
      <c r="AGF24" s="14">
        <v>1.2</v>
      </c>
      <c r="AGG24" s="33"/>
      <c r="AGH24" s="14">
        <f t="shared" si="731"/>
        <v>0.19999999999999996</v>
      </c>
      <c r="AGI24" s="15"/>
      <c r="AGJ24" s="15"/>
      <c r="AGL24" s="14">
        <v>1.1000000000000001</v>
      </c>
      <c r="AGM24" s="33"/>
      <c r="AGN24" s="14">
        <f t="shared" si="732"/>
        <v>9.9999999999999867E-2</v>
      </c>
      <c r="AGO24" s="15"/>
      <c r="AGP24" s="15"/>
      <c r="AGR24" s="14">
        <v>0.9</v>
      </c>
      <c r="AGS24" s="33"/>
      <c r="AGT24" s="14">
        <f t="shared" si="733"/>
        <v>0.20000000000000007</v>
      </c>
      <c r="AGU24" s="15"/>
      <c r="AGV24" s="15"/>
      <c r="AGX24" s="14">
        <v>0.8</v>
      </c>
      <c r="AGY24" s="33"/>
      <c r="AGZ24" s="14">
        <f t="shared" si="734"/>
        <v>9.9999999999999978E-2</v>
      </c>
      <c r="AHA24" s="15"/>
      <c r="AHB24" s="15"/>
      <c r="AHD24" s="14">
        <v>0.5</v>
      </c>
      <c r="AHE24" s="33"/>
      <c r="AHF24" s="14">
        <f t="shared" si="735"/>
        <v>0.30000000000000004</v>
      </c>
      <c r="AHG24" s="15"/>
      <c r="AHH24" s="15"/>
      <c r="AHJ24" s="14">
        <v>0.2</v>
      </c>
      <c r="AHK24" s="33">
        <v>1</v>
      </c>
      <c r="AHL24" s="14">
        <f t="shared" si="736"/>
        <v>0.3</v>
      </c>
      <c r="AHM24" s="15"/>
      <c r="AHN24" s="15"/>
      <c r="AHP24" s="14">
        <v>1.2</v>
      </c>
      <c r="AHQ24" s="33"/>
      <c r="AHR24" s="14">
        <f t="shared" si="737"/>
        <v>0</v>
      </c>
      <c r="AHS24" s="15"/>
      <c r="AHT24" s="15"/>
      <c r="AHV24" s="14">
        <v>0.8</v>
      </c>
      <c r="AHW24" s="33"/>
      <c r="AHX24" s="14">
        <f t="shared" si="738"/>
        <v>0.39999999999999991</v>
      </c>
      <c r="AHY24" s="15"/>
      <c r="AHZ24" s="15"/>
      <c r="AIB24" s="14">
        <v>0.8</v>
      </c>
      <c r="AIC24" s="33"/>
      <c r="AID24" s="14">
        <f t="shared" si="739"/>
        <v>0</v>
      </c>
      <c r="AIE24" s="15"/>
      <c r="AIF24" s="15"/>
      <c r="AIH24" s="14">
        <v>0.6</v>
      </c>
      <c r="AII24" s="33"/>
      <c r="AIJ24" s="14">
        <f t="shared" si="740"/>
        <v>0.20000000000000007</v>
      </c>
      <c r="AIK24" s="15"/>
      <c r="AIL24" s="15"/>
      <c r="AIN24" s="14">
        <v>0.7</v>
      </c>
      <c r="AIO24" s="33"/>
      <c r="AIP24" s="14">
        <f t="shared" si="741"/>
        <v>-9.9999999999999978E-2</v>
      </c>
      <c r="AIQ24" s="15"/>
      <c r="AIR24" s="15"/>
      <c r="AIT24" s="14">
        <v>0.3</v>
      </c>
      <c r="AIU24" s="33">
        <v>1</v>
      </c>
      <c r="AIV24" s="14">
        <f t="shared" si="742"/>
        <v>0.39999999999999997</v>
      </c>
      <c r="AIW24" s="15"/>
      <c r="AIX24" s="15"/>
      <c r="AIZ24" s="14">
        <v>1.2</v>
      </c>
      <c r="AJA24" s="33"/>
      <c r="AJB24" s="14">
        <f t="shared" si="743"/>
        <v>0.10000000000000009</v>
      </c>
      <c r="AJC24" s="15"/>
      <c r="AJD24" s="15"/>
      <c r="AJF24" s="14">
        <v>1.9</v>
      </c>
      <c r="AJG24" s="33"/>
      <c r="AJH24" s="14">
        <f t="shared" si="744"/>
        <v>-0.7</v>
      </c>
      <c r="AJI24" s="15"/>
      <c r="AJJ24" s="15"/>
      <c r="AJL24" s="14">
        <v>0.9</v>
      </c>
      <c r="AJM24" s="33"/>
      <c r="AJN24" s="14">
        <f t="shared" si="745"/>
        <v>0.99999999999999989</v>
      </c>
      <c r="AJO24" s="15"/>
      <c r="AJP24" s="15"/>
      <c r="AJR24" s="14">
        <v>0.9</v>
      </c>
      <c r="AJS24" s="33"/>
      <c r="AJT24" s="14">
        <f t="shared" si="746"/>
        <v>0</v>
      </c>
      <c r="AJU24" s="15"/>
      <c r="AJV24" s="15"/>
      <c r="AJX24" s="14">
        <v>0.8</v>
      </c>
      <c r="AJY24" s="33"/>
      <c r="AJZ24" s="14">
        <f t="shared" si="747"/>
        <v>9.9999999999999978E-2</v>
      </c>
      <c r="AKA24" s="15"/>
      <c r="AKB24" s="15"/>
      <c r="AKD24" s="14">
        <v>0.5</v>
      </c>
      <c r="AKE24" s="33"/>
      <c r="AKF24" s="14">
        <f t="shared" si="748"/>
        <v>0.30000000000000004</v>
      </c>
      <c r="AKG24" s="15"/>
      <c r="AKH24" s="15"/>
      <c r="AKJ24" s="14">
        <v>0.6</v>
      </c>
      <c r="AKK24" s="33"/>
      <c r="AKL24" s="14">
        <f t="shared" si="749"/>
        <v>-9.9999999999999978E-2</v>
      </c>
      <c r="AKM24" s="15"/>
      <c r="AKN24" s="15"/>
      <c r="AKP24" s="14">
        <v>0.4</v>
      </c>
      <c r="AKQ24" s="33"/>
      <c r="AKR24" s="14">
        <f t="shared" si="750"/>
        <v>0.19999999999999996</v>
      </c>
      <c r="AKS24" s="15"/>
      <c r="AKT24" s="15"/>
      <c r="AKV24" s="14">
        <v>0.3</v>
      </c>
      <c r="AKW24" s="33">
        <v>1</v>
      </c>
      <c r="AKX24" s="14">
        <f t="shared" si="751"/>
        <v>0.10000000000000003</v>
      </c>
      <c r="AKY24" s="15"/>
      <c r="AKZ24" s="15"/>
      <c r="ALB24" s="14">
        <v>1.2</v>
      </c>
      <c r="ALC24" s="33"/>
      <c r="ALD24" s="14">
        <f t="shared" si="752"/>
        <v>0.10000000000000009</v>
      </c>
      <c r="ALE24" s="15"/>
      <c r="ALF24" s="15"/>
      <c r="ALH24" s="14">
        <v>0.8</v>
      </c>
      <c r="ALI24" s="33"/>
      <c r="ALJ24" s="14">
        <f t="shared" si="753"/>
        <v>0.39999999999999991</v>
      </c>
      <c r="ALK24" s="15"/>
      <c r="ALL24" s="15"/>
      <c r="ALN24" s="14">
        <v>0.6</v>
      </c>
      <c r="ALO24" s="33"/>
      <c r="ALP24" s="14">
        <f t="shared" si="754"/>
        <v>0.20000000000000007</v>
      </c>
      <c r="ALQ24" s="15"/>
      <c r="ALR24" s="15"/>
      <c r="ALT24" s="14">
        <v>0.7</v>
      </c>
      <c r="ALU24" s="33"/>
      <c r="ALV24" s="14">
        <f t="shared" si="755"/>
        <v>-9.9999999999999978E-2</v>
      </c>
      <c r="ALW24" s="15"/>
      <c r="ALX24" s="15"/>
      <c r="ALZ24" s="14">
        <v>0.8</v>
      </c>
      <c r="AMA24" s="33"/>
      <c r="AMB24" s="14">
        <f t="shared" si="756"/>
        <v>-0.10000000000000009</v>
      </c>
      <c r="AMC24" s="15"/>
      <c r="AMD24" s="15"/>
      <c r="AMF24" s="14">
        <v>0.5</v>
      </c>
      <c r="AMG24" s="33"/>
      <c r="AMH24" s="14">
        <f t="shared" si="757"/>
        <v>0.30000000000000004</v>
      </c>
      <c r="AMI24" s="15"/>
      <c r="AMJ24" s="15"/>
      <c r="AML24" s="14">
        <v>0.5</v>
      </c>
      <c r="AMM24" s="33">
        <v>1</v>
      </c>
      <c r="AMN24" s="14">
        <f t="shared" si="758"/>
        <v>0</v>
      </c>
      <c r="AMO24" s="15"/>
      <c r="AMP24" s="15"/>
      <c r="AMR24" s="14">
        <v>2.4</v>
      </c>
      <c r="AMS24" s="33"/>
      <c r="AMT24" s="14">
        <f t="shared" si="759"/>
        <v>-0.89999999999999991</v>
      </c>
      <c r="AMU24" s="15"/>
      <c r="AMV24" s="15"/>
      <c r="AMX24" s="14">
        <v>2</v>
      </c>
      <c r="AMY24" s="33"/>
      <c r="AMZ24" s="14">
        <f t="shared" si="760"/>
        <v>0.39999999999999991</v>
      </c>
      <c r="ANA24" s="15"/>
      <c r="ANB24" s="15"/>
      <c r="AND24" s="14">
        <v>1.9</v>
      </c>
      <c r="ANE24" s="33"/>
      <c r="ANF24" s="14">
        <f t="shared" si="761"/>
        <v>0.10000000000000009</v>
      </c>
      <c r="ANG24" s="15"/>
      <c r="ANH24" s="15"/>
      <c r="ANJ24" s="14">
        <v>0.7</v>
      </c>
      <c r="ANK24" s="33"/>
      <c r="ANL24" s="14">
        <f t="shared" si="762"/>
        <v>1.2</v>
      </c>
      <c r="ANM24" s="15"/>
      <c r="ANN24" s="15"/>
      <c r="ANP24" s="14">
        <v>1.5</v>
      </c>
      <c r="ANQ24" s="33"/>
      <c r="ANR24" s="14">
        <f t="shared" si="763"/>
        <v>-0.8</v>
      </c>
      <c r="ANS24" s="15"/>
      <c r="ANT24" s="15"/>
      <c r="ANV24" s="14">
        <v>1.6</v>
      </c>
      <c r="ANW24" s="33"/>
      <c r="ANX24" s="14">
        <f t="shared" si="764"/>
        <v>-0.10000000000000009</v>
      </c>
      <c r="ANY24" s="15"/>
      <c r="ANZ24" s="15"/>
      <c r="AOB24" s="14"/>
      <c r="AOC24" s="33"/>
      <c r="AOD24" s="14">
        <f t="shared" si="765"/>
        <v>1.6</v>
      </c>
      <c r="AOE24" s="15"/>
      <c r="AOF24" s="15"/>
      <c r="AOH24" s="14"/>
      <c r="AOI24" s="33"/>
      <c r="AOJ24" s="14">
        <f t="shared" si="766"/>
        <v>0</v>
      </c>
      <c r="AOK24" s="15"/>
      <c r="AOL24" s="15"/>
      <c r="AON24" s="14"/>
      <c r="AOO24" s="33"/>
      <c r="AOP24" s="14">
        <f t="shared" si="767"/>
        <v>0</v>
      </c>
      <c r="AOQ24" s="15"/>
      <c r="AOR24" s="15"/>
    </row>
    <row r="25" spans="1:1024 1026:1084" x14ac:dyDescent="0.25">
      <c r="A25" s="3" t="s">
        <v>38</v>
      </c>
      <c r="B25" s="3"/>
      <c r="C25" s="5" t="s">
        <v>35</v>
      </c>
      <c r="D25" s="9">
        <v>0.3</v>
      </c>
      <c r="F25" s="14">
        <v>0.9</v>
      </c>
      <c r="G25" s="15"/>
      <c r="H25" s="11"/>
      <c r="I25" s="15"/>
      <c r="J25" s="15"/>
      <c r="L25" s="14">
        <v>0.9</v>
      </c>
      <c r="M25" s="15"/>
      <c r="N25" s="13">
        <f t="shared" si="768"/>
        <v>0</v>
      </c>
      <c r="O25" s="15"/>
      <c r="P25" s="15"/>
      <c r="R25" s="14">
        <v>0.9</v>
      </c>
      <c r="S25" s="15"/>
      <c r="T25" s="13">
        <f t="shared" si="769"/>
        <v>0</v>
      </c>
      <c r="U25" s="15"/>
      <c r="V25" s="15"/>
      <c r="X25" s="14">
        <v>0.9</v>
      </c>
      <c r="Y25" s="15"/>
      <c r="Z25" s="13">
        <f t="shared" si="770"/>
        <v>0</v>
      </c>
      <c r="AA25" s="15"/>
      <c r="AB25" s="15"/>
      <c r="AD25" s="14">
        <v>0.9</v>
      </c>
      <c r="AE25" s="15"/>
      <c r="AF25" s="13">
        <f t="shared" si="771"/>
        <v>0</v>
      </c>
      <c r="AG25" s="15"/>
      <c r="AH25" s="15"/>
      <c r="AJ25" s="14">
        <v>0.8</v>
      </c>
      <c r="AK25" s="15"/>
      <c r="AL25" s="13">
        <f t="shared" si="772"/>
        <v>9.9999999999999978E-2</v>
      </c>
      <c r="AM25" s="15"/>
      <c r="AN25" s="15"/>
      <c r="AP25" s="14">
        <v>0.8</v>
      </c>
      <c r="AQ25" s="15"/>
      <c r="AR25" s="13">
        <f t="shared" si="773"/>
        <v>0</v>
      </c>
      <c r="AS25" s="15"/>
      <c r="AT25" s="15"/>
      <c r="AV25" s="14">
        <v>0.4</v>
      </c>
      <c r="AW25" s="15"/>
      <c r="AX25" s="13">
        <f t="shared" si="774"/>
        <v>0.4</v>
      </c>
      <c r="AY25" s="15"/>
      <c r="AZ25" s="15"/>
      <c r="BB25" s="14">
        <v>0.3</v>
      </c>
      <c r="BC25" s="15"/>
      <c r="BD25" s="13">
        <f t="shared" si="775"/>
        <v>0.10000000000000003</v>
      </c>
      <c r="BE25" s="15"/>
      <c r="BF25" s="15"/>
      <c r="BH25" s="14">
        <v>0.2</v>
      </c>
      <c r="BI25" s="15">
        <v>1</v>
      </c>
      <c r="BJ25" s="13">
        <f t="shared" si="776"/>
        <v>9.9999999999999978E-2</v>
      </c>
      <c r="BK25" s="15"/>
      <c r="BL25" s="15"/>
      <c r="BN25" s="14">
        <v>1.2</v>
      </c>
      <c r="BO25" s="15"/>
      <c r="BP25" s="13">
        <f t="shared" si="777"/>
        <v>0</v>
      </c>
      <c r="BQ25" s="15"/>
      <c r="BR25" s="15"/>
      <c r="BT25" s="14">
        <v>1.1000000000000001</v>
      </c>
      <c r="BU25" s="15"/>
      <c r="BV25" s="13">
        <f t="shared" si="778"/>
        <v>9.9999999999999867E-2</v>
      </c>
      <c r="BW25" s="15"/>
      <c r="BX25" s="15"/>
      <c r="BZ25" s="14">
        <v>1.1000000000000001</v>
      </c>
      <c r="CA25" s="15"/>
      <c r="CB25" s="13">
        <f t="shared" si="779"/>
        <v>0</v>
      </c>
      <c r="CC25" s="15"/>
      <c r="CD25" s="15"/>
      <c r="CF25" s="14">
        <v>0.8</v>
      </c>
      <c r="CG25" s="15"/>
      <c r="CH25" s="13">
        <f t="shared" si="780"/>
        <v>0.30000000000000004</v>
      </c>
      <c r="CI25" s="15"/>
      <c r="CJ25" s="15"/>
      <c r="CL25" s="14">
        <v>0.8</v>
      </c>
      <c r="CM25" s="15"/>
      <c r="CN25" s="13">
        <f t="shared" si="781"/>
        <v>0</v>
      </c>
      <c r="CO25" s="15"/>
      <c r="CP25" s="15"/>
      <c r="CR25" s="14">
        <v>0.8</v>
      </c>
      <c r="CS25" s="15"/>
      <c r="CT25" s="13">
        <f t="shared" si="782"/>
        <v>0</v>
      </c>
      <c r="CU25" s="15"/>
      <c r="CV25" s="15"/>
      <c r="CX25" s="14">
        <v>0.8</v>
      </c>
      <c r="CY25" s="33"/>
      <c r="CZ25" s="13">
        <f t="shared" si="783"/>
        <v>0</v>
      </c>
      <c r="DA25" s="15"/>
      <c r="DB25" s="15"/>
      <c r="DD25" s="14">
        <v>0.6</v>
      </c>
      <c r="DE25" s="33"/>
      <c r="DF25" s="13">
        <f t="shared" si="784"/>
        <v>0.20000000000000007</v>
      </c>
      <c r="DG25" s="15"/>
      <c r="DH25" s="15"/>
      <c r="DJ25" s="14">
        <v>0.6</v>
      </c>
      <c r="DK25" s="33"/>
      <c r="DL25" s="13">
        <f t="shared" si="785"/>
        <v>0</v>
      </c>
      <c r="DM25" s="15"/>
      <c r="DN25" s="15"/>
      <c r="DP25" s="14">
        <v>0.4</v>
      </c>
      <c r="DQ25" s="33"/>
      <c r="DR25" s="13">
        <f t="shared" si="786"/>
        <v>0.19999999999999996</v>
      </c>
      <c r="DS25" s="15"/>
      <c r="DT25" s="15"/>
      <c r="DV25" s="14">
        <v>0.6</v>
      </c>
      <c r="DW25" s="33"/>
      <c r="DX25" s="13">
        <f t="shared" si="787"/>
        <v>-0.19999999999999996</v>
      </c>
      <c r="DY25" s="15"/>
      <c r="DZ25" s="15"/>
      <c r="EB25" s="14">
        <v>0.6</v>
      </c>
      <c r="EC25" s="33"/>
      <c r="ED25" s="13">
        <f t="shared" si="788"/>
        <v>0</v>
      </c>
      <c r="EE25" s="15"/>
      <c r="EF25" s="15"/>
      <c r="EH25" s="14">
        <v>0.5</v>
      </c>
      <c r="EI25" s="33"/>
      <c r="EJ25" s="13">
        <f t="shared" si="789"/>
        <v>9.9999999999999978E-2</v>
      </c>
      <c r="EK25" s="15"/>
      <c r="EL25" s="15"/>
      <c r="EN25" s="14">
        <v>0.4</v>
      </c>
      <c r="EO25" s="33"/>
      <c r="EP25" s="13">
        <f t="shared" si="790"/>
        <v>9.9999999999999978E-2</v>
      </c>
      <c r="EQ25" s="15"/>
      <c r="ER25" s="15"/>
      <c r="ET25" s="14">
        <v>0.4</v>
      </c>
      <c r="EU25" s="33"/>
      <c r="EV25" s="13">
        <f t="shared" si="791"/>
        <v>0</v>
      </c>
      <c r="EW25" s="15"/>
      <c r="EX25" s="15"/>
      <c r="EZ25" s="14">
        <v>0.4</v>
      </c>
      <c r="FA25" s="33"/>
      <c r="FB25" s="14">
        <f t="shared" si="792"/>
        <v>0</v>
      </c>
      <c r="FC25" s="15"/>
      <c r="FD25" s="15"/>
      <c r="FF25" s="14">
        <v>0.4</v>
      </c>
      <c r="FG25" s="33"/>
      <c r="FH25" s="14">
        <f t="shared" si="614"/>
        <v>0</v>
      </c>
      <c r="FI25" s="15"/>
      <c r="FJ25" s="15"/>
      <c r="FL25" s="14"/>
      <c r="FM25" s="33"/>
      <c r="FN25" s="14">
        <f t="shared" si="615"/>
        <v>0.4</v>
      </c>
      <c r="FO25" s="15"/>
      <c r="FP25" s="15"/>
      <c r="FR25" s="14">
        <v>0.4</v>
      </c>
      <c r="FS25" s="33"/>
      <c r="FT25" s="14">
        <f t="shared" si="616"/>
        <v>-0.4</v>
      </c>
      <c r="FU25" s="15"/>
      <c r="FV25" s="15"/>
      <c r="FX25" s="14">
        <v>0.2</v>
      </c>
      <c r="FY25" s="33">
        <v>1</v>
      </c>
      <c r="FZ25" s="14">
        <f t="shared" si="617"/>
        <v>0.2</v>
      </c>
      <c r="GA25" s="15"/>
      <c r="GB25" s="15"/>
      <c r="GD25" s="14">
        <v>1.2</v>
      </c>
      <c r="GE25" s="33"/>
      <c r="GF25" s="14">
        <f t="shared" si="618"/>
        <v>0</v>
      </c>
      <c r="GG25" s="15"/>
      <c r="GH25" s="15"/>
      <c r="GJ25" s="14">
        <v>1.1000000000000001</v>
      </c>
      <c r="GK25" s="33"/>
      <c r="GL25" s="14">
        <f t="shared" si="619"/>
        <v>9.9999999999999867E-2</v>
      </c>
      <c r="GM25" s="15"/>
      <c r="GN25" s="15"/>
      <c r="GP25" s="14">
        <v>1.1000000000000001</v>
      </c>
      <c r="GQ25" s="33"/>
      <c r="GR25" s="14">
        <f t="shared" si="620"/>
        <v>0</v>
      </c>
      <c r="GS25" s="15"/>
      <c r="GT25" s="15"/>
      <c r="GV25" s="14">
        <v>0.9</v>
      </c>
      <c r="GW25" s="33"/>
      <c r="GX25" s="14">
        <f t="shared" si="621"/>
        <v>0.20000000000000007</v>
      </c>
      <c r="GY25" s="15"/>
      <c r="GZ25" s="15"/>
      <c r="HB25" s="14">
        <v>0.8</v>
      </c>
      <c r="HC25" s="33"/>
      <c r="HD25" s="14">
        <f t="shared" si="622"/>
        <v>9.9999999999999978E-2</v>
      </c>
      <c r="HE25" s="15"/>
      <c r="HF25" s="15"/>
      <c r="HH25" s="14">
        <v>0.6</v>
      </c>
      <c r="HI25" s="33"/>
      <c r="HJ25" s="14">
        <f t="shared" si="623"/>
        <v>0.20000000000000007</v>
      </c>
      <c r="HK25" s="15"/>
      <c r="HL25" s="15"/>
      <c r="HN25" s="14">
        <v>0.6</v>
      </c>
      <c r="HO25" s="33"/>
      <c r="HP25" s="14">
        <f t="shared" si="624"/>
        <v>0</v>
      </c>
      <c r="HQ25" s="15"/>
      <c r="HR25" s="15"/>
      <c r="HT25" s="14">
        <v>0.8</v>
      </c>
      <c r="HU25" s="33"/>
      <c r="HV25" s="14">
        <f t="shared" si="625"/>
        <v>-0.20000000000000007</v>
      </c>
      <c r="HW25" s="15"/>
      <c r="HX25" s="15"/>
      <c r="HZ25" s="14">
        <v>0.4</v>
      </c>
      <c r="IA25" s="33"/>
      <c r="IB25" s="14">
        <f t="shared" si="626"/>
        <v>0.4</v>
      </c>
      <c r="IC25" s="15"/>
      <c r="ID25" s="15"/>
      <c r="IF25" s="14">
        <v>0.6</v>
      </c>
      <c r="IG25" s="33"/>
      <c r="IH25" s="14">
        <f t="shared" si="627"/>
        <v>-0.19999999999999996</v>
      </c>
      <c r="II25" s="15"/>
      <c r="IJ25" s="15"/>
      <c r="IL25" s="14">
        <v>0.6</v>
      </c>
      <c r="IM25" s="33">
        <v>1</v>
      </c>
      <c r="IN25" s="14">
        <f t="shared" si="628"/>
        <v>0</v>
      </c>
      <c r="IO25" s="15"/>
      <c r="IP25" s="15"/>
      <c r="IR25" s="14">
        <v>1.6</v>
      </c>
      <c r="IS25" s="33"/>
      <c r="IT25" s="14">
        <f t="shared" si="629"/>
        <v>0</v>
      </c>
      <c r="IU25" s="15"/>
      <c r="IV25" s="15"/>
      <c r="IX25" s="14">
        <v>1.4</v>
      </c>
      <c r="IY25" s="33"/>
      <c r="IZ25" s="14">
        <f t="shared" si="630"/>
        <v>0.20000000000000018</v>
      </c>
      <c r="JA25" s="15"/>
      <c r="JB25" s="15"/>
      <c r="JD25" s="14">
        <v>1.2</v>
      </c>
      <c r="JE25" s="33"/>
      <c r="JF25" s="14">
        <f t="shared" si="631"/>
        <v>0.19999999999999996</v>
      </c>
      <c r="JG25" s="15"/>
      <c r="JH25" s="15"/>
      <c r="JJ25" s="14">
        <v>1.2</v>
      </c>
      <c r="JK25" s="33"/>
      <c r="JL25" s="14">
        <f t="shared" si="632"/>
        <v>0</v>
      </c>
      <c r="JM25" s="15"/>
      <c r="JN25" s="15"/>
      <c r="JP25" s="14">
        <v>1.1000000000000001</v>
      </c>
      <c r="JQ25" s="33"/>
      <c r="JR25" s="14">
        <f t="shared" si="633"/>
        <v>9.9999999999999867E-2</v>
      </c>
      <c r="JS25" s="15"/>
      <c r="JT25" s="15"/>
      <c r="JV25" s="14">
        <v>1.1000000000000001</v>
      </c>
      <c r="JW25" s="33"/>
      <c r="JX25" s="14">
        <f t="shared" si="634"/>
        <v>0</v>
      </c>
      <c r="JY25" s="15"/>
      <c r="JZ25" s="15"/>
      <c r="KB25" s="14">
        <v>1.1000000000000001</v>
      </c>
      <c r="KC25" s="33"/>
      <c r="KD25" s="14">
        <f t="shared" si="635"/>
        <v>0</v>
      </c>
      <c r="KE25" s="15"/>
      <c r="KF25" s="15"/>
      <c r="KH25" s="14">
        <v>0.9</v>
      </c>
      <c r="KI25" s="33"/>
      <c r="KJ25" s="14">
        <f t="shared" si="636"/>
        <v>0.20000000000000007</v>
      </c>
      <c r="KK25" s="15"/>
      <c r="KL25" s="15"/>
      <c r="KN25" s="14">
        <v>0.8</v>
      </c>
      <c r="KO25" s="33"/>
      <c r="KP25" s="14">
        <f t="shared" si="637"/>
        <v>9.9999999999999978E-2</v>
      </c>
      <c r="KQ25" s="15"/>
      <c r="KR25" s="15"/>
      <c r="KT25" s="14">
        <v>0.8</v>
      </c>
      <c r="KU25" s="33"/>
      <c r="KV25" s="14">
        <f t="shared" si="638"/>
        <v>0</v>
      </c>
      <c r="KW25" s="15"/>
      <c r="KX25" s="15"/>
      <c r="KZ25" s="14">
        <v>0.8</v>
      </c>
      <c r="LA25" s="33"/>
      <c r="LB25" s="14">
        <f t="shared" si="639"/>
        <v>0</v>
      </c>
      <c r="LC25" s="15"/>
      <c r="LD25" s="15"/>
      <c r="LF25" s="14">
        <v>0.8</v>
      </c>
      <c r="LG25" s="33"/>
      <c r="LH25" s="14">
        <f t="shared" si="640"/>
        <v>0</v>
      </c>
      <c r="LI25" s="15"/>
      <c r="LJ25" s="15"/>
      <c r="LL25" s="14">
        <v>0.8</v>
      </c>
      <c r="LM25" s="33"/>
      <c r="LN25" s="14">
        <f t="shared" si="641"/>
        <v>0</v>
      </c>
      <c r="LO25" s="15"/>
      <c r="LP25" s="15"/>
      <c r="LR25" s="14">
        <v>0.8</v>
      </c>
      <c r="LS25" s="33"/>
      <c r="LT25" s="14">
        <f t="shared" si="642"/>
        <v>0</v>
      </c>
      <c r="LU25" s="15"/>
      <c r="LV25" s="15"/>
      <c r="LX25" s="14">
        <v>0.6</v>
      </c>
      <c r="LY25" s="33">
        <v>1</v>
      </c>
      <c r="LZ25" s="14">
        <f t="shared" si="643"/>
        <v>0.20000000000000007</v>
      </c>
      <c r="MA25" s="15"/>
      <c r="MB25" s="15"/>
      <c r="MD25" s="14">
        <v>1.6</v>
      </c>
      <c r="ME25" s="33"/>
      <c r="MF25" s="14">
        <f t="shared" si="644"/>
        <v>0</v>
      </c>
      <c r="MG25" s="15"/>
      <c r="MH25" s="15"/>
      <c r="MJ25" s="14">
        <v>1.4</v>
      </c>
      <c r="MK25" s="33"/>
      <c r="ML25" s="14">
        <f t="shared" si="645"/>
        <v>0.20000000000000018</v>
      </c>
      <c r="MM25" s="15"/>
      <c r="MN25" s="15"/>
      <c r="MP25" s="14">
        <v>1.2</v>
      </c>
      <c r="MQ25" s="33"/>
      <c r="MR25" s="14">
        <f t="shared" si="646"/>
        <v>0.19999999999999996</v>
      </c>
      <c r="MS25" s="15"/>
      <c r="MT25" s="15"/>
      <c r="MV25" s="14">
        <v>1.1000000000000001</v>
      </c>
      <c r="MW25" s="33"/>
      <c r="MX25" s="14">
        <f t="shared" si="647"/>
        <v>9.9999999999999867E-2</v>
      </c>
      <c r="MY25" s="15"/>
      <c r="MZ25" s="15"/>
      <c r="NB25" s="14">
        <v>1.1000000000000001</v>
      </c>
      <c r="NC25" s="33"/>
      <c r="ND25" s="14">
        <f t="shared" si="648"/>
        <v>0</v>
      </c>
      <c r="NE25" s="15"/>
      <c r="NF25" s="15"/>
      <c r="NH25" s="14">
        <v>0.9</v>
      </c>
      <c r="NI25" s="33"/>
      <c r="NJ25" s="14">
        <f t="shared" si="649"/>
        <v>0.20000000000000007</v>
      </c>
      <c r="NK25" s="15"/>
      <c r="NL25" s="15"/>
      <c r="NN25" s="14">
        <v>0.9</v>
      </c>
      <c r="NO25" s="33"/>
      <c r="NP25" s="14">
        <f t="shared" si="650"/>
        <v>0</v>
      </c>
      <c r="NQ25" s="15"/>
      <c r="NR25" s="15"/>
      <c r="NT25" s="14">
        <v>0.9</v>
      </c>
      <c r="NU25" s="33"/>
      <c r="NV25" s="14">
        <f t="shared" si="651"/>
        <v>0</v>
      </c>
      <c r="NW25" s="15"/>
      <c r="NX25" s="15"/>
      <c r="NZ25" s="14">
        <v>0.9</v>
      </c>
      <c r="OA25" s="33"/>
      <c r="OB25" s="14">
        <f t="shared" si="652"/>
        <v>0</v>
      </c>
      <c r="OC25" s="15"/>
      <c r="OD25" s="15"/>
      <c r="OF25" s="14">
        <v>0.9</v>
      </c>
      <c r="OG25" s="33"/>
      <c r="OH25" s="14">
        <f t="shared" si="653"/>
        <v>0</v>
      </c>
      <c r="OI25" s="15"/>
      <c r="OJ25" s="15"/>
      <c r="OL25" s="14">
        <v>0.8</v>
      </c>
      <c r="OM25" s="33">
        <v>1</v>
      </c>
      <c r="ON25" s="14">
        <f t="shared" si="654"/>
        <v>9.9999999999999978E-2</v>
      </c>
      <c r="OO25" s="15"/>
      <c r="OP25" s="15"/>
      <c r="OR25" s="14">
        <v>1.6</v>
      </c>
      <c r="OS25" s="33"/>
      <c r="OT25" s="14">
        <f t="shared" si="655"/>
        <v>0.19999999999999996</v>
      </c>
      <c r="OU25" s="15"/>
      <c r="OV25" s="15"/>
      <c r="OX25" s="14">
        <v>1.8</v>
      </c>
      <c r="OY25" s="33"/>
      <c r="OZ25" s="14">
        <f t="shared" si="656"/>
        <v>-0.19999999999999996</v>
      </c>
      <c r="PA25" s="15"/>
      <c r="PB25" s="15"/>
      <c r="PD25" s="14">
        <v>1.4</v>
      </c>
      <c r="PE25" s="33"/>
      <c r="PF25" s="14">
        <f t="shared" si="657"/>
        <v>0.40000000000000013</v>
      </c>
      <c r="PG25" s="15"/>
      <c r="PH25" s="15"/>
      <c r="PJ25" s="14">
        <v>1.4</v>
      </c>
      <c r="PK25" s="33"/>
      <c r="PL25" s="14">
        <f t="shared" si="658"/>
        <v>0</v>
      </c>
      <c r="PM25" s="15"/>
      <c r="PN25" s="15"/>
      <c r="PP25" s="14">
        <v>1.4</v>
      </c>
      <c r="PQ25" s="33"/>
      <c r="PR25" s="14">
        <f t="shared" si="659"/>
        <v>0</v>
      </c>
      <c r="PS25" s="15"/>
      <c r="PT25" s="15"/>
      <c r="PV25" s="14">
        <v>1.4</v>
      </c>
      <c r="PW25" s="33"/>
      <c r="PX25" s="14">
        <f t="shared" si="660"/>
        <v>0</v>
      </c>
      <c r="PY25" s="15"/>
      <c r="PZ25" s="15"/>
      <c r="QB25" s="14">
        <v>1.1000000000000001</v>
      </c>
      <c r="QC25" s="33"/>
      <c r="QD25" s="14">
        <f t="shared" si="661"/>
        <v>0.29999999999999982</v>
      </c>
      <c r="QE25" s="15"/>
      <c r="QF25" s="15"/>
      <c r="QH25" s="14">
        <v>0.9</v>
      </c>
      <c r="QI25" s="33"/>
      <c r="QJ25" s="14">
        <f t="shared" si="662"/>
        <v>0.20000000000000007</v>
      </c>
      <c r="QK25" s="15"/>
      <c r="QL25" s="15"/>
      <c r="QN25" s="14">
        <v>0.9</v>
      </c>
      <c r="QO25" s="33"/>
      <c r="QP25" s="14">
        <f t="shared" si="663"/>
        <v>0</v>
      </c>
      <c r="QQ25" s="15"/>
      <c r="QR25" s="15"/>
      <c r="QT25" s="14">
        <v>0.9</v>
      </c>
      <c r="QU25" s="33"/>
      <c r="QV25" s="14">
        <f t="shared" si="664"/>
        <v>0</v>
      </c>
      <c r="QW25" s="15"/>
      <c r="QX25" s="15"/>
      <c r="QZ25" s="14">
        <v>0.6</v>
      </c>
      <c r="RA25" s="33"/>
      <c r="RB25" s="14">
        <f t="shared" si="665"/>
        <v>0.30000000000000004</v>
      </c>
      <c r="RC25" s="15"/>
      <c r="RD25" s="15"/>
      <c r="RF25" s="14">
        <v>0.6</v>
      </c>
      <c r="RG25" s="33"/>
      <c r="RH25" s="14">
        <f t="shared" si="666"/>
        <v>0</v>
      </c>
      <c r="RI25" s="15"/>
      <c r="RJ25" s="15"/>
      <c r="RL25" s="14">
        <v>0.4</v>
      </c>
      <c r="RM25" s="33"/>
      <c r="RN25" s="14">
        <f t="shared" si="667"/>
        <v>0.19999999999999996</v>
      </c>
      <c r="RO25" s="15"/>
      <c r="RP25" s="15"/>
      <c r="RR25" s="14">
        <v>0.3</v>
      </c>
      <c r="RS25" s="33">
        <v>1</v>
      </c>
      <c r="RT25" s="14">
        <f t="shared" si="668"/>
        <v>0.10000000000000003</v>
      </c>
      <c r="RU25" s="15"/>
      <c r="RV25" s="15"/>
      <c r="RX25" s="14">
        <v>2.1</v>
      </c>
      <c r="RY25" s="33"/>
      <c r="RZ25" s="14">
        <f t="shared" si="669"/>
        <v>-0.8</v>
      </c>
      <c r="SA25" s="15"/>
      <c r="SB25" s="15"/>
      <c r="SD25" s="14">
        <v>0.9</v>
      </c>
      <c r="SE25" s="33"/>
      <c r="SF25" s="14">
        <f t="shared" si="670"/>
        <v>1.2000000000000002</v>
      </c>
      <c r="SG25" s="15"/>
      <c r="SH25" s="15"/>
      <c r="SJ25" s="14">
        <v>1.8</v>
      </c>
      <c r="SK25" s="33"/>
      <c r="SL25" s="14">
        <f t="shared" si="671"/>
        <v>-0.9</v>
      </c>
      <c r="SM25" s="15"/>
      <c r="SN25" s="15"/>
      <c r="SP25" s="14">
        <v>1.9</v>
      </c>
      <c r="SQ25" s="33"/>
      <c r="SR25" s="14">
        <f t="shared" si="672"/>
        <v>-9.9999999999999867E-2</v>
      </c>
      <c r="SS25" s="15"/>
      <c r="ST25" s="15"/>
      <c r="SV25" s="14">
        <v>1.8</v>
      </c>
      <c r="SW25" s="33"/>
      <c r="SX25" s="14">
        <f t="shared" si="673"/>
        <v>9.9999999999999867E-2</v>
      </c>
      <c r="SY25" s="15"/>
      <c r="SZ25" s="15"/>
      <c r="TB25" s="14">
        <v>1.6</v>
      </c>
      <c r="TC25" s="33"/>
      <c r="TD25" s="14">
        <f t="shared" si="674"/>
        <v>0.19999999999999996</v>
      </c>
      <c r="TE25" s="15"/>
      <c r="TF25" s="15"/>
      <c r="TH25" s="14">
        <v>1.4</v>
      </c>
      <c r="TI25" s="33"/>
      <c r="TJ25" s="14">
        <f t="shared" si="675"/>
        <v>0.20000000000000018</v>
      </c>
      <c r="TK25" s="15"/>
      <c r="TL25" s="15"/>
      <c r="TN25" s="14">
        <v>1.6</v>
      </c>
      <c r="TO25" s="33"/>
      <c r="TP25" s="14">
        <f t="shared" si="676"/>
        <v>-0.20000000000000018</v>
      </c>
      <c r="TQ25" s="15"/>
      <c r="TR25" s="15"/>
      <c r="TT25" s="14">
        <v>1.3</v>
      </c>
      <c r="TU25" s="33"/>
      <c r="TV25" s="14">
        <f t="shared" si="677"/>
        <v>0.30000000000000004</v>
      </c>
      <c r="TW25" s="15"/>
      <c r="TX25" s="15"/>
      <c r="TZ25" s="14">
        <v>1.2</v>
      </c>
      <c r="UA25" s="33"/>
      <c r="UB25" s="14">
        <f t="shared" si="678"/>
        <v>0.10000000000000009</v>
      </c>
      <c r="UC25" s="15"/>
      <c r="UD25" s="15"/>
      <c r="UF25" s="14">
        <v>0.9</v>
      </c>
      <c r="UG25" s="33"/>
      <c r="UH25" s="14">
        <f t="shared" si="679"/>
        <v>0.29999999999999993</v>
      </c>
      <c r="UI25" s="15"/>
      <c r="UJ25" s="15"/>
      <c r="UL25" s="14">
        <v>0.8</v>
      </c>
      <c r="UM25" s="33"/>
      <c r="UN25" s="14">
        <f t="shared" si="680"/>
        <v>9.9999999999999978E-2</v>
      </c>
      <c r="UO25" s="15"/>
      <c r="UP25" s="15"/>
      <c r="UR25" s="14">
        <v>0.8</v>
      </c>
      <c r="US25" s="33"/>
      <c r="UT25" s="14">
        <f t="shared" si="681"/>
        <v>0</v>
      </c>
      <c r="UU25" s="15"/>
      <c r="UV25" s="15"/>
      <c r="UX25" s="14">
        <v>0.8</v>
      </c>
      <c r="UY25" s="33"/>
      <c r="UZ25" s="14">
        <f t="shared" si="682"/>
        <v>0</v>
      </c>
      <c r="VA25" s="15"/>
      <c r="VB25" s="15"/>
      <c r="VD25" s="14">
        <v>0.5</v>
      </c>
      <c r="VE25" s="33">
        <v>1</v>
      </c>
      <c r="VF25" s="14">
        <f t="shared" si="683"/>
        <v>0.30000000000000004</v>
      </c>
      <c r="VG25" s="15"/>
      <c r="VH25" s="15"/>
      <c r="VJ25" s="14">
        <v>1.5</v>
      </c>
      <c r="VK25" s="33"/>
      <c r="VL25" s="14">
        <f t="shared" si="684"/>
        <v>0</v>
      </c>
      <c r="VM25" s="15"/>
      <c r="VN25" s="15"/>
      <c r="VP25" s="14">
        <v>1.2</v>
      </c>
      <c r="VQ25" s="33"/>
      <c r="VR25" s="14">
        <f t="shared" si="685"/>
        <v>0.30000000000000004</v>
      </c>
      <c r="VS25" s="15"/>
      <c r="VT25" s="15"/>
      <c r="VV25" s="14">
        <v>1.1000000000000001</v>
      </c>
      <c r="VW25" s="33"/>
      <c r="VX25" s="14">
        <f t="shared" si="686"/>
        <v>9.9999999999999867E-2</v>
      </c>
      <c r="VY25" s="15"/>
      <c r="VZ25" s="15"/>
      <c r="WB25" s="14">
        <v>1.2</v>
      </c>
      <c r="WC25" s="33"/>
      <c r="WD25" s="14">
        <f t="shared" si="687"/>
        <v>-9.9999999999999867E-2</v>
      </c>
      <c r="WE25" s="15"/>
      <c r="WF25" s="15"/>
      <c r="WH25" s="14">
        <v>1.1000000000000001</v>
      </c>
      <c r="WI25" s="33"/>
      <c r="WJ25" s="14">
        <f t="shared" si="688"/>
        <v>9.9999999999999867E-2</v>
      </c>
      <c r="WK25" s="15"/>
      <c r="WL25" s="15"/>
      <c r="WN25" s="14">
        <v>0.8</v>
      </c>
      <c r="WO25" s="33"/>
      <c r="WP25" s="14">
        <f t="shared" si="689"/>
        <v>0.30000000000000004</v>
      </c>
      <c r="WQ25" s="15"/>
      <c r="WR25" s="15"/>
      <c r="WT25" s="14">
        <v>0.9</v>
      </c>
      <c r="WU25" s="33"/>
      <c r="WV25" s="14">
        <f t="shared" si="690"/>
        <v>-9.9999999999999978E-2</v>
      </c>
      <c r="WW25" s="15"/>
      <c r="WX25" s="15"/>
      <c r="WZ25" s="14">
        <v>0.9</v>
      </c>
      <c r="XA25" s="33"/>
      <c r="XB25" s="14">
        <f t="shared" si="691"/>
        <v>0</v>
      </c>
      <c r="XC25" s="15"/>
      <c r="XD25" s="15"/>
      <c r="XF25" s="14">
        <v>0.8</v>
      </c>
      <c r="XG25" s="33"/>
      <c r="XH25" s="14">
        <f t="shared" si="692"/>
        <v>9.9999999999999978E-2</v>
      </c>
      <c r="XI25" s="15"/>
      <c r="XJ25" s="15"/>
      <c r="XL25" s="14">
        <v>0.5</v>
      </c>
      <c r="XM25" s="33"/>
      <c r="XN25" s="14">
        <f t="shared" si="693"/>
        <v>0.30000000000000004</v>
      </c>
      <c r="XO25" s="15"/>
      <c r="XP25" s="15"/>
      <c r="XR25" s="14">
        <v>0.5</v>
      </c>
      <c r="XS25" s="33"/>
      <c r="XT25" s="14">
        <f t="shared" si="694"/>
        <v>0</v>
      </c>
      <c r="XU25" s="15"/>
      <c r="XV25" s="15"/>
      <c r="XX25" s="14">
        <v>0.5</v>
      </c>
      <c r="XY25" s="33">
        <v>1</v>
      </c>
      <c r="XZ25" s="14">
        <f t="shared" si="695"/>
        <v>0</v>
      </c>
      <c r="YA25" s="15"/>
      <c r="YB25" s="15"/>
      <c r="YD25" s="14">
        <v>0.4</v>
      </c>
      <c r="YE25" s="33"/>
      <c r="YF25" s="14">
        <f t="shared" si="696"/>
        <v>1.1000000000000001</v>
      </c>
      <c r="YG25" s="15"/>
      <c r="YH25" s="15"/>
      <c r="YJ25" s="14">
        <v>1.1000000000000001</v>
      </c>
      <c r="YK25" s="33"/>
      <c r="YL25" s="14">
        <f t="shared" si="697"/>
        <v>-0.70000000000000007</v>
      </c>
      <c r="YM25" s="15"/>
      <c r="YN25" s="15"/>
      <c r="YP25" s="14">
        <v>1.1000000000000001</v>
      </c>
      <c r="YQ25" s="33"/>
      <c r="YR25" s="14">
        <f t="shared" si="698"/>
        <v>0</v>
      </c>
      <c r="YS25" s="15"/>
      <c r="YT25" s="15"/>
      <c r="YV25" s="14">
        <v>0.9</v>
      </c>
      <c r="YW25" s="33"/>
      <c r="YX25" s="14">
        <f t="shared" si="699"/>
        <v>0.20000000000000007</v>
      </c>
      <c r="YY25" s="15"/>
      <c r="YZ25" s="15"/>
      <c r="ZB25" s="14">
        <v>0.8</v>
      </c>
      <c r="ZC25" s="33"/>
      <c r="ZD25" s="14">
        <f t="shared" si="700"/>
        <v>9.9999999999999978E-2</v>
      </c>
      <c r="ZE25" s="15"/>
      <c r="ZF25" s="15"/>
      <c r="ZH25" s="14">
        <v>0.4</v>
      </c>
      <c r="ZI25" s="33"/>
      <c r="ZJ25" s="14">
        <f t="shared" si="701"/>
        <v>0.4</v>
      </c>
      <c r="ZK25" s="15"/>
      <c r="ZL25" s="15"/>
      <c r="ZN25" s="14">
        <v>0.7</v>
      </c>
      <c r="ZO25" s="33"/>
      <c r="ZP25" s="14">
        <f t="shared" si="702"/>
        <v>-0.29999999999999993</v>
      </c>
      <c r="ZQ25" s="15"/>
      <c r="ZR25" s="15"/>
      <c r="ZT25" s="14">
        <v>0.7</v>
      </c>
      <c r="ZU25" s="33"/>
      <c r="ZV25" s="14">
        <f t="shared" si="703"/>
        <v>0</v>
      </c>
      <c r="ZW25" s="15"/>
      <c r="ZX25" s="15"/>
      <c r="ZZ25" s="14">
        <v>0.5</v>
      </c>
      <c r="AAA25" s="33"/>
      <c r="AAB25" s="14">
        <f t="shared" si="704"/>
        <v>0.19999999999999996</v>
      </c>
      <c r="AAC25" s="15"/>
      <c r="AAD25" s="15"/>
      <c r="AAF25" s="14">
        <v>0.3</v>
      </c>
      <c r="AAG25" s="33">
        <v>1</v>
      </c>
      <c r="AAH25" s="14">
        <f t="shared" si="705"/>
        <v>0.2</v>
      </c>
      <c r="AAI25" s="15"/>
      <c r="AAJ25" s="15"/>
      <c r="AAL25" s="14">
        <v>1.2</v>
      </c>
      <c r="AAM25" s="33"/>
      <c r="AAN25" s="14">
        <f t="shared" si="706"/>
        <v>0.10000000000000009</v>
      </c>
      <c r="AAO25" s="15"/>
      <c r="AAP25" s="15"/>
      <c r="AAR25" s="14">
        <v>1.3</v>
      </c>
      <c r="AAS25" s="33"/>
      <c r="AAT25" s="14">
        <f t="shared" si="707"/>
        <v>-0.10000000000000009</v>
      </c>
      <c r="AAU25" s="15"/>
      <c r="AAV25" s="15"/>
      <c r="AAX25" s="14">
        <v>1.1000000000000001</v>
      </c>
      <c r="AAY25" s="33"/>
      <c r="AAZ25" s="14">
        <f t="shared" si="708"/>
        <v>0.19999999999999996</v>
      </c>
      <c r="ABA25" s="15"/>
      <c r="ABB25" s="15"/>
      <c r="ABD25" s="14">
        <v>1.8</v>
      </c>
      <c r="ABE25" s="33"/>
      <c r="ABF25" s="14">
        <f t="shared" si="709"/>
        <v>-0.7</v>
      </c>
      <c r="ABG25" s="15"/>
      <c r="ABH25" s="15"/>
      <c r="ABJ25" s="14">
        <v>0.9</v>
      </c>
      <c r="ABK25" s="33"/>
      <c r="ABL25" s="14">
        <f t="shared" si="710"/>
        <v>0.9</v>
      </c>
      <c r="ABM25" s="15"/>
      <c r="ABN25" s="15"/>
      <c r="ABP25" s="14">
        <v>0.8</v>
      </c>
      <c r="ABQ25" s="33"/>
      <c r="ABR25" s="14">
        <f t="shared" si="711"/>
        <v>9.9999999999999978E-2</v>
      </c>
      <c r="ABS25" s="15"/>
      <c r="ABT25" s="15"/>
      <c r="ABV25" s="14">
        <v>0.7</v>
      </c>
      <c r="ABW25" s="33"/>
      <c r="ABX25" s="14">
        <f t="shared" si="712"/>
        <v>0.10000000000000009</v>
      </c>
      <c r="ABY25" s="15"/>
      <c r="ABZ25" s="15"/>
      <c r="ACB25" s="14">
        <v>0.5</v>
      </c>
      <c r="ACC25" s="33"/>
      <c r="ACD25" s="14">
        <f t="shared" si="713"/>
        <v>0.19999999999999996</v>
      </c>
      <c r="ACE25" s="15"/>
      <c r="ACF25" s="15"/>
      <c r="ACH25" s="14">
        <v>0.5</v>
      </c>
      <c r="ACI25" s="33"/>
      <c r="ACJ25" s="14">
        <f t="shared" si="714"/>
        <v>0</v>
      </c>
      <c r="ACK25" s="15"/>
      <c r="ACL25" s="15"/>
      <c r="ACN25" s="14">
        <v>0.4</v>
      </c>
      <c r="ACO25" s="33">
        <v>1</v>
      </c>
      <c r="ACP25" s="14">
        <f t="shared" si="715"/>
        <v>9.9999999999999978E-2</v>
      </c>
      <c r="ACQ25" s="15"/>
      <c r="ACR25" s="15"/>
      <c r="ACT25" s="14">
        <v>1.3</v>
      </c>
      <c r="ACU25" s="33"/>
      <c r="ACV25" s="14">
        <f t="shared" si="716"/>
        <v>9.9999999999999867E-2</v>
      </c>
      <c r="ACW25" s="15"/>
      <c r="ACX25" s="15"/>
      <c r="ACZ25" s="14">
        <v>1.2</v>
      </c>
      <c r="ADA25" s="33"/>
      <c r="ADB25" s="14">
        <f t="shared" si="717"/>
        <v>0.10000000000000009</v>
      </c>
      <c r="ADC25" s="15"/>
      <c r="ADD25" s="15"/>
      <c r="ADF25" s="14">
        <v>0.8</v>
      </c>
      <c r="ADG25" s="33"/>
      <c r="ADH25" s="14">
        <f t="shared" si="718"/>
        <v>0.39999999999999991</v>
      </c>
      <c r="ADI25" s="15"/>
      <c r="ADJ25" s="15"/>
      <c r="ADL25" s="14">
        <v>0.8</v>
      </c>
      <c r="ADM25" s="33"/>
      <c r="ADN25" s="14">
        <f t="shared" si="719"/>
        <v>0</v>
      </c>
      <c r="ADO25" s="15"/>
      <c r="ADP25" s="15"/>
      <c r="ADR25" s="14">
        <v>0.6</v>
      </c>
      <c r="ADS25" s="33"/>
      <c r="ADT25" s="14">
        <f t="shared" si="720"/>
        <v>0.20000000000000007</v>
      </c>
      <c r="ADU25" s="15"/>
      <c r="ADV25" s="15"/>
      <c r="ADX25" s="14">
        <v>0.5</v>
      </c>
      <c r="ADY25" s="33"/>
      <c r="ADZ25" s="14">
        <f t="shared" si="721"/>
        <v>9.9999999999999978E-2</v>
      </c>
      <c r="AEA25" s="15"/>
      <c r="AEB25" s="15"/>
      <c r="AED25" s="14">
        <v>0.4</v>
      </c>
      <c r="AEE25" s="33">
        <v>1</v>
      </c>
      <c r="AEF25" s="14">
        <f t="shared" si="722"/>
        <v>9.9999999999999978E-2</v>
      </c>
      <c r="AEG25" s="15"/>
      <c r="AEH25" s="15"/>
      <c r="AEJ25" s="14">
        <v>1.5</v>
      </c>
      <c r="AEK25" s="33"/>
      <c r="AEL25" s="14">
        <f t="shared" si="723"/>
        <v>-0.10000000000000009</v>
      </c>
      <c r="AEM25" s="15"/>
      <c r="AEN25" s="15"/>
      <c r="AEP25" s="14">
        <v>1.3</v>
      </c>
      <c r="AEQ25" s="33"/>
      <c r="AER25" s="14">
        <f t="shared" si="724"/>
        <v>0.19999999999999996</v>
      </c>
      <c r="AES25" s="15"/>
      <c r="AET25" s="15"/>
      <c r="AEV25" s="14">
        <v>1.4</v>
      </c>
      <c r="AEW25" s="33"/>
      <c r="AEX25" s="14">
        <f t="shared" si="725"/>
        <v>-9.9999999999999867E-2</v>
      </c>
      <c r="AEY25" s="15"/>
      <c r="AEZ25" s="15"/>
      <c r="AFB25" s="14">
        <v>1.2</v>
      </c>
      <c r="AFC25" s="33"/>
      <c r="AFD25" s="14">
        <f t="shared" si="726"/>
        <v>0.19999999999999996</v>
      </c>
      <c r="AFE25" s="15"/>
      <c r="AFF25" s="15"/>
      <c r="AFH25" s="14">
        <v>1.2</v>
      </c>
      <c r="AFI25" s="33"/>
      <c r="AFJ25" s="14">
        <f t="shared" si="727"/>
        <v>0</v>
      </c>
      <c r="AFK25" s="15"/>
      <c r="AFL25" s="15"/>
      <c r="AFN25" s="14">
        <v>1.1000000000000001</v>
      </c>
      <c r="AFO25" s="33"/>
      <c r="AFP25" s="14">
        <f t="shared" si="728"/>
        <v>9.9999999999999867E-2</v>
      </c>
      <c r="AFQ25" s="15"/>
      <c r="AFR25" s="15"/>
      <c r="AFT25" s="14">
        <v>1.1000000000000001</v>
      </c>
      <c r="AFU25" s="33"/>
      <c r="AFV25" s="14">
        <f t="shared" si="729"/>
        <v>0</v>
      </c>
      <c r="AFW25" s="15"/>
      <c r="AFX25" s="15"/>
      <c r="AFZ25" s="14">
        <v>0.9</v>
      </c>
      <c r="AGA25" s="33"/>
      <c r="AGB25" s="14">
        <f t="shared" si="730"/>
        <v>0.20000000000000007</v>
      </c>
      <c r="AGC25" s="15"/>
      <c r="AGD25" s="15"/>
      <c r="AGF25" s="14">
        <v>0.8</v>
      </c>
      <c r="AGG25" s="33"/>
      <c r="AGH25" s="14">
        <f t="shared" si="731"/>
        <v>9.9999999999999978E-2</v>
      </c>
      <c r="AGI25" s="15"/>
      <c r="AGJ25" s="15"/>
      <c r="AGL25" s="14">
        <v>0.8</v>
      </c>
      <c r="AGM25" s="33"/>
      <c r="AGN25" s="14">
        <f t="shared" si="732"/>
        <v>0</v>
      </c>
      <c r="AGO25" s="15"/>
      <c r="AGP25" s="15"/>
      <c r="AGR25" s="14">
        <v>0.9</v>
      </c>
      <c r="AGS25" s="33"/>
      <c r="AGT25" s="14">
        <f t="shared" si="733"/>
        <v>-9.9999999999999978E-2</v>
      </c>
      <c r="AGU25" s="15"/>
      <c r="AGV25" s="15"/>
      <c r="AGX25" s="14">
        <v>0.8</v>
      </c>
      <c r="AGY25" s="33"/>
      <c r="AGZ25" s="14">
        <f t="shared" si="734"/>
        <v>9.9999999999999978E-2</v>
      </c>
      <c r="AHA25" s="15"/>
      <c r="AHB25" s="15"/>
      <c r="AHD25" s="14">
        <v>0.7</v>
      </c>
      <c r="AHE25" s="33"/>
      <c r="AHF25" s="14">
        <f t="shared" si="735"/>
        <v>0.10000000000000009</v>
      </c>
      <c r="AHG25" s="15"/>
      <c r="AHH25" s="15"/>
      <c r="AHJ25" s="14">
        <v>0.5</v>
      </c>
      <c r="AHK25" s="33"/>
      <c r="AHL25" s="14">
        <f t="shared" si="736"/>
        <v>0.19999999999999996</v>
      </c>
      <c r="AHM25" s="15"/>
      <c r="AHN25" s="15"/>
      <c r="AHP25" s="14">
        <v>0.5</v>
      </c>
      <c r="AHQ25" s="33"/>
      <c r="AHR25" s="14">
        <f t="shared" si="737"/>
        <v>0</v>
      </c>
      <c r="AHS25" s="15"/>
      <c r="AHT25" s="15"/>
      <c r="AHV25" s="14">
        <v>0.3</v>
      </c>
      <c r="AHW25" s="33">
        <v>1</v>
      </c>
      <c r="AHX25" s="14">
        <f t="shared" si="738"/>
        <v>0.2</v>
      </c>
      <c r="AHY25" s="15"/>
      <c r="AHZ25" s="15"/>
      <c r="AIB25" s="14">
        <v>1.4</v>
      </c>
      <c r="AIC25" s="33"/>
      <c r="AID25" s="14">
        <f t="shared" si="739"/>
        <v>-9.9999999999999867E-2</v>
      </c>
      <c r="AIE25" s="15"/>
      <c r="AIF25" s="15"/>
      <c r="AIH25" s="14">
        <v>1.3</v>
      </c>
      <c r="AII25" s="33"/>
      <c r="AIJ25" s="14">
        <f t="shared" si="740"/>
        <v>9.9999999999999867E-2</v>
      </c>
      <c r="AIK25" s="15"/>
      <c r="AIL25" s="15"/>
      <c r="AIN25" s="14">
        <v>1.7</v>
      </c>
      <c r="AIO25" s="33"/>
      <c r="AIP25" s="14">
        <f t="shared" si="741"/>
        <v>-0.39999999999999991</v>
      </c>
      <c r="AIQ25" s="15"/>
      <c r="AIR25" s="15"/>
      <c r="AIT25" s="14">
        <v>1.2</v>
      </c>
      <c r="AIU25" s="33"/>
      <c r="AIV25" s="14">
        <f t="shared" si="742"/>
        <v>0.5</v>
      </c>
      <c r="AIW25" s="15"/>
      <c r="AIX25" s="15"/>
      <c r="AIZ25" s="14">
        <v>1.3</v>
      </c>
      <c r="AJA25" s="33"/>
      <c r="AJB25" s="14">
        <f t="shared" si="743"/>
        <v>-0.10000000000000009</v>
      </c>
      <c r="AJC25" s="15"/>
      <c r="AJD25" s="15"/>
      <c r="AJF25" s="14">
        <v>1.3</v>
      </c>
      <c r="AJG25" s="33"/>
      <c r="AJH25" s="14">
        <f t="shared" si="744"/>
        <v>0</v>
      </c>
      <c r="AJI25" s="15"/>
      <c r="AJJ25" s="15"/>
      <c r="AJL25" s="14">
        <v>1.2</v>
      </c>
      <c r="AJM25" s="33"/>
      <c r="AJN25" s="14">
        <f t="shared" si="745"/>
        <v>0.10000000000000009</v>
      </c>
      <c r="AJO25" s="15"/>
      <c r="AJP25" s="15"/>
      <c r="AJR25" s="14">
        <v>1.2</v>
      </c>
      <c r="AJS25" s="33"/>
      <c r="AJT25" s="14">
        <f t="shared" si="746"/>
        <v>0</v>
      </c>
      <c r="AJU25" s="15"/>
      <c r="AJV25" s="15"/>
      <c r="AJX25" s="14">
        <v>0.9</v>
      </c>
      <c r="AJY25" s="33"/>
      <c r="AJZ25" s="14">
        <f t="shared" si="747"/>
        <v>0.29999999999999993</v>
      </c>
      <c r="AKA25" s="15"/>
      <c r="AKB25" s="15"/>
      <c r="AKD25" s="14">
        <v>0.7</v>
      </c>
      <c r="AKE25" s="33"/>
      <c r="AKF25" s="14">
        <f t="shared" si="748"/>
        <v>0.20000000000000007</v>
      </c>
      <c r="AKG25" s="15"/>
      <c r="AKH25" s="15"/>
      <c r="AKJ25" s="14">
        <v>0.8</v>
      </c>
      <c r="AKK25" s="33"/>
      <c r="AKL25" s="14">
        <f t="shared" si="749"/>
        <v>-0.10000000000000009</v>
      </c>
      <c r="AKM25" s="15"/>
      <c r="AKN25" s="15"/>
      <c r="AKP25" s="14">
        <v>0.8</v>
      </c>
      <c r="AKQ25" s="33"/>
      <c r="AKR25" s="14">
        <f t="shared" si="750"/>
        <v>0</v>
      </c>
      <c r="AKS25" s="15"/>
      <c r="AKT25" s="15"/>
      <c r="AKV25" s="14">
        <v>0.7</v>
      </c>
      <c r="AKW25" s="33"/>
      <c r="AKX25" s="14">
        <f t="shared" si="751"/>
        <v>0.10000000000000009</v>
      </c>
      <c r="AKY25" s="15"/>
      <c r="AKZ25" s="15"/>
      <c r="ALB25" s="14">
        <v>0.6</v>
      </c>
      <c r="ALC25" s="33"/>
      <c r="ALD25" s="14">
        <f t="shared" si="752"/>
        <v>9.9999999999999978E-2</v>
      </c>
      <c r="ALE25" s="15"/>
      <c r="ALF25" s="15"/>
      <c r="ALH25" s="14">
        <v>0.8</v>
      </c>
      <c r="ALI25" s="33"/>
      <c r="ALJ25" s="14">
        <f t="shared" si="753"/>
        <v>-0.20000000000000007</v>
      </c>
      <c r="ALK25" s="15"/>
      <c r="ALL25" s="15"/>
      <c r="ALN25" s="14">
        <v>0.6</v>
      </c>
      <c r="ALO25" s="33"/>
      <c r="ALP25" s="14">
        <f t="shared" si="754"/>
        <v>0.20000000000000007</v>
      </c>
      <c r="ALQ25" s="15"/>
      <c r="ALR25" s="15"/>
      <c r="ALT25" s="14">
        <v>0.5</v>
      </c>
      <c r="ALU25" s="33">
        <v>1</v>
      </c>
      <c r="ALV25" s="14">
        <f t="shared" si="755"/>
        <v>9.9999999999999978E-2</v>
      </c>
      <c r="ALW25" s="15"/>
      <c r="ALX25" s="15"/>
      <c r="ALZ25" s="14">
        <v>0.8</v>
      </c>
      <c r="AMA25" s="33"/>
      <c r="AMB25" s="14">
        <f t="shared" si="756"/>
        <v>0.7</v>
      </c>
      <c r="AMC25" s="15"/>
      <c r="AMD25" s="15"/>
      <c r="AMF25" s="14">
        <v>0.8</v>
      </c>
      <c r="AMG25" s="33"/>
      <c r="AMH25" s="14">
        <f t="shared" si="757"/>
        <v>0</v>
      </c>
      <c r="AMI25" s="15"/>
      <c r="AMJ25" s="15"/>
      <c r="AML25" s="14">
        <v>0.5</v>
      </c>
      <c r="AMM25" s="33"/>
      <c r="AMN25" s="14">
        <f t="shared" si="758"/>
        <v>0.30000000000000004</v>
      </c>
      <c r="AMO25" s="15"/>
      <c r="AMP25" s="15"/>
      <c r="AMR25" s="14">
        <v>0.6</v>
      </c>
      <c r="AMS25" s="33"/>
      <c r="AMT25" s="14">
        <f t="shared" si="759"/>
        <v>-9.9999999999999978E-2</v>
      </c>
      <c r="AMU25" s="15"/>
      <c r="AMV25" s="15"/>
      <c r="AMX25" s="14">
        <v>5</v>
      </c>
      <c r="AMY25" s="33">
        <v>1</v>
      </c>
      <c r="AMZ25" s="14">
        <f t="shared" si="760"/>
        <v>-4.4000000000000004</v>
      </c>
      <c r="ANA25" s="15"/>
      <c r="ANB25" s="15"/>
      <c r="AND25" s="14">
        <v>2.2000000000000002</v>
      </c>
      <c r="ANE25" s="33"/>
      <c r="ANF25" s="14">
        <f t="shared" si="761"/>
        <v>3.8</v>
      </c>
      <c r="ANG25" s="15"/>
      <c r="ANH25" s="15"/>
      <c r="ANJ25" s="14">
        <v>2.5</v>
      </c>
      <c r="ANK25" s="33"/>
      <c r="ANL25" s="14">
        <f t="shared" si="762"/>
        <v>-0.29999999999999982</v>
      </c>
      <c r="ANM25" s="15"/>
      <c r="ANN25" s="15"/>
      <c r="ANP25" s="14">
        <v>2.2000000000000002</v>
      </c>
      <c r="ANQ25" s="33"/>
      <c r="ANR25" s="14">
        <f t="shared" si="763"/>
        <v>0.29999999999999982</v>
      </c>
      <c r="ANS25" s="15"/>
      <c r="ANT25" s="15"/>
      <c r="ANV25" s="14">
        <v>2.2999999999999998</v>
      </c>
      <c r="ANW25" s="33"/>
      <c r="ANX25" s="14">
        <f t="shared" si="764"/>
        <v>-9.9999999999999645E-2</v>
      </c>
      <c r="ANY25" s="15"/>
      <c r="ANZ25" s="15"/>
      <c r="AOB25" s="14"/>
      <c r="AOC25" s="33"/>
      <c r="AOD25" s="14">
        <f t="shared" si="765"/>
        <v>2.2999999999999998</v>
      </c>
      <c r="AOE25" s="15"/>
      <c r="AOF25" s="15"/>
      <c r="AOH25" s="14"/>
      <c r="AOI25" s="33"/>
      <c r="AOJ25" s="14">
        <f t="shared" si="766"/>
        <v>0</v>
      </c>
      <c r="AOK25" s="15"/>
      <c r="AOL25" s="15"/>
      <c r="AON25" s="14"/>
      <c r="AOO25" s="33"/>
      <c r="AOP25" s="14">
        <f t="shared" si="767"/>
        <v>0</v>
      </c>
      <c r="AOQ25" s="15"/>
      <c r="AOR25" s="15"/>
    </row>
    <row r="26" spans="1:1024 1026:1084" x14ac:dyDescent="0.25">
      <c r="A26" s="3"/>
      <c r="B26" s="3"/>
      <c r="C26" s="5"/>
      <c r="D26" s="9"/>
      <c r="F26" s="14"/>
      <c r="G26" s="15"/>
      <c r="H26" s="11"/>
      <c r="I26" s="15"/>
      <c r="J26" s="15"/>
      <c r="L26" s="14"/>
      <c r="M26" s="15"/>
      <c r="N26" s="13"/>
      <c r="O26" s="15"/>
      <c r="P26" s="15"/>
      <c r="R26" s="14"/>
      <c r="S26" s="15"/>
      <c r="T26" s="13"/>
      <c r="U26" s="15"/>
      <c r="V26" s="15"/>
      <c r="X26" s="14"/>
      <c r="Y26" s="15"/>
      <c r="Z26" s="13"/>
      <c r="AA26" s="15"/>
      <c r="AB26" s="15"/>
      <c r="AD26" s="14"/>
      <c r="AE26" s="15"/>
      <c r="AF26" s="13"/>
      <c r="AG26" s="15"/>
      <c r="AH26" s="15"/>
      <c r="AJ26" s="14"/>
      <c r="AK26" s="15"/>
      <c r="AL26" s="13">
        <f t="shared" si="772"/>
        <v>0</v>
      </c>
      <c r="AM26" s="15"/>
      <c r="AN26" s="15"/>
      <c r="AP26" s="14"/>
      <c r="AQ26" s="15"/>
      <c r="AR26" s="13">
        <f t="shared" si="773"/>
        <v>0</v>
      </c>
      <c r="AS26" s="15"/>
      <c r="AT26" s="15"/>
      <c r="AV26" s="14"/>
      <c r="AW26" s="15"/>
      <c r="AX26" s="13">
        <f t="shared" si="774"/>
        <v>0</v>
      </c>
      <c r="AY26" s="15"/>
      <c r="AZ26" s="15"/>
      <c r="BB26" s="14"/>
      <c r="BC26" s="15"/>
      <c r="BD26" s="13">
        <f t="shared" si="775"/>
        <v>0</v>
      </c>
      <c r="BE26" s="15"/>
      <c r="BF26" s="15"/>
      <c r="BH26" s="14"/>
      <c r="BI26" s="15"/>
      <c r="BJ26" s="13">
        <f t="shared" si="776"/>
        <v>0</v>
      </c>
      <c r="BK26" s="15"/>
      <c r="BL26" s="15"/>
      <c r="BN26" s="14"/>
      <c r="BO26" s="15"/>
      <c r="BP26" s="13">
        <f t="shared" si="777"/>
        <v>0</v>
      </c>
      <c r="BQ26" s="15"/>
      <c r="BR26" s="15"/>
      <c r="BT26" s="14"/>
      <c r="BU26" s="15"/>
      <c r="BV26" s="13">
        <f t="shared" si="778"/>
        <v>0</v>
      </c>
      <c r="BW26" s="15"/>
      <c r="BX26" s="15"/>
      <c r="BZ26" s="14"/>
      <c r="CA26" s="15"/>
      <c r="CB26" s="13">
        <f t="shared" si="779"/>
        <v>0</v>
      </c>
      <c r="CC26" s="15"/>
      <c r="CD26" s="15"/>
      <c r="CF26" s="14"/>
      <c r="CG26" s="15"/>
      <c r="CH26" s="13">
        <f t="shared" si="780"/>
        <v>0</v>
      </c>
      <c r="CI26" s="15"/>
      <c r="CJ26" s="15"/>
      <c r="CL26" s="14"/>
      <c r="CM26" s="15"/>
      <c r="CN26" s="13">
        <f t="shared" si="781"/>
        <v>0</v>
      </c>
      <c r="CO26" s="15"/>
      <c r="CP26" s="15"/>
      <c r="CR26" s="14"/>
      <c r="CS26" s="15"/>
      <c r="CT26" s="13">
        <f t="shared" si="782"/>
        <v>0</v>
      </c>
      <c r="CU26" s="15"/>
      <c r="CV26" s="15"/>
      <c r="CX26" s="14"/>
      <c r="CY26" s="33"/>
      <c r="CZ26" s="13">
        <f t="shared" si="783"/>
        <v>0</v>
      </c>
      <c r="DA26" s="15"/>
      <c r="DB26" s="15"/>
      <c r="DD26" s="14"/>
      <c r="DE26" s="33"/>
      <c r="DF26" s="13">
        <f t="shared" si="784"/>
        <v>0</v>
      </c>
      <c r="DG26" s="15"/>
      <c r="DH26" s="15"/>
      <c r="DJ26" s="14"/>
      <c r="DK26" s="33"/>
      <c r="DL26" s="13">
        <f t="shared" si="785"/>
        <v>0</v>
      </c>
      <c r="DM26" s="15"/>
      <c r="DN26" s="15"/>
      <c r="DP26" s="14"/>
      <c r="DQ26" s="33"/>
      <c r="DR26" s="13">
        <f t="shared" si="786"/>
        <v>0</v>
      </c>
      <c r="DS26" s="15"/>
      <c r="DT26" s="15"/>
      <c r="DV26" s="14"/>
      <c r="DW26" s="33"/>
      <c r="DX26" s="13">
        <f t="shared" si="787"/>
        <v>0</v>
      </c>
      <c r="DY26" s="15"/>
      <c r="DZ26" s="15"/>
      <c r="EB26" s="14"/>
      <c r="EC26" s="33"/>
      <c r="ED26" s="13">
        <f t="shared" si="788"/>
        <v>0</v>
      </c>
      <c r="EE26" s="15"/>
      <c r="EF26" s="15"/>
      <c r="EH26" s="14"/>
      <c r="EI26" s="33"/>
      <c r="EJ26" s="13">
        <f t="shared" si="789"/>
        <v>0</v>
      </c>
      <c r="EK26" s="15"/>
      <c r="EL26" s="15"/>
      <c r="EN26" s="14"/>
      <c r="EO26" s="33"/>
      <c r="EP26" s="13">
        <f t="shared" si="790"/>
        <v>0</v>
      </c>
      <c r="EQ26" s="15"/>
      <c r="ER26" s="15"/>
      <c r="ET26" s="14"/>
      <c r="EU26" s="33"/>
      <c r="EV26" s="13">
        <f t="shared" si="791"/>
        <v>0</v>
      </c>
      <c r="EW26" s="15"/>
      <c r="EX26" s="15"/>
      <c r="EZ26" s="14"/>
      <c r="FA26" s="33"/>
      <c r="FB26" s="14">
        <f t="shared" si="792"/>
        <v>0</v>
      </c>
      <c r="FC26" s="15"/>
      <c r="FD26" s="15"/>
      <c r="FF26" s="14"/>
      <c r="FG26" s="33"/>
      <c r="FH26" s="14">
        <f t="shared" si="614"/>
        <v>0</v>
      </c>
      <c r="FI26" s="15"/>
      <c r="FJ26" s="15"/>
      <c r="FL26" s="14"/>
      <c r="FM26" s="33"/>
      <c r="FN26" s="14">
        <f t="shared" si="615"/>
        <v>0</v>
      </c>
      <c r="FO26" s="15"/>
      <c r="FP26" s="15"/>
      <c r="FR26" s="14"/>
      <c r="FS26" s="33"/>
      <c r="FT26" s="14">
        <f t="shared" si="616"/>
        <v>0</v>
      </c>
      <c r="FU26" s="15"/>
      <c r="FV26" s="15"/>
      <c r="FX26" s="14"/>
      <c r="FY26" s="33"/>
      <c r="FZ26" s="14">
        <f t="shared" si="617"/>
        <v>0</v>
      </c>
      <c r="GA26" s="15"/>
      <c r="GB26" s="15"/>
      <c r="GD26" s="14"/>
      <c r="GE26" s="33"/>
      <c r="GF26" s="14">
        <f t="shared" si="618"/>
        <v>0</v>
      </c>
      <c r="GG26" s="15"/>
      <c r="GH26" s="15"/>
      <c r="GJ26" s="14"/>
      <c r="GK26" s="33"/>
      <c r="GL26" s="14">
        <f t="shared" si="619"/>
        <v>0</v>
      </c>
      <c r="GM26" s="15"/>
      <c r="GN26" s="15"/>
      <c r="GP26" s="14"/>
      <c r="GQ26" s="33"/>
      <c r="GR26" s="14">
        <f t="shared" si="620"/>
        <v>0</v>
      </c>
      <c r="GS26" s="15"/>
      <c r="GT26" s="15"/>
      <c r="GV26" s="14"/>
      <c r="GW26" s="33"/>
      <c r="GX26" s="14">
        <f t="shared" si="621"/>
        <v>0</v>
      </c>
      <c r="GY26" s="15"/>
      <c r="GZ26" s="15"/>
      <c r="HB26" s="14"/>
      <c r="HC26" s="33"/>
      <c r="HD26" s="14">
        <f t="shared" si="622"/>
        <v>0</v>
      </c>
      <c r="HE26" s="15"/>
      <c r="HF26" s="15"/>
      <c r="HH26" s="14"/>
      <c r="HI26" s="33"/>
      <c r="HJ26" s="14">
        <f t="shared" si="623"/>
        <v>0</v>
      </c>
      <c r="HK26" s="15"/>
      <c r="HL26" s="15"/>
      <c r="HN26" s="14"/>
      <c r="HO26" s="33"/>
      <c r="HP26" s="14">
        <f t="shared" si="624"/>
        <v>0</v>
      </c>
      <c r="HQ26" s="15"/>
      <c r="HR26" s="15"/>
      <c r="HT26" s="14"/>
      <c r="HU26" s="33"/>
      <c r="HV26" s="14">
        <f t="shared" si="625"/>
        <v>0</v>
      </c>
      <c r="HW26" s="15"/>
      <c r="HX26" s="15"/>
      <c r="HZ26" s="14"/>
      <c r="IA26" s="33"/>
      <c r="IB26" s="14">
        <f t="shared" si="626"/>
        <v>0</v>
      </c>
      <c r="IC26" s="15"/>
      <c r="ID26" s="15"/>
      <c r="IF26" s="14"/>
      <c r="IG26" s="33"/>
      <c r="IH26" s="14">
        <f t="shared" si="627"/>
        <v>0</v>
      </c>
      <c r="II26" s="15"/>
      <c r="IJ26" s="15"/>
      <c r="IL26" s="14"/>
      <c r="IM26" s="33"/>
      <c r="IN26" s="14">
        <f t="shared" si="628"/>
        <v>0</v>
      </c>
      <c r="IO26" s="15"/>
      <c r="IP26" s="15"/>
      <c r="IR26" s="14"/>
      <c r="IS26" s="33"/>
      <c r="IT26" s="14">
        <f t="shared" si="629"/>
        <v>0</v>
      </c>
      <c r="IU26" s="15"/>
      <c r="IV26" s="15"/>
      <c r="IX26" s="14"/>
      <c r="IY26" s="33"/>
      <c r="IZ26" s="14">
        <f t="shared" si="630"/>
        <v>0</v>
      </c>
      <c r="JA26" s="15"/>
      <c r="JB26" s="15"/>
      <c r="JD26" s="14"/>
      <c r="JE26" s="33"/>
      <c r="JF26" s="14">
        <f t="shared" si="631"/>
        <v>0</v>
      </c>
      <c r="JG26" s="15"/>
      <c r="JH26" s="15"/>
      <c r="JJ26" s="14"/>
      <c r="JK26" s="33"/>
      <c r="JL26" s="14">
        <f t="shared" si="632"/>
        <v>0</v>
      </c>
      <c r="JM26" s="15"/>
      <c r="JN26" s="15"/>
      <c r="JP26" s="14"/>
      <c r="JQ26" s="33"/>
      <c r="JR26" s="14">
        <f t="shared" si="633"/>
        <v>0</v>
      </c>
      <c r="JS26" s="15"/>
      <c r="JT26" s="15"/>
      <c r="JV26" s="14"/>
      <c r="JW26" s="33"/>
      <c r="JX26" s="14">
        <f t="shared" si="634"/>
        <v>0</v>
      </c>
      <c r="JY26" s="15"/>
      <c r="JZ26" s="15"/>
      <c r="KB26" s="14"/>
      <c r="KC26" s="33"/>
      <c r="KD26" s="14">
        <f t="shared" si="635"/>
        <v>0</v>
      </c>
      <c r="KE26" s="15"/>
      <c r="KF26" s="15"/>
      <c r="KH26" s="14"/>
      <c r="KI26" s="33"/>
      <c r="KJ26" s="14">
        <f t="shared" si="636"/>
        <v>0</v>
      </c>
      <c r="KK26" s="15"/>
      <c r="KL26" s="15"/>
      <c r="KN26" s="14"/>
      <c r="KO26" s="33"/>
      <c r="KP26" s="14">
        <f t="shared" si="637"/>
        <v>0</v>
      </c>
      <c r="KQ26" s="15"/>
      <c r="KR26" s="15"/>
      <c r="KT26" s="14"/>
      <c r="KU26" s="33"/>
      <c r="KV26" s="14">
        <f t="shared" si="638"/>
        <v>0</v>
      </c>
      <c r="KW26" s="15"/>
      <c r="KX26" s="15"/>
      <c r="KZ26" s="14"/>
      <c r="LA26" s="33"/>
      <c r="LB26" s="14">
        <f t="shared" si="639"/>
        <v>0</v>
      </c>
      <c r="LC26" s="15"/>
      <c r="LD26" s="15"/>
      <c r="LF26" s="14"/>
      <c r="LG26" s="33"/>
      <c r="LH26" s="14">
        <f t="shared" si="640"/>
        <v>0</v>
      </c>
      <c r="LI26" s="15"/>
      <c r="LJ26" s="15"/>
      <c r="LL26" s="14"/>
      <c r="LM26" s="33"/>
      <c r="LN26" s="14">
        <f t="shared" si="641"/>
        <v>0</v>
      </c>
      <c r="LO26" s="15"/>
      <c r="LP26" s="15"/>
      <c r="LR26" s="14"/>
      <c r="LS26" s="33"/>
      <c r="LT26" s="14">
        <f t="shared" si="642"/>
        <v>0</v>
      </c>
      <c r="LU26" s="15"/>
      <c r="LV26" s="15"/>
      <c r="LX26" s="14"/>
      <c r="LY26" s="33"/>
      <c r="LZ26" s="14">
        <f t="shared" si="643"/>
        <v>0</v>
      </c>
      <c r="MA26" s="15"/>
      <c r="MB26" s="15"/>
      <c r="MD26" s="14"/>
      <c r="ME26" s="33"/>
      <c r="MF26" s="14">
        <f t="shared" si="644"/>
        <v>0</v>
      </c>
      <c r="MG26" s="15"/>
      <c r="MH26" s="15"/>
      <c r="MJ26" s="14"/>
      <c r="MK26" s="33"/>
      <c r="ML26" s="14">
        <f t="shared" si="645"/>
        <v>0</v>
      </c>
      <c r="MM26" s="15"/>
      <c r="MN26" s="15"/>
      <c r="MP26" s="14"/>
      <c r="MQ26" s="33"/>
      <c r="MR26" s="14">
        <f t="shared" si="646"/>
        <v>0</v>
      </c>
      <c r="MS26" s="15"/>
      <c r="MT26" s="15"/>
      <c r="MV26" s="14"/>
      <c r="MW26" s="33"/>
      <c r="MX26" s="14">
        <f t="shared" si="647"/>
        <v>0</v>
      </c>
      <c r="MY26" s="15"/>
      <c r="MZ26" s="15"/>
      <c r="NB26" s="14"/>
      <c r="NC26" s="33"/>
      <c r="ND26" s="14">
        <f t="shared" si="648"/>
        <v>0</v>
      </c>
      <c r="NE26" s="15"/>
      <c r="NF26" s="15"/>
      <c r="NH26" s="14"/>
      <c r="NI26" s="33"/>
      <c r="NJ26" s="14">
        <f t="shared" si="649"/>
        <v>0</v>
      </c>
      <c r="NK26" s="15"/>
      <c r="NL26" s="15"/>
      <c r="NN26" s="14"/>
      <c r="NO26" s="33"/>
      <c r="NP26" s="14">
        <f t="shared" si="650"/>
        <v>0</v>
      </c>
      <c r="NQ26" s="15"/>
      <c r="NR26" s="15"/>
      <c r="NT26" s="14"/>
      <c r="NU26" s="33"/>
      <c r="NV26" s="14">
        <f t="shared" si="651"/>
        <v>0</v>
      </c>
      <c r="NW26" s="15"/>
      <c r="NX26" s="15"/>
      <c r="NZ26" s="14"/>
      <c r="OA26" s="33"/>
      <c r="OB26" s="14">
        <f t="shared" si="652"/>
        <v>0</v>
      </c>
      <c r="OC26" s="15"/>
      <c r="OD26" s="15"/>
      <c r="OF26" s="14"/>
      <c r="OG26" s="33"/>
      <c r="OH26" s="14">
        <f t="shared" si="653"/>
        <v>0</v>
      </c>
      <c r="OI26" s="15"/>
      <c r="OJ26" s="15"/>
      <c r="OL26" s="14"/>
      <c r="OM26" s="33"/>
      <c r="ON26" s="14">
        <f t="shared" si="654"/>
        <v>0</v>
      </c>
      <c r="OO26" s="15"/>
      <c r="OP26" s="15"/>
      <c r="OR26" s="14"/>
      <c r="OS26" s="33"/>
      <c r="OT26" s="14">
        <f t="shared" si="655"/>
        <v>0</v>
      </c>
      <c r="OU26" s="15"/>
      <c r="OV26" s="15"/>
      <c r="OX26" s="14"/>
      <c r="OY26" s="33"/>
      <c r="OZ26" s="14">
        <f t="shared" si="656"/>
        <v>0</v>
      </c>
      <c r="PA26" s="15"/>
      <c r="PB26" s="15"/>
      <c r="PD26" s="14"/>
      <c r="PE26" s="33"/>
      <c r="PF26" s="14">
        <f t="shared" si="657"/>
        <v>0</v>
      </c>
      <c r="PG26" s="15"/>
      <c r="PH26" s="15"/>
      <c r="PJ26" s="14"/>
      <c r="PK26" s="33"/>
      <c r="PL26" s="14">
        <f t="shared" si="658"/>
        <v>0</v>
      </c>
      <c r="PM26" s="15"/>
      <c r="PN26" s="15"/>
      <c r="PP26" s="14"/>
      <c r="PQ26" s="33"/>
      <c r="PR26" s="14">
        <f t="shared" si="659"/>
        <v>0</v>
      </c>
      <c r="PS26" s="15"/>
      <c r="PT26" s="15"/>
      <c r="PV26" s="14"/>
      <c r="PW26" s="33"/>
      <c r="PX26" s="14">
        <f t="shared" si="660"/>
        <v>0</v>
      </c>
      <c r="PY26" s="15"/>
      <c r="PZ26" s="15"/>
      <c r="QB26" s="14"/>
      <c r="QC26" s="33"/>
      <c r="QD26" s="14">
        <f t="shared" si="661"/>
        <v>0</v>
      </c>
      <c r="QE26" s="15"/>
      <c r="QF26" s="15"/>
      <c r="QH26" s="14"/>
      <c r="QI26" s="33"/>
      <c r="QJ26" s="14">
        <f t="shared" si="662"/>
        <v>0</v>
      </c>
      <c r="QK26" s="15"/>
      <c r="QL26" s="15"/>
      <c r="QN26" s="14"/>
      <c r="QO26" s="33"/>
      <c r="QP26" s="14">
        <f t="shared" si="663"/>
        <v>0</v>
      </c>
      <c r="QQ26" s="15"/>
      <c r="QR26" s="15"/>
      <c r="QT26" s="14"/>
      <c r="QU26" s="33"/>
      <c r="QV26" s="14">
        <f t="shared" si="664"/>
        <v>0</v>
      </c>
      <c r="QW26" s="15"/>
      <c r="QX26" s="15"/>
      <c r="QZ26" s="14"/>
      <c r="RA26" s="33"/>
      <c r="RB26" s="14">
        <f t="shared" si="665"/>
        <v>0</v>
      </c>
      <c r="RC26" s="15"/>
      <c r="RD26" s="15"/>
      <c r="RF26" s="14"/>
      <c r="RG26" s="33"/>
      <c r="RH26" s="14">
        <f t="shared" si="666"/>
        <v>0</v>
      </c>
      <c r="RI26" s="15"/>
      <c r="RJ26" s="15"/>
      <c r="RL26" s="14"/>
      <c r="RM26" s="33"/>
      <c r="RN26" s="14">
        <f t="shared" si="667"/>
        <v>0</v>
      </c>
      <c r="RO26" s="15"/>
      <c r="RP26" s="15"/>
      <c r="RR26" s="14"/>
      <c r="RS26" s="33"/>
      <c r="RT26" s="14">
        <f t="shared" si="668"/>
        <v>0</v>
      </c>
      <c r="RU26" s="15"/>
      <c r="RV26" s="15"/>
      <c r="RX26" s="14"/>
      <c r="RY26" s="33"/>
      <c r="RZ26" s="14">
        <f t="shared" si="669"/>
        <v>0</v>
      </c>
      <c r="SA26" s="15"/>
      <c r="SB26" s="15"/>
      <c r="SD26" s="14"/>
      <c r="SE26" s="33"/>
      <c r="SF26" s="14">
        <f t="shared" si="670"/>
        <v>0</v>
      </c>
      <c r="SG26" s="15"/>
      <c r="SH26" s="15"/>
      <c r="SJ26" s="14"/>
      <c r="SK26" s="33"/>
      <c r="SL26" s="14">
        <f t="shared" si="671"/>
        <v>0</v>
      </c>
      <c r="SM26" s="15"/>
      <c r="SN26" s="15"/>
      <c r="SP26" s="14"/>
      <c r="SQ26" s="33"/>
      <c r="SR26" s="14">
        <f t="shared" si="672"/>
        <v>0</v>
      </c>
      <c r="SS26" s="15"/>
      <c r="ST26" s="15"/>
      <c r="SV26" s="14"/>
      <c r="SW26" s="33"/>
      <c r="SX26" s="14">
        <f t="shared" si="673"/>
        <v>0</v>
      </c>
      <c r="SY26" s="15"/>
      <c r="SZ26" s="15"/>
      <c r="TB26" s="14"/>
      <c r="TC26" s="33"/>
      <c r="TD26" s="14">
        <f t="shared" si="674"/>
        <v>0</v>
      </c>
      <c r="TE26" s="15"/>
      <c r="TF26" s="15"/>
      <c r="TH26" s="14"/>
      <c r="TI26" s="33"/>
      <c r="TJ26" s="14">
        <f t="shared" si="675"/>
        <v>0</v>
      </c>
      <c r="TK26" s="15"/>
      <c r="TL26" s="15"/>
      <c r="TN26" s="14"/>
      <c r="TO26" s="33"/>
      <c r="TP26" s="14">
        <f t="shared" si="676"/>
        <v>0</v>
      </c>
      <c r="TQ26" s="15"/>
      <c r="TR26" s="15"/>
      <c r="TT26" s="14"/>
      <c r="TU26" s="33"/>
      <c r="TV26" s="14">
        <f t="shared" si="677"/>
        <v>0</v>
      </c>
      <c r="TW26" s="15"/>
      <c r="TX26" s="15"/>
      <c r="TZ26" s="14"/>
      <c r="UA26" s="33"/>
      <c r="UB26" s="14">
        <f t="shared" si="678"/>
        <v>0</v>
      </c>
      <c r="UC26" s="15"/>
      <c r="UD26" s="15"/>
      <c r="UF26" s="14"/>
      <c r="UG26" s="33"/>
      <c r="UH26" s="14">
        <f t="shared" si="679"/>
        <v>0</v>
      </c>
      <c r="UI26" s="15"/>
      <c r="UJ26" s="15"/>
      <c r="UL26" s="14"/>
      <c r="UM26" s="33"/>
      <c r="UN26" s="14">
        <f t="shared" si="680"/>
        <v>0</v>
      </c>
      <c r="UO26" s="15"/>
      <c r="UP26" s="15"/>
      <c r="UR26" s="14"/>
      <c r="US26" s="33"/>
      <c r="UT26" s="14">
        <f t="shared" si="681"/>
        <v>0</v>
      </c>
      <c r="UU26" s="15"/>
      <c r="UV26" s="15"/>
      <c r="UX26" s="14"/>
      <c r="UY26" s="33"/>
      <c r="UZ26" s="14">
        <f t="shared" si="682"/>
        <v>0</v>
      </c>
      <c r="VA26" s="15"/>
      <c r="VB26" s="15"/>
      <c r="VD26" s="14"/>
      <c r="VE26" s="33"/>
      <c r="VF26" s="14">
        <f t="shared" si="683"/>
        <v>0</v>
      </c>
      <c r="VG26" s="15"/>
      <c r="VH26" s="15"/>
      <c r="VJ26" s="14"/>
      <c r="VK26" s="33"/>
      <c r="VL26" s="14">
        <f t="shared" si="684"/>
        <v>0</v>
      </c>
      <c r="VM26" s="15"/>
      <c r="VN26" s="15"/>
      <c r="VP26" s="14"/>
      <c r="VQ26" s="33"/>
      <c r="VR26" s="14">
        <f t="shared" si="685"/>
        <v>0</v>
      </c>
      <c r="VS26" s="15"/>
      <c r="VT26" s="15"/>
      <c r="VV26" s="14"/>
      <c r="VW26" s="33"/>
      <c r="VX26" s="14">
        <f t="shared" si="686"/>
        <v>0</v>
      </c>
      <c r="VY26" s="15"/>
      <c r="VZ26" s="15"/>
      <c r="WB26" s="14"/>
      <c r="WC26" s="33"/>
      <c r="WD26" s="14">
        <f t="shared" si="687"/>
        <v>0</v>
      </c>
      <c r="WE26" s="15"/>
      <c r="WF26" s="15"/>
      <c r="WH26" s="14"/>
      <c r="WI26" s="33"/>
      <c r="WJ26" s="14">
        <f t="shared" si="688"/>
        <v>0</v>
      </c>
      <c r="WK26" s="15"/>
      <c r="WL26" s="15"/>
      <c r="WN26" s="14"/>
      <c r="WO26" s="33"/>
      <c r="WP26" s="14">
        <f t="shared" si="689"/>
        <v>0</v>
      </c>
      <c r="WQ26" s="15"/>
      <c r="WR26" s="15"/>
      <c r="WT26" s="14"/>
      <c r="WU26" s="33"/>
      <c r="WV26" s="14">
        <f t="shared" si="690"/>
        <v>0</v>
      </c>
      <c r="WW26" s="15"/>
      <c r="WX26" s="15"/>
      <c r="WZ26" s="14"/>
      <c r="XA26" s="33"/>
      <c r="XB26" s="14">
        <f t="shared" si="691"/>
        <v>0</v>
      </c>
      <c r="XC26" s="15"/>
      <c r="XD26" s="15"/>
      <c r="XF26" s="14"/>
      <c r="XG26" s="33"/>
      <c r="XH26" s="14">
        <f t="shared" si="692"/>
        <v>0</v>
      </c>
      <c r="XI26" s="15"/>
      <c r="XJ26" s="15"/>
      <c r="XL26" s="14"/>
      <c r="XM26" s="33"/>
      <c r="XN26" s="14">
        <f t="shared" si="693"/>
        <v>0</v>
      </c>
      <c r="XO26" s="15"/>
      <c r="XP26" s="15"/>
      <c r="XR26" s="14"/>
      <c r="XS26" s="33"/>
      <c r="XT26" s="14">
        <f t="shared" si="694"/>
        <v>0</v>
      </c>
      <c r="XU26" s="15"/>
      <c r="XV26" s="15"/>
      <c r="XX26" s="14"/>
      <c r="XY26" s="33"/>
      <c r="XZ26" s="14">
        <f t="shared" si="695"/>
        <v>0</v>
      </c>
      <c r="YA26" s="15"/>
      <c r="YB26" s="15"/>
      <c r="YD26" s="14"/>
      <c r="YE26" s="33"/>
      <c r="YF26" s="14">
        <f t="shared" si="696"/>
        <v>0</v>
      </c>
      <c r="YG26" s="15"/>
      <c r="YH26" s="15"/>
      <c r="YJ26" s="14"/>
      <c r="YK26" s="33"/>
      <c r="YL26" s="14">
        <f t="shared" si="697"/>
        <v>0</v>
      </c>
      <c r="YM26" s="15"/>
      <c r="YN26" s="15"/>
      <c r="YP26" s="14"/>
      <c r="YQ26" s="33"/>
      <c r="YR26" s="14">
        <f t="shared" si="698"/>
        <v>0</v>
      </c>
      <c r="YS26" s="15"/>
      <c r="YT26" s="15"/>
      <c r="YV26" s="14"/>
      <c r="YW26" s="33"/>
      <c r="YX26" s="14">
        <f t="shared" si="699"/>
        <v>0</v>
      </c>
      <c r="YY26" s="15"/>
      <c r="YZ26" s="15"/>
      <c r="ZB26" s="14"/>
      <c r="ZC26" s="33"/>
      <c r="ZD26" s="14">
        <f t="shared" si="700"/>
        <v>0</v>
      </c>
      <c r="ZE26" s="15"/>
      <c r="ZF26" s="15"/>
      <c r="ZH26" s="14"/>
      <c r="ZI26" s="33"/>
      <c r="ZJ26" s="14">
        <f t="shared" si="701"/>
        <v>0</v>
      </c>
      <c r="ZK26" s="15"/>
      <c r="ZL26" s="15"/>
      <c r="ZN26" s="14"/>
      <c r="ZO26" s="33"/>
      <c r="ZP26" s="14">
        <f t="shared" si="702"/>
        <v>0</v>
      </c>
      <c r="ZQ26" s="15"/>
      <c r="ZR26" s="15"/>
      <c r="ZT26" s="14"/>
      <c r="ZU26" s="33"/>
      <c r="ZV26" s="14">
        <f t="shared" si="703"/>
        <v>0</v>
      </c>
      <c r="ZW26" s="15"/>
      <c r="ZX26" s="15"/>
      <c r="ZZ26" s="14"/>
      <c r="AAA26" s="33"/>
      <c r="AAB26" s="14">
        <f t="shared" si="704"/>
        <v>0</v>
      </c>
      <c r="AAC26" s="15"/>
      <c r="AAD26" s="15"/>
      <c r="AAF26" s="14"/>
      <c r="AAG26" s="33"/>
      <c r="AAH26" s="14">
        <f t="shared" si="705"/>
        <v>0</v>
      </c>
      <c r="AAI26" s="15"/>
      <c r="AAJ26" s="15"/>
      <c r="AAL26" s="14"/>
      <c r="AAM26" s="33"/>
      <c r="AAN26" s="14">
        <f t="shared" si="706"/>
        <v>0</v>
      </c>
      <c r="AAO26" s="15"/>
      <c r="AAP26" s="15"/>
      <c r="AAR26" s="14"/>
      <c r="AAS26" s="33"/>
      <c r="AAT26" s="14">
        <f t="shared" si="707"/>
        <v>0</v>
      </c>
      <c r="AAU26" s="15"/>
      <c r="AAV26" s="15"/>
      <c r="AAX26" s="14"/>
      <c r="AAY26" s="33"/>
      <c r="AAZ26" s="14">
        <f t="shared" si="708"/>
        <v>0</v>
      </c>
      <c r="ABA26" s="15"/>
      <c r="ABB26" s="15"/>
      <c r="ABD26" s="14"/>
      <c r="ABE26" s="33"/>
      <c r="ABF26" s="14">
        <f t="shared" si="709"/>
        <v>0</v>
      </c>
      <c r="ABG26" s="15"/>
      <c r="ABH26" s="15"/>
      <c r="ABJ26" s="14"/>
      <c r="ABK26" s="33"/>
      <c r="ABL26" s="14">
        <f t="shared" si="710"/>
        <v>0</v>
      </c>
      <c r="ABM26" s="15"/>
      <c r="ABN26" s="15"/>
      <c r="ABP26" s="14"/>
      <c r="ABQ26" s="33"/>
      <c r="ABR26" s="14">
        <f t="shared" si="711"/>
        <v>0</v>
      </c>
      <c r="ABS26" s="15"/>
      <c r="ABT26" s="15"/>
      <c r="ABV26" s="14"/>
      <c r="ABW26" s="33"/>
      <c r="ABX26" s="14">
        <f t="shared" si="712"/>
        <v>0</v>
      </c>
      <c r="ABY26" s="15"/>
      <c r="ABZ26" s="15"/>
      <c r="ACB26" s="14"/>
      <c r="ACC26" s="33"/>
      <c r="ACD26" s="14">
        <f t="shared" si="713"/>
        <v>0</v>
      </c>
      <c r="ACE26" s="15"/>
      <c r="ACF26" s="15"/>
      <c r="ACH26" s="14"/>
      <c r="ACI26" s="33"/>
      <c r="ACJ26" s="14">
        <f t="shared" si="714"/>
        <v>0</v>
      </c>
      <c r="ACK26" s="15"/>
      <c r="ACL26" s="15"/>
      <c r="ACN26" s="14"/>
      <c r="ACO26" s="33"/>
      <c r="ACP26" s="14">
        <f t="shared" si="715"/>
        <v>0</v>
      </c>
      <c r="ACQ26" s="15"/>
      <c r="ACR26" s="15"/>
      <c r="ACT26" s="14"/>
      <c r="ACU26" s="33"/>
      <c r="ACV26" s="14">
        <f t="shared" si="716"/>
        <v>0</v>
      </c>
      <c r="ACW26" s="15"/>
      <c r="ACX26" s="15"/>
      <c r="ACZ26" s="14"/>
      <c r="ADA26" s="33"/>
      <c r="ADB26" s="14">
        <f t="shared" si="717"/>
        <v>0</v>
      </c>
      <c r="ADC26" s="15"/>
      <c r="ADD26" s="15"/>
      <c r="ADF26" s="14"/>
      <c r="ADG26" s="33"/>
      <c r="ADH26" s="14">
        <f t="shared" si="718"/>
        <v>0</v>
      </c>
      <c r="ADI26" s="15"/>
      <c r="ADJ26" s="15"/>
      <c r="ADL26" s="14"/>
      <c r="ADM26" s="33"/>
      <c r="ADN26" s="14">
        <f t="shared" si="719"/>
        <v>0</v>
      </c>
      <c r="ADO26" s="15"/>
      <c r="ADP26" s="15"/>
      <c r="ADR26" s="14"/>
      <c r="ADS26" s="33"/>
      <c r="ADT26" s="14">
        <f t="shared" si="720"/>
        <v>0</v>
      </c>
      <c r="ADU26" s="15"/>
      <c r="ADV26" s="15"/>
      <c r="ADX26" s="14"/>
      <c r="ADY26" s="33"/>
      <c r="ADZ26" s="14">
        <f t="shared" si="721"/>
        <v>0</v>
      </c>
      <c r="AEA26" s="15"/>
      <c r="AEB26" s="15"/>
      <c r="AED26" s="14"/>
      <c r="AEE26" s="33"/>
      <c r="AEF26" s="14">
        <f t="shared" si="722"/>
        <v>0</v>
      </c>
      <c r="AEG26" s="15"/>
      <c r="AEH26" s="15"/>
      <c r="AEJ26" s="14"/>
      <c r="AEK26" s="33"/>
      <c r="AEL26" s="14">
        <f t="shared" si="723"/>
        <v>0</v>
      </c>
      <c r="AEM26" s="15"/>
      <c r="AEN26" s="15"/>
      <c r="AEP26" s="14"/>
      <c r="AEQ26" s="33"/>
      <c r="AER26" s="14">
        <f t="shared" si="724"/>
        <v>0</v>
      </c>
      <c r="AES26" s="15"/>
      <c r="AET26" s="15"/>
      <c r="AEV26" s="14"/>
      <c r="AEW26" s="33"/>
      <c r="AEX26" s="14">
        <f t="shared" si="725"/>
        <v>0</v>
      </c>
      <c r="AEY26" s="15"/>
      <c r="AEZ26" s="15"/>
      <c r="AFB26" s="14"/>
      <c r="AFC26" s="33"/>
      <c r="AFD26" s="14">
        <f t="shared" si="726"/>
        <v>0</v>
      </c>
      <c r="AFE26" s="15"/>
      <c r="AFF26" s="15"/>
      <c r="AFH26" s="14"/>
      <c r="AFI26" s="33"/>
      <c r="AFJ26" s="14">
        <f t="shared" si="727"/>
        <v>0</v>
      </c>
      <c r="AFK26" s="15"/>
      <c r="AFL26" s="15"/>
      <c r="AFN26" s="14"/>
      <c r="AFO26" s="33"/>
      <c r="AFP26" s="14">
        <f t="shared" si="728"/>
        <v>0</v>
      </c>
      <c r="AFQ26" s="15"/>
      <c r="AFR26" s="15"/>
      <c r="AFT26" s="14"/>
      <c r="AFU26" s="33"/>
      <c r="AFV26" s="14">
        <f t="shared" si="729"/>
        <v>0</v>
      </c>
      <c r="AFW26" s="15"/>
      <c r="AFX26" s="15"/>
      <c r="AFZ26" s="14"/>
      <c r="AGA26" s="33"/>
      <c r="AGB26" s="14">
        <f t="shared" si="730"/>
        <v>0</v>
      </c>
      <c r="AGC26" s="15"/>
      <c r="AGD26" s="15"/>
      <c r="AGF26" s="14"/>
      <c r="AGG26" s="33"/>
      <c r="AGH26" s="14">
        <f t="shared" si="731"/>
        <v>0</v>
      </c>
      <c r="AGI26" s="15"/>
      <c r="AGJ26" s="15"/>
      <c r="AGL26" s="14"/>
      <c r="AGM26" s="33"/>
      <c r="AGN26" s="14">
        <f t="shared" si="732"/>
        <v>0</v>
      </c>
      <c r="AGO26" s="15"/>
      <c r="AGP26" s="15"/>
      <c r="AGR26" s="14"/>
      <c r="AGS26" s="33"/>
      <c r="AGT26" s="14">
        <f t="shared" si="733"/>
        <v>0</v>
      </c>
      <c r="AGU26" s="15"/>
      <c r="AGV26" s="15"/>
      <c r="AGX26" s="14"/>
      <c r="AGY26" s="33"/>
      <c r="AGZ26" s="14">
        <f t="shared" si="734"/>
        <v>0</v>
      </c>
      <c r="AHA26" s="15"/>
      <c r="AHB26" s="15"/>
      <c r="AHD26" s="14"/>
      <c r="AHE26" s="33"/>
      <c r="AHF26" s="14">
        <f t="shared" si="735"/>
        <v>0</v>
      </c>
      <c r="AHG26" s="15"/>
      <c r="AHH26" s="15"/>
      <c r="AHJ26" s="14"/>
      <c r="AHK26" s="33"/>
      <c r="AHL26" s="14">
        <f t="shared" si="736"/>
        <v>0</v>
      </c>
      <c r="AHM26" s="15"/>
      <c r="AHN26" s="15"/>
      <c r="AHP26" s="14"/>
      <c r="AHQ26" s="33"/>
      <c r="AHR26" s="14">
        <f t="shared" si="737"/>
        <v>0</v>
      </c>
      <c r="AHS26" s="15"/>
      <c r="AHT26" s="15"/>
      <c r="AHV26" s="14"/>
      <c r="AHW26" s="33"/>
      <c r="AHX26" s="14">
        <f t="shared" si="738"/>
        <v>0</v>
      </c>
      <c r="AHY26" s="15"/>
      <c r="AHZ26" s="15"/>
      <c r="AIB26" s="14"/>
      <c r="AIC26" s="33"/>
      <c r="AID26" s="14">
        <f t="shared" si="739"/>
        <v>0</v>
      </c>
      <c r="AIE26" s="15"/>
      <c r="AIF26" s="15"/>
      <c r="AIH26" s="14"/>
      <c r="AII26" s="33"/>
      <c r="AIJ26" s="14">
        <f t="shared" si="740"/>
        <v>0</v>
      </c>
      <c r="AIK26" s="15"/>
      <c r="AIL26" s="15"/>
      <c r="AIN26" s="14"/>
      <c r="AIO26" s="33"/>
      <c r="AIP26" s="14">
        <f t="shared" si="741"/>
        <v>0</v>
      </c>
      <c r="AIQ26" s="15"/>
      <c r="AIR26" s="15"/>
      <c r="AIT26" s="14"/>
      <c r="AIU26" s="33"/>
      <c r="AIV26" s="14">
        <f t="shared" si="742"/>
        <v>0</v>
      </c>
      <c r="AIW26" s="15"/>
      <c r="AIX26" s="15"/>
      <c r="AIZ26" s="14"/>
      <c r="AJA26" s="33"/>
      <c r="AJB26" s="14">
        <f t="shared" si="743"/>
        <v>0</v>
      </c>
      <c r="AJC26" s="15"/>
      <c r="AJD26" s="15"/>
      <c r="AJF26" s="14"/>
      <c r="AJG26" s="33"/>
      <c r="AJH26" s="14">
        <f t="shared" si="744"/>
        <v>0</v>
      </c>
      <c r="AJI26" s="15"/>
      <c r="AJJ26" s="15"/>
      <c r="AJL26" s="14"/>
      <c r="AJM26" s="33"/>
      <c r="AJN26" s="14">
        <f t="shared" si="745"/>
        <v>0</v>
      </c>
      <c r="AJO26" s="15"/>
      <c r="AJP26" s="15"/>
      <c r="AJR26" s="14"/>
      <c r="AJS26" s="33"/>
      <c r="AJT26" s="14">
        <f t="shared" si="746"/>
        <v>0</v>
      </c>
      <c r="AJU26" s="15"/>
      <c r="AJV26" s="15"/>
      <c r="AJX26" s="14"/>
      <c r="AJY26" s="33"/>
      <c r="AJZ26" s="14">
        <f t="shared" si="747"/>
        <v>0</v>
      </c>
      <c r="AKA26" s="15"/>
      <c r="AKB26" s="15"/>
      <c r="AKD26" s="14"/>
      <c r="AKE26" s="33"/>
      <c r="AKF26" s="14">
        <f t="shared" si="748"/>
        <v>0</v>
      </c>
      <c r="AKG26" s="15"/>
      <c r="AKH26" s="15"/>
      <c r="AKJ26" s="14"/>
      <c r="AKK26" s="33"/>
      <c r="AKL26" s="14">
        <f t="shared" si="749"/>
        <v>0</v>
      </c>
      <c r="AKM26" s="15"/>
      <c r="AKN26" s="15"/>
      <c r="AKP26" s="14"/>
      <c r="AKQ26" s="33"/>
      <c r="AKR26" s="14">
        <f t="shared" si="750"/>
        <v>0</v>
      </c>
      <c r="AKS26" s="15"/>
      <c r="AKT26" s="15"/>
      <c r="AKV26" s="14"/>
      <c r="AKW26" s="33"/>
      <c r="AKX26" s="14">
        <f t="shared" si="751"/>
        <v>0</v>
      </c>
      <c r="AKY26" s="15"/>
      <c r="AKZ26" s="15"/>
      <c r="ALB26" s="14"/>
      <c r="ALC26" s="33"/>
      <c r="ALD26" s="14">
        <f t="shared" si="752"/>
        <v>0</v>
      </c>
      <c r="ALE26" s="15"/>
      <c r="ALF26" s="15"/>
      <c r="ALH26" s="14"/>
      <c r="ALI26" s="33"/>
      <c r="ALJ26" s="14">
        <f t="shared" si="753"/>
        <v>0</v>
      </c>
      <c r="ALK26" s="15"/>
      <c r="ALL26" s="15"/>
      <c r="ALN26" s="14"/>
      <c r="ALO26" s="33"/>
      <c r="ALP26" s="14">
        <f t="shared" si="754"/>
        <v>0</v>
      </c>
      <c r="ALQ26" s="15"/>
      <c r="ALR26" s="15"/>
      <c r="ALT26" s="14"/>
      <c r="ALU26" s="33"/>
      <c r="ALV26" s="14">
        <f t="shared" si="755"/>
        <v>0</v>
      </c>
      <c r="ALW26" s="15"/>
      <c r="ALX26" s="15"/>
      <c r="ALZ26" s="14"/>
      <c r="AMA26" s="33"/>
      <c r="AMB26" s="14">
        <f t="shared" si="756"/>
        <v>0</v>
      </c>
      <c r="AMC26" s="15"/>
      <c r="AMD26" s="15"/>
      <c r="AMF26" s="14"/>
      <c r="AMG26" s="33"/>
      <c r="AMH26" s="14">
        <f t="shared" si="757"/>
        <v>0</v>
      </c>
      <c r="AMI26" s="15"/>
      <c r="AMJ26" s="15"/>
      <c r="AML26" s="14"/>
      <c r="AMM26" s="33"/>
      <c r="AMN26" s="14">
        <f t="shared" si="758"/>
        <v>0</v>
      </c>
      <c r="AMO26" s="15"/>
      <c r="AMP26" s="15"/>
      <c r="AMR26" s="14"/>
      <c r="AMS26" s="33"/>
      <c r="AMT26" s="14">
        <f t="shared" si="759"/>
        <v>0</v>
      </c>
      <c r="AMU26" s="15"/>
      <c r="AMV26" s="15"/>
      <c r="AMX26" s="14"/>
      <c r="AMY26" s="33"/>
      <c r="AMZ26" s="14">
        <f t="shared" si="760"/>
        <v>0</v>
      </c>
      <c r="ANA26" s="15"/>
      <c r="ANB26" s="15"/>
      <c r="AND26" s="14"/>
      <c r="ANE26" s="33"/>
      <c r="ANF26" s="14">
        <f t="shared" si="761"/>
        <v>0</v>
      </c>
      <c r="ANG26" s="15"/>
      <c r="ANH26" s="15"/>
      <c r="ANJ26" s="14"/>
      <c r="ANK26" s="33"/>
      <c r="ANL26" s="14">
        <f t="shared" si="762"/>
        <v>0</v>
      </c>
      <c r="ANM26" s="15"/>
      <c r="ANN26" s="15"/>
      <c r="ANP26" s="14"/>
      <c r="ANQ26" s="33"/>
      <c r="ANR26" s="14">
        <f t="shared" si="763"/>
        <v>0</v>
      </c>
      <c r="ANS26" s="15"/>
      <c r="ANT26" s="15"/>
      <c r="ANV26" s="14"/>
      <c r="ANW26" s="33"/>
      <c r="ANX26" s="14">
        <f t="shared" si="764"/>
        <v>0</v>
      </c>
      <c r="ANY26" s="15"/>
      <c r="ANZ26" s="15"/>
      <c r="AOB26" s="14"/>
      <c r="AOC26" s="33"/>
      <c r="AOD26" s="14">
        <f t="shared" si="765"/>
        <v>0</v>
      </c>
      <c r="AOE26" s="15"/>
      <c r="AOF26" s="15"/>
      <c r="AOH26" s="14"/>
      <c r="AOI26" s="33"/>
      <c r="AOJ26" s="14">
        <f t="shared" si="766"/>
        <v>0</v>
      </c>
      <c r="AOK26" s="15"/>
      <c r="AOL26" s="15"/>
      <c r="AON26" s="14"/>
      <c r="AOO26" s="33"/>
      <c r="AOP26" s="14">
        <f t="shared" si="767"/>
        <v>0</v>
      </c>
      <c r="AOQ26" s="15"/>
      <c r="AOR26" s="15"/>
    </row>
    <row r="27" spans="1:1024 1026:1084" x14ac:dyDescent="0.25">
      <c r="A27" s="3" t="s">
        <v>39</v>
      </c>
      <c r="B27" s="3"/>
      <c r="C27" s="5" t="s">
        <v>35</v>
      </c>
      <c r="D27" s="9">
        <v>0.1</v>
      </c>
      <c r="F27" s="14">
        <v>0.1</v>
      </c>
      <c r="G27" s="15"/>
      <c r="H27" s="11"/>
      <c r="I27" s="15"/>
      <c r="J27" s="15"/>
      <c r="L27" s="14">
        <v>0.1</v>
      </c>
      <c r="M27" s="15"/>
      <c r="N27" s="13">
        <f t="shared" si="768"/>
        <v>0</v>
      </c>
      <c r="O27" s="15"/>
      <c r="P27" s="15"/>
      <c r="R27" s="14">
        <v>0</v>
      </c>
      <c r="S27" s="15">
        <v>1</v>
      </c>
      <c r="T27" s="13">
        <f t="shared" si="769"/>
        <v>0.1</v>
      </c>
      <c r="U27" s="15"/>
      <c r="V27" s="15"/>
      <c r="X27" s="14">
        <v>1</v>
      </c>
      <c r="Y27" s="15"/>
      <c r="Z27" s="13">
        <f t="shared" ref="Z27" si="793">R27+S27-X27</f>
        <v>0</v>
      </c>
      <c r="AA27" s="15"/>
      <c r="AB27" s="15"/>
      <c r="AD27" s="14">
        <v>0.9</v>
      </c>
      <c r="AE27" s="15"/>
      <c r="AF27" s="13">
        <f t="shared" ref="AF27" si="794">X27+Y27-AD27</f>
        <v>9.9999999999999978E-2</v>
      </c>
      <c r="AG27" s="15"/>
      <c r="AH27" s="15"/>
      <c r="AJ27" s="14">
        <v>0.9</v>
      </c>
      <c r="AK27" s="15"/>
      <c r="AL27" s="13">
        <f t="shared" si="772"/>
        <v>0</v>
      </c>
      <c r="AM27" s="15"/>
      <c r="AN27" s="15"/>
      <c r="AP27" s="14">
        <v>0.9</v>
      </c>
      <c r="AQ27" s="15"/>
      <c r="AR27" s="13">
        <f t="shared" si="773"/>
        <v>0</v>
      </c>
      <c r="AS27" s="15"/>
      <c r="AT27" s="15"/>
      <c r="AV27" s="14">
        <v>0.8</v>
      </c>
      <c r="AW27" s="15"/>
      <c r="AX27" s="13">
        <f t="shared" si="774"/>
        <v>9.9999999999999978E-2</v>
      </c>
      <c r="AY27" s="15"/>
      <c r="AZ27" s="15"/>
      <c r="BB27" s="14">
        <v>0.9</v>
      </c>
      <c r="BC27" s="15"/>
      <c r="BD27" s="13">
        <f t="shared" si="775"/>
        <v>-9.9999999999999978E-2</v>
      </c>
      <c r="BE27" s="15"/>
      <c r="BF27" s="15"/>
      <c r="BH27" s="14">
        <v>0.9</v>
      </c>
      <c r="BI27" s="15"/>
      <c r="BJ27" s="13">
        <f t="shared" si="776"/>
        <v>0</v>
      </c>
      <c r="BK27" s="15"/>
      <c r="BL27" s="15"/>
      <c r="BN27" s="14">
        <v>0.8</v>
      </c>
      <c r="BO27" s="15"/>
      <c r="BP27" s="13">
        <f t="shared" si="777"/>
        <v>9.9999999999999978E-2</v>
      </c>
      <c r="BQ27" s="15"/>
      <c r="BR27" s="15"/>
      <c r="BT27" s="14">
        <v>0.8</v>
      </c>
      <c r="BU27" s="15"/>
      <c r="BV27" s="13">
        <f t="shared" si="778"/>
        <v>0</v>
      </c>
      <c r="BW27" s="15"/>
      <c r="BX27" s="15"/>
      <c r="BZ27" s="14">
        <v>0.8</v>
      </c>
      <c r="CA27" s="15"/>
      <c r="CB27" s="13">
        <f t="shared" si="779"/>
        <v>0</v>
      </c>
      <c r="CC27" s="15"/>
      <c r="CD27" s="15"/>
      <c r="CF27" s="14">
        <v>0.8</v>
      </c>
      <c r="CG27" s="15"/>
      <c r="CH27" s="13">
        <f t="shared" si="780"/>
        <v>0</v>
      </c>
      <c r="CI27" s="15"/>
      <c r="CJ27" s="15"/>
      <c r="CL27" s="14">
        <v>0.8</v>
      </c>
      <c r="CM27" s="15"/>
      <c r="CN27" s="13">
        <f t="shared" si="781"/>
        <v>0</v>
      </c>
      <c r="CO27" s="15"/>
      <c r="CP27" s="15"/>
      <c r="CR27" s="14">
        <v>0.6</v>
      </c>
      <c r="CS27" s="15"/>
      <c r="CT27" s="13">
        <f t="shared" si="782"/>
        <v>0.20000000000000007</v>
      </c>
      <c r="CU27" s="15"/>
      <c r="CV27" s="15"/>
      <c r="CX27" s="14">
        <v>0.5</v>
      </c>
      <c r="CY27" s="33"/>
      <c r="CZ27" s="13">
        <f t="shared" si="783"/>
        <v>9.9999999999999978E-2</v>
      </c>
      <c r="DA27" s="15"/>
      <c r="DB27" s="15"/>
      <c r="DD27" s="14">
        <v>0.6</v>
      </c>
      <c r="DE27" s="33"/>
      <c r="DF27" s="13">
        <f t="shared" si="784"/>
        <v>-9.9999999999999978E-2</v>
      </c>
      <c r="DG27" s="15"/>
      <c r="DH27" s="15"/>
      <c r="DJ27" s="14">
        <v>0.4</v>
      </c>
      <c r="DK27" s="33"/>
      <c r="DL27" s="13">
        <f t="shared" si="785"/>
        <v>0.19999999999999996</v>
      </c>
      <c r="DM27" s="15"/>
      <c r="DN27" s="15"/>
      <c r="DP27" s="14">
        <v>0.4</v>
      </c>
      <c r="DQ27" s="33"/>
      <c r="DR27" s="13">
        <f t="shared" si="786"/>
        <v>0</v>
      </c>
      <c r="DS27" s="15"/>
      <c r="DT27" s="15"/>
      <c r="DV27" s="14">
        <v>0.4</v>
      </c>
      <c r="DW27" s="33"/>
      <c r="DX27" s="13">
        <f t="shared" si="787"/>
        <v>0</v>
      </c>
      <c r="DY27" s="15"/>
      <c r="DZ27" s="15"/>
      <c r="EB27" s="14">
        <v>0.4</v>
      </c>
      <c r="EC27" s="33"/>
      <c r="ED27" s="13">
        <f t="shared" si="788"/>
        <v>0</v>
      </c>
      <c r="EE27" s="15"/>
      <c r="EF27" s="15"/>
      <c r="EH27" s="14">
        <v>0</v>
      </c>
      <c r="EI27" s="33"/>
      <c r="EJ27" s="13">
        <f t="shared" si="789"/>
        <v>0.4</v>
      </c>
      <c r="EK27" s="15"/>
      <c r="EL27" s="15"/>
      <c r="EN27" s="14">
        <v>0.4</v>
      </c>
      <c r="EO27" s="33"/>
      <c r="EP27" s="13">
        <f t="shared" si="790"/>
        <v>-0.4</v>
      </c>
      <c r="EQ27" s="15"/>
      <c r="ER27" s="15"/>
      <c r="ET27" s="14">
        <v>0.4</v>
      </c>
      <c r="EU27" s="33"/>
      <c r="EV27" s="13">
        <f t="shared" si="791"/>
        <v>0</v>
      </c>
      <c r="EW27" s="15"/>
      <c r="EX27" s="15"/>
      <c r="EZ27" s="14">
        <v>0.2</v>
      </c>
      <c r="FA27" s="33"/>
      <c r="FB27" s="14">
        <f t="shared" si="792"/>
        <v>0.2</v>
      </c>
      <c r="FC27" s="15"/>
      <c r="FD27" s="15"/>
      <c r="FF27" s="14">
        <v>0.4</v>
      </c>
      <c r="FG27" s="33"/>
      <c r="FH27" s="14">
        <f t="shared" si="614"/>
        <v>-0.2</v>
      </c>
      <c r="FI27" s="15"/>
      <c r="FJ27" s="15"/>
      <c r="FL27" s="14"/>
      <c r="FM27" s="33"/>
      <c r="FN27" s="14">
        <f t="shared" si="615"/>
        <v>0.4</v>
      </c>
      <c r="FO27" s="15"/>
      <c r="FP27" s="15"/>
      <c r="FR27" s="14">
        <v>0.4</v>
      </c>
      <c r="FS27" s="33"/>
      <c r="FT27" s="14">
        <f t="shared" si="616"/>
        <v>-0.4</v>
      </c>
      <c r="FU27" s="15"/>
      <c r="FV27" s="15"/>
      <c r="FX27" s="14">
        <v>0.4</v>
      </c>
      <c r="FY27" s="33"/>
      <c r="FZ27" s="14">
        <f t="shared" si="617"/>
        <v>0</v>
      </c>
      <c r="GA27" s="15"/>
      <c r="GB27" s="15"/>
      <c r="GD27" s="14">
        <v>0.3</v>
      </c>
      <c r="GE27" s="33"/>
      <c r="GF27" s="14">
        <f t="shared" si="618"/>
        <v>0.10000000000000003</v>
      </c>
      <c r="GG27" s="15"/>
      <c r="GH27" s="15"/>
      <c r="GJ27" s="14">
        <v>0.3</v>
      </c>
      <c r="GK27" s="33"/>
      <c r="GL27" s="14">
        <f t="shared" si="619"/>
        <v>0</v>
      </c>
      <c r="GM27" s="15"/>
      <c r="GN27" s="15"/>
      <c r="GP27" s="14">
        <v>0.3</v>
      </c>
      <c r="GQ27" s="33"/>
      <c r="GR27" s="14">
        <f t="shared" si="620"/>
        <v>0</v>
      </c>
      <c r="GS27" s="15"/>
      <c r="GT27" s="15"/>
      <c r="GV27" s="14">
        <v>0.3</v>
      </c>
      <c r="GW27" s="33"/>
      <c r="GX27" s="14">
        <f t="shared" si="621"/>
        <v>0</v>
      </c>
      <c r="GY27" s="15"/>
      <c r="GZ27" s="15"/>
      <c r="HB27" s="14">
        <v>0.3</v>
      </c>
      <c r="HC27" s="33"/>
      <c r="HD27" s="14">
        <f t="shared" si="622"/>
        <v>0</v>
      </c>
      <c r="HE27" s="15"/>
      <c r="HF27" s="15"/>
      <c r="HH27" s="14">
        <v>0.2</v>
      </c>
      <c r="HI27" s="33"/>
      <c r="HJ27" s="14">
        <f t="shared" si="623"/>
        <v>9.9999999999999978E-2</v>
      </c>
      <c r="HK27" s="15"/>
      <c r="HL27" s="15"/>
      <c r="HN27" s="14">
        <v>0.2</v>
      </c>
      <c r="HO27" s="33"/>
      <c r="HP27" s="14">
        <f t="shared" si="624"/>
        <v>0</v>
      </c>
      <c r="HQ27" s="15"/>
      <c r="HR27" s="15"/>
      <c r="HT27" s="14">
        <v>0.1</v>
      </c>
      <c r="HU27" s="33">
        <v>1</v>
      </c>
      <c r="HV27" s="14">
        <f t="shared" si="625"/>
        <v>0.1</v>
      </c>
      <c r="HW27" s="15"/>
      <c r="HX27" s="15"/>
      <c r="HZ27" s="14">
        <v>1.1000000000000001</v>
      </c>
      <c r="IA27" s="33"/>
      <c r="IB27" s="14">
        <f t="shared" si="626"/>
        <v>0</v>
      </c>
      <c r="IC27" s="15"/>
      <c r="ID27" s="15"/>
      <c r="IF27" s="14">
        <v>1.1000000000000001</v>
      </c>
      <c r="IG27" s="33"/>
      <c r="IH27" s="14">
        <f t="shared" si="627"/>
        <v>0</v>
      </c>
      <c r="II27" s="15"/>
      <c r="IJ27" s="15"/>
      <c r="IL27" s="14">
        <v>0.9</v>
      </c>
      <c r="IM27" s="33"/>
      <c r="IN27" s="14">
        <f t="shared" si="628"/>
        <v>0.20000000000000007</v>
      </c>
      <c r="IO27" s="15"/>
      <c r="IP27" s="15"/>
      <c r="IR27" s="14">
        <v>0.9</v>
      </c>
      <c r="IS27" s="33"/>
      <c r="IT27" s="14">
        <f t="shared" si="629"/>
        <v>0</v>
      </c>
      <c r="IU27" s="15"/>
      <c r="IV27" s="15"/>
      <c r="IX27" s="14">
        <v>0</v>
      </c>
      <c r="IY27" s="33"/>
      <c r="IZ27" s="14">
        <f t="shared" si="630"/>
        <v>0.9</v>
      </c>
      <c r="JA27" s="15"/>
      <c r="JB27" s="15"/>
      <c r="JD27" s="14">
        <v>0.8</v>
      </c>
      <c r="JE27" s="33"/>
      <c r="JF27" s="14">
        <f t="shared" si="631"/>
        <v>-0.8</v>
      </c>
      <c r="JG27" s="15"/>
      <c r="JH27" s="15"/>
      <c r="JJ27" s="14">
        <v>0.8</v>
      </c>
      <c r="JK27" s="33"/>
      <c r="JL27" s="14">
        <f t="shared" si="632"/>
        <v>0</v>
      </c>
      <c r="JM27" s="15"/>
      <c r="JN27" s="15"/>
      <c r="JP27" s="14">
        <v>0.8</v>
      </c>
      <c r="JQ27" s="33"/>
      <c r="JR27" s="14">
        <f t="shared" si="633"/>
        <v>0</v>
      </c>
      <c r="JS27" s="15"/>
      <c r="JT27" s="15"/>
      <c r="JV27" s="14">
        <v>0.9</v>
      </c>
      <c r="JW27" s="33"/>
      <c r="JX27" s="14">
        <f t="shared" si="634"/>
        <v>-9.9999999999999978E-2</v>
      </c>
      <c r="JY27" s="15"/>
      <c r="JZ27" s="15"/>
      <c r="KB27" s="14">
        <v>0.9</v>
      </c>
      <c r="KC27" s="33"/>
      <c r="KD27" s="14">
        <f t="shared" si="635"/>
        <v>0</v>
      </c>
      <c r="KE27" s="15"/>
      <c r="KF27" s="15"/>
      <c r="KH27" s="14">
        <v>0.8</v>
      </c>
      <c r="KI27" s="33"/>
      <c r="KJ27" s="14">
        <f t="shared" si="636"/>
        <v>9.9999999999999978E-2</v>
      </c>
      <c r="KK27" s="15"/>
      <c r="KL27" s="15"/>
      <c r="KN27" s="14">
        <v>0.8</v>
      </c>
      <c r="KO27" s="33"/>
      <c r="KP27" s="14">
        <f t="shared" si="637"/>
        <v>0</v>
      </c>
      <c r="KQ27" s="15"/>
      <c r="KR27" s="15"/>
      <c r="KT27" s="14">
        <v>0.8</v>
      </c>
      <c r="KU27" s="33"/>
      <c r="KV27" s="14">
        <f t="shared" si="638"/>
        <v>0</v>
      </c>
      <c r="KW27" s="15"/>
      <c r="KX27" s="15"/>
      <c r="KZ27" s="14">
        <v>0.8</v>
      </c>
      <c r="LA27" s="33"/>
      <c r="LB27" s="14">
        <f t="shared" si="639"/>
        <v>0</v>
      </c>
      <c r="LC27" s="15"/>
      <c r="LD27" s="15"/>
      <c r="LF27" s="14">
        <v>0.8</v>
      </c>
      <c r="LG27" s="33"/>
      <c r="LH27" s="14">
        <f t="shared" si="640"/>
        <v>0</v>
      </c>
      <c r="LI27" s="15"/>
      <c r="LJ27" s="15"/>
      <c r="LL27" s="14">
        <v>0.6</v>
      </c>
      <c r="LM27" s="33"/>
      <c r="LN27" s="14">
        <f t="shared" si="641"/>
        <v>0.20000000000000007</v>
      </c>
      <c r="LO27" s="15"/>
      <c r="LP27" s="15"/>
      <c r="LR27" s="14">
        <v>0.6</v>
      </c>
      <c r="LS27" s="33"/>
      <c r="LT27" s="14">
        <f t="shared" si="642"/>
        <v>0</v>
      </c>
      <c r="LU27" s="15"/>
      <c r="LV27" s="15"/>
      <c r="LX27" s="14">
        <v>0.6</v>
      </c>
      <c r="LY27" s="33"/>
      <c r="LZ27" s="14">
        <f t="shared" si="643"/>
        <v>0</v>
      </c>
      <c r="MA27" s="15"/>
      <c r="MB27" s="15"/>
      <c r="MD27" s="14">
        <v>0</v>
      </c>
      <c r="ME27" s="33"/>
      <c r="MF27" s="14">
        <f t="shared" si="644"/>
        <v>0.6</v>
      </c>
      <c r="MG27" s="15"/>
      <c r="MH27" s="15"/>
      <c r="MJ27" s="14">
        <v>0.6</v>
      </c>
      <c r="MK27" s="33"/>
      <c r="ML27" s="14">
        <f t="shared" si="645"/>
        <v>-0.6</v>
      </c>
      <c r="MM27" s="15"/>
      <c r="MN27" s="15"/>
      <c r="MP27" s="14">
        <v>0.6</v>
      </c>
      <c r="MQ27" s="33"/>
      <c r="MR27" s="14">
        <f t="shared" si="646"/>
        <v>0</v>
      </c>
      <c r="MS27" s="15"/>
      <c r="MT27" s="15"/>
      <c r="MV27" s="14">
        <v>0.6</v>
      </c>
      <c r="MW27" s="33"/>
      <c r="MX27" s="14">
        <f t="shared" si="647"/>
        <v>0</v>
      </c>
      <c r="MY27" s="15"/>
      <c r="MZ27" s="15"/>
      <c r="NB27" s="14">
        <v>0.4</v>
      </c>
      <c r="NC27" s="33">
        <v>1</v>
      </c>
      <c r="ND27" s="14">
        <f t="shared" si="648"/>
        <v>0.19999999999999996</v>
      </c>
      <c r="NE27" s="15"/>
      <c r="NF27" s="15"/>
      <c r="NH27" s="14">
        <v>1.4</v>
      </c>
      <c r="NI27" s="33"/>
      <c r="NJ27" s="14">
        <f t="shared" si="649"/>
        <v>0</v>
      </c>
      <c r="NK27" s="15"/>
      <c r="NL27" s="15"/>
      <c r="NN27" s="14">
        <v>1.2</v>
      </c>
      <c r="NO27" s="33"/>
      <c r="NP27" s="14">
        <f t="shared" si="650"/>
        <v>0.19999999999999996</v>
      </c>
      <c r="NQ27" s="15"/>
      <c r="NR27" s="15"/>
      <c r="NT27" s="14">
        <v>1.1000000000000001</v>
      </c>
      <c r="NU27" s="33"/>
      <c r="NV27" s="14">
        <f t="shared" si="651"/>
        <v>9.9999999999999867E-2</v>
      </c>
      <c r="NW27" s="15"/>
      <c r="NX27" s="15"/>
      <c r="NZ27" s="14">
        <v>1.1000000000000001</v>
      </c>
      <c r="OA27" s="33"/>
      <c r="OB27" s="14">
        <f t="shared" si="652"/>
        <v>0</v>
      </c>
      <c r="OC27" s="15"/>
      <c r="OD27" s="15"/>
      <c r="OF27" s="14">
        <v>1.1000000000000001</v>
      </c>
      <c r="OG27" s="33"/>
      <c r="OH27" s="14">
        <f t="shared" si="653"/>
        <v>0</v>
      </c>
      <c r="OI27" s="15"/>
      <c r="OJ27" s="15"/>
      <c r="OL27" s="14">
        <v>1.1000000000000001</v>
      </c>
      <c r="OM27" s="33"/>
      <c r="ON27" s="14">
        <f t="shared" si="654"/>
        <v>0</v>
      </c>
      <c r="OO27" s="15"/>
      <c r="OP27" s="15"/>
      <c r="OR27" s="14">
        <v>1.1000000000000001</v>
      </c>
      <c r="OS27" s="33"/>
      <c r="OT27" s="14">
        <f t="shared" si="655"/>
        <v>0</v>
      </c>
      <c r="OU27" s="15"/>
      <c r="OV27" s="15"/>
      <c r="OX27" s="14">
        <v>1.1000000000000001</v>
      </c>
      <c r="OY27" s="33"/>
      <c r="OZ27" s="14">
        <f t="shared" si="656"/>
        <v>0</v>
      </c>
      <c r="PA27" s="15"/>
      <c r="PB27" s="15"/>
      <c r="PD27" s="14">
        <v>1.2</v>
      </c>
      <c r="PE27" s="33"/>
      <c r="PF27" s="14">
        <f t="shared" si="657"/>
        <v>-9.9999999999999867E-2</v>
      </c>
      <c r="PG27" s="15"/>
      <c r="PH27" s="15"/>
      <c r="PJ27" s="14">
        <v>0.9</v>
      </c>
      <c r="PK27" s="47"/>
      <c r="PL27" s="14">
        <f t="shared" si="658"/>
        <v>0.29999999999999993</v>
      </c>
      <c r="PM27" s="15"/>
      <c r="PN27" s="15"/>
      <c r="PP27" s="14">
        <v>0.9</v>
      </c>
      <c r="PQ27" s="47"/>
      <c r="PR27" s="14">
        <f t="shared" si="659"/>
        <v>0</v>
      </c>
      <c r="PS27" s="15"/>
      <c r="PT27" s="15"/>
      <c r="PV27" s="14">
        <v>0.9</v>
      </c>
      <c r="PW27" s="47"/>
      <c r="PX27" s="14">
        <f t="shared" si="660"/>
        <v>0</v>
      </c>
      <c r="PY27" s="15"/>
      <c r="PZ27" s="15"/>
      <c r="QB27" s="14">
        <v>0.8</v>
      </c>
      <c r="QC27" s="47"/>
      <c r="QD27" s="14">
        <f t="shared" si="661"/>
        <v>9.9999999999999978E-2</v>
      </c>
      <c r="QE27" s="15"/>
      <c r="QF27" s="15"/>
      <c r="QH27" s="14">
        <v>0</v>
      </c>
      <c r="QI27" s="47"/>
      <c r="QJ27" s="14">
        <f t="shared" si="662"/>
        <v>0.8</v>
      </c>
      <c r="QK27" s="15"/>
      <c r="QL27" s="15"/>
      <c r="QN27" s="14">
        <v>0.9</v>
      </c>
      <c r="QO27" s="47"/>
      <c r="QP27" s="14">
        <f t="shared" si="663"/>
        <v>-0.9</v>
      </c>
      <c r="QQ27" s="15"/>
      <c r="QR27" s="15"/>
      <c r="QT27" s="14">
        <v>0.8</v>
      </c>
      <c r="QU27" s="47"/>
      <c r="QV27" s="14">
        <f t="shared" si="664"/>
        <v>9.9999999999999978E-2</v>
      </c>
      <c r="QW27" s="15"/>
      <c r="QX27" s="15"/>
      <c r="QZ27" s="14">
        <v>0.8</v>
      </c>
      <c r="RA27" s="47"/>
      <c r="RB27" s="14">
        <f t="shared" si="665"/>
        <v>0</v>
      </c>
      <c r="RC27" s="15"/>
      <c r="RD27" s="15"/>
      <c r="RF27" s="14">
        <v>0.9</v>
      </c>
      <c r="RG27" s="47"/>
      <c r="RH27" s="14">
        <f t="shared" si="666"/>
        <v>-9.9999999999999978E-2</v>
      </c>
      <c r="RI27" s="15"/>
      <c r="RJ27" s="15"/>
      <c r="RL27" s="14">
        <v>0.6</v>
      </c>
      <c r="RM27" s="47"/>
      <c r="RN27" s="14">
        <f t="shared" si="667"/>
        <v>0.30000000000000004</v>
      </c>
      <c r="RO27" s="15"/>
      <c r="RP27" s="15"/>
      <c r="RR27" s="14">
        <v>0.5</v>
      </c>
      <c r="RS27" s="47"/>
      <c r="RT27" s="14">
        <f t="shared" si="668"/>
        <v>9.9999999999999978E-2</v>
      </c>
      <c r="RU27" s="15"/>
      <c r="RV27" s="15"/>
      <c r="RX27" s="14">
        <v>0.7</v>
      </c>
      <c r="RY27" s="47"/>
      <c r="RZ27" s="14">
        <f t="shared" si="669"/>
        <v>-0.19999999999999996</v>
      </c>
      <c r="SA27" s="15"/>
      <c r="SB27" s="15"/>
      <c r="SD27" s="14">
        <v>0.8</v>
      </c>
      <c r="SE27" s="47"/>
      <c r="SF27" s="14">
        <f t="shared" si="670"/>
        <v>-0.10000000000000009</v>
      </c>
      <c r="SG27" s="15"/>
      <c r="SH27" s="15"/>
      <c r="SJ27" s="14">
        <v>0</v>
      </c>
      <c r="SK27" s="47"/>
      <c r="SL27" s="14">
        <f t="shared" si="671"/>
        <v>0.8</v>
      </c>
      <c r="SM27" s="15"/>
      <c r="SN27" s="15"/>
      <c r="SP27" s="14">
        <v>0.7</v>
      </c>
      <c r="SQ27" s="47"/>
      <c r="SR27" s="14">
        <f t="shared" si="672"/>
        <v>-0.7</v>
      </c>
      <c r="SS27" s="15"/>
      <c r="ST27" s="15"/>
      <c r="SV27" s="14">
        <v>0.7</v>
      </c>
      <c r="SW27" s="47"/>
      <c r="SX27" s="14">
        <f t="shared" si="673"/>
        <v>0</v>
      </c>
      <c r="SY27" s="15"/>
      <c r="SZ27" s="15"/>
      <c r="TB27" s="14">
        <v>0.3</v>
      </c>
      <c r="TC27" s="47"/>
      <c r="TD27" s="14">
        <f t="shared" si="674"/>
        <v>0.39999999999999997</v>
      </c>
      <c r="TE27" s="15"/>
      <c r="TF27" s="15"/>
      <c r="TH27" s="14">
        <v>0.4</v>
      </c>
      <c r="TI27" s="47"/>
      <c r="TJ27" s="14">
        <f t="shared" si="675"/>
        <v>-0.10000000000000003</v>
      </c>
      <c r="TK27" s="15"/>
      <c r="TL27" s="15"/>
      <c r="TN27" s="14">
        <v>0.5</v>
      </c>
      <c r="TO27" s="47"/>
      <c r="TP27" s="14">
        <f t="shared" si="676"/>
        <v>-9.9999999999999978E-2</v>
      </c>
      <c r="TQ27" s="15"/>
      <c r="TR27" s="15"/>
      <c r="TT27" s="14">
        <v>0.5</v>
      </c>
      <c r="TU27" s="47"/>
      <c r="TV27" s="14">
        <f t="shared" si="677"/>
        <v>0</v>
      </c>
      <c r="TW27" s="15"/>
      <c r="TX27" s="15"/>
      <c r="TZ27" s="14">
        <v>0.4</v>
      </c>
      <c r="UA27" s="47"/>
      <c r="UB27" s="14">
        <f t="shared" si="678"/>
        <v>9.9999999999999978E-2</v>
      </c>
      <c r="UC27" s="15"/>
      <c r="UD27" s="15"/>
      <c r="UF27" s="14">
        <v>0.4</v>
      </c>
      <c r="UG27" s="47"/>
      <c r="UH27" s="14">
        <f t="shared" si="679"/>
        <v>0</v>
      </c>
      <c r="UI27" s="15"/>
      <c r="UJ27" s="15"/>
      <c r="UL27" s="14">
        <v>0.5</v>
      </c>
      <c r="UM27" s="47"/>
      <c r="UN27" s="14">
        <f t="shared" si="680"/>
        <v>-9.9999999999999978E-2</v>
      </c>
      <c r="UO27" s="15"/>
      <c r="UP27" s="15"/>
      <c r="UR27" s="14">
        <v>0.5</v>
      </c>
      <c r="US27" s="47"/>
      <c r="UT27" s="14">
        <f t="shared" si="681"/>
        <v>0</v>
      </c>
      <c r="UU27" s="15"/>
      <c r="UV27" s="15"/>
      <c r="UX27" s="14">
        <v>0.4</v>
      </c>
      <c r="UY27" s="47"/>
      <c r="UZ27" s="14">
        <f t="shared" si="682"/>
        <v>9.9999999999999978E-2</v>
      </c>
      <c r="VA27" s="15"/>
      <c r="VB27" s="15"/>
      <c r="VD27" s="14">
        <v>0.3</v>
      </c>
      <c r="VE27" s="47"/>
      <c r="VF27" s="14">
        <f t="shared" si="683"/>
        <v>0.10000000000000003</v>
      </c>
      <c r="VG27" s="15"/>
      <c r="VH27" s="15"/>
      <c r="VJ27" s="14">
        <v>0.4</v>
      </c>
      <c r="VK27" s="47"/>
      <c r="VL27" s="14">
        <f t="shared" si="684"/>
        <v>-0.10000000000000003</v>
      </c>
      <c r="VM27" s="15"/>
      <c r="VN27" s="15"/>
      <c r="VP27" s="14">
        <v>0.3</v>
      </c>
      <c r="VQ27" s="47"/>
      <c r="VR27" s="14">
        <f t="shared" si="685"/>
        <v>0.10000000000000003</v>
      </c>
      <c r="VS27" s="15"/>
      <c r="VT27" s="15"/>
      <c r="VV27" s="14">
        <v>0.3</v>
      </c>
      <c r="VW27" s="47"/>
      <c r="VX27" s="14">
        <f t="shared" si="686"/>
        <v>0</v>
      </c>
      <c r="VY27" s="15"/>
      <c r="VZ27" s="15"/>
      <c r="WB27" s="14">
        <v>0.3</v>
      </c>
      <c r="WC27" s="47"/>
      <c r="WD27" s="14">
        <f t="shared" si="687"/>
        <v>0</v>
      </c>
      <c r="WE27" s="15"/>
      <c r="WF27" s="15"/>
      <c r="WH27" s="14">
        <v>0.2</v>
      </c>
      <c r="WI27" s="47"/>
      <c r="WJ27" s="14">
        <f t="shared" si="688"/>
        <v>9.9999999999999978E-2</v>
      </c>
      <c r="WK27" s="15"/>
      <c r="WL27" s="15"/>
      <c r="WN27" s="14">
        <v>0.1</v>
      </c>
      <c r="WO27" s="47"/>
      <c r="WP27" s="14">
        <f t="shared" si="689"/>
        <v>0.1</v>
      </c>
      <c r="WQ27" s="15"/>
      <c r="WR27" s="15"/>
      <c r="WT27" s="14"/>
      <c r="WU27" s="47"/>
      <c r="WV27" s="14">
        <f t="shared" si="690"/>
        <v>0.1</v>
      </c>
      <c r="WW27" s="15"/>
      <c r="WX27" s="15"/>
      <c r="WZ27" s="14"/>
      <c r="XA27" s="47"/>
      <c r="XB27" s="14">
        <f t="shared" si="691"/>
        <v>0</v>
      </c>
      <c r="XC27" s="15"/>
      <c r="XD27" s="15"/>
      <c r="XF27" s="14">
        <v>0.4</v>
      </c>
      <c r="XG27" s="47"/>
      <c r="XH27" s="14">
        <f t="shared" si="692"/>
        <v>-0.4</v>
      </c>
      <c r="XI27" s="15"/>
      <c r="XJ27" s="15"/>
      <c r="XL27" s="14">
        <v>0</v>
      </c>
      <c r="XM27" s="33">
        <v>1</v>
      </c>
      <c r="XN27" s="14">
        <f t="shared" si="693"/>
        <v>0.4</v>
      </c>
      <c r="XO27" s="15"/>
      <c r="XP27" s="15"/>
      <c r="XR27" s="14">
        <v>1</v>
      </c>
      <c r="XS27" s="33"/>
      <c r="XT27" s="14">
        <f t="shared" si="694"/>
        <v>0</v>
      </c>
      <c r="XU27" s="15"/>
      <c r="XV27" s="15"/>
      <c r="XX27" s="14">
        <v>0.9</v>
      </c>
      <c r="XY27" s="33"/>
      <c r="XZ27" s="14">
        <f t="shared" si="695"/>
        <v>9.9999999999999978E-2</v>
      </c>
      <c r="YA27" s="15"/>
      <c r="YB27" s="15"/>
      <c r="YD27" s="14">
        <v>0.8</v>
      </c>
      <c r="YE27" s="33"/>
      <c r="YF27" s="14">
        <f t="shared" si="696"/>
        <v>9.9999999999999978E-2</v>
      </c>
      <c r="YG27" s="15"/>
      <c r="YH27" s="15"/>
      <c r="YJ27" s="14">
        <v>0.9</v>
      </c>
      <c r="YK27" s="33"/>
      <c r="YL27" s="14">
        <f t="shared" si="697"/>
        <v>-9.9999999999999978E-2</v>
      </c>
      <c r="YM27" s="15"/>
      <c r="YN27" s="15"/>
      <c r="YP27" s="14">
        <v>0.9</v>
      </c>
      <c r="YQ27" s="33"/>
      <c r="YR27" s="14">
        <f t="shared" si="698"/>
        <v>0</v>
      </c>
      <c r="YS27" s="15"/>
      <c r="YT27" s="15"/>
      <c r="YV27" s="14">
        <v>0.8</v>
      </c>
      <c r="YW27" s="33"/>
      <c r="YX27" s="14">
        <f t="shared" si="699"/>
        <v>9.9999999999999978E-2</v>
      </c>
      <c r="YY27" s="15"/>
      <c r="YZ27" s="15"/>
      <c r="ZB27" s="14">
        <v>0.7</v>
      </c>
      <c r="ZC27" s="33"/>
      <c r="ZD27" s="14">
        <f t="shared" si="700"/>
        <v>0.10000000000000009</v>
      </c>
      <c r="ZE27" s="15"/>
      <c r="ZF27" s="15"/>
      <c r="ZH27" s="14">
        <v>0.5</v>
      </c>
      <c r="ZI27" s="33"/>
      <c r="ZJ27" s="14">
        <f t="shared" si="701"/>
        <v>0.19999999999999996</v>
      </c>
      <c r="ZK27" s="15"/>
      <c r="ZL27" s="15"/>
      <c r="ZN27" s="14">
        <v>0.7</v>
      </c>
      <c r="ZO27" s="33"/>
      <c r="ZP27" s="14">
        <f t="shared" si="702"/>
        <v>-0.19999999999999996</v>
      </c>
      <c r="ZQ27" s="15"/>
      <c r="ZR27" s="15"/>
      <c r="ZT27" s="14">
        <v>0.6</v>
      </c>
      <c r="ZU27" s="33"/>
      <c r="ZV27" s="14">
        <f t="shared" si="703"/>
        <v>9.9999999999999978E-2</v>
      </c>
      <c r="ZW27" s="15"/>
      <c r="ZX27" s="15"/>
      <c r="ZZ27" s="14">
        <v>0.8</v>
      </c>
      <c r="AAA27" s="33"/>
      <c r="AAB27" s="14">
        <f t="shared" si="704"/>
        <v>-0.20000000000000007</v>
      </c>
      <c r="AAC27" s="15"/>
      <c r="AAD27" s="15"/>
      <c r="AAF27" s="14">
        <v>0.5</v>
      </c>
      <c r="AAG27" s="33"/>
      <c r="AAH27" s="14">
        <f t="shared" si="705"/>
        <v>0.30000000000000004</v>
      </c>
      <c r="AAI27" s="15"/>
      <c r="AAJ27" s="15"/>
      <c r="AAL27" s="14">
        <v>0.7</v>
      </c>
      <c r="AAM27" s="33"/>
      <c r="AAN27" s="14">
        <f t="shared" si="706"/>
        <v>-0.19999999999999996</v>
      </c>
      <c r="AAO27" s="15"/>
      <c r="AAP27" s="15"/>
      <c r="AAR27" s="14">
        <v>0.7</v>
      </c>
      <c r="AAS27" s="33"/>
      <c r="AAT27" s="14">
        <f t="shared" si="707"/>
        <v>0</v>
      </c>
      <c r="AAU27" s="15"/>
      <c r="AAV27" s="15"/>
      <c r="AAX27" s="14">
        <v>0.6</v>
      </c>
      <c r="AAY27" s="33"/>
      <c r="AAZ27" s="14">
        <f t="shared" si="708"/>
        <v>9.9999999999999978E-2</v>
      </c>
      <c r="ABA27" s="15"/>
      <c r="ABB27" s="15"/>
      <c r="ABD27" s="14">
        <v>0.6</v>
      </c>
      <c r="ABE27" s="33"/>
      <c r="ABF27" s="14">
        <f t="shared" si="709"/>
        <v>0</v>
      </c>
      <c r="ABG27" s="15"/>
      <c r="ABH27" s="15"/>
      <c r="ABJ27" s="14">
        <v>0.4</v>
      </c>
      <c r="ABK27" s="33"/>
      <c r="ABL27" s="14">
        <f t="shared" si="710"/>
        <v>0.19999999999999996</v>
      </c>
      <c r="ABM27" s="15"/>
      <c r="ABN27" s="15"/>
      <c r="ABP27" s="14">
        <v>0</v>
      </c>
      <c r="ABQ27" s="33"/>
      <c r="ABR27" s="14">
        <f t="shared" si="711"/>
        <v>0.4</v>
      </c>
      <c r="ABS27" s="15"/>
      <c r="ABT27" s="15"/>
      <c r="ABV27" s="14">
        <v>0.2</v>
      </c>
      <c r="ABW27" s="33"/>
      <c r="ABX27" s="14">
        <f t="shared" si="712"/>
        <v>-0.2</v>
      </c>
      <c r="ABY27" s="15"/>
      <c r="ABZ27" s="15"/>
      <c r="ACB27" s="14">
        <v>0</v>
      </c>
      <c r="ACC27" s="33">
        <v>1</v>
      </c>
      <c r="ACD27" s="14">
        <f t="shared" si="713"/>
        <v>0.2</v>
      </c>
      <c r="ACE27" s="15"/>
      <c r="ACF27" s="15"/>
      <c r="ACH27" s="14">
        <v>1.3</v>
      </c>
      <c r="ACI27" s="33"/>
      <c r="ACJ27" s="14">
        <f t="shared" si="714"/>
        <v>-0.30000000000000004</v>
      </c>
      <c r="ACK27" s="15"/>
      <c r="ACL27" s="15"/>
      <c r="ACN27" s="14">
        <v>0</v>
      </c>
      <c r="ACO27" s="33"/>
      <c r="ACP27" s="14">
        <f t="shared" si="715"/>
        <v>1.3</v>
      </c>
      <c r="ACQ27" s="15"/>
      <c r="ACR27" s="15"/>
      <c r="ACT27" s="14">
        <v>0</v>
      </c>
      <c r="ACU27" s="33"/>
      <c r="ACV27" s="14">
        <f t="shared" si="716"/>
        <v>0</v>
      </c>
      <c r="ACW27" s="15"/>
      <c r="ACX27" s="15"/>
      <c r="ACZ27" s="14">
        <v>1.4</v>
      </c>
      <c r="ADA27" s="33"/>
      <c r="ADB27" s="14">
        <f t="shared" si="717"/>
        <v>-1.4</v>
      </c>
      <c r="ADC27" s="15"/>
      <c r="ADD27" s="15"/>
      <c r="ADF27" s="14">
        <v>1</v>
      </c>
      <c r="ADG27" s="33"/>
      <c r="ADH27" s="14">
        <f t="shared" si="718"/>
        <v>0.39999999999999991</v>
      </c>
      <c r="ADI27" s="15"/>
      <c r="ADJ27" s="15"/>
      <c r="ADL27" s="14">
        <v>1.1000000000000001</v>
      </c>
      <c r="ADM27" s="33"/>
      <c r="ADN27" s="14">
        <f t="shared" si="719"/>
        <v>-0.10000000000000009</v>
      </c>
      <c r="ADO27" s="15"/>
      <c r="ADP27" s="15"/>
      <c r="ADR27" s="14">
        <v>1</v>
      </c>
      <c r="ADS27" s="33"/>
      <c r="ADT27" s="14">
        <f t="shared" si="720"/>
        <v>0.10000000000000009</v>
      </c>
      <c r="ADU27" s="15"/>
      <c r="ADV27" s="15"/>
      <c r="ADX27" s="14">
        <v>0.1</v>
      </c>
      <c r="ADY27" s="33"/>
      <c r="ADZ27" s="14">
        <f t="shared" si="721"/>
        <v>0.9</v>
      </c>
      <c r="AEA27" s="15"/>
      <c r="AEB27" s="15"/>
      <c r="AED27" s="14">
        <v>0.5</v>
      </c>
      <c r="AEE27" s="33"/>
      <c r="AEF27" s="14">
        <f t="shared" si="722"/>
        <v>-0.4</v>
      </c>
      <c r="AEG27" s="15"/>
      <c r="AEH27" s="15"/>
      <c r="AEJ27" s="14">
        <v>0.9</v>
      </c>
      <c r="AEK27" s="33"/>
      <c r="AEL27" s="14">
        <f t="shared" si="723"/>
        <v>-0.4</v>
      </c>
      <c r="AEM27" s="15"/>
      <c r="AEN27" s="15"/>
      <c r="AEP27" s="14">
        <v>0.7</v>
      </c>
      <c r="AEQ27" s="33"/>
      <c r="AER27" s="14">
        <f t="shared" si="724"/>
        <v>0.20000000000000007</v>
      </c>
      <c r="AES27" s="15"/>
      <c r="AET27" s="15"/>
      <c r="AEV27" s="14">
        <v>0.7</v>
      </c>
      <c r="AEW27" s="33"/>
      <c r="AEX27" s="14">
        <f t="shared" si="725"/>
        <v>0</v>
      </c>
      <c r="AEY27" s="15"/>
      <c r="AEZ27" s="15"/>
      <c r="AFB27" s="14">
        <v>0.7</v>
      </c>
      <c r="AFC27" s="33"/>
      <c r="AFD27" s="14">
        <f t="shared" si="726"/>
        <v>0</v>
      </c>
      <c r="AFE27" s="15"/>
      <c r="AFF27" s="15"/>
      <c r="AFH27" s="14">
        <v>0.5</v>
      </c>
      <c r="AFI27" s="33"/>
      <c r="AFJ27" s="14">
        <f t="shared" si="727"/>
        <v>0.19999999999999996</v>
      </c>
      <c r="AFK27" s="15"/>
      <c r="AFL27" s="15"/>
      <c r="AFN27" s="14">
        <v>0.6</v>
      </c>
      <c r="AFO27" s="33"/>
      <c r="AFP27" s="14">
        <f t="shared" si="728"/>
        <v>-9.9999999999999978E-2</v>
      </c>
      <c r="AFQ27" s="15"/>
      <c r="AFR27" s="15"/>
      <c r="AFT27" s="14">
        <v>0.6</v>
      </c>
      <c r="AFU27" s="33"/>
      <c r="AFV27" s="14">
        <f t="shared" si="729"/>
        <v>0</v>
      </c>
      <c r="AFW27" s="15"/>
      <c r="AFX27" s="15"/>
      <c r="AFZ27" s="14">
        <v>0.5</v>
      </c>
      <c r="AGA27" s="33"/>
      <c r="AGB27" s="14">
        <f t="shared" si="730"/>
        <v>9.9999999999999978E-2</v>
      </c>
      <c r="AGC27" s="15"/>
      <c r="AGD27" s="15"/>
      <c r="AGF27" s="14">
        <v>0.4</v>
      </c>
      <c r="AGG27" s="33"/>
      <c r="AGH27" s="14">
        <f t="shared" si="731"/>
        <v>9.9999999999999978E-2</v>
      </c>
      <c r="AGI27" s="15"/>
      <c r="AGJ27" s="15"/>
      <c r="AGL27" s="14">
        <v>0.5</v>
      </c>
      <c r="AGM27" s="33"/>
      <c r="AGN27" s="14">
        <f t="shared" si="732"/>
        <v>-9.9999999999999978E-2</v>
      </c>
      <c r="AGO27" s="15"/>
      <c r="AGP27" s="15"/>
      <c r="AGR27" s="14">
        <v>0.5</v>
      </c>
      <c r="AGS27" s="33"/>
      <c r="AGT27" s="14">
        <f t="shared" si="733"/>
        <v>0</v>
      </c>
      <c r="AGU27" s="15"/>
      <c r="AGV27" s="15"/>
      <c r="AGX27" s="14">
        <v>0.4</v>
      </c>
      <c r="AGY27" s="33"/>
      <c r="AGZ27" s="14">
        <f t="shared" si="734"/>
        <v>9.9999999999999978E-2</v>
      </c>
      <c r="AHA27" s="15"/>
      <c r="AHB27" s="15"/>
      <c r="AHD27" s="14">
        <v>0.3</v>
      </c>
      <c r="AHE27" s="33"/>
      <c r="AHF27" s="14">
        <f t="shared" si="735"/>
        <v>0.10000000000000003</v>
      </c>
      <c r="AHG27" s="15"/>
      <c r="AHH27" s="15"/>
      <c r="AHJ27" s="14">
        <v>0.3</v>
      </c>
      <c r="AHK27" s="33"/>
      <c r="AHL27" s="14">
        <f t="shared" si="736"/>
        <v>0</v>
      </c>
      <c r="AHM27" s="15"/>
      <c r="AHN27" s="15"/>
      <c r="AHP27" s="14">
        <v>0.4</v>
      </c>
      <c r="AHQ27" s="33"/>
      <c r="AHR27" s="14">
        <f t="shared" si="737"/>
        <v>-0.10000000000000003</v>
      </c>
      <c r="AHS27" s="15"/>
      <c r="AHT27" s="15"/>
      <c r="AHV27" s="14">
        <v>0.2</v>
      </c>
      <c r="AHW27" s="33"/>
      <c r="AHX27" s="14">
        <f t="shared" si="738"/>
        <v>0.2</v>
      </c>
      <c r="AHY27" s="15"/>
      <c r="AHZ27" s="15"/>
      <c r="AIB27" s="14">
        <v>0.3</v>
      </c>
      <c r="AIC27" s="33"/>
      <c r="AID27" s="14">
        <f t="shared" si="739"/>
        <v>-9.9999999999999978E-2</v>
      </c>
      <c r="AIE27" s="15"/>
      <c r="AIF27" s="15"/>
      <c r="AIH27" s="14">
        <v>0</v>
      </c>
      <c r="AII27" s="33">
        <v>1</v>
      </c>
      <c r="AIJ27" s="14">
        <f t="shared" si="740"/>
        <v>0.3</v>
      </c>
      <c r="AIK27" s="15"/>
      <c r="AIL27" s="15"/>
      <c r="AIN27" s="14">
        <v>1.8</v>
      </c>
      <c r="AIO27" s="33"/>
      <c r="AIP27" s="14">
        <f t="shared" si="741"/>
        <v>-0.8</v>
      </c>
      <c r="AIQ27" s="15"/>
      <c r="AIR27" s="15"/>
      <c r="AIT27" s="14">
        <v>1.3</v>
      </c>
      <c r="AIU27" s="33"/>
      <c r="AIV27" s="14">
        <f t="shared" si="742"/>
        <v>0.5</v>
      </c>
      <c r="AIW27" s="15"/>
      <c r="AIX27" s="15"/>
      <c r="AIZ27" s="14">
        <v>1.3</v>
      </c>
      <c r="AJA27" s="33"/>
      <c r="AJB27" s="14">
        <f t="shared" si="743"/>
        <v>0</v>
      </c>
      <c r="AJC27" s="15"/>
      <c r="AJD27" s="15"/>
      <c r="AJF27" s="14">
        <v>1</v>
      </c>
      <c r="AJG27" s="33"/>
      <c r="AJH27" s="14">
        <f t="shared" si="744"/>
        <v>0.30000000000000004</v>
      </c>
      <c r="AJI27" s="15"/>
      <c r="AJJ27" s="15"/>
      <c r="AJL27" s="14">
        <v>1.2</v>
      </c>
      <c r="AJM27" s="33"/>
      <c r="AJN27" s="14">
        <f t="shared" si="745"/>
        <v>-0.19999999999999996</v>
      </c>
      <c r="AJO27" s="15"/>
      <c r="AJP27" s="15"/>
      <c r="AJR27" s="14">
        <v>1.1000000000000001</v>
      </c>
      <c r="AJS27" s="33"/>
      <c r="AJT27" s="14">
        <f t="shared" si="746"/>
        <v>9.9999999999999867E-2</v>
      </c>
      <c r="AJU27" s="15"/>
      <c r="AJV27" s="15"/>
      <c r="AJX27" s="14">
        <v>0</v>
      </c>
      <c r="AJY27" s="33"/>
      <c r="AJZ27" s="14">
        <f t="shared" si="747"/>
        <v>1.1000000000000001</v>
      </c>
      <c r="AKA27" s="15"/>
      <c r="AKB27" s="15"/>
      <c r="AKD27" s="14">
        <v>1.3</v>
      </c>
      <c r="AKE27" s="33"/>
      <c r="AKF27" s="14">
        <f t="shared" si="748"/>
        <v>-1.3</v>
      </c>
      <c r="AKG27" s="15"/>
      <c r="AKH27" s="15"/>
      <c r="AKJ27" s="14">
        <v>0</v>
      </c>
      <c r="AKK27" s="33"/>
      <c r="AKL27" s="14">
        <f t="shared" si="749"/>
        <v>1.3</v>
      </c>
      <c r="AKM27" s="15"/>
      <c r="AKN27" s="15"/>
      <c r="AKP27" s="14">
        <v>1.1000000000000001</v>
      </c>
      <c r="AKQ27" s="33"/>
      <c r="AKR27" s="14">
        <f t="shared" si="750"/>
        <v>-1.1000000000000001</v>
      </c>
      <c r="AKS27" s="15"/>
      <c r="AKT27" s="15"/>
      <c r="AKV27" s="14">
        <v>1.1000000000000001</v>
      </c>
      <c r="AKW27" s="33"/>
      <c r="AKX27" s="14">
        <f t="shared" si="751"/>
        <v>0</v>
      </c>
      <c r="AKY27" s="15"/>
      <c r="AKZ27" s="15"/>
      <c r="ALB27" s="14">
        <v>1.1000000000000001</v>
      </c>
      <c r="ALC27" s="33"/>
      <c r="ALD27" s="14">
        <f t="shared" si="752"/>
        <v>0</v>
      </c>
      <c r="ALE27" s="15"/>
      <c r="ALF27" s="15"/>
      <c r="ALH27" s="14">
        <v>0.8</v>
      </c>
      <c r="ALI27" s="33"/>
      <c r="ALJ27" s="14">
        <f t="shared" si="753"/>
        <v>0.30000000000000004</v>
      </c>
      <c r="ALK27" s="15"/>
      <c r="ALL27" s="15"/>
      <c r="ALN27" s="14">
        <v>0.5</v>
      </c>
      <c r="ALO27" s="33"/>
      <c r="ALP27" s="14">
        <f t="shared" si="754"/>
        <v>0.30000000000000004</v>
      </c>
      <c r="ALQ27" s="15"/>
      <c r="ALR27" s="15"/>
      <c r="ALT27" s="14">
        <v>0.7</v>
      </c>
      <c r="ALU27" s="33"/>
      <c r="ALV27" s="14">
        <f t="shared" si="755"/>
        <v>-0.19999999999999996</v>
      </c>
      <c r="ALW27" s="15"/>
      <c r="ALX27" s="15"/>
      <c r="ALZ27" s="14">
        <v>0.9</v>
      </c>
      <c r="AMA27" s="33"/>
      <c r="AMB27" s="14">
        <f t="shared" si="756"/>
        <v>-0.20000000000000007</v>
      </c>
      <c r="AMC27" s="15"/>
      <c r="AMD27" s="15"/>
      <c r="AMF27" s="14">
        <v>0.7</v>
      </c>
      <c r="AMG27" s="33"/>
      <c r="AMH27" s="14">
        <f t="shared" si="757"/>
        <v>0.20000000000000007</v>
      </c>
      <c r="AMI27" s="15"/>
      <c r="AMJ27" s="15"/>
      <c r="AML27" s="14">
        <v>0.7</v>
      </c>
      <c r="AMM27" s="33"/>
      <c r="AMN27" s="14">
        <f t="shared" si="758"/>
        <v>0</v>
      </c>
      <c r="AMO27" s="15"/>
      <c r="AMP27" s="15"/>
      <c r="AMR27" s="14">
        <v>0.6</v>
      </c>
      <c r="AMS27" s="33"/>
      <c r="AMT27" s="14">
        <f t="shared" si="759"/>
        <v>9.9999999999999978E-2</v>
      </c>
      <c r="AMU27" s="15"/>
      <c r="AMV27" s="15"/>
      <c r="AMX27" s="14">
        <v>0.4</v>
      </c>
      <c r="AMY27" s="33"/>
      <c r="AMZ27" s="14">
        <f t="shared" si="760"/>
        <v>0.19999999999999996</v>
      </c>
      <c r="ANA27" s="15"/>
      <c r="ANB27" s="15"/>
      <c r="AND27" s="14">
        <v>0.6</v>
      </c>
      <c r="ANE27" s="33"/>
      <c r="ANF27" s="14">
        <f t="shared" si="761"/>
        <v>-0.19999999999999996</v>
      </c>
      <c r="ANG27" s="15"/>
      <c r="ANH27" s="15"/>
      <c r="ANJ27" s="14">
        <v>0.6</v>
      </c>
      <c r="ANK27" s="33"/>
      <c r="ANL27" s="14">
        <f t="shared" si="762"/>
        <v>0</v>
      </c>
      <c r="ANM27" s="15"/>
      <c r="ANN27" s="15"/>
      <c r="ANP27" s="14">
        <v>0</v>
      </c>
      <c r="ANQ27" s="33"/>
      <c r="ANR27" s="14">
        <f t="shared" si="763"/>
        <v>0.6</v>
      </c>
      <c r="ANS27" s="15"/>
      <c r="ANT27" s="15"/>
      <c r="ANV27" s="14">
        <v>0.6</v>
      </c>
      <c r="ANW27" s="33"/>
      <c r="ANX27" s="14">
        <f t="shared" si="764"/>
        <v>-0.6</v>
      </c>
      <c r="ANY27" s="15"/>
      <c r="ANZ27" s="15"/>
      <c r="AOB27" s="14"/>
      <c r="AOC27" s="33"/>
      <c r="AOD27" s="14">
        <f t="shared" si="765"/>
        <v>0.6</v>
      </c>
      <c r="AOE27" s="15"/>
      <c r="AOF27" s="15"/>
      <c r="AOH27" s="14"/>
      <c r="AOI27" s="33"/>
      <c r="AOJ27" s="14">
        <f t="shared" si="766"/>
        <v>0</v>
      </c>
      <c r="AOK27" s="15"/>
      <c r="AOL27" s="15"/>
      <c r="AON27" s="14"/>
      <c r="AOO27" s="33"/>
      <c r="AOP27" s="14">
        <f t="shared" si="767"/>
        <v>0</v>
      </c>
      <c r="AOQ27" s="15"/>
      <c r="AOR27" s="15"/>
    </row>
    <row r="28" spans="1:1024 1026:1084" x14ac:dyDescent="0.25">
      <c r="A28" s="3"/>
      <c r="B28" s="35"/>
      <c r="C28" s="28"/>
      <c r="D28" s="9"/>
      <c r="F28" s="14"/>
      <c r="G28" s="15"/>
      <c r="H28" s="11"/>
      <c r="I28" s="15"/>
      <c r="J28" s="15"/>
      <c r="L28" s="14"/>
      <c r="M28" s="15"/>
      <c r="N28" s="13"/>
      <c r="O28" s="15"/>
      <c r="P28" s="15"/>
      <c r="R28" s="14"/>
      <c r="S28" s="15"/>
      <c r="T28" s="13"/>
      <c r="U28" s="15"/>
      <c r="V28" s="15"/>
      <c r="X28" s="14"/>
      <c r="Y28" s="15"/>
      <c r="Z28" s="13"/>
      <c r="AA28" s="15"/>
      <c r="AB28" s="15"/>
      <c r="AD28" s="14"/>
      <c r="AE28" s="15"/>
      <c r="AF28" s="13"/>
      <c r="AG28" s="15"/>
      <c r="AH28" s="15"/>
      <c r="AJ28" s="14"/>
      <c r="AK28" s="15"/>
      <c r="AL28" s="13">
        <f t="shared" si="772"/>
        <v>0</v>
      </c>
      <c r="AM28" s="15"/>
      <c r="AN28" s="15"/>
      <c r="AP28" s="14"/>
      <c r="AQ28" s="15"/>
      <c r="AR28" s="13">
        <f t="shared" si="773"/>
        <v>0</v>
      </c>
      <c r="AS28" s="15"/>
      <c r="AT28" s="15"/>
      <c r="AV28" s="14"/>
      <c r="AW28" s="15"/>
      <c r="AX28" s="13">
        <f t="shared" si="774"/>
        <v>0</v>
      </c>
      <c r="AY28" s="15"/>
      <c r="AZ28" s="15"/>
      <c r="BB28" s="14"/>
      <c r="BC28" s="15"/>
      <c r="BD28" s="13">
        <f t="shared" si="775"/>
        <v>0</v>
      </c>
      <c r="BE28" s="15"/>
      <c r="BF28" s="15"/>
      <c r="BH28" s="14"/>
      <c r="BI28" s="15"/>
      <c r="BJ28" s="13">
        <f t="shared" si="776"/>
        <v>0</v>
      </c>
      <c r="BK28" s="15"/>
      <c r="BL28" s="15"/>
      <c r="BN28" s="14"/>
      <c r="BO28" s="15"/>
      <c r="BP28" s="13">
        <f t="shared" si="777"/>
        <v>0</v>
      </c>
      <c r="BQ28" s="15"/>
      <c r="BR28" s="15"/>
      <c r="BT28" s="14"/>
      <c r="BU28" s="15"/>
      <c r="BV28" s="13">
        <f t="shared" si="778"/>
        <v>0</v>
      </c>
      <c r="BW28" s="15"/>
      <c r="BX28" s="15"/>
      <c r="BZ28" s="14"/>
      <c r="CA28" s="15"/>
      <c r="CB28" s="13">
        <f t="shared" si="779"/>
        <v>0</v>
      </c>
      <c r="CC28" s="15"/>
      <c r="CD28" s="15"/>
      <c r="CF28" s="14"/>
      <c r="CG28" s="15"/>
      <c r="CH28" s="13">
        <f t="shared" si="780"/>
        <v>0</v>
      </c>
      <c r="CI28" s="15"/>
      <c r="CJ28" s="15"/>
      <c r="CL28" s="14"/>
      <c r="CM28" s="15"/>
      <c r="CN28" s="13">
        <f t="shared" si="781"/>
        <v>0</v>
      </c>
      <c r="CO28" s="15"/>
      <c r="CP28" s="15"/>
      <c r="CR28" s="14"/>
      <c r="CS28" s="15"/>
      <c r="CT28" s="13">
        <f t="shared" si="782"/>
        <v>0</v>
      </c>
      <c r="CU28" s="15"/>
      <c r="CV28" s="15"/>
      <c r="CX28" s="14"/>
      <c r="CY28" s="33"/>
      <c r="CZ28" s="13">
        <f t="shared" si="783"/>
        <v>0</v>
      </c>
      <c r="DA28" s="15"/>
      <c r="DB28" s="15"/>
      <c r="DD28" s="14"/>
      <c r="DE28" s="33"/>
      <c r="DF28" s="13">
        <f t="shared" si="784"/>
        <v>0</v>
      </c>
      <c r="DG28" s="15"/>
      <c r="DH28" s="15"/>
      <c r="DJ28" s="14"/>
      <c r="DK28" s="33"/>
      <c r="DL28" s="13">
        <f t="shared" si="785"/>
        <v>0</v>
      </c>
      <c r="DM28" s="15"/>
      <c r="DN28" s="15"/>
      <c r="DP28" s="14"/>
      <c r="DQ28" s="33"/>
      <c r="DR28" s="13">
        <f t="shared" si="786"/>
        <v>0</v>
      </c>
      <c r="DS28" s="15"/>
      <c r="DT28" s="15"/>
      <c r="DV28" s="14"/>
      <c r="DW28" s="33"/>
      <c r="DX28" s="13">
        <f t="shared" si="787"/>
        <v>0</v>
      </c>
      <c r="DY28" s="15"/>
      <c r="DZ28" s="15"/>
      <c r="EB28" s="14"/>
      <c r="EC28" s="33"/>
      <c r="ED28" s="13">
        <f t="shared" si="788"/>
        <v>0</v>
      </c>
      <c r="EE28" s="15"/>
      <c r="EF28" s="15"/>
      <c r="EH28" s="14"/>
      <c r="EI28" s="33"/>
      <c r="EJ28" s="13">
        <f t="shared" si="789"/>
        <v>0</v>
      </c>
      <c r="EK28" s="15"/>
      <c r="EL28" s="15"/>
      <c r="EN28" s="14"/>
      <c r="EO28" s="33"/>
      <c r="EP28" s="13">
        <f t="shared" si="790"/>
        <v>0</v>
      </c>
      <c r="EQ28" s="15"/>
      <c r="ER28" s="15"/>
      <c r="ET28" s="14"/>
      <c r="EU28" s="33"/>
      <c r="EV28" s="13">
        <f t="shared" si="791"/>
        <v>0</v>
      </c>
      <c r="EW28" s="15"/>
      <c r="EX28" s="15"/>
      <c r="EZ28" s="14"/>
      <c r="FA28" s="33"/>
      <c r="FB28" s="14">
        <f t="shared" si="792"/>
        <v>0</v>
      </c>
      <c r="FC28" s="15"/>
      <c r="FD28" s="15"/>
      <c r="FF28" s="14"/>
      <c r="FG28" s="33"/>
      <c r="FH28" s="14">
        <f t="shared" si="614"/>
        <v>0</v>
      </c>
      <c r="FI28" s="15"/>
      <c r="FJ28" s="15"/>
      <c r="FL28" s="14"/>
      <c r="FM28" s="33"/>
      <c r="FN28" s="14">
        <f t="shared" si="615"/>
        <v>0</v>
      </c>
      <c r="FO28" s="15"/>
      <c r="FP28" s="15"/>
      <c r="FR28" s="14"/>
      <c r="FS28" s="33"/>
      <c r="FT28" s="14">
        <f t="shared" si="616"/>
        <v>0</v>
      </c>
      <c r="FU28" s="15"/>
      <c r="FV28" s="15"/>
      <c r="FX28" s="14"/>
      <c r="FY28" s="33"/>
      <c r="FZ28" s="14">
        <f t="shared" si="617"/>
        <v>0</v>
      </c>
      <c r="GA28" s="15"/>
      <c r="GB28" s="15"/>
      <c r="GD28" s="14"/>
      <c r="GE28" s="33"/>
      <c r="GF28" s="14">
        <f t="shared" si="618"/>
        <v>0</v>
      </c>
      <c r="GG28" s="15"/>
      <c r="GH28" s="15"/>
      <c r="GJ28" s="14"/>
      <c r="GK28" s="33"/>
      <c r="GL28" s="14">
        <f t="shared" si="619"/>
        <v>0</v>
      </c>
      <c r="GM28" s="15"/>
      <c r="GN28" s="15"/>
      <c r="GP28" s="14"/>
      <c r="GQ28" s="33"/>
      <c r="GR28" s="14">
        <f t="shared" si="620"/>
        <v>0</v>
      </c>
      <c r="GS28" s="15"/>
      <c r="GT28" s="15"/>
      <c r="GV28" s="14"/>
      <c r="GW28" s="33"/>
      <c r="GX28" s="14">
        <f t="shared" si="621"/>
        <v>0</v>
      </c>
      <c r="GY28" s="15"/>
      <c r="GZ28" s="15"/>
      <c r="HB28" s="14"/>
      <c r="HC28" s="33"/>
      <c r="HD28" s="14">
        <f t="shared" si="622"/>
        <v>0</v>
      </c>
      <c r="HE28" s="15"/>
      <c r="HF28" s="15"/>
      <c r="HH28" s="14"/>
      <c r="HI28" s="33"/>
      <c r="HJ28" s="14">
        <f t="shared" si="623"/>
        <v>0</v>
      </c>
      <c r="HK28" s="15"/>
      <c r="HL28" s="15"/>
      <c r="HN28" s="14"/>
      <c r="HO28" s="33"/>
      <c r="HP28" s="14">
        <f t="shared" si="624"/>
        <v>0</v>
      </c>
      <c r="HQ28" s="15"/>
      <c r="HR28" s="15"/>
      <c r="HT28" s="14"/>
      <c r="HU28" s="33"/>
      <c r="HV28" s="14">
        <f t="shared" si="625"/>
        <v>0</v>
      </c>
      <c r="HW28" s="15"/>
      <c r="HX28" s="15"/>
      <c r="HZ28" s="14"/>
      <c r="IA28" s="33"/>
      <c r="IB28" s="14">
        <f t="shared" si="626"/>
        <v>0</v>
      </c>
      <c r="IC28" s="15"/>
      <c r="ID28" s="15"/>
      <c r="IF28" s="14"/>
      <c r="IG28" s="33"/>
      <c r="IH28" s="14">
        <f t="shared" si="627"/>
        <v>0</v>
      </c>
      <c r="II28" s="15"/>
      <c r="IJ28" s="15"/>
      <c r="IL28" s="14"/>
      <c r="IM28" s="33"/>
      <c r="IN28" s="14">
        <f t="shared" si="628"/>
        <v>0</v>
      </c>
      <c r="IO28" s="15"/>
      <c r="IP28" s="15"/>
      <c r="IR28" s="14"/>
      <c r="IS28" s="33"/>
      <c r="IT28" s="14">
        <f t="shared" si="629"/>
        <v>0</v>
      </c>
      <c r="IU28" s="15"/>
      <c r="IV28" s="15"/>
      <c r="IX28" s="14"/>
      <c r="IY28" s="33"/>
      <c r="IZ28" s="14">
        <f t="shared" si="630"/>
        <v>0</v>
      </c>
      <c r="JA28" s="15"/>
      <c r="JB28" s="15"/>
      <c r="JD28" s="14"/>
      <c r="JE28" s="33"/>
      <c r="JF28" s="14">
        <f t="shared" si="631"/>
        <v>0</v>
      </c>
      <c r="JG28" s="15"/>
      <c r="JH28" s="15"/>
      <c r="JJ28" s="14"/>
      <c r="JK28" s="33"/>
      <c r="JL28" s="14">
        <f t="shared" si="632"/>
        <v>0</v>
      </c>
      <c r="JM28" s="15"/>
      <c r="JN28" s="15"/>
      <c r="JP28" s="14"/>
      <c r="JQ28" s="33"/>
      <c r="JR28" s="14">
        <f t="shared" si="633"/>
        <v>0</v>
      </c>
      <c r="JS28" s="15"/>
      <c r="JT28" s="15"/>
      <c r="JV28" s="14"/>
      <c r="JW28" s="33"/>
      <c r="JX28" s="14">
        <f t="shared" si="634"/>
        <v>0</v>
      </c>
      <c r="JY28" s="15"/>
      <c r="JZ28" s="15"/>
      <c r="KB28" s="14"/>
      <c r="KC28" s="33"/>
      <c r="KD28" s="14">
        <f t="shared" si="635"/>
        <v>0</v>
      </c>
      <c r="KE28" s="15"/>
      <c r="KF28" s="15"/>
      <c r="KH28" s="14"/>
      <c r="KI28" s="33"/>
      <c r="KJ28" s="14">
        <f t="shared" si="636"/>
        <v>0</v>
      </c>
      <c r="KK28" s="15"/>
      <c r="KL28" s="15"/>
      <c r="KN28" s="14"/>
      <c r="KO28" s="33"/>
      <c r="KP28" s="14">
        <f t="shared" si="637"/>
        <v>0</v>
      </c>
      <c r="KQ28" s="15"/>
      <c r="KR28" s="15"/>
      <c r="KT28" s="14"/>
      <c r="KU28" s="33"/>
      <c r="KV28" s="14">
        <f t="shared" si="638"/>
        <v>0</v>
      </c>
      <c r="KW28" s="15"/>
      <c r="KX28" s="15"/>
      <c r="KZ28" s="14"/>
      <c r="LA28" s="33"/>
      <c r="LB28" s="14">
        <f t="shared" si="639"/>
        <v>0</v>
      </c>
      <c r="LC28" s="15"/>
      <c r="LD28" s="15"/>
      <c r="LF28" s="14"/>
      <c r="LG28" s="33"/>
      <c r="LH28" s="14">
        <f t="shared" si="640"/>
        <v>0</v>
      </c>
      <c r="LI28" s="15"/>
      <c r="LJ28" s="15"/>
      <c r="LL28" s="14"/>
      <c r="LM28" s="33"/>
      <c r="LN28" s="14">
        <f t="shared" si="641"/>
        <v>0</v>
      </c>
      <c r="LO28" s="15"/>
      <c r="LP28" s="15"/>
      <c r="LR28" s="14"/>
      <c r="LS28" s="33"/>
      <c r="LT28" s="14">
        <f t="shared" si="642"/>
        <v>0</v>
      </c>
      <c r="LU28" s="15"/>
      <c r="LV28" s="15"/>
      <c r="LX28" s="14"/>
      <c r="LY28" s="33"/>
      <c r="LZ28" s="14">
        <f t="shared" si="643"/>
        <v>0</v>
      </c>
      <c r="MA28" s="15"/>
      <c r="MB28" s="15"/>
      <c r="MD28" s="14"/>
      <c r="ME28" s="33"/>
      <c r="MF28" s="14">
        <f t="shared" si="644"/>
        <v>0</v>
      </c>
      <c r="MG28" s="15"/>
      <c r="MH28" s="15"/>
      <c r="MJ28" s="14"/>
      <c r="MK28" s="33"/>
      <c r="ML28" s="14">
        <f t="shared" si="645"/>
        <v>0</v>
      </c>
      <c r="MM28" s="15"/>
      <c r="MN28" s="15"/>
      <c r="MP28" s="14"/>
      <c r="MQ28" s="33"/>
      <c r="MR28" s="14">
        <f t="shared" si="646"/>
        <v>0</v>
      </c>
      <c r="MS28" s="15"/>
      <c r="MT28" s="15"/>
      <c r="MV28" s="14"/>
      <c r="MW28" s="33"/>
      <c r="MX28" s="14">
        <f t="shared" si="647"/>
        <v>0</v>
      </c>
      <c r="MY28" s="15"/>
      <c r="MZ28" s="15"/>
      <c r="NB28" s="14"/>
      <c r="NC28" s="33"/>
      <c r="ND28" s="14">
        <f t="shared" si="648"/>
        <v>0</v>
      </c>
      <c r="NE28" s="15"/>
      <c r="NF28" s="15"/>
      <c r="NH28" s="14"/>
      <c r="NI28" s="33"/>
      <c r="NJ28" s="14">
        <f t="shared" si="649"/>
        <v>0</v>
      </c>
      <c r="NK28" s="15"/>
      <c r="NL28" s="15"/>
      <c r="NN28" s="14"/>
      <c r="NO28" s="33"/>
      <c r="NP28" s="14">
        <f t="shared" si="650"/>
        <v>0</v>
      </c>
      <c r="NQ28" s="15"/>
      <c r="NR28" s="15"/>
      <c r="NT28" s="14"/>
      <c r="NU28" s="33"/>
      <c r="NV28" s="14">
        <f t="shared" si="651"/>
        <v>0</v>
      </c>
      <c r="NW28" s="15"/>
      <c r="NX28" s="15"/>
      <c r="NZ28" s="14"/>
      <c r="OA28" s="33"/>
      <c r="OB28" s="14">
        <f t="shared" si="652"/>
        <v>0</v>
      </c>
      <c r="OC28" s="15"/>
      <c r="OD28" s="15"/>
      <c r="OF28" s="14"/>
      <c r="OG28" s="33"/>
      <c r="OH28" s="14">
        <f t="shared" si="653"/>
        <v>0</v>
      </c>
      <c r="OI28" s="15"/>
      <c r="OJ28" s="15"/>
      <c r="OL28" s="14"/>
      <c r="OM28" s="33"/>
      <c r="ON28" s="14">
        <f t="shared" si="654"/>
        <v>0</v>
      </c>
      <c r="OO28" s="15"/>
      <c r="OP28" s="15"/>
      <c r="OR28" s="14"/>
      <c r="OS28" s="33"/>
      <c r="OT28" s="14">
        <f t="shared" si="655"/>
        <v>0</v>
      </c>
      <c r="OU28" s="15"/>
      <c r="OV28" s="15"/>
      <c r="OX28" s="14"/>
      <c r="OY28" s="33"/>
      <c r="OZ28" s="14">
        <f t="shared" si="656"/>
        <v>0</v>
      </c>
      <c r="PA28" s="15"/>
      <c r="PB28" s="15"/>
      <c r="PD28" s="14"/>
      <c r="PE28" s="33"/>
      <c r="PF28" s="14">
        <f t="shared" si="657"/>
        <v>0</v>
      </c>
      <c r="PG28" s="15"/>
      <c r="PH28" s="15"/>
      <c r="PJ28" s="14"/>
      <c r="PK28" s="33"/>
      <c r="PL28" s="14">
        <f t="shared" si="658"/>
        <v>0</v>
      </c>
      <c r="PM28" s="15"/>
      <c r="PN28" s="15"/>
      <c r="PP28" s="14"/>
      <c r="PQ28" s="33"/>
      <c r="PR28" s="14">
        <f t="shared" si="659"/>
        <v>0</v>
      </c>
      <c r="PS28" s="15"/>
      <c r="PT28" s="15"/>
      <c r="PV28" s="14"/>
      <c r="PW28" s="33"/>
      <c r="PX28" s="14">
        <f t="shared" si="660"/>
        <v>0</v>
      </c>
      <c r="PY28" s="15"/>
      <c r="PZ28" s="15"/>
      <c r="QB28" s="14"/>
      <c r="QC28" s="33"/>
      <c r="QD28" s="14">
        <f t="shared" si="661"/>
        <v>0</v>
      </c>
      <c r="QE28" s="15"/>
      <c r="QF28" s="15"/>
      <c r="QH28" s="14"/>
      <c r="QI28" s="33"/>
      <c r="QJ28" s="14">
        <f t="shared" si="662"/>
        <v>0</v>
      </c>
      <c r="QK28" s="15"/>
      <c r="QL28" s="15"/>
      <c r="QN28" s="14"/>
      <c r="QO28" s="33"/>
      <c r="QP28" s="14">
        <f t="shared" si="663"/>
        <v>0</v>
      </c>
      <c r="QQ28" s="15"/>
      <c r="QR28" s="15"/>
      <c r="QT28" s="14"/>
      <c r="QU28" s="33"/>
      <c r="QV28" s="14">
        <f t="shared" si="664"/>
        <v>0</v>
      </c>
      <c r="QW28" s="15"/>
      <c r="QX28" s="15"/>
      <c r="QZ28" s="14"/>
      <c r="RA28" s="33"/>
      <c r="RB28" s="14">
        <f t="shared" si="665"/>
        <v>0</v>
      </c>
      <c r="RC28" s="15"/>
      <c r="RD28" s="15"/>
      <c r="RF28" s="14"/>
      <c r="RG28" s="33"/>
      <c r="RH28" s="14">
        <f t="shared" si="666"/>
        <v>0</v>
      </c>
      <c r="RI28" s="15"/>
      <c r="RJ28" s="15"/>
      <c r="RL28" s="14"/>
      <c r="RM28" s="33"/>
      <c r="RN28" s="14">
        <f t="shared" si="667"/>
        <v>0</v>
      </c>
      <c r="RO28" s="15"/>
      <c r="RP28" s="15"/>
      <c r="RR28" s="14"/>
      <c r="RS28" s="33"/>
      <c r="RT28" s="14">
        <f t="shared" si="668"/>
        <v>0</v>
      </c>
      <c r="RU28" s="15"/>
      <c r="RV28" s="15"/>
      <c r="RX28" s="14"/>
      <c r="RY28" s="33"/>
      <c r="RZ28" s="14">
        <f t="shared" si="669"/>
        <v>0</v>
      </c>
      <c r="SA28" s="15"/>
      <c r="SB28" s="15"/>
      <c r="SD28" s="14"/>
      <c r="SE28" s="33"/>
      <c r="SF28" s="14">
        <f t="shared" si="670"/>
        <v>0</v>
      </c>
      <c r="SG28" s="15"/>
      <c r="SH28" s="15"/>
      <c r="SJ28" s="14"/>
      <c r="SK28" s="33"/>
      <c r="SL28" s="14">
        <f t="shared" si="671"/>
        <v>0</v>
      </c>
      <c r="SM28" s="15"/>
      <c r="SN28" s="15"/>
      <c r="SP28" s="14"/>
      <c r="SQ28" s="33"/>
      <c r="SR28" s="14">
        <f t="shared" si="672"/>
        <v>0</v>
      </c>
      <c r="SS28" s="15"/>
      <c r="ST28" s="15"/>
      <c r="SV28" s="14"/>
      <c r="SW28" s="33"/>
      <c r="SX28" s="14">
        <f t="shared" si="673"/>
        <v>0</v>
      </c>
      <c r="SY28" s="15"/>
      <c r="SZ28" s="15"/>
      <c r="TB28" s="14"/>
      <c r="TC28" s="33"/>
      <c r="TD28" s="14">
        <f t="shared" si="674"/>
        <v>0</v>
      </c>
      <c r="TE28" s="15"/>
      <c r="TF28" s="15"/>
      <c r="TH28" s="14"/>
      <c r="TI28" s="33"/>
      <c r="TJ28" s="14">
        <f t="shared" si="675"/>
        <v>0</v>
      </c>
      <c r="TK28" s="15"/>
      <c r="TL28" s="15"/>
      <c r="TN28" s="14"/>
      <c r="TO28" s="33"/>
      <c r="TP28" s="14">
        <f t="shared" si="676"/>
        <v>0</v>
      </c>
      <c r="TQ28" s="15"/>
      <c r="TR28" s="15"/>
      <c r="TT28" s="14"/>
      <c r="TU28" s="33"/>
      <c r="TV28" s="14">
        <f t="shared" si="677"/>
        <v>0</v>
      </c>
      <c r="TW28" s="15"/>
      <c r="TX28" s="15"/>
      <c r="TZ28" s="14"/>
      <c r="UA28" s="33"/>
      <c r="UB28" s="14">
        <f t="shared" si="678"/>
        <v>0</v>
      </c>
      <c r="UC28" s="15"/>
      <c r="UD28" s="15"/>
      <c r="UF28" s="14"/>
      <c r="UG28" s="33"/>
      <c r="UH28" s="14">
        <f t="shared" si="679"/>
        <v>0</v>
      </c>
      <c r="UI28" s="15"/>
      <c r="UJ28" s="15"/>
      <c r="UL28" s="14"/>
      <c r="UM28" s="33"/>
      <c r="UN28" s="14">
        <f t="shared" si="680"/>
        <v>0</v>
      </c>
      <c r="UO28" s="15"/>
      <c r="UP28" s="15"/>
      <c r="UR28" s="14"/>
      <c r="US28" s="33"/>
      <c r="UT28" s="14">
        <f t="shared" si="681"/>
        <v>0</v>
      </c>
      <c r="UU28" s="15"/>
      <c r="UV28" s="15"/>
      <c r="UX28" s="14"/>
      <c r="UY28" s="33"/>
      <c r="UZ28" s="14">
        <f t="shared" si="682"/>
        <v>0</v>
      </c>
      <c r="VA28" s="15"/>
      <c r="VB28" s="15"/>
      <c r="VD28" s="14"/>
      <c r="VE28" s="33"/>
      <c r="VF28" s="14">
        <f t="shared" si="683"/>
        <v>0</v>
      </c>
      <c r="VG28" s="15"/>
      <c r="VH28" s="15"/>
      <c r="VJ28" s="14"/>
      <c r="VK28" s="33"/>
      <c r="VL28" s="14">
        <f t="shared" si="684"/>
        <v>0</v>
      </c>
      <c r="VM28" s="15"/>
      <c r="VN28" s="15"/>
      <c r="VP28" s="14"/>
      <c r="VQ28" s="33"/>
      <c r="VR28" s="14">
        <f t="shared" si="685"/>
        <v>0</v>
      </c>
      <c r="VS28" s="15"/>
      <c r="VT28" s="15"/>
      <c r="VV28" s="14"/>
      <c r="VW28" s="33"/>
      <c r="VX28" s="14">
        <f t="shared" si="686"/>
        <v>0</v>
      </c>
      <c r="VY28" s="15"/>
      <c r="VZ28" s="15"/>
      <c r="WB28" s="14"/>
      <c r="WC28" s="33"/>
      <c r="WD28" s="14">
        <f t="shared" si="687"/>
        <v>0</v>
      </c>
      <c r="WE28" s="15"/>
      <c r="WF28" s="15"/>
      <c r="WH28" s="14"/>
      <c r="WI28" s="33"/>
      <c r="WJ28" s="14">
        <f t="shared" si="688"/>
        <v>0</v>
      </c>
      <c r="WK28" s="15"/>
      <c r="WL28" s="15"/>
      <c r="WN28" s="14"/>
      <c r="WO28" s="33"/>
      <c r="WP28" s="14">
        <f t="shared" si="689"/>
        <v>0</v>
      </c>
      <c r="WQ28" s="15"/>
      <c r="WR28" s="15"/>
      <c r="WT28" s="14"/>
      <c r="WU28" s="33"/>
      <c r="WV28" s="14">
        <f t="shared" si="690"/>
        <v>0</v>
      </c>
      <c r="WW28" s="15"/>
      <c r="WX28" s="15"/>
      <c r="WZ28" s="14"/>
      <c r="XA28" s="33"/>
      <c r="XB28" s="14">
        <f t="shared" si="691"/>
        <v>0</v>
      </c>
      <c r="XC28" s="15"/>
      <c r="XD28" s="15"/>
      <c r="XF28" s="14"/>
      <c r="XG28" s="33"/>
      <c r="XH28" s="14">
        <f t="shared" si="692"/>
        <v>0</v>
      </c>
      <c r="XI28" s="15"/>
      <c r="XJ28" s="15"/>
      <c r="XL28" s="14"/>
      <c r="XM28" s="33"/>
      <c r="XN28" s="14">
        <f t="shared" si="693"/>
        <v>0</v>
      </c>
      <c r="XO28" s="15"/>
      <c r="XP28" s="15"/>
      <c r="XR28" s="14"/>
      <c r="XS28" s="33"/>
      <c r="XT28" s="14">
        <f t="shared" si="694"/>
        <v>0</v>
      </c>
      <c r="XU28" s="15"/>
      <c r="XV28" s="15"/>
      <c r="XX28" s="14"/>
      <c r="XY28" s="33"/>
      <c r="XZ28" s="14">
        <f t="shared" si="695"/>
        <v>0</v>
      </c>
      <c r="YA28" s="15"/>
      <c r="YB28" s="15"/>
      <c r="YD28" s="14"/>
      <c r="YE28" s="33"/>
      <c r="YF28" s="14">
        <f t="shared" si="696"/>
        <v>0</v>
      </c>
      <c r="YG28" s="15"/>
      <c r="YH28" s="15"/>
      <c r="YJ28" s="14"/>
      <c r="YK28" s="33"/>
      <c r="YL28" s="14">
        <f t="shared" si="697"/>
        <v>0</v>
      </c>
      <c r="YM28" s="15"/>
      <c r="YN28" s="15"/>
      <c r="YP28" s="14"/>
      <c r="YQ28" s="33"/>
      <c r="YR28" s="14">
        <f t="shared" si="698"/>
        <v>0</v>
      </c>
      <c r="YS28" s="15"/>
      <c r="YT28" s="15"/>
      <c r="YV28" s="14"/>
      <c r="YW28" s="33"/>
      <c r="YX28" s="14">
        <f t="shared" si="699"/>
        <v>0</v>
      </c>
      <c r="YY28" s="15"/>
      <c r="YZ28" s="15"/>
      <c r="ZB28" s="14"/>
      <c r="ZC28" s="33"/>
      <c r="ZD28" s="14">
        <f t="shared" si="700"/>
        <v>0</v>
      </c>
      <c r="ZE28" s="15"/>
      <c r="ZF28" s="15"/>
      <c r="ZH28" s="14"/>
      <c r="ZI28" s="33"/>
      <c r="ZJ28" s="14">
        <f t="shared" si="701"/>
        <v>0</v>
      </c>
      <c r="ZK28" s="15"/>
      <c r="ZL28" s="15"/>
      <c r="ZN28" s="14"/>
      <c r="ZO28" s="33"/>
      <c r="ZP28" s="14">
        <f t="shared" si="702"/>
        <v>0</v>
      </c>
      <c r="ZQ28" s="15"/>
      <c r="ZR28" s="15"/>
      <c r="ZT28" s="14"/>
      <c r="ZU28" s="33"/>
      <c r="ZV28" s="14">
        <f t="shared" si="703"/>
        <v>0</v>
      </c>
      <c r="ZW28" s="15"/>
      <c r="ZX28" s="15"/>
      <c r="ZZ28" s="14"/>
      <c r="AAA28" s="33"/>
      <c r="AAB28" s="14">
        <f t="shared" si="704"/>
        <v>0</v>
      </c>
      <c r="AAC28" s="15"/>
      <c r="AAD28" s="15"/>
      <c r="AAF28" s="14"/>
      <c r="AAG28" s="33"/>
      <c r="AAH28" s="14">
        <f t="shared" si="705"/>
        <v>0</v>
      </c>
      <c r="AAI28" s="15"/>
      <c r="AAJ28" s="15"/>
      <c r="AAL28" s="14"/>
      <c r="AAM28" s="33"/>
      <c r="AAN28" s="14">
        <f t="shared" si="706"/>
        <v>0</v>
      </c>
      <c r="AAO28" s="15"/>
      <c r="AAP28" s="15"/>
      <c r="AAR28" s="14"/>
      <c r="AAS28" s="33"/>
      <c r="AAT28" s="14">
        <f t="shared" si="707"/>
        <v>0</v>
      </c>
      <c r="AAU28" s="15"/>
      <c r="AAV28" s="15"/>
      <c r="AAX28" s="14"/>
      <c r="AAY28" s="33"/>
      <c r="AAZ28" s="14">
        <f t="shared" si="708"/>
        <v>0</v>
      </c>
      <c r="ABA28" s="15"/>
      <c r="ABB28" s="15"/>
      <c r="ABD28" s="14"/>
      <c r="ABE28" s="33"/>
      <c r="ABF28" s="14">
        <f t="shared" si="709"/>
        <v>0</v>
      </c>
      <c r="ABG28" s="15"/>
      <c r="ABH28" s="15"/>
      <c r="ABJ28" s="14"/>
      <c r="ABK28" s="33"/>
      <c r="ABL28" s="14">
        <f t="shared" si="710"/>
        <v>0</v>
      </c>
      <c r="ABM28" s="15"/>
      <c r="ABN28" s="15"/>
      <c r="ABP28" s="14"/>
      <c r="ABQ28" s="33"/>
      <c r="ABR28" s="14">
        <f t="shared" si="711"/>
        <v>0</v>
      </c>
      <c r="ABS28" s="15"/>
      <c r="ABT28" s="15"/>
      <c r="ABV28" s="14"/>
      <c r="ABW28" s="33"/>
      <c r="ABX28" s="14">
        <f t="shared" si="712"/>
        <v>0</v>
      </c>
      <c r="ABY28" s="15"/>
      <c r="ABZ28" s="15"/>
      <c r="ACB28" s="14"/>
      <c r="ACC28" s="33"/>
      <c r="ACD28" s="14">
        <f t="shared" si="713"/>
        <v>0</v>
      </c>
      <c r="ACE28" s="15"/>
      <c r="ACF28" s="15"/>
      <c r="ACH28" s="14"/>
      <c r="ACI28" s="33"/>
      <c r="ACJ28" s="14">
        <f t="shared" si="714"/>
        <v>0</v>
      </c>
      <c r="ACK28" s="15"/>
      <c r="ACL28" s="15"/>
      <c r="ACN28" s="14"/>
      <c r="ACO28" s="33"/>
      <c r="ACP28" s="14">
        <f t="shared" si="715"/>
        <v>0</v>
      </c>
      <c r="ACQ28" s="15"/>
      <c r="ACR28" s="15"/>
      <c r="ACT28" s="14"/>
      <c r="ACU28" s="33"/>
      <c r="ACV28" s="14">
        <f t="shared" si="716"/>
        <v>0</v>
      </c>
      <c r="ACW28" s="15"/>
      <c r="ACX28" s="15"/>
      <c r="ACZ28" s="14"/>
      <c r="ADA28" s="33"/>
      <c r="ADB28" s="14">
        <f t="shared" si="717"/>
        <v>0</v>
      </c>
      <c r="ADC28" s="15"/>
      <c r="ADD28" s="15"/>
      <c r="ADF28" s="14"/>
      <c r="ADG28" s="33"/>
      <c r="ADH28" s="14">
        <f t="shared" si="718"/>
        <v>0</v>
      </c>
      <c r="ADI28" s="15"/>
      <c r="ADJ28" s="15"/>
      <c r="ADL28" s="14"/>
      <c r="ADM28" s="33"/>
      <c r="ADN28" s="14">
        <f t="shared" si="719"/>
        <v>0</v>
      </c>
      <c r="ADO28" s="15"/>
      <c r="ADP28" s="15"/>
      <c r="ADR28" s="14"/>
      <c r="ADS28" s="33"/>
      <c r="ADT28" s="14">
        <f t="shared" si="720"/>
        <v>0</v>
      </c>
      <c r="ADU28" s="15"/>
      <c r="ADV28" s="15"/>
      <c r="ADX28" s="14"/>
      <c r="ADY28" s="33"/>
      <c r="ADZ28" s="14">
        <f t="shared" si="721"/>
        <v>0</v>
      </c>
      <c r="AEA28" s="15"/>
      <c r="AEB28" s="15"/>
      <c r="AED28" s="14"/>
      <c r="AEE28" s="33"/>
      <c r="AEF28" s="14">
        <f t="shared" si="722"/>
        <v>0</v>
      </c>
      <c r="AEG28" s="15"/>
      <c r="AEH28" s="15"/>
      <c r="AEJ28" s="14"/>
      <c r="AEK28" s="33"/>
      <c r="AEL28" s="14">
        <f t="shared" si="723"/>
        <v>0</v>
      </c>
      <c r="AEM28" s="15"/>
      <c r="AEN28" s="15"/>
      <c r="AEP28" s="14"/>
      <c r="AEQ28" s="33"/>
      <c r="AER28" s="14">
        <f t="shared" si="724"/>
        <v>0</v>
      </c>
      <c r="AES28" s="15"/>
      <c r="AET28" s="15"/>
      <c r="AEV28" s="14"/>
      <c r="AEW28" s="33"/>
      <c r="AEX28" s="14">
        <f t="shared" si="725"/>
        <v>0</v>
      </c>
      <c r="AEY28" s="15"/>
      <c r="AEZ28" s="15"/>
      <c r="AFB28" s="14"/>
      <c r="AFC28" s="33"/>
      <c r="AFD28" s="14">
        <f t="shared" si="726"/>
        <v>0</v>
      </c>
      <c r="AFE28" s="15"/>
      <c r="AFF28" s="15"/>
      <c r="AFH28" s="14"/>
      <c r="AFI28" s="33"/>
      <c r="AFJ28" s="14">
        <f t="shared" si="727"/>
        <v>0</v>
      </c>
      <c r="AFK28" s="15"/>
      <c r="AFL28" s="15"/>
      <c r="AFN28" s="14"/>
      <c r="AFO28" s="33"/>
      <c r="AFP28" s="14">
        <f t="shared" si="728"/>
        <v>0</v>
      </c>
      <c r="AFQ28" s="15"/>
      <c r="AFR28" s="15"/>
      <c r="AFT28" s="14"/>
      <c r="AFU28" s="33"/>
      <c r="AFV28" s="14">
        <f t="shared" si="729"/>
        <v>0</v>
      </c>
      <c r="AFW28" s="15"/>
      <c r="AFX28" s="15"/>
      <c r="AFZ28" s="14"/>
      <c r="AGA28" s="33"/>
      <c r="AGB28" s="14">
        <f t="shared" si="730"/>
        <v>0</v>
      </c>
      <c r="AGC28" s="15"/>
      <c r="AGD28" s="15"/>
      <c r="AGF28" s="14"/>
      <c r="AGG28" s="33"/>
      <c r="AGH28" s="14">
        <f t="shared" si="731"/>
        <v>0</v>
      </c>
      <c r="AGI28" s="15"/>
      <c r="AGJ28" s="15"/>
      <c r="AGL28" s="14"/>
      <c r="AGM28" s="33"/>
      <c r="AGN28" s="14">
        <f t="shared" si="732"/>
        <v>0</v>
      </c>
      <c r="AGO28" s="15"/>
      <c r="AGP28" s="15"/>
      <c r="AGR28" s="14"/>
      <c r="AGS28" s="33"/>
      <c r="AGT28" s="14">
        <f t="shared" si="733"/>
        <v>0</v>
      </c>
      <c r="AGU28" s="15"/>
      <c r="AGV28" s="15"/>
      <c r="AGX28" s="14"/>
      <c r="AGY28" s="33"/>
      <c r="AGZ28" s="14">
        <f t="shared" si="734"/>
        <v>0</v>
      </c>
      <c r="AHA28" s="15"/>
      <c r="AHB28" s="15"/>
      <c r="AHD28" s="14"/>
      <c r="AHE28" s="33"/>
      <c r="AHF28" s="14">
        <f t="shared" si="735"/>
        <v>0</v>
      </c>
      <c r="AHG28" s="15"/>
      <c r="AHH28" s="15"/>
      <c r="AHJ28" s="14"/>
      <c r="AHK28" s="33"/>
      <c r="AHL28" s="14">
        <f t="shared" si="736"/>
        <v>0</v>
      </c>
      <c r="AHM28" s="15"/>
      <c r="AHN28" s="15"/>
      <c r="AHP28" s="14"/>
      <c r="AHQ28" s="33"/>
      <c r="AHR28" s="14">
        <f t="shared" si="737"/>
        <v>0</v>
      </c>
      <c r="AHS28" s="15"/>
      <c r="AHT28" s="15"/>
      <c r="AHV28" s="14"/>
      <c r="AHW28" s="33"/>
      <c r="AHX28" s="14">
        <f t="shared" si="738"/>
        <v>0</v>
      </c>
      <c r="AHY28" s="15"/>
      <c r="AHZ28" s="15"/>
      <c r="AIB28" s="14"/>
      <c r="AIC28" s="33"/>
      <c r="AID28" s="14">
        <f t="shared" si="739"/>
        <v>0</v>
      </c>
      <c r="AIE28" s="15"/>
      <c r="AIF28" s="15"/>
      <c r="AIH28" s="14"/>
      <c r="AII28" s="33"/>
      <c r="AIJ28" s="14">
        <f t="shared" si="740"/>
        <v>0</v>
      </c>
      <c r="AIK28" s="15"/>
      <c r="AIL28" s="15"/>
      <c r="AIN28" s="14"/>
      <c r="AIO28" s="33"/>
      <c r="AIP28" s="14">
        <f t="shared" si="741"/>
        <v>0</v>
      </c>
      <c r="AIQ28" s="15"/>
      <c r="AIR28" s="15"/>
      <c r="AIT28" s="14"/>
      <c r="AIU28" s="33"/>
      <c r="AIV28" s="14">
        <f t="shared" si="742"/>
        <v>0</v>
      </c>
      <c r="AIW28" s="15"/>
      <c r="AIX28" s="15"/>
      <c r="AIZ28" s="14"/>
      <c r="AJA28" s="33"/>
      <c r="AJB28" s="14">
        <f t="shared" si="743"/>
        <v>0</v>
      </c>
      <c r="AJC28" s="15"/>
      <c r="AJD28" s="15"/>
      <c r="AJF28" s="14"/>
      <c r="AJG28" s="33"/>
      <c r="AJH28" s="14">
        <f t="shared" si="744"/>
        <v>0</v>
      </c>
      <c r="AJI28" s="15"/>
      <c r="AJJ28" s="15"/>
      <c r="AJL28" s="14"/>
      <c r="AJM28" s="33"/>
      <c r="AJN28" s="14">
        <f t="shared" si="745"/>
        <v>0</v>
      </c>
      <c r="AJO28" s="15"/>
      <c r="AJP28" s="15"/>
      <c r="AJR28" s="14"/>
      <c r="AJS28" s="33"/>
      <c r="AJT28" s="14">
        <f t="shared" si="746"/>
        <v>0</v>
      </c>
      <c r="AJU28" s="15"/>
      <c r="AJV28" s="15"/>
      <c r="AJX28" s="14"/>
      <c r="AJY28" s="33"/>
      <c r="AJZ28" s="14">
        <f t="shared" si="747"/>
        <v>0</v>
      </c>
      <c r="AKA28" s="15"/>
      <c r="AKB28" s="15"/>
      <c r="AKD28" s="14"/>
      <c r="AKE28" s="33"/>
      <c r="AKF28" s="14">
        <f t="shared" si="748"/>
        <v>0</v>
      </c>
      <c r="AKG28" s="15"/>
      <c r="AKH28" s="15"/>
      <c r="AKJ28" s="14"/>
      <c r="AKK28" s="33"/>
      <c r="AKL28" s="14">
        <f t="shared" si="749"/>
        <v>0</v>
      </c>
      <c r="AKM28" s="15"/>
      <c r="AKN28" s="15"/>
      <c r="AKP28" s="14"/>
      <c r="AKQ28" s="33"/>
      <c r="AKR28" s="14">
        <f t="shared" si="750"/>
        <v>0</v>
      </c>
      <c r="AKS28" s="15"/>
      <c r="AKT28" s="15"/>
      <c r="AKV28" s="14"/>
      <c r="AKW28" s="33"/>
      <c r="AKX28" s="14">
        <f t="shared" si="751"/>
        <v>0</v>
      </c>
      <c r="AKY28" s="15"/>
      <c r="AKZ28" s="15"/>
      <c r="ALB28" s="14"/>
      <c r="ALC28" s="33"/>
      <c r="ALD28" s="14">
        <f t="shared" si="752"/>
        <v>0</v>
      </c>
      <c r="ALE28" s="15"/>
      <c r="ALF28" s="15"/>
      <c r="ALH28" s="14"/>
      <c r="ALI28" s="33"/>
      <c r="ALJ28" s="14">
        <f t="shared" si="753"/>
        <v>0</v>
      </c>
      <c r="ALK28" s="15"/>
      <c r="ALL28" s="15"/>
      <c r="ALN28" s="14"/>
      <c r="ALO28" s="33"/>
      <c r="ALP28" s="14">
        <f t="shared" si="754"/>
        <v>0</v>
      </c>
      <c r="ALQ28" s="15"/>
      <c r="ALR28" s="15"/>
      <c r="ALT28" s="14"/>
      <c r="ALU28" s="33"/>
      <c r="ALV28" s="14">
        <f t="shared" si="755"/>
        <v>0</v>
      </c>
      <c r="ALW28" s="15"/>
      <c r="ALX28" s="15"/>
      <c r="ALZ28" s="14"/>
      <c r="AMA28" s="33"/>
      <c r="AMB28" s="14">
        <f t="shared" si="756"/>
        <v>0</v>
      </c>
      <c r="AMC28" s="15"/>
      <c r="AMD28" s="15"/>
      <c r="AMF28" s="14"/>
      <c r="AMG28" s="33"/>
      <c r="AMH28" s="14">
        <f t="shared" si="757"/>
        <v>0</v>
      </c>
      <c r="AMI28" s="15"/>
      <c r="AMJ28" s="15"/>
      <c r="AML28" s="14"/>
      <c r="AMM28" s="33"/>
      <c r="AMN28" s="14">
        <f t="shared" si="758"/>
        <v>0</v>
      </c>
      <c r="AMO28" s="15"/>
      <c r="AMP28" s="15"/>
      <c r="AMR28" s="14"/>
      <c r="AMS28" s="33"/>
      <c r="AMT28" s="14">
        <f t="shared" si="759"/>
        <v>0</v>
      </c>
      <c r="AMU28" s="15"/>
      <c r="AMV28" s="15"/>
      <c r="AMX28" s="14"/>
      <c r="AMY28" s="33"/>
      <c r="AMZ28" s="14">
        <f t="shared" si="760"/>
        <v>0</v>
      </c>
      <c r="ANA28" s="15"/>
      <c r="ANB28" s="15"/>
      <c r="AND28" s="14"/>
      <c r="ANE28" s="33"/>
      <c r="ANF28" s="14">
        <f t="shared" si="761"/>
        <v>0</v>
      </c>
      <c r="ANG28" s="15"/>
      <c r="ANH28" s="15"/>
      <c r="ANJ28" s="14"/>
      <c r="ANK28" s="33"/>
      <c r="ANL28" s="14">
        <f t="shared" si="762"/>
        <v>0</v>
      </c>
      <c r="ANM28" s="15"/>
      <c r="ANN28" s="15"/>
      <c r="ANP28" s="14"/>
      <c r="ANQ28" s="33"/>
      <c r="ANR28" s="14">
        <f t="shared" si="763"/>
        <v>0</v>
      </c>
      <c r="ANS28" s="15"/>
      <c r="ANT28" s="15"/>
      <c r="ANV28" s="14"/>
      <c r="ANW28" s="33"/>
      <c r="ANX28" s="14">
        <f t="shared" si="764"/>
        <v>0</v>
      </c>
      <c r="ANY28" s="15"/>
      <c r="ANZ28" s="15"/>
      <c r="AOB28" s="14"/>
      <c r="AOC28" s="33"/>
      <c r="AOD28" s="14">
        <f t="shared" si="765"/>
        <v>0</v>
      </c>
      <c r="AOE28" s="15"/>
      <c r="AOF28" s="15"/>
      <c r="AOH28" s="14"/>
      <c r="AOI28" s="33"/>
      <c r="AOJ28" s="14">
        <f t="shared" si="766"/>
        <v>0</v>
      </c>
      <c r="AOK28" s="15"/>
      <c r="AOL28" s="15"/>
      <c r="AON28" s="14"/>
      <c r="AOO28" s="33"/>
      <c r="AOP28" s="14">
        <f t="shared" si="767"/>
        <v>0</v>
      </c>
      <c r="AOQ28" s="15"/>
      <c r="AOR28" s="15"/>
    </row>
    <row r="29" spans="1:1024 1026:1084" x14ac:dyDescent="0.25">
      <c r="A29" s="6" t="s">
        <v>40</v>
      </c>
      <c r="B29" s="17"/>
      <c r="C29" s="7" t="s">
        <v>12</v>
      </c>
      <c r="D29" s="8" t="s">
        <v>13</v>
      </c>
      <c r="F29" s="10" t="s">
        <v>14</v>
      </c>
      <c r="G29" s="8" t="s">
        <v>15</v>
      </c>
      <c r="H29" s="9" t="s">
        <v>16</v>
      </c>
      <c r="I29" s="8" t="s">
        <v>17</v>
      </c>
      <c r="J29" s="8" t="s">
        <v>18</v>
      </c>
      <c r="L29" s="10" t="s">
        <v>14</v>
      </c>
      <c r="M29" s="8" t="s">
        <v>15</v>
      </c>
      <c r="N29" s="9" t="s">
        <v>16</v>
      </c>
      <c r="O29" s="8" t="s">
        <v>17</v>
      </c>
      <c r="P29" s="8" t="s">
        <v>18</v>
      </c>
      <c r="R29" s="10" t="s">
        <v>14</v>
      </c>
      <c r="S29" s="8" t="s">
        <v>15</v>
      </c>
      <c r="T29" s="9" t="s">
        <v>16</v>
      </c>
      <c r="U29" s="8" t="s">
        <v>17</v>
      </c>
      <c r="V29" s="8" t="s">
        <v>18</v>
      </c>
      <c r="X29" s="10" t="s">
        <v>14</v>
      </c>
      <c r="Y29" s="8" t="s">
        <v>15</v>
      </c>
      <c r="Z29" s="9" t="s">
        <v>16</v>
      </c>
      <c r="AA29" s="8" t="s">
        <v>17</v>
      </c>
      <c r="AB29" s="8" t="s">
        <v>18</v>
      </c>
      <c r="AD29" s="10" t="s">
        <v>14</v>
      </c>
      <c r="AE29" s="8" t="s">
        <v>15</v>
      </c>
      <c r="AF29" s="9" t="s">
        <v>16</v>
      </c>
      <c r="AG29" s="8" t="s">
        <v>17</v>
      </c>
      <c r="AH29" s="8" t="s">
        <v>18</v>
      </c>
      <c r="AJ29" s="10" t="s">
        <v>14</v>
      </c>
      <c r="AK29" s="8" t="s">
        <v>15</v>
      </c>
      <c r="AL29" s="9" t="s">
        <v>16</v>
      </c>
      <c r="AM29" s="8" t="s">
        <v>17</v>
      </c>
      <c r="AN29" s="8" t="s">
        <v>18</v>
      </c>
      <c r="AP29" s="10" t="s">
        <v>14</v>
      </c>
      <c r="AQ29" s="8" t="s">
        <v>15</v>
      </c>
      <c r="AR29" s="9" t="s">
        <v>16</v>
      </c>
      <c r="AS29" s="8" t="s">
        <v>17</v>
      </c>
      <c r="AT29" s="8" t="s">
        <v>18</v>
      </c>
      <c r="AV29" s="10" t="s">
        <v>14</v>
      </c>
      <c r="AW29" s="8" t="s">
        <v>15</v>
      </c>
      <c r="AX29" s="9" t="s">
        <v>16</v>
      </c>
      <c r="AY29" s="8" t="s">
        <v>17</v>
      </c>
      <c r="AZ29" s="8" t="s">
        <v>18</v>
      </c>
      <c r="BB29" s="10" t="s">
        <v>14</v>
      </c>
      <c r="BC29" s="8" t="s">
        <v>15</v>
      </c>
      <c r="BD29" s="9" t="s">
        <v>16</v>
      </c>
      <c r="BE29" s="8" t="s">
        <v>17</v>
      </c>
      <c r="BF29" s="8" t="s">
        <v>18</v>
      </c>
      <c r="BH29" s="10" t="s">
        <v>14</v>
      </c>
      <c r="BI29" s="8" t="s">
        <v>15</v>
      </c>
      <c r="BJ29" s="9" t="s">
        <v>16</v>
      </c>
      <c r="BK29" s="8" t="s">
        <v>17</v>
      </c>
      <c r="BL29" s="8" t="s">
        <v>18</v>
      </c>
      <c r="BN29" s="10" t="s">
        <v>14</v>
      </c>
      <c r="BO29" s="8" t="s">
        <v>15</v>
      </c>
      <c r="BP29" s="9" t="s">
        <v>16</v>
      </c>
      <c r="BQ29" s="8" t="s">
        <v>17</v>
      </c>
      <c r="BR29" s="8" t="s">
        <v>18</v>
      </c>
      <c r="BT29" s="10" t="s">
        <v>14</v>
      </c>
      <c r="BU29" s="8" t="s">
        <v>15</v>
      </c>
      <c r="BV29" s="9" t="s">
        <v>16</v>
      </c>
      <c r="BW29" s="8" t="s">
        <v>17</v>
      </c>
      <c r="BX29" s="8" t="s">
        <v>18</v>
      </c>
      <c r="BZ29" s="10" t="s">
        <v>14</v>
      </c>
      <c r="CA29" s="8" t="s">
        <v>15</v>
      </c>
      <c r="CB29" s="9" t="s">
        <v>16</v>
      </c>
      <c r="CC29" s="8" t="s">
        <v>17</v>
      </c>
      <c r="CD29" s="8" t="s">
        <v>18</v>
      </c>
      <c r="CF29" s="10" t="s">
        <v>14</v>
      </c>
      <c r="CG29" s="8" t="s">
        <v>15</v>
      </c>
      <c r="CH29" s="9" t="s">
        <v>16</v>
      </c>
      <c r="CI29" s="8" t="s">
        <v>17</v>
      </c>
      <c r="CJ29" s="8" t="s">
        <v>18</v>
      </c>
      <c r="CL29" s="10" t="s">
        <v>14</v>
      </c>
      <c r="CM29" s="8" t="s">
        <v>15</v>
      </c>
      <c r="CN29" s="9" t="s">
        <v>16</v>
      </c>
      <c r="CO29" s="8" t="s">
        <v>17</v>
      </c>
      <c r="CP29" s="8" t="s">
        <v>18</v>
      </c>
      <c r="CR29" s="10" t="s">
        <v>14</v>
      </c>
      <c r="CS29" s="8" t="s">
        <v>15</v>
      </c>
      <c r="CT29" s="9" t="s">
        <v>16</v>
      </c>
      <c r="CU29" s="8" t="s">
        <v>17</v>
      </c>
      <c r="CV29" s="8" t="s">
        <v>18</v>
      </c>
      <c r="CX29" s="10" t="s">
        <v>14</v>
      </c>
      <c r="CY29" s="8" t="s">
        <v>15</v>
      </c>
      <c r="CZ29" s="9" t="s">
        <v>16</v>
      </c>
      <c r="DA29" s="8" t="s">
        <v>17</v>
      </c>
      <c r="DB29" s="8" t="s">
        <v>18</v>
      </c>
      <c r="DD29" s="10" t="s">
        <v>14</v>
      </c>
      <c r="DE29" s="8" t="s">
        <v>15</v>
      </c>
      <c r="DF29" s="9" t="s">
        <v>16</v>
      </c>
      <c r="DG29" s="8" t="s">
        <v>17</v>
      </c>
      <c r="DH29" s="8" t="s">
        <v>18</v>
      </c>
      <c r="DJ29" s="10" t="s">
        <v>14</v>
      </c>
      <c r="DK29" s="8" t="s">
        <v>15</v>
      </c>
      <c r="DL29" s="9" t="s">
        <v>16</v>
      </c>
      <c r="DM29" s="8" t="s">
        <v>17</v>
      </c>
      <c r="DN29" s="8" t="s">
        <v>18</v>
      </c>
      <c r="DP29" s="10" t="s">
        <v>14</v>
      </c>
      <c r="DQ29" s="8" t="s">
        <v>15</v>
      </c>
      <c r="DR29" s="9" t="s">
        <v>16</v>
      </c>
      <c r="DS29" s="8" t="s">
        <v>17</v>
      </c>
      <c r="DT29" s="8" t="s">
        <v>18</v>
      </c>
      <c r="DV29" s="10" t="s">
        <v>14</v>
      </c>
      <c r="DW29" s="8" t="s">
        <v>15</v>
      </c>
      <c r="DX29" s="9" t="s">
        <v>16</v>
      </c>
      <c r="DY29" s="8" t="s">
        <v>17</v>
      </c>
      <c r="DZ29" s="8" t="s">
        <v>18</v>
      </c>
      <c r="EB29" s="10" t="s">
        <v>14</v>
      </c>
      <c r="EC29" s="8" t="s">
        <v>15</v>
      </c>
      <c r="ED29" s="9" t="s">
        <v>16</v>
      </c>
      <c r="EE29" s="8" t="s">
        <v>17</v>
      </c>
      <c r="EF29" s="8" t="s">
        <v>18</v>
      </c>
      <c r="EH29" s="10" t="s">
        <v>14</v>
      </c>
      <c r="EI29" s="8" t="s">
        <v>15</v>
      </c>
      <c r="EJ29" s="9" t="s">
        <v>16</v>
      </c>
      <c r="EK29" s="8" t="s">
        <v>17</v>
      </c>
      <c r="EL29" s="8" t="s">
        <v>18</v>
      </c>
      <c r="EN29" s="10" t="s">
        <v>14</v>
      </c>
      <c r="EO29" s="8" t="s">
        <v>15</v>
      </c>
      <c r="EP29" s="9" t="s">
        <v>16</v>
      </c>
      <c r="EQ29" s="8" t="s">
        <v>17</v>
      </c>
      <c r="ER29" s="8" t="s">
        <v>18</v>
      </c>
      <c r="ET29" s="10" t="s">
        <v>14</v>
      </c>
      <c r="EU29" s="8" t="s">
        <v>15</v>
      </c>
      <c r="EV29" s="9" t="s">
        <v>16</v>
      </c>
      <c r="EW29" s="8" t="s">
        <v>17</v>
      </c>
      <c r="EX29" s="8" t="s">
        <v>18</v>
      </c>
      <c r="EZ29" s="10" t="s">
        <v>14</v>
      </c>
      <c r="FA29" s="8" t="s">
        <v>15</v>
      </c>
      <c r="FB29" s="9" t="s">
        <v>16</v>
      </c>
      <c r="FC29" s="8" t="s">
        <v>17</v>
      </c>
      <c r="FD29" s="8" t="s">
        <v>18</v>
      </c>
      <c r="FF29" s="10" t="s">
        <v>14</v>
      </c>
      <c r="FG29" s="8" t="s">
        <v>15</v>
      </c>
      <c r="FH29" s="9" t="s">
        <v>16</v>
      </c>
      <c r="FI29" s="8" t="s">
        <v>17</v>
      </c>
      <c r="FJ29" s="8" t="s">
        <v>18</v>
      </c>
      <c r="FL29" s="10" t="s">
        <v>14</v>
      </c>
      <c r="FM29" s="8" t="s">
        <v>15</v>
      </c>
      <c r="FN29" s="9" t="s">
        <v>16</v>
      </c>
      <c r="FO29" s="8" t="s">
        <v>17</v>
      </c>
      <c r="FP29" s="8" t="s">
        <v>18</v>
      </c>
      <c r="FR29" s="10" t="s">
        <v>14</v>
      </c>
      <c r="FS29" s="8" t="s">
        <v>15</v>
      </c>
      <c r="FT29" s="9" t="s">
        <v>16</v>
      </c>
      <c r="FU29" s="8" t="s">
        <v>17</v>
      </c>
      <c r="FV29" s="8" t="s">
        <v>18</v>
      </c>
      <c r="FX29" s="10" t="s">
        <v>14</v>
      </c>
      <c r="FY29" s="8" t="s">
        <v>15</v>
      </c>
      <c r="FZ29" s="9" t="s">
        <v>16</v>
      </c>
      <c r="GA29" s="8" t="s">
        <v>17</v>
      </c>
      <c r="GB29" s="8" t="s">
        <v>18</v>
      </c>
      <c r="GD29" s="10" t="s">
        <v>14</v>
      </c>
      <c r="GE29" s="8" t="s">
        <v>15</v>
      </c>
      <c r="GF29" s="9" t="s">
        <v>16</v>
      </c>
      <c r="GG29" s="8" t="s">
        <v>17</v>
      </c>
      <c r="GH29" s="8" t="s">
        <v>18</v>
      </c>
      <c r="GJ29" s="10" t="s">
        <v>14</v>
      </c>
      <c r="GK29" s="8" t="s">
        <v>15</v>
      </c>
      <c r="GL29" s="9" t="s">
        <v>16</v>
      </c>
      <c r="GM29" s="8" t="s">
        <v>17</v>
      </c>
      <c r="GN29" s="8" t="s">
        <v>18</v>
      </c>
      <c r="GP29" s="10" t="s">
        <v>14</v>
      </c>
      <c r="GQ29" s="8" t="s">
        <v>15</v>
      </c>
      <c r="GR29" s="9" t="s">
        <v>16</v>
      </c>
      <c r="GS29" s="8" t="s">
        <v>17</v>
      </c>
      <c r="GT29" s="8" t="s">
        <v>18</v>
      </c>
      <c r="GV29" s="10" t="s">
        <v>14</v>
      </c>
      <c r="GW29" s="8" t="s">
        <v>15</v>
      </c>
      <c r="GX29" s="9" t="s">
        <v>16</v>
      </c>
      <c r="GY29" s="8" t="s">
        <v>17</v>
      </c>
      <c r="GZ29" s="8" t="s">
        <v>18</v>
      </c>
      <c r="HB29" s="10" t="s">
        <v>14</v>
      </c>
      <c r="HC29" s="8" t="s">
        <v>15</v>
      </c>
      <c r="HD29" s="9" t="s">
        <v>16</v>
      </c>
      <c r="HE29" s="8" t="s">
        <v>17</v>
      </c>
      <c r="HF29" s="8" t="s">
        <v>18</v>
      </c>
      <c r="HH29" s="10" t="s">
        <v>14</v>
      </c>
      <c r="HI29" s="8" t="s">
        <v>15</v>
      </c>
      <c r="HJ29" s="9" t="s">
        <v>16</v>
      </c>
      <c r="HK29" s="8" t="s">
        <v>17</v>
      </c>
      <c r="HL29" s="8" t="s">
        <v>18</v>
      </c>
      <c r="HN29" s="10" t="s">
        <v>14</v>
      </c>
      <c r="HO29" s="8" t="s">
        <v>15</v>
      </c>
      <c r="HP29" s="9" t="s">
        <v>16</v>
      </c>
      <c r="HQ29" s="8" t="s">
        <v>17</v>
      </c>
      <c r="HR29" s="8" t="s">
        <v>18</v>
      </c>
      <c r="HT29" s="10" t="s">
        <v>14</v>
      </c>
      <c r="HU29" s="8" t="s">
        <v>15</v>
      </c>
      <c r="HV29" s="9" t="s">
        <v>16</v>
      </c>
      <c r="HW29" s="8" t="s">
        <v>17</v>
      </c>
      <c r="HX29" s="8" t="s">
        <v>18</v>
      </c>
      <c r="HZ29" s="10" t="s">
        <v>14</v>
      </c>
      <c r="IA29" s="8" t="s">
        <v>15</v>
      </c>
      <c r="IB29" s="9" t="s">
        <v>16</v>
      </c>
      <c r="IC29" s="8" t="s">
        <v>17</v>
      </c>
      <c r="ID29" s="8" t="s">
        <v>18</v>
      </c>
      <c r="IF29" s="10" t="s">
        <v>14</v>
      </c>
      <c r="IG29" s="8" t="s">
        <v>15</v>
      </c>
      <c r="IH29" s="9" t="s">
        <v>16</v>
      </c>
      <c r="II29" s="8" t="s">
        <v>17</v>
      </c>
      <c r="IJ29" s="8" t="s">
        <v>18</v>
      </c>
      <c r="IL29" s="10" t="s">
        <v>14</v>
      </c>
      <c r="IM29" s="8" t="s">
        <v>15</v>
      </c>
      <c r="IN29" s="9" t="s">
        <v>16</v>
      </c>
      <c r="IO29" s="8" t="s">
        <v>17</v>
      </c>
      <c r="IP29" s="8" t="s">
        <v>18</v>
      </c>
      <c r="IR29" s="10" t="s">
        <v>14</v>
      </c>
      <c r="IS29" s="8" t="s">
        <v>15</v>
      </c>
      <c r="IT29" s="9" t="s">
        <v>16</v>
      </c>
      <c r="IU29" s="8" t="s">
        <v>17</v>
      </c>
      <c r="IV29" s="8" t="s">
        <v>18</v>
      </c>
      <c r="IX29" s="10" t="s">
        <v>14</v>
      </c>
      <c r="IY29" s="8" t="s">
        <v>15</v>
      </c>
      <c r="IZ29" s="9" t="s">
        <v>16</v>
      </c>
      <c r="JA29" s="8" t="s">
        <v>17</v>
      </c>
      <c r="JB29" s="8" t="s">
        <v>18</v>
      </c>
      <c r="JD29" s="10" t="s">
        <v>14</v>
      </c>
      <c r="JE29" s="8" t="s">
        <v>15</v>
      </c>
      <c r="JF29" s="9" t="s">
        <v>16</v>
      </c>
      <c r="JG29" s="8" t="s">
        <v>17</v>
      </c>
      <c r="JH29" s="8" t="s">
        <v>18</v>
      </c>
      <c r="JJ29" s="10" t="s">
        <v>14</v>
      </c>
      <c r="JK29" s="8" t="s">
        <v>15</v>
      </c>
      <c r="JL29" s="9" t="s">
        <v>16</v>
      </c>
      <c r="JM29" s="8" t="s">
        <v>17</v>
      </c>
      <c r="JN29" s="8" t="s">
        <v>18</v>
      </c>
      <c r="JP29" s="10" t="s">
        <v>14</v>
      </c>
      <c r="JQ29" s="8" t="s">
        <v>15</v>
      </c>
      <c r="JR29" s="9" t="s">
        <v>16</v>
      </c>
      <c r="JS29" s="8" t="s">
        <v>17</v>
      </c>
      <c r="JT29" s="8" t="s">
        <v>18</v>
      </c>
      <c r="JV29" s="10" t="s">
        <v>14</v>
      </c>
      <c r="JW29" s="8" t="s">
        <v>15</v>
      </c>
      <c r="JX29" s="9" t="s">
        <v>16</v>
      </c>
      <c r="JY29" s="8" t="s">
        <v>17</v>
      </c>
      <c r="JZ29" s="8" t="s">
        <v>18</v>
      </c>
      <c r="KB29" s="10" t="s">
        <v>14</v>
      </c>
      <c r="KC29" s="8" t="s">
        <v>15</v>
      </c>
      <c r="KD29" s="9" t="s">
        <v>16</v>
      </c>
      <c r="KE29" s="8" t="s">
        <v>17</v>
      </c>
      <c r="KF29" s="8" t="s">
        <v>18</v>
      </c>
      <c r="KH29" s="10" t="s">
        <v>14</v>
      </c>
      <c r="KI29" s="8" t="s">
        <v>15</v>
      </c>
      <c r="KJ29" s="9" t="s">
        <v>16</v>
      </c>
      <c r="KK29" s="8" t="s">
        <v>17</v>
      </c>
      <c r="KL29" s="8" t="s">
        <v>18</v>
      </c>
      <c r="KN29" s="10" t="s">
        <v>14</v>
      </c>
      <c r="KO29" s="8" t="s">
        <v>15</v>
      </c>
      <c r="KP29" s="9" t="s">
        <v>16</v>
      </c>
      <c r="KQ29" s="8" t="s">
        <v>17</v>
      </c>
      <c r="KR29" s="8" t="s">
        <v>18</v>
      </c>
      <c r="KT29" s="10" t="s">
        <v>14</v>
      </c>
      <c r="KU29" s="8" t="s">
        <v>15</v>
      </c>
      <c r="KV29" s="9" t="s">
        <v>16</v>
      </c>
      <c r="KW29" s="8" t="s">
        <v>17</v>
      </c>
      <c r="KX29" s="8" t="s">
        <v>18</v>
      </c>
      <c r="KZ29" s="10" t="s">
        <v>14</v>
      </c>
      <c r="LA29" s="8" t="s">
        <v>15</v>
      </c>
      <c r="LB29" s="9" t="s">
        <v>16</v>
      </c>
      <c r="LC29" s="8" t="s">
        <v>17</v>
      </c>
      <c r="LD29" s="8" t="s">
        <v>18</v>
      </c>
      <c r="LF29" s="10" t="s">
        <v>14</v>
      </c>
      <c r="LG29" s="8" t="s">
        <v>15</v>
      </c>
      <c r="LH29" s="9" t="s">
        <v>16</v>
      </c>
      <c r="LI29" s="8" t="s">
        <v>17</v>
      </c>
      <c r="LJ29" s="8" t="s">
        <v>18</v>
      </c>
      <c r="LL29" s="10" t="s">
        <v>14</v>
      </c>
      <c r="LM29" s="8" t="s">
        <v>15</v>
      </c>
      <c r="LN29" s="9" t="s">
        <v>16</v>
      </c>
      <c r="LO29" s="8" t="s">
        <v>17</v>
      </c>
      <c r="LP29" s="8" t="s">
        <v>18</v>
      </c>
      <c r="LR29" s="10" t="s">
        <v>14</v>
      </c>
      <c r="LS29" s="8" t="s">
        <v>15</v>
      </c>
      <c r="LT29" s="9" t="s">
        <v>16</v>
      </c>
      <c r="LU29" s="8" t="s">
        <v>17</v>
      </c>
      <c r="LV29" s="8" t="s">
        <v>18</v>
      </c>
      <c r="LX29" s="10" t="s">
        <v>14</v>
      </c>
      <c r="LY29" s="8" t="s">
        <v>15</v>
      </c>
      <c r="LZ29" s="9" t="s">
        <v>16</v>
      </c>
      <c r="MA29" s="8" t="s">
        <v>17</v>
      </c>
      <c r="MB29" s="8" t="s">
        <v>18</v>
      </c>
      <c r="MD29" s="10" t="s">
        <v>14</v>
      </c>
      <c r="ME29" s="8" t="s">
        <v>15</v>
      </c>
      <c r="MF29" s="9" t="s">
        <v>16</v>
      </c>
      <c r="MG29" s="8" t="s">
        <v>17</v>
      </c>
      <c r="MH29" s="8" t="s">
        <v>18</v>
      </c>
      <c r="MJ29" s="10" t="s">
        <v>14</v>
      </c>
      <c r="MK29" s="8" t="s">
        <v>15</v>
      </c>
      <c r="ML29" s="9" t="s">
        <v>16</v>
      </c>
      <c r="MM29" s="8" t="s">
        <v>17</v>
      </c>
      <c r="MN29" s="8" t="s">
        <v>18</v>
      </c>
      <c r="MP29" s="10" t="s">
        <v>14</v>
      </c>
      <c r="MQ29" s="8" t="s">
        <v>15</v>
      </c>
      <c r="MR29" s="9" t="s">
        <v>16</v>
      </c>
      <c r="MS29" s="8" t="s">
        <v>17</v>
      </c>
      <c r="MT29" s="8" t="s">
        <v>18</v>
      </c>
      <c r="MV29" s="10" t="s">
        <v>14</v>
      </c>
      <c r="MW29" s="8" t="s">
        <v>15</v>
      </c>
      <c r="MX29" s="9" t="s">
        <v>16</v>
      </c>
      <c r="MY29" s="8" t="s">
        <v>17</v>
      </c>
      <c r="MZ29" s="8" t="s">
        <v>18</v>
      </c>
      <c r="NB29" s="10" t="s">
        <v>14</v>
      </c>
      <c r="NC29" s="8" t="s">
        <v>15</v>
      </c>
      <c r="ND29" s="9" t="s">
        <v>16</v>
      </c>
      <c r="NE29" s="8" t="s">
        <v>17</v>
      </c>
      <c r="NF29" s="8" t="s">
        <v>18</v>
      </c>
      <c r="NH29" s="10" t="s">
        <v>14</v>
      </c>
      <c r="NI29" s="8" t="s">
        <v>15</v>
      </c>
      <c r="NJ29" s="9" t="s">
        <v>16</v>
      </c>
      <c r="NK29" s="8" t="s">
        <v>17</v>
      </c>
      <c r="NL29" s="8" t="s">
        <v>18</v>
      </c>
      <c r="NN29" s="10" t="s">
        <v>14</v>
      </c>
      <c r="NO29" s="8" t="s">
        <v>15</v>
      </c>
      <c r="NP29" s="9" t="s">
        <v>16</v>
      </c>
      <c r="NQ29" s="8" t="s">
        <v>17</v>
      </c>
      <c r="NR29" s="8" t="s">
        <v>18</v>
      </c>
      <c r="NT29" s="10" t="s">
        <v>14</v>
      </c>
      <c r="NU29" s="8" t="s">
        <v>15</v>
      </c>
      <c r="NV29" s="9" t="s">
        <v>16</v>
      </c>
      <c r="NW29" s="8" t="s">
        <v>17</v>
      </c>
      <c r="NX29" s="8" t="s">
        <v>18</v>
      </c>
      <c r="NZ29" s="10" t="s">
        <v>14</v>
      </c>
      <c r="OA29" s="8" t="s">
        <v>15</v>
      </c>
      <c r="OB29" s="9" t="s">
        <v>16</v>
      </c>
      <c r="OC29" s="8" t="s">
        <v>17</v>
      </c>
      <c r="OD29" s="8" t="s">
        <v>18</v>
      </c>
      <c r="OF29" s="10" t="s">
        <v>14</v>
      </c>
      <c r="OG29" s="8" t="s">
        <v>15</v>
      </c>
      <c r="OH29" s="9" t="s">
        <v>16</v>
      </c>
      <c r="OI29" s="8" t="s">
        <v>17</v>
      </c>
      <c r="OJ29" s="8" t="s">
        <v>18</v>
      </c>
      <c r="OL29" s="10" t="s">
        <v>14</v>
      </c>
      <c r="OM29" s="8" t="s">
        <v>15</v>
      </c>
      <c r="ON29" s="9" t="s">
        <v>16</v>
      </c>
      <c r="OO29" s="8" t="s">
        <v>17</v>
      </c>
      <c r="OP29" s="8" t="s">
        <v>18</v>
      </c>
      <c r="OR29" s="10" t="s">
        <v>14</v>
      </c>
      <c r="OS29" s="8" t="s">
        <v>15</v>
      </c>
      <c r="OT29" s="9" t="s">
        <v>16</v>
      </c>
      <c r="OU29" s="8" t="s">
        <v>17</v>
      </c>
      <c r="OV29" s="8" t="s">
        <v>18</v>
      </c>
      <c r="OX29" s="10" t="s">
        <v>14</v>
      </c>
      <c r="OY29" s="8" t="s">
        <v>15</v>
      </c>
      <c r="OZ29" s="9" t="s">
        <v>16</v>
      </c>
      <c r="PA29" s="8" t="s">
        <v>17</v>
      </c>
      <c r="PB29" s="8" t="s">
        <v>18</v>
      </c>
      <c r="PD29" s="10" t="s">
        <v>14</v>
      </c>
      <c r="PE29" s="8" t="s">
        <v>15</v>
      </c>
      <c r="PF29" s="9" t="s">
        <v>16</v>
      </c>
      <c r="PG29" s="8" t="s">
        <v>17</v>
      </c>
      <c r="PH29" s="8" t="s">
        <v>18</v>
      </c>
      <c r="PJ29" s="10" t="s">
        <v>14</v>
      </c>
      <c r="PK29" s="8" t="s">
        <v>15</v>
      </c>
      <c r="PL29" s="9" t="s">
        <v>16</v>
      </c>
      <c r="PM29" s="8" t="s">
        <v>17</v>
      </c>
      <c r="PN29" s="8" t="s">
        <v>18</v>
      </c>
      <c r="PP29" s="10" t="s">
        <v>14</v>
      </c>
      <c r="PQ29" s="8" t="s">
        <v>15</v>
      </c>
      <c r="PR29" s="9" t="s">
        <v>16</v>
      </c>
      <c r="PS29" s="8" t="s">
        <v>17</v>
      </c>
      <c r="PT29" s="8" t="s">
        <v>18</v>
      </c>
      <c r="PV29" s="10" t="s">
        <v>14</v>
      </c>
      <c r="PW29" s="8" t="s">
        <v>15</v>
      </c>
      <c r="PX29" s="9" t="s">
        <v>16</v>
      </c>
      <c r="PY29" s="8" t="s">
        <v>17</v>
      </c>
      <c r="PZ29" s="8" t="s">
        <v>18</v>
      </c>
      <c r="QB29" s="10" t="s">
        <v>14</v>
      </c>
      <c r="QC29" s="8" t="s">
        <v>15</v>
      </c>
      <c r="QD29" s="9" t="s">
        <v>16</v>
      </c>
      <c r="QE29" s="8" t="s">
        <v>17</v>
      </c>
      <c r="QF29" s="8" t="s">
        <v>18</v>
      </c>
      <c r="QH29" s="10" t="s">
        <v>14</v>
      </c>
      <c r="QI29" s="8" t="s">
        <v>15</v>
      </c>
      <c r="QJ29" s="9" t="s">
        <v>16</v>
      </c>
      <c r="QK29" s="8" t="s">
        <v>17</v>
      </c>
      <c r="QL29" s="8" t="s">
        <v>18</v>
      </c>
      <c r="QN29" s="10" t="s">
        <v>14</v>
      </c>
      <c r="QO29" s="8" t="s">
        <v>15</v>
      </c>
      <c r="QP29" s="9" t="s">
        <v>16</v>
      </c>
      <c r="QQ29" s="8" t="s">
        <v>17</v>
      </c>
      <c r="QR29" s="8" t="s">
        <v>18</v>
      </c>
      <c r="QT29" s="10" t="s">
        <v>14</v>
      </c>
      <c r="QU29" s="8" t="s">
        <v>15</v>
      </c>
      <c r="QV29" s="9" t="s">
        <v>16</v>
      </c>
      <c r="QW29" s="8" t="s">
        <v>17</v>
      </c>
      <c r="QX29" s="8" t="s">
        <v>18</v>
      </c>
      <c r="QZ29" s="10" t="s">
        <v>14</v>
      </c>
      <c r="RA29" s="8" t="s">
        <v>15</v>
      </c>
      <c r="RB29" s="9" t="s">
        <v>16</v>
      </c>
      <c r="RC29" s="8" t="s">
        <v>17</v>
      </c>
      <c r="RD29" s="8" t="s">
        <v>18</v>
      </c>
      <c r="RF29" s="10" t="s">
        <v>14</v>
      </c>
      <c r="RG29" s="8" t="s">
        <v>15</v>
      </c>
      <c r="RH29" s="9" t="s">
        <v>16</v>
      </c>
      <c r="RI29" s="8" t="s">
        <v>17</v>
      </c>
      <c r="RJ29" s="8" t="s">
        <v>18</v>
      </c>
      <c r="RL29" s="10" t="s">
        <v>14</v>
      </c>
      <c r="RM29" s="8" t="s">
        <v>15</v>
      </c>
      <c r="RN29" s="9" t="s">
        <v>16</v>
      </c>
      <c r="RO29" s="8" t="s">
        <v>17</v>
      </c>
      <c r="RP29" s="8" t="s">
        <v>18</v>
      </c>
      <c r="RR29" s="10" t="s">
        <v>14</v>
      </c>
      <c r="RS29" s="8" t="s">
        <v>15</v>
      </c>
      <c r="RT29" s="9" t="s">
        <v>16</v>
      </c>
      <c r="RU29" s="8" t="s">
        <v>17</v>
      </c>
      <c r="RV29" s="8" t="s">
        <v>18</v>
      </c>
      <c r="RX29" s="10" t="s">
        <v>14</v>
      </c>
      <c r="RY29" s="8" t="s">
        <v>15</v>
      </c>
      <c r="RZ29" s="9" t="s">
        <v>16</v>
      </c>
      <c r="SA29" s="8" t="s">
        <v>17</v>
      </c>
      <c r="SB29" s="8" t="s">
        <v>18</v>
      </c>
      <c r="SD29" s="10" t="s">
        <v>14</v>
      </c>
      <c r="SE29" s="8" t="s">
        <v>15</v>
      </c>
      <c r="SF29" s="9" t="s">
        <v>16</v>
      </c>
      <c r="SG29" s="8" t="s">
        <v>17</v>
      </c>
      <c r="SH29" s="8" t="s">
        <v>18</v>
      </c>
      <c r="SJ29" s="10" t="s">
        <v>14</v>
      </c>
      <c r="SK29" s="8" t="s">
        <v>15</v>
      </c>
      <c r="SL29" s="9" t="s">
        <v>16</v>
      </c>
      <c r="SM29" s="8" t="s">
        <v>17</v>
      </c>
      <c r="SN29" s="8" t="s">
        <v>18</v>
      </c>
      <c r="SP29" s="10" t="s">
        <v>14</v>
      </c>
      <c r="SQ29" s="8" t="s">
        <v>15</v>
      </c>
      <c r="SR29" s="9" t="s">
        <v>16</v>
      </c>
      <c r="SS29" s="8" t="s">
        <v>17</v>
      </c>
      <c r="ST29" s="8" t="s">
        <v>18</v>
      </c>
      <c r="SV29" s="10" t="s">
        <v>14</v>
      </c>
      <c r="SW29" s="8" t="s">
        <v>15</v>
      </c>
      <c r="SX29" s="9" t="s">
        <v>16</v>
      </c>
      <c r="SY29" s="8" t="s">
        <v>17</v>
      </c>
      <c r="SZ29" s="8" t="s">
        <v>18</v>
      </c>
      <c r="TB29" s="10" t="s">
        <v>14</v>
      </c>
      <c r="TC29" s="8" t="s">
        <v>15</v>
      </c>
      <c r="TD29" s="9" t="s">
        <v>16</v>
      </c>
      <c r="TE29" s="8" t="s">
        <v>17</v>
      </c>
      <c r="TF29" s="8" t="s">
        <v>18</v>
      </c>
      <c r="TH29" s="8" t="s">
        <v>14</v>
      </c>
      <c r="TI29" s="8" t="s">
        <v>15</v>
      </c>
      <c r="TJ29" s="9" t="s">
        <v>16</v>
      </c>
      <c r="TK29" s="8" t="s">
        <v>17</v>
      </c>
      <c r="TL29" s="8" t="s">
        <v>18</v>
      </c>
      <c r="TN29" s="8" t="s">
        <v>14</v>
      </c>
      <c r="TO29" s="8" t="s">
        <v>15</v>
      </c>
      <c r="TP29" s="9" t="s">
        <v>16</v>
      </c>
      <c r="TQ29" s="8" t="s">
        <v>17</v>
      </c>
      <c r="TR29" s="8" t="s">
        <v>18</v>
      </c>
      <c r="TT29" s="8" t="s">
        <v>14</v>
      </c>
      <c r="TU29" s="8" t="s">
        <v>15</v>
      </c>
      <c r="TV29" s="9" t="s">
        <v>16</v>
      </c>
      <c r="TW29" s="8" t="s">
        <v>17</v>
      </c>
      <c r="TX29" s="8" t="s">
        <v>18</v>
      </c>
      <c r="TZ29" s="8" t="s">
        <v>14</v>
      </c>
      <c r="UA29" s="8" t="s">
        <v>15</v>
      </c>
      <c r="UB29" s="9" t="s">
        <v>16</v>
      </c>
      <c r="UC29" s="8" t="s">
        <v>17</v>
      </c>
      <c r="UD29" s="8" t="s">
        <v>18</v>
      </c>
      <c r="UF29" s="8" t="s">
        <v>14</v>
      </c>
      <c r="UG29" s="8" t="s">
        <v>15</v>
      </c>
      <c r="UH29" s="9" t="s">
        <v>16</v>
      </c>
      <c r="UI29" s="8" t="s">
        <v>17</v>
      </c>
      <c r="UJ29" s="8" t="s">
        <v>18</v>
      </c>
      <c r="UL29" s="8" t="s">
        <v>14</v>
      </c>
      <c r="UM29" s="8" t="s">
        <v>15</v>
      </c>
      <c r="UN29" s="9" t="s">
        <v>16</v>
      </c>
      <c r="UO29" s="8" t="s">
        <v>17</v>
      </c>
      <c r="UP29" s="8" t="s">
        <v>18</v>
      </c>
      <c r="UR29" s="8" t="s">
        <v>14</v>
      </c>
      <c r="US29" s="8" t="s">
        <v>15</v>
      </c>
      <c r="UT29" s="9" t="s">
        <v>16</v>
      </c>
      <c r="UU29" s="8" t="s">
        <v>17</v>
      </c>
      <c r="UV29" s="8" t="s">
        <v>18</v>
      </c>
      <c r="UX29" s="8" t="s">
        <v>14</v>
      </c>
      <c r="UY29" s="8" t="s">
        <v>15</v>
      </c>
      <c r="UZ29" s="9" t="s">
        <v>16</v>
      </c>
      <c r="VA29" s="8" t="s">
        <v>17</v>
      </c>
      <c r="VB29" s="8" t="s">
        <v>18</v>
      </c>
      <c r="VD29" s="8" t="s">
        <v>14</v>
      </c>
      <c r="VE29" s="8" t="s">
        <v>15</v>
      </c>
      <c r="VF29" s="9" t="s">
        <v>16</v>
      </c>
      <c r="VG29" s="8" t="s">
        <v>17</v>
      </c>
      <c r="VH29" s="8" t="s">
        <v>18</v>
      </c>
      <c r="VJ29" s="8" t="s">
        <v>14</v>
      </c>
      <c r="VK29" s="8" t="s">
        <v>15</v>
      </c>
      <c r="VL29" s="9" t="s">
        <v>16</v>
      </c>
      <c r="VM29" s="8" t="s">
        <v>17</v>
      </c>
      <c r="VN29" s="8" t="s">
        <v>18</v>
      </c>
      <c r="VP29" s="8" t="s">
        <v>14</v>
      </c>
      <c r="VQ29" s="8" t="s">
        <v>15</v>
      </c>
      <c r="VR29" s="9" t="s">
        <v>16</v>
      </c>
      <c r="VS29" s="8" t="s">
        <v>17</v>
      </c>
      <c r="VT29" s="8" t="s">
        <v>18</v>
      </c>
      <c r="VV29" s="8" t="s">
        <v>14</v>
      </c>
      <c r="VW29" s="8" t="s">
        <v>15</v>
      </c>
      <c r="VX29" s="9" t="s">
        <v>16</v>
      </c>
      <c r="VY29" s="8" t="s">
        <v>17</v>
      </c>
      <c r="VZ29" s="8" t="s">
        <v>18</v>
      </c>
      <c r="WB29" s="8" t="s">
        <v>14</v>
      </c>
      <c r="WC29" s="8" t="s">
        <v>15</v>
      </c>
      <c r="WD29" s="9" t="s">
        <v>16</v>
      </c>
      <c r="WE29" s="8" t="s">
        <v>17</v>
      </c>
      <c r="WF29" s="8" t="s">
        <v>18</v>
      </c>
      <c r="WH29" s="8" t="s">
        <v>14</v>
      </c>
      <c r="WI29" s="8" t="s">
        <v>15</v>
      </c>
      <c r="WJ29" s="9" t="s">
        <v>16</v>
      </c>
      <c r="WK29" s="8" t="s">
        <v>17</v>
      </c>
      <c r="WL29" s="8" t="s">
        <v>18</v>
      </c>
      <c r="WN29" s="8" t="s">
        <v>14</v>
      </c>
      <c r="WO29" s="8" t="s">
        <v>15</v>
      </c>
      <c r="WP29" s="9" t="s">
        <v>16</v>
      </c>
      <c r="WQ29" s="8" t="s">
        <v>17</v>
      </c>
      <c r="WR29" s="8" t="s">
        <v>18</v>
      </c>
      <c r="WT29" s="8" t="s">
        <v>14</v>
      </c>
      <c r="WU29" s="8" t="s">
        <v>15</v>
      </c>
      <c r="WV29" s="9" t="s">
        <v>16</v>
      </c>
      <c r="WW29" s="8" t="s">
        <v>17</v>
      </c>
      <c r="WX29" s="8" t="s">
        <v>18</v>
      </c>
      <c r="WZ29" s="8" t="s">
        <v>14</v>
      </c>
      <c r="XA29" s="8" t="s">
        <v>15</v>
      </c>
      <c r="XB29" s="9" t="s">
        <v>16</v>
      </c>
      <c r="XC29" s="8" t="s">
        <v>17</v>
      </c>
      <c r="XD29" s="8" t="s">
        <v>18</v>
      </c>
      <c r="XF29" s="8" t="s">
        <v>14</v>
      </c>
      <c r="XG29" s="8" t="s">
        <v>15</v>
      </c>
      <c r="XH29" s="9" t="s">
        <v>16</v>
      </c>
      <c r="XI29" s="8" t="s">
        <v>17</v>
      </c>
      <c r="XJ29" s="8" t="s">
        <v>18</v>
      </c>
      <c r="XL29" s="8" t="s">
        <v>14</v>
      </c>
      <c r="XM29" s="8" t="s">
        <v>15</v>
      </c>
      <c r="XN29" s="9" t="s">
        <v>16</v>
      </c>
      <c r="XO29" s="8" t="s">
        <v>17</v>
      </c>
      <c r="XP29" s="8" t="s">
        <v>18</v>
      </c>
      <c r="XR29" s="8" t="s">
        <v>14</v>
      </c>
      <c r="XS29" s="8" t="s">
        <v>15</v>
      </c>
      <c r="XT29" s="9" t="s">
        <v>16</v>
      </c>
      <c r="XU29" s="8" t="s">
        <v>17</v>
      </c>
      <c r="XV29" s="8" t="s">
        <v>18</v>
      </c>
      <c r="XX29" s="8" t="s">
        <v>14</v>
      </c>
      <c r="XY29" s="8" t="s">
        <v>15</v>
      </c>
      <c r="XZ29" s="9" t="s">
        <v>16</v>
      </c>
      <c r="YA29" s="8" t="s">
        <v>17</v>
      </c>
      <c r="YB29" s="8" t="s">
        <v>18</v>
      </c>
      <c r="YD29" s="8" t="s">
        <v>14</v>
      </c>
      <c r="YE29" s="8" t="s">
        <v>15</v>
      </c>
      <c r="YF29" s="9" t="s">
        <v>16</v>
      </c>
      <c r="YG29" s="8" t="s">
        <v>17</v>
      </c>
      <c r="YH29" s="8" t="s">
        <v>18</v>
      </c>
      <c r="YJ29" s="8" t="s">
        <v>14</v>
      </c>
      <c r="YK29" s="8" t="s">
        <v>15</v>
      </c>
      <c r="YL29" s="9" t="s">
        <v>16</v>
      </c>
      <c r="YM29" s="8" t="s">
        <v>17</v>
      </c>
      <c r="YN29" s="8" t="s">
        <v>18</v>
      </c>
      <c r="YP29" s="8" t="s">
        <v>14</v>
      </c>
      <c r="YQ29" s="8" t="s">
        <v>15</v>
      </c>
      <c r="YR29" s="9" t="s">
        <v>16</v>
      </c>
      <c r="YS29" s="8" t="s">
        <v>17</v>
      </c>
      <c r="YT29" s="8" t="s">
        <v>18</v>
      </c>
      <c r="YV29" s="8" t="s">
        <v>14</v>
      </c>
      <c r="YW29" s="8" t="s">
        <v>15</v>
      </c>
      <c r="YX29" s="9" t="s">
        <v>16</v>
      </c>
      <c r="YY29" s="8" t="s">
        <v>17</v>
      </c>
      <c r="YZ29" s="8" t="s">
        <v>18</v>
      </c>
      <c r="ZB29" s="8" t="s">
        <v>14</v>
      </c>
      <c r="ZC29" s="8" t="s">
        <v>15</v>
      </c>
      <c r="ZD29" s="9" t="s">
        <v>16</v>
      </c>
      <c r="ZE29" s="8" t="s">
        <v>17</v>
      </c>
      <c r="ZF29" s="8" t="s">
        <v>18</v>
      </c>
      <c r="ZH29" s="8" t="s">
        <v>14</v>
      </c>
      <c r="ZI29" s="8" t="s">
        <v>15</v>
      </c>
      <c r="ZJ29" s="9" t="s">
        <v>16</v>
      </c>
      <c r="ZK29" s="8" t="s">
        <v>17</v>
      </c>
      <c r="ZL29" s="8" t="s">
        <v>18</v>
      </c>
      <c r="ZN29" s="8" t="s">
        <v>14</v>
      </c>
      <c r="ZO29" s="8" t="s">
        <v>15</v>
      </c>
      <c r="ZP29" s="9" t="s">
        <v>16</v>
      </c>
      <c r="ZQ29" s="8" t="s">
        <v>17</v>
      </c>
      <c r="ZR29" s="8" t="s">
        <v>18</v>
      </c>
      <c r="ZT29" s="8" t="s">
        <v>14</v>
      </c>
      <c r="ZU29" s="8" t="s">
        <v>15</v>
      </c>
      <c r="ZV29" s="9" t="s">
        <v>16</v>
      </c>
      <c r="ZW29" s="8" t="s">
        <v>17</v>
      </c>
      <c r="ZX29" s="8" t="s">
        <v>18</v>
      </c>
      <c r="ZZ29" s="8" t="s">
        <v>14</v>
      </c>
      <c r="AAA29" s="8" t="s">
        <v>15</v>
      </c>
      <c r="AAB29" s="9" t="s">
        <v>16</v>
      </c>
      <c r="AAC29" s="8" t="s">
        <v>17</v>
      </c>
      <c r="AAD29" s="8" t="s">
        <v>18</v>
      </c>
      <c r="AAF29" s="8" t="s">
        <v>14</v>
      </c>
      <c r="AAG29" s="8" t="s">
        <v>15</v>
      </c>
      <c r="AAH29" s="9" t="s">
        <v>16</v>
      </c>
      <c r="AAI29" s="8" t="s">
        <v>17</v>
      </c>
      <c r="AAJ29" s="8" t="s">
        <v>18</v>
      </c>
      <c r="AAL29" s="8" t="s">
        <v>14</v>
      </c>
      <c r="AAM29" s="8" t="s">
        <v>15</v>
      </c>
      <c r="AAN29" s="9" t="s">
        <v>16</v>
      </c>
      <c r="AAO29" s="8" t="s">
        <v>17</v>
      </c>
      <c r="AAP29" s="8" t="s">
        <v>18</v>
      </c>
      <c r="AAR29" s="8" t="s">
        <v>14</v>
      </c>
      <c r="AAS29" s="8" t="s">
        <v>15</v>
      </c>
      <c r="AAT29" s="9" t="s">
        <v>16</v>
      </c>
      <c r="AAU29" s="8" t="s">
        <v>17</v>
      </c>
      <c r="AAV29" s="8" t="s">
        <v>18</v>
      </c>
      <c r="AAX29" s="8" t="s">
        <v>14</v>
      </c>
      <c r="AAY29" s="8" t="s">
        <v>15</v>
      </c>
      <c r="AAZ29" s="9" t="s">
        <v>16</v>
      </c>
      <c r="ABA29" s="8" t="s">
        <v>17</v>
      </c>
      <c r="ABB29" s="8" t="s">
        <v>18</v>
      </c>
      <c r="ABD29" s="8" t="s">
        <v>14</v>
      </c>
      <c r="ABE29" s="8" t="s">
        <v>15</v>
      </c>
      <c r="ABF29" s="9" t="s">
        <v>16</v>
      </c>
      <c r="ABG29" s="8" t="s">
        <v>17</v>
      </c>
      <c r="ABH29" s="8" t="s">
        <v>18</v>
      </c>
      <c r="ABJ29" s="8" t="s">
        <v>14</v>
      </c>
      <c r="ABK29" s="8" t="s">
        <v>15</v>
      </c>
      <c r="ABL29" s="9" t="s">
        <v>16</v>
      </c>
      <c r="ABM29" s="8" t="s">
        <v>17</v>
      </c>
      <c r="ABN29" s="8" t="s">
        <v>18</v>
      </c>
      <c r="ABP29" s="8" t="s">
        <v>14</v>
      </c>
      <c r="ABQ29" s="8" t="s">
        <v>15</v>
      </c>
      <c r="ABR29" s="9" t="s">
        <v>16</v>
      </c>
      <c r="ABS29" s="8" t="s">
        <v>17</v>
      </c>
      <c r="ABT29" s="8" t="s">
        <v>18</v>
      </c>
      <c r="ABV29" s="8" t="s">
        <v>14</v>
      </c>
      <c r="ABW29" s="8" t="s">
        <v>15</v>
      </c>
      <c r="ABX29" s="9" t="s">
        <v>16</v>
      </c>
      <c r="ABY29" s="8" t="s">
        <v>17</v>
      </c>
      <c r="ABZ29" s="8" t="s">
        <v>18</v>
      </c>
      <c r="ACB29" s="8" t="s">
        <v>14</v>
      </c>
      <c r="ACC29" s="8" t="s">
        <v>15</v>
      </c>
      <c r="ACD29" s="9" t="s">
        <v>16</v>
      </c>
      <c r="ACE29" s="8" t="s">
        <v>17</v>
      </c>
      <c r="ACF29" s="8" t="s">
        <v>18</v>
      </c>
      <c r="ACH29" s="8" t="s">
        <v>14</v>
      </c>
      <c r="ACI29" s="8" t="s">
        <v>15</v>
      </c>
      <c r="ACJ29" s="9" t="s">
        <v>16</v>
      </c>
      <c r="ACK29" s="8" t="s">
        <v>17</v>
      </c>
      <c r="ACL29" s="8" t="s">
        <v>18</v>
      </c>
      <c r="ACN29" s="8" t="s">
        <v>14</v>
      </c>
      <c r="ACO29" s="8" t="s">
        <v>15</v>
      </c>
      <c r="ACP29" s="9" t="s">
        <v>16</v>
      </c>
      <c r="ACQ29" s="8" t="s">
        <v>17</v>
      </c>
      <c r="ACR29" s="8" t="s">
        <v>18</v>
      </c>
      <c r="ACT29" s="8" t="s">
        <v>14</v>
      </c>
      <c r="ACU29" s="8" t="s">
        <v>15</v>
      </c>
      <c r="ACV29" s="9" t="s">
        <v>16</v>
      </c>
      <c r="ACW29" s="8" t="s">
        <v>17</v>
      </c>
      <c r="ACX29" s="8" t="s">
        <v>18</v>
      </c>
      <c r="ACZ29" s="8" t="s">
        <v>14</v>
      </c>
      <c r="ADA29" s="8" t="s">
        <v>15</v>
      </c>
      <c r="ADB29" s="9" t="s">
        <v>16</v>
      </c>
      <c r="ADC29" s="8" t="s">
        <v>17</v>
      </c>
      <c r="ADD29" s="8" t="s">
        <v>18</v>
      </c>
      <c r="ADF29" s="8" t="s">
        <v>14</v>
      </c>
      <c r="ADG29" s="8" t="s">
        <v>15</v>
      </c>
      <c r="ADH29" s="9" t="s">
        <v>16</v>
      </c>
      <c r="ADI29" s="8" t="s">
        <v>17</v>
      </c>
      <c r="ADJ29" s="8" t="s">
        <v>18</v>
      </c>
      <c r="ADL29" s="8" t="s">
        <v>14</v>
      </c>
      <c r="ADM29" s="8" t="s">
        <v>15</v>
      </c>
      <c r="ADN29" s="9" t="s">
        <v>16</v>
      </c>
      <c r="ADO29" s="8" t="s">
        <v>17</v>
      </c>
      <c r="ADP29" s="8" t="s">
        <v>18</v>
      </c>
      <c r="ADR29" s="8" t="s">
        <v>14</v>
      </c>
      <c r="ADS29" s="8" t="s">
        <v>15</v>
      </c>
      <c r="ADT29" s="9" t="s">
        <v>16</v>
      </c>
      <c r="ADU29" s="8" t="s">
        <v>17</v>
      </c>
      <c r="ADV29" s="8" t="s">
        <v>18</v>
      </c>
      <c r="ADX29" s="8" t="s">
        <v>14</v>
      </c>
      <c r="ADY29" s="8" t="s">
        <v>15</v>
      </c>
      <c r="ADZ29" s="9" t="s">
        <v>16</v>
      </c>
      <c r="AEA29" s="8" t="s">
        <v>17</v>
      </c>
      <c r="AEB29" s="8" t="s">
        <v>18</v>
      </c>
      <c r="AED29" s="8" t="s">
        <v>14</v>
      </c>
      <c r="AEE29" s="8" t="s">
        <v>15</v>
      </c>
      <c r="AEF29" s="9" t="s">
        <v>16</v>
      </c>
      <c r="AEG29" s="8" t="s">
        <v>17</v>
      </c>
      <c r="AEH29" s="8" t="s">
        <v>18</v>
      </c>
      <c r="AEJ29" s="8" t="s">
        <v>14</v>
      </c>
      <c r="AEK29" s="8" t="s">
        <v>15</v>
      </c>
      <c r="AEL29" s="9" t="s">
        <v>16</v>
      </c>
      <c r="AEM29" s="8" t="s">
        <v>17</v>
      </c>
      <c r="AEN29" s="8" t="s">
        <v>18</v>
      </c>
      <c r="AEP29" s="8" t="s">
        <v>14</v>
      </c>
      <c r="AEQ29" s="8" t="s">
        <v>15</v>
      </c>
      <c r="AER29" s="9" t="s">
        <v>16</v>
      </c>
      <c r="AES29" s="8" t="s">
        <v>17</v>
      </c>
      <c r="AET29" s="8" t="s">
        <v>18</v>
      </c>
      <c r="AEV29" s="8" t="s">
        <v>14</v>
      </c>
      <c r="AEW29" s="8" t="s">
        <v>15</v>
      </c>
      <c r="AEX29" s="9" t="s">
        <v>16</v>
      </c>
      <c r="AEY29" s="8" t="s">
        <v>17</v>
      </c>
      <c r="AEZ29" s="8" t="s">
        <v>18</v>
      </c>
      <c r="AFB29" s="8" t="s">
        <v>14</v>
      </c>
      <c r="AFC29" s="8" t="s">
        <v>15</v>
      </c>
      <c r="AFD29" s="9" t="s">
        <v>16</v>
      </c>
      <c r="AFE29" s="8" t="s">
        <v>17</v>
      </c>
      <c r="AFF29" s="8" t="s">
        <v>18</v>
      </c>
      <c r="AFH29" s="8" t="s">
        <v>14</v>
      </c>
      <c r="AFI29" s="8" t="s">
        <v>15</v>
      </c>
      <c r="AFJ29" s="9" t="s">
        <v>16</v>
      </c>
      <c r="AFK29" s="8" t="s">
        <v>17</v>
      </c>
      <c r="AFL29" s="8" t="s">
        <v>18</v>
      </c>
      <c r="AFN29" s="8" t="s">
        <v>14</v>
      </c>
      <c r="AFO29" s="8" t="s">
        <v>15</v>
      </c>
      <c r="AFP29" s="9" t="s">
        <v>16</v>
      </c>
      <c r="AFQ29" s="8" t="s">
        <v>17</v>
      </c>
      <c r="AFR29" s="8" t="s">
        <v>18</v>
      </c>
      <c r="AFT29" s="8" t="s">
        <v>14</v>
      </c>
      <c r="AFU29" s="8" t="s">
        <v>15</v>
      </c>
      <c r="AFV29" s="9" t="s">
        <v>16</v>
      </c>
      <c r="AFW29" s="8" t="s">
        <v>17</v>
      </c>
      <c r="AFX29" s="8" t="s">
        <v>18</v>
      </c>
      <c r="AFZ29" s="8" t="s">
        <v>14</v>
      </c>
      <c r="AGA29" s="8" t="s">
        <v>15</v>
      </c>
      <c r="AGB29" s="9" t="s">
        <v>16</v>
      </c>
      <c r="AGC29" s="8" t="s">
        <v>17</v>
      </c>
      <c r="AGD29" s="8" t="s">
        <v>18</v>
      </c>
      <c r="AGF29" s="8" t="s">
        <v>14</v>
      </c>
      <c r="AGG29" s="8" t="s">
        <v>15</v>
      </c>
      <c r="AGH29" s="9" t="s">
        <v>16</v>
      </c>
      <c r="AGI29" s="8" t="s">
        <v>17</v>
      </c>
      <c r="AGJ29" s="8" t="s">
        <v>18</v>
      </c>
      <c r="AGL29" s="8" t="s">
        <v>14</v>
      </c>
      <c r="AGM29" s="8" t="s">
        <v>15</v>
      </c>
      <c r="AGN29" s="9" t="s">
        <v>16</v>
      </c>
      <c r="AGO29" s="8" t="s">
        <v>17</v>
      </c>
      <c r="AGP29" s="8" t="s">
        <v>18</v>
      </c>
      <c r="AGR29" s="8" t="s">
        <v>14</v>
      </c>
      <c r="AGS29" s="8" t="s">
        <v>15</v>
      </c>
      <c r="AGT29" s="9" t="s">
        <v>16</v>
      </c>
      <c r="AGU29" s="8" t="s">
        <v>17</v>
      </c>
      <c r="AGV29" s="8" t="s">
        <v>18</v>
      </c>
      <c r="AGX29" s="8" t="s">
        <v>14</v>
      </c>
      <c r="AGY29" s="8" t="s">
        <v>15</v>
      </c>
      <c r="AGZ29" s="9" t="s">
        <v>16</v>
      </c>
      <c r="AHA29" s="8" t="s">
        <v>17</v>
      </c>
      <c r="AHB29" s="8" t="s">
        <v>18</v>
      </c>
      <c r="AHD29" s="8" t="s">
        <v>14</v>
      </c>
      <c r="AHE29" s="8" t="s">
        <v>15</v>
      </c>
      <c r="AHF29" s="9" t="s">
        <v>16</v>
      </c>
      <c r="AHG29" s="8" t="s">
        <v>17</v>
      </c>
      <c r="AHH29" s="8" t="s">
        <v>18</v>
      </c>
      <c r="AHJ29" s="8" t="s">
        <v>14</v>
      </c>
      <c r="AHK29" s="8" t="s">
        <v>15</v>
      </c>
      <c r="AHL29" s="9" t="s">
        <v>16</v>
      </c>
      <c r="AHM29" s="8" t="s">
        <v>17</v>
      </c>
      <c r="AHN29" s="8" t="s">
        <v>18</v>
      </c>
      <c r="AHP29" s="8" t="s">
        <v>14</v>
      </c>
      <c r="AHQ29" s="8" t="s">
        <v>15</v>
      </c>
      <c r="AHR29" s="9" t="s">
        <v>16</v>
      </c>
      <c r="AHS29" s="8" t="s">
        <v>17</v>
      </c>
      <c r="AHT29" s="8" t="s">
        <v>18</v>
      </c>
      <c r="AHV29" s="8" t="s">
        <v>14</v>
      </c>
      <c r="AHW29" s="8" t="s">
        <v>15</v>
      </c>
      <c r="AHX29" s="9" t="s">
        <v>16</v>
      </c>
      <c r="AHY29" s="8" t="s">
        <v>17</v>
      </c>
      <c r="AHZ29" s="8" t="s">
        <v>18</v>
      </c>
      <c r="AIB29" s="8" t="s">
        <v>14</v>
      </c>
      <c r="AIC29" s="8" t="s">
        <v>15</v>
      </c>
      <c r="AID29" s="9" t="s">
        <v>16</v>
      </c>
      <c r="AIE29" s="8" t="s">
        <v>17</v>
      </c>
      <c r="AIF29" s="8" t="s">
        <v>18</v>
      </c>
      <c r="AIH29" s="8" t="s">
        <v>14</v>
      </c>
      <c r="AII29" s="8" t="s">
        <v>15</v>
      </c>
      <c r="AIJ29" s="9" t="s">
        <v>16</v>
      </c>
      <c r="AIK29" s="8" t="s">
        <v>17</v>
      </c>
      <c r="AIL29" s="8" t="s">
        <v>18</v>
      </c>
      <c r="AIN29" s="8" t="s">
        <v>14</v>
      </c>
      <c r="AIO29" s="8" t="s">
        <v>15</v>
      </c>
      <c r="AIP29" s="9" t="s">
        <v>16</v>
      </c>
      <c r="AIQ29" s="8" t="s">
        <v>17</v>
      </c>
      <c r="AIR29" s="8" t="s">
        <v>18</v>
      </c>
      <c r="AIT29" s="8" t="s">
        <v>14</v>
      </c>
      <c r="AIU29" s="8" t="s">
        <v>15</v>
      </c>
      <c r="AIV29" s="9" t="s">
        <v>16</v>
      </c>
      <c r="AIW29" s="8" t="s">
        <v>17</v>
      </c>
      <c r="AIX29" s="8" t="s">
        <v>18</v>
      </c>
      <c r="AIZ29" s="8" t="s">
        <v>14</v>
      </c>
      <c r="AJA29" s="8" t="s">
        <v>15</v>
      </c>
      <c r="AJB29" s="9" t="s">
        <v>16</v>
      </c>
      <c r="AJC29" s="8" t="s">
        <v>17</v>
      </c>
      <c r="AJD29" s="8" t="s">
        <v>18</v>
      </c>
      <c r="AJF29" s="8" t="s">
        <v>14</v>
      </c>
      <c r="AJG29" s="8" t="s">
        <v>15</v>
      </c>
      <c r="AJH29" s="9" t="s">
        <v>16</v>
      </c>
      <c r="AJI29" s="8" t="s">
        <v>17</v>
      </c>
      <c r="AJJ29" s="8" t="s">
        <v>18</v>
      </c>
      <c r="AJL29" s="8" t="s">
        <v>14</v>
      </c>
      <c r="AJM29" s="8" t="s">
        <v>15</v>
      </c>
      <c r="AJN29" s="9" t="s">
        <v>16</v>
      </c>
      <c r="AJO29" s="8" t="s">
        <v>17</v>
      </c>
      <c r="AJP29" s="8" t="s">
        <v>18</v>
      </c>
      <c r="AJR29" s="8" t="s">
        <v>14</v>
      </c>
      <c r="AJS29" s="8" t="s">
        <v>15</v>
      </c>
      <c r="AJT29" s="9" t="s">
        <v>16</v>
      </c>
      <c r="AJU29" s="8" t="s">
        <v>17</v>
      </c>
      <c r="AJV29" s="8" t="s">
        <v>18</v>
      </c>
      <c r="AJX29" s="8" t="s">
        <v>14</v>
      </c>
      <c r="AJY29" s="8" t="s">
        <v>15</v>
      </c>
      <c r="AJZ29" s="9" t="s">
        <v>16</v>
      </c>
      <c r="AKA29" s="8" t="s">
        <v>17</v>
      </c>
      <c r="AKB29" s="8" t="s">
        <v>18</v>
      </c>
      <c r="AKD29" s="8" t="s">
        <v>14</v>
      </c>
      <c r="AKE29" s="8" t="s">
        <v>15</v>
      </c>
      <c r="AKF29" s="9" t="s">
        <v>16</v>
      </c>
      <c r="AKG29" s="8" t="s">
        <v>17</v>
      </c>
      <c r="AKH29" s="8" t="s">
        <v>18</v>
      </c>
      <c r="AKJ29" s="8" t="s">
        <v>14</v>
      </c>
      <c r="AKK29" s="8" t="s">
        <v>15</v>
      </c>
      <c r="AKL29" s="9" t="s">
        <v>16</v>
      </c>
      <c r="AKM29" s="8" t="s">
        <v>17</v>
      </c>
      <c r="AKN29" s="8" t="s">
        <v>18</v>
      </c>
      <c r="AKP29" s="8" t="s">
        <v>14</v>
      </c>
      <c r="AKQ29" s="8" t="s">
        <v>15</v>
      </c>
      <c r="AKR29" s="9" t="s">
        <v>16</v>
      </c>
      <c r="AKS29" s="8" t="s">
        <v>17</v>
      </c>
      <c r="AKT29" s="8" t="s">
        <v>18</v>
      </c>
      <c r="AKV29" s="8" t="s">
        <v>14</v>
      </c>
      <c r="AKW29" s="8" t="s">
        <v>15</v>
      </c>
      <c r="AKX29" s="9" t="s">
        <v>16</v>
      </c>
      <c r="AKY29" s="8" t="s">
        <v>17</v>
      </c>
      <c r="AKZ29" s="8" t="s">
        <v>18</v>
      </c>
      <c r="ALB29" s="8" t="s">
        <v>14</v>
      </c>
      <c r="ALC29" s="8" t="s">
        <v>15</v>
      </c>
      <c r="ALD29" s="9" t="s">
        <v>16</v>
      </c>
      <c r="ALE29" s="8" t="s">
        <v>17</v>
      </c>
      <c r="ALF29" s="8" t="s">
        <v>18</v>
      </c>
      <c r="ALH29" s="8" t="s">
        <v>14</v>
      </c>
      <c r="ALI29" s="8" t="s">
        <v>15</v>
      </c>
      <c r="ALJ29" s="9" t="s">
        <v>16</v>
      </c>
      <c r="ALK29" s="8" t="s">
        <v>17</v>
      </c>
      <c r="ALL29" s="8" t="s">
        <v>18</v>
      </c>
      <c r="ALN29" s="8" t="s">
        <v>14</v>
      </c>
      <c r="ALO29" s="8" t="s">
        <v>15</v>
      </c>
      <c r="ALP29" s="9" t="s">
        <v>16</v>
      </c>
      <c r="ALQ29" s="8" t="s">
        <v>17</v>
      </c>
      <c r="ALR29" s="8" t="s">
        <v>18</v>
      </c>
      <c r="ALT29" s="8" t="s">
        <v>14</v>
      </c>
      <c r="ALU29" s="8" t="s">
        <v>15</v>
      </c>
      <c r="ALV29" s="9" t="s">
        <v>16</v>
      </c>
      <c r="ALW29" s="8" t="s">
        <v>17</v>
      </c>
      <c r="ALX29" s="8" t="s">
        <v>18</v>
      </c>
      <c r="ALZ29" s="8" t="s">
        <v>14</v>
      </c>
      <c r="AMA29" s="8" t="s">
        <v>15</v>
      </c>
      <c r="AMB29" s="9" t="s">
        <v>16</v>
      </c>
      <c r="AMC29" s="8" t="s">
        <v>17</v>
      </c>
      <c r="AMD29" s="8" t="s">
        <v>18</v>
      </c>
      <c r="AMF29" s="8" t="s">
        <v>14</v>
      </c>
      <c r="AMG29" s="8" t="s">
        <v>15</v>
      </c>
      <c r="AMH29" s="9" t="s">
        <v>16</v>
      </c>
      <c r="AMI29" s="8" t="s">
        <v>17</v>
      </c>
      <c r="AMJ29" s="8" t="s">
        <v>18</v>
      </c>
      <c r="AML29" s="8" t="s">
        <v>14</v>
      </c>
      <c r="AMM29" s="8" t="s">
        <v>15</v>
      </c>
      <c r="AMN29" s="9" t="s">
        <v>16</v>
      </c>
      <c r="AMO29" s="8" t="s">
        <v>17</v>
      </c>
      <c r="AMP29" s="8" t="s">
        <v>18</v>
      </c>
      <c r="AMR29" s="8" t="s">
        <v>14</v>
      </c>
      <c r="AMS29" s="8" t="s">
        <v>15</v>
      </c>
      <c r="AMT29" s="9" t="s">
        <v>16</v>
      </c>
      <c r="AMU29" s="8" t="s">
        <v>17</v>
      </c>
      <c r="AMV29" s="8" t="s">
        <v>18</v>
      </c>
      <c r="AMX29" s="8" t="s">
        <v>14</v>
      </c>
      <c r="AMY29" s="8" t="s">
        <v>15</v>
      </c>
      <c r="AMZ29" s="9" t="s">
        <v>16</v>
      </c>
      <c r="ANA29" s="8" t="s">
        <v>17</v>
      </c>
      <c r="ANB29" s="8" t="s">
        <v>18</v>
      </c>
      <c r="AND29" s="8" t="s">
        <v>14</v>
      </c>
      <c r="ANE29" s="8" t="s">
        <v>15</v>
      </c>
      <c r="ANF29" s="9" t="s">
        <v>16</v>
      </c>
      <c r="ANG29" s="8" t="s">
        <v>17</v>
      </c>
      <c r="ANH29" s="8" t="s">
        <v>18</v>
      </c>
      <c r="ANJ29" s="8" t="s">
        <v>14</v>
      </c>
      <c r="ANK29" s="8" t="s">
        <v>15</v>
      </c>
      <c r="ANL29" s="9" t="s">
        <v>16</v>
      </c>
      <c r="ANM29" s="8" t="s">
        <v>17</v>
      </c>
      <c r="ANN29" s="8" t="s">
        <v>18</v>
      </c>
      <c r="ANP29" s="8" t="s">
        <v>14</v>
      </c>
      <c r="ANQ29" s="8" t="s">
        <v>15</v>
      </c>
      <c r="ANR29" s="9" t="s">
        <v>16</v>
      </c>
      <c r="ANS29" s="8" t="s">
        <v>17</v>
      </c>
      <c r="ANT29" s="8" t="s">
        <v>18</v>
      </c>
      <c r="ANV29" s="8" t="s">
        <v>14</v>
      </c>
      <c r="ANW29" s="8" t="s">
        <v>15</v>
      </c>
      <c r="ANX29" s="9" t="s">
        <v>16</v>
      </c>
      <c r="ANY29" s="8" t="s">
        <v>17</v>
      </c>
      <c r="ANZ29" s="8" t="s">
        <v>18</v>
      </c>
      <c r="AOB29" s="8" t="s">
        <v>14</v>
      </c>
      <c r="AOC29" s="8" t="s">
        <v>15</v>
      </c>
      <c r="AOD29" s="9" t="s">
        <v>16</v>
      </c>
      <c r="AOE29" s="8" t="s">
        <v>17</v>
      </c>
      <c r="AOF29" s="8" t="s">
        <v>18</v>
      </c>
      <c r="AOH29" s="8" t="s">
        <v>14</v>
      </c>
      <c r="AOI29" s="8" t="s">
        <v>15</v>
      </c>
      <c r="AOJ29" s="9" t="s">
        <v>16</v>
      </c>
      <c r="AOK29" s="8" t="s">
        <v>17</v>
      </c>
      <c r="AOL29" s="8" t="s">
        <v>18</v>
      </c>
      <c r="AON29" s="8" t="s">
        <v>14</v>
      </c>
      <c r="AOO29" s="8" t="s">
        <v>15</v>
      </c>
      <c r="AOP29" s="9" t="s">
        <v>16</v>
      </c>
      <c r="AOQ29" s="8" t="s">
        <v>17</v>
      </c>
      <c r="AOR29" s="8" t="s">
        <v>18</v>
      </c>
    </row>
    <row r="30" spans="1:1024 1026:1084" x14ac:dyDescent="0.25">
      <c r="A30" s="3" t="s">
        <v>41</v>
      </c>
      <c r="B30" s="3"/>
      <c r="C30" s="5" t="s">
        <v>42</v>
      </c>
      <c r="D30" s="9">
        <v>0.1</v>
      </c>
      <c r="F30" s="14">
        <v>0.9</v>
      </c>
      <c r="G30" s="15"/>
      <c r="H30" s="11"/>
      <c r="I30" s="15"/>
      <c r="J30" s="15"/>
      <c r="L30" s="14">
        <v>0.9</v>
      </c>
      <c r="M30" s="15"/>
      <c r="N30" s="13">
        <f>F30+G30-L30</f>
        <v>0</v>
      </c>
      <c r="O30" s="15"/>
      <c r="P30" s="15"/>
      <c r="R30" s="14">
        <v>0.9</v>
      </c>
      <c r="S30" s="15"/>
      <c r="T30" s="13">
        <f>L30+M30-R30</f>
        <v>0</v>
      </c>
      <c r="U30" s="15"/>
      <c r="V30" s="15"/>
      <c r="X30" s="14">
        <v>0.9</v>
      </c>
      <c r="Y30" s="15"/>
      <c r="Z30" s="13">
        <f>R30+S30-X30</f>
        <v>0</v>
      </c>
      <c r="AA30" s="15"/>
      <c r="AB30" s="15"/>
      <c r="AD30" s="14">
        <v>0.9</v>
      </c>
      <c r="AE30" s="15"/>
      <c r="AF30" s="13">
        <f>X30+Y30-AD30</f>
        <v>0</v>
      </c>
      <c r="AG30" s="15"/>
      <c r="AH30" s="15"/>
      <c r="AJ30" s="14">
        <v>0.9</v>
      </c>
      <c r="AK30" s="15"/>
      <c r="AL30" s="13">
        <f t="shared" ref="AL30:AL32" si="795">AD30+AE30-AJ30</f>
        <v>0</v>
      </c>
      <c r="AM30" s="15"/>
      <c r="AN30" s="15"/>
      <c r="AP30" s="14">
        <v>0.9</v>
      </c>
      <c r="AQ30" s="15"/>
      <c r="AR30" s="13">
        <f t="shared" ref="AR30:AR32" si="796">AJ30+AK30-AP30</f>
        <v>0</v>
      </c>
      <c r="AS30" s="15"/>
      <c r="AT30" s="15"/>
      <c r="AV30" s="14">
        <v>0.9</v>
      </c>
      <c r="AW30" s="15"/>
      <c r="AX30" s="13">
        <f t="shared" si="774"/>
        <v>0</v>
      </c>
      <c r="AY30" s="15"/>
      <c r="AZ30" s="15"/>
      <c r="BB30" s="14">
        <v>0.9</v>
      </c>
      <c r="BC30" s="15"/>
      <c r="BD30" s="13">
        <f t="shared" ref="BD30:BD32" si="797">AV30+AW30-BB30</f>
        <v>0</v>
      </c>
      <c r="BE30" s="15"/>
      <c r="BF30" s="15"/>
      <c r="BH30" s="14">
        <v>0.9</v>
      </c>
      <c r="BI30" s="15"/>
      <c r="BJ30" s="13">
        <f t="shared" ref="BJ30:BJ32" si="798">BB30+BC30-BH30</f>
        <v>0</v>
      </c>
      <c r="BK30" s="15"/>
      <c r="BL30" s="15"/>
      <c r="BN30" s="14">
        <v>0.8</v>
      </c>
      <c r="BO30" s="15"/>
      <c r="BP30" s="13">
        <f t="shared" ref="BP30:BP32" si="799">BH30+BI30-BN30</f>
        <v>9.9999999999999978E-2</v>
      </c>
      <c r="BQ30" s="15"/>
      <c r="BR30" s="15"/>
      <c r="BT30" s="14">
        <v>0.8</v>
      </c>
      <c r="BU30" s="15"/>
      <c r="BV30" s="13">
        <f t="shared" ref="BV30:BV32" si="800">BN30+BO30-BT30</f>
        <v>0</v>
      </c>
      <c r="BW30" s="15"/>
      <c r="BX30" s="15"/>
      <c r="BZ30" s="14">
        <v>0.8</v>
      </c>
      <c r="CA30" s="15"/>
      <c r="CB30" s="13">
        <f t="shared" ref="CB30:CB32" si="801">BT30+BU30-BZ30</f>
        <v>0</v>
      </c>
      <c r="CC30" s="15"/>
      <c r="CD30" s="15"/>
      <c r="CF30" s="14">
        <v>0.8</v>
      </c>
      <c r="CG30" s="15"/>
      <c r="CH30" s="13">
        <f t="shared" ref="CH30:CH32" si="802">BZ30+CA30-CF30</f>
        <v>0</v>
      </c>
      <c r="CI30" s="15"/>
      <c r="CJ30" s="15"/>
      <c r="CL30" s="14">
        <v>0.8</v>
      </c>
      <c r="CM30" s="15"/>
      <c r="CN30" s="13">
        <f t="shared" ref="CN30:CN32" si="803">CF30+CG30-CL30</f>
        <v>0</v>
      </c>
      <c r="CO30" s="15"/>
      <c r="CP30" s="15"/>
      <c r="CR30" s="14">
        <v>0.8</v>
      </c>
      <c r="CS30" s="15"/>
      <c r="CT30" s="13">
        <f t="shared" ref="CT30:CT32" si="804">CL30+CM30-CR30</f>
        <v>0</v>
      </c>
      <c r="CU30" s="15"/>
      <c r="CV30" s="15"/>
      <c r="CX30" s="14">
        <v>0.5</v>
      </c>
      <c r="CY30" s="33"/>
      <c r="CZ30" s="13">
        <f t="shared" ref="CZ30:CZ32" si="805">CR30+CS30-CX30</f>
        <v>0.30000000000000004</v>
      </c>
      <c r="DA30" s="15"/>
      <c r="DB30" s="15"/>
      <c r="DD30" s="14">
        <v>0.6</v>
      </c>
      <c r="DE30" s="33"/>
      <c r="DF30" s="13">
        <f t="shared" ref="DF30:DF32" si="806">CX30+CY30-DD30</f>
        <v>-9.9999999999999978E-2</v>
      </c>
      <c r="DG30" s="15"/>
      <c r="DH30" s="15"/>
      <c r="DJ30" s="14">
        <v>0.6</v>
      </c>
      <c r="DK30" s="33"/>
      <c r="DL30" s="13">
        <f t="shared" ref="DL30:DL32" si="807">DD30+DE30-DJ30</f>
        <v>0</v>
      </c>
      <c r="DM30" s="15"/>
      <c r="DN30" s="15"/>
      <c r="DP30" s="14">
        <v>0.6</v>
      </c>
      <c r="DQ30" s="33"/>
      <c r="DR30" s="13">
        <f t="shared" ref="DR30:DR32" si="808">DJ30+DK30-DP30</f>
        <v>0</v>
      </c>
      <c r="DS30" s="15"/>
      <c r="DT30" s="15"/>
      <c r="DV30" s="14">
        <v>0.6</v>
      </c>
      <c r="DW30" s="33"/>
      <c r="DX30" s="13">
        <f t="shared" ref="DX30:DX32" si="809">DP30+DQ30-DV30</f>
        <v>0</v>
      </c>
      <c r="DY30" s="15"/>
      <c r="DZ30" s="15"/>
      <c r="EB30" s="14">
        <v>0.6</v>
      </c>
      <c r="EC30" s="33"/>
      <c r="ED30" s="13">
        <f t="shared" ref="ED30:ED32" si="810">DV30+DW30-EB30</f>
        <v>0</v>
      </c>
      <c r="EE30" s="15"/>
      <c r="EF30" s="15"/>
      <c r="EH30" s="14">
        <v>0.6</v>
      </c>
      <c r="EI30" s="33"/>
      <c r="EJ30" s="13">
        <f t="shared" ref="EJ30:EJ32" si="811">EB30+EC30-EH30</f>
        <v>0</v>
      </c>
      <c r="EK30" s="15"/>
      <c r="EL30" s="15"/>
      <c r="EN30" s="14">
        <v>0.6</v>
      </c>
      <c r="EO30" s="33"/>
      <c r="EP30" s="13">
        <f t="shared" ref="EP30:EP32" si="812">EH30+EI30-EN30</f>
        <v>0</v>
      </c>
      <c r="EQ30" s="15"/>
      <c r="ER30" s="15"/>
      <c r="ET30" s="14">
        <v>0.6</v>
      </c>
      <c r="EU30" s="33"/>
      <c r="EV30" s="13">
        <f t="shared" ref="EV30:EV32" si="813">EN30+EO30-ET30</f>
        <v>0</v>
      </c>
      <c r="EW30" s="15"/>
      <c r="EX30" s="15"/>
      <c r="EZ30" s="14">
        <v>0.6</v>
      </c>
      <c r="FA30" s="33"/>
      <c r="FB30" s="13">
        <f t="shared" ref="FB30:FB32" si="814">ET30+EU30-EZ30</f>
        <v>0</v>
      </c>
      <c r="FC30" s="15"/>
      <c r="FD30" s="15"/>
      <c r="FF30" s="14">
        <v>0.6</v>
      </c>
      <c r="FG30" s="33"/>
      <c r="FH30" s="13">
        <f>EZ30+FA30-FF30</f>
        <v>0</v>
      </c>
      <c r="FI30" s="15"/>
      <c r="FJ30" s="15"/>
      <c r="FL30" s="14"/>
      <c r="FM30" s="33"/>
      <c r="FN30" s="13">
        <f>FF30+FG30-FL30</f>
        <v>0.6</v>
      </c>
      <c r="FO30" s="15"/>
      <c r="FP30" s="15"/>
      <c r="FR30" s="14">
        <v>0.6</v>
      </c>
      <c r="FS30" s="33"/>
      <c r="FT30" s="13">
        <f>FL30+FM30-FR30</f>
        <v>-0.6</v>
      </c>
      <c r="FU30" s="15"/>
      <c r="FV30" s="15"/>
      <c r="FX30" s="14">
        <v>0.6</v>
      </c>
      <c r="FY30" s="33"/>
      <c r="FZ30" s="13">
        <f>FR30+FS30-FX30</f>
        <v>0</v>
      </c>
      <c r="GA30" s="15"/>
      <c r="GB30" s="15"/>
      <c r="GD30" s="14">
        <v>0.6</v>
      </c>
      <c r="GE30" s="33"/>
      <c r="GF30" s="13">
        <f>FX30+FY30-GD30</f>
        <v>0</v>
      </c>
      <c r="GG30" s="15"/>
      <c r="GH30" s="15"/>
      <c r="GJ30" s="14">
        <v>0.6</v>
      </c>
      <c r="GK30" s="33"/>
      <c r="GL30" s="13">
        <f>GD30+GE30-GJ30</f>
        <v>0</v>
      </c>
      <c r="GM30" s="15"/>
      <c r="GN30" s="15"/>
      <c r="GP30" s="14">
        <v>0.6</v>
      </c>
      <c r="GQ30" s="33"/>
      <c r="GR30" s="13">
        <f>GJ30+GK30-GP30</f>
        <v>0</v>
      </c>
      <c r="GS30" s="15"/>
      <c r="GT30" s="15"/>
      <c r="GV30" s="14">
        <v>0.6</v>
      </c>
      <c r="GW30" s="33"/>
      <c r="GX30" s="13">
        <f>GP30+GQ30-GV30</f>
        <v>0</v>
      </c>
      <c r="GY30" s="15"/>
      <c r="GZ30" s="15"/>
      <c r="HB30" s="14">
        <v>0.6</v>
      </c>
      <c r="HC30" s="33"/>
      <c r="HD30" s="13">
        <f>GV30+GW30-HB30</f>
        <v>0</v>
      </c>
      <c r="HE30" s="15"/>
      <c r="HF30" s="15"/>
      <c r="HH30" s="14">
        <v>0.6</v>
      </c>
      <c r="HI30" s="33"/>
      <c r="HJ30" s="13">
        <f>HB30+HC30-HH30</f>
        <v>0</v>
      </c>
      <c r="HK30" s="15"/>
      <c r="HL30" s="15"/>
      <c r="HN30" s="14">
        <v>0.6</v>
      </c>
      <c r="HO30" s="33"/>
      <c r="HP30" s="13">
        <f>HH30+HI30-HN30</f>
        <v>0</v>
      </c>
      <c r="HQ30" s="15"/>
      <c r="HR30" s="15"/>
      <c r="HT30" s="14">
        <v>0.6</v>
      </c>
      <c r="HU30" s="33"/>
      <c r="HV30" s="13">
        <f>HN30+HO30-HT30</f>
        <v>0</v>
      </c>
      <c r="HW30" s="15"/>
      <c r="HX30" s="15"/>
      <c r="HZ30" s="14">
        <v>0.6</v>
      </c>
      <c r="IA30" s="33"/>
      <c r="IB30" s="13">
        <f>HT30+HU30-HZ30</f>
        <v>0</v>
      </c>
      <c r="IC30" s="15"/>
      <c r="ID30" s="15"/>
      <c r="IF30" s="14">
        <v>0.6</v>
      </c>
      <c r="IG30" s="33"/>
      <c r="IH30" s="13">
        <f>HZ30+IA30-IF30</f>
        <v>0</v>
      </c>
      <c r="II30" s="15"/>
      <c r="IJ30" s="15"/>
      <c r="IL30" s="14">
        <v>0.6</v>
      </c>
      <c r="IM30" s="33"/>
      <c r="IN30" s="13">
        <f>IF30+IG30-IL30</f>
        <v>0</v>
      </c>
      <c r="IO30" s="15"/>
      <c r="IP30" s="15"/>
      <c r="IR30" s="14">
        <v>0.6</v>
      </c>
      <c r="IS30" s="33"/>
      <c r="IT30" s="13">
        <f>IL30+IM30-IR30</f>
        <v>0</v>
      </c>
      <c r="IU30" s="15"/>
      <c r="IV30" s="15"/>
      <c r="IX30" s="14">
        <v>0.6</v>
      </c>
      <c r="IY30" s="33"/>
      <c r="IZ30" s="13">
        <f>IR30+IS30-IX30</f>
        <v>0</v>
      </c>
      <c r="JA30" s="15"/>
      <c r="JB30" s="15"/>
      <c r="JD30" s="14">
        <v>0.6</v>
      </c>
      <c r="JE30" s="33"/>
      <c r="JF30" s="13">
        <f>IX30+IY30-JD30</f>
        <v>0</v>
      </c>
      <c r="JG30" s="15"/>
      <c r="JH30" s="15"/>
      <c r="JJ30" s="14">
        <v>0.6</v>
      </c>
      <c r="JK30" s="33"/>
      <c r="JL30" s="13">
        <f>JD30+JE30-JJ30</f>
        <v>0</v>
      </c>
      <c r="JM30" s="15"/>
      <c r="JN30" s="15"/>
      <c r="JP30" s="14">
        <v>0.6</v>
      </c>
      <c r="JQ30" s="33"/>
      <c r="JR30" s="13">
        <f>JJ30+JK30-JP30</f>
        <v>0</v>
      </c>
      <c r="JS30" s="15"/>
      <c r="JT30" s="15"/>
      <c r="JV30" s="14">
        <v>0.6</v>
      </c>
      <c r="JW30" s="33"/>
      <c r="JX30" s="13">
        <f>JP30+JQ30-JV30</f>
        <v>0</v>
      </c>
      <c r="JY30" s="15"/>
      <c r="JZ30" s="15"/>
      <c r="KB30" s="14">
        <v>0.5</v>
      </c>
      <c r="KC30" s="33"/>
      <c r="KD30" s="13">
        <f>JV30+JW30-KB30</f>
        <v>9.9999999999999978E-2</v>
      </c>
      <c r="KE30" s="15"/>
      <c r="KF30" s="15"/>
      <c r="KH30" s="14">
        <v>0.6</v>
      </c>
      <c r="KI30" s="33"/>
      <c r="KJ30" s="13">
        <f>KB30+KC30-KH30</f>
        <v>-9.9999999999999978E-2</v>
      </c>
      <c r="KK30" s="15"/>
      <c r="KL30" s="15"/>
      <c r="KN30" s="14">
        <v>0.6</v>
      </c>
      <c r="KO30" s="33"/>
      <c r="KP30" s="13">
        <f>KH30+KI30-KN30</f>
        <v>0</v>
      </c>
      <c r="KQ30" s="15"/>
      <c r="KR30" s="15"/>
      <c r="KT30" s="14">
        <v>0.6</v>
      </c>
      <c r="KU30" s="33"/>
      <c r="KV30" s="13">
        <f>KN30+KO30-KT30</f>
        <v>0</v>
      </c>
      <c r="KW30" s="15"/>
      <c r="KX30" s="15"/>
      <c r="KZ30" s="14">
        <v>0.6</v>
      </c>
      <c r="LA30" s="33"/>
      <c r="LB30" s="13">
        <f>KT30+KU30-KZ30</f>
        <v>0</v>
      </c>
      <c r="LC30" s="15"/>
      <c r="LD30" s="15"/>
      <c r="LF30" s="14">
        <v>0.6</v>
      </c>
      <c r="LG30" s="33"/>
      <c r="LH30" s="13">
        <f>KZ30+LA30-LF30</f>
        <v>0</v>
      </c>
      <c r="LI30" s="15"/>
      <c r="LJ30" s="15"/>
      <c r="LL30" s="14">
        <v>0.6</v>
      </c>
      <c r="LM30" s="33"/>
      <c r="LN30" s="13">
        <f>LF30+LG30-LL30</f>
        <v>0</v>
      </c>
      <c r="LO30" s="15"/>
      <c r="LP30" s="15"/>
      <c r="LR30" s="14">
        <v>0.6</v>
      </c>
      <c r="LS30" s="33"/>
      <c r="LT30" s="13">
        <f>LL30+LM30-LR30</f>
        <v>0</v>
      </c>
      <c r="LU30" s="15"/>
      <c r="LV30" s="15"/>
      <c r="LX30" s="14">
        <v>0.6</v>
      </c>
      <c r="LY30" s="33"/>
      <c r="LZ30" s="13">
        <f>LR30+LS30-LX30</f>
        <v>0</v>
      </c>
      <c r="MA30" s="15"/>
      <c r="MB30" s="15"/>
      <c r="MD30" s="14">
        <v>0.6</v>
      </c>
      <c r="ME30" s="33"/>
      <c r="MF30" s="13">
        <f>LX30+LY30-MD30</f>
        <v>0</v>
      </c>
      <c r="MG30" s="15"/>
      <c r="MH30" s="15"/>
      <c r="MJ30" s="14">
        <v>0.6</v>
      </c>
      <c r="MK30" s="33"/>
      <c r="ML30" s="13">
        <f>MD30+ME30-MJ30</f>
        <v>0</v>
      </c>
      <c r="MM30" s="15"/>
      <c r="MN30" s="15"/>
      <c r="MP30" s="14">
        <v>0.6</v>
      </c>
      <c r="MQ30" s="33"/>
      <c r="MR30" s="13">
        <f>MJ30+MK30-MP30</f>
        <v>0</v>
      </c>
      <c r="MS30" s="15"/>
      <c r="MT30" s="15"/>
      <c r="MV30" s="14">
        <v>0.6</v>
      </c>
      <c r="MW30" s="33"/>
      <c r="MX30" s="13">
        <f>MP30+MQ30-MV30</f>
        <v>0</v>
      </c>
      <c r="MY30" s="15"/>
      <c r="MZ30" s="15"/>
      <c r="NB30" s="14">
        <v>0.6</v>
      </c>
      <c r="NC30" s="33"/>
      <c r="ND30" s="13">
        <f>MV30+MW30-NB30</f>
        <v>0</v>
      </c>
      <c r="NE30" s="15"/>
      <c r="NF30" s="15"/>
      <c r="NH30" s="14">
        <v>0.6</v>
      </c>
      <c r="NI30" s="33"/>
      <c r="NJ30" s="13">
        <f>NB30+NC30-NH30</f>
        <v>0</v>
      </c>
      <c r="NK30" s="15"/>
      <c r="NL30" s="15"/>
      <c r="NN30" s="14">
        <v>0.6</v>
      </c>
      <c r="NO30" s="33"/>
      <c r="NP30" s="13">
        <f>NH30+NI30-NN30</f>
        <v>0</v>
      </c>
      <c r="NQ30" s="15"/>
      <c r="NR30" s="15"/>
      <c r="NT30" s="14">
        <v>0.6</v>
      </c>
      <c r="NU30" s="33"/>
      <c r="NV30" s="13">
        <f>NN30+NO30-NT30</f>
        <v>0</v>
      </c>
      <c r="NW30" s="15"/>
      <c r="NX30" s="15"/>
      <c r="NZ30" s="14">
        <v>0.6</v>
      </c>
      <c r="OA30" s="33"/>
      <c r="OB30" s="13">
        <f>NT30+NU30-NZ30</f>
        <v>0</v>
      </c>
      <c r="OC30" s="15"/>
      <c r="OD30" s="15"/>
      <c r="OF30" s="14">
        <v>0.2</v>
      </c>
      <c r="OG30" s="33"/>
      <c r="OH30" s="13">
        <f>NZ30+OA30-OF30</f>
        <v>0.39999999999999997</v>
      </c>
      <c r="OI30" s="15"/>
      <c r="OJ30" s="15"/>
      <c r="OL30" s="14">
        <v>0.2</v>
      </c>
      <c r="OM30" s="33"/>
      <c r="ON30" s="13">
        <f>OF30+OG30-OL30</f>
        <v>0</v>
      </c>
      <c r="OO30" s="15"/>
      <c r="OP30" s="15"/>
      <c r="OR30" s="14">
        <v>0.2</v>
      </c>
      <c r="OS30" s="33"/>
      <c r="OT30" s="13">
        <f>OL30+OM30-OR30</f>
        <v>0</v>
      </c>
      <c r="OU30" s="15"/>
      <c r="OV30" s="15"/>
      <c r="OX30" s="14">
        <v>0</v>
      </c>
      <c r="OY30" s="33"/>
      <c r="OZ30" s="13">
        <f>OR30+OS30-OX30</f>
        <v>0.2</v>
      </c>
      <c r="PA30" s="15"/>
      <c r="PB30" s="15"/>
      <c r="PD30" s="14">
        <v>0</v>
      </c>
      <c r="PE30" s="33"/>
      <c r="PF30" s="13">
        <f>OX30+OY30-PD30</f>
        <v>0</v>
      </c>
      <c r="PG30" s="15"/>
      <c r="PH30" s="15"/>
      <c r="PJ30" s="14">
        <v>0</v>
      </c>
      <c r="PK30" s="33"/>
      <c r="PL30" s="13">
        <f>PD30+PE30-PJ30</f>
        <v>0</v>
      </c>
      <c r="PM30" s="15"/>
      <c r="PN30" s="15"/>
      <c r="PP30" s="14">
        <v>0</v>
      </c>
      <c r="PQ30" s="33"/>
      <c r="PR30" s="13">
        <f>PJ30+PK30-PP30</f>
        <v>0</v>
      </c>
      <c r="PS30" s="15"/>
      <c r="PT30" s="15"/>
      <c r="PV30" s="14">
        <v>0</v>
      </c>
      <c r="PW30" s="33"/>
      <c r="PX30" s="13">
        <f>PP30+PQ30-PV30</f>
        <v>0</v>
      </c>
      <c r="PY30" s="15"/>
      <c r="PZ30" s="15"/>
      <c r="QB30" s="14">
        <v>0</v>
      </c>
      <c r="QC30" s="33"/>
      <c r="QD30" s="13">
        <f>PV30+PW30-QB30</f>
        <v>0</v>
      </c>
      <c r="QE30" s="15"/>
      <c r="QF30" s="15"/>
      <c r="QH30" s="14">
        <v>0</v>
      </c>
      <c r="QI30" s="33"/>
      <c r="QJ30" s="13">
        <f>QB30+QC30-QH30</f>
        <v>0</v>
      </c>
      <c r="QK30" s="15"/>
      <c r="QL30" s="15"/>
      <c r="QN30" s="14">
        <v>0</v>
      </c>
      <c r="QO30" s="33"/>
      <c r="QP30" s="13">
        <f>QH30+QI30-QN30</f>
        <v>0</v>
      </c>
      <c r="QQ30" s="15"/>
      <c r="QR30" s="15"/>
      <c r="QT30" s="14">
        <v>0</v>
      </c>
      <c r="QU30" s="33"/>
      <c r="QV30" s="13">
        <f>QN30+QO30-QT30</f>
        <v>0</v>
      </c>
      <c r="QW30" s="15"/>
      <c r="QX30" s="15"/>
      <c r="QZ30" s="14">
        <v>0</v>
      </c>
      <c r="RA30" s="33"/>
      <c r="RB30" s="13">
        <f>QT30+QU30-QZ30</f>
        <v>0</v>
      </c>
      <c r="RC30" s="15"/>
      <c r="RD30" s="15"/>
      <c r="RF30" s="14">
        <v>0</v>
      </c>
      <c r="RG30" s="33"/>
      <c r="RH30" s="13">
        <f>QZ30+RA30-RF30</f>
        <v>0</v>
      </c>
      <c r="RI30" s="15"/>
      <c r="RJ30" s="15"/>
      <c r="RL30" s="14">
        <v>0</v>
      </c>
      <c r="RM30" s="33"/>
      <c r="RN30" s="13">
        <f>RF30+RG30-RL30</f>
        <v>0</v>
      </c>
      <c r="RO30" s="15"/>
      <c r="RP30" s="15"/>
      <c r="RR30" s="14">
        <v>0</v>
      </c>
      <c r="RS30" s="33"/>
      <c r="RT30" s="13">
        <f>RL30+RM30-RR30</f>
        <v>0</v>
      </c>
      <c r="RU30" s="15"/>
      <c r="RV30" s="15"/>
      <c r="RX30" s="14">
        <v>0</v>
      </c>
      <c r="RY30" s="33"/>
      <c r="RZ30" s="13">
        <f>RR30+RS30-RX30</f>
        <v>0</v>
      </c>
      <c r="SA30" s="15"/>
      <c r="SB30" s="15"/>
      <c r="SD30" s="14">
        <v>0</v>
      </c>
      <c r="SE30" s="33"/>
      <c r="SF30" s="13">
        <f>RX30+RY30-SD30</f>
        <v>0</v>
      </c>
      <c r="SG30" s="15"/>
      <c r="SH30" s="15"/>
      <c r="SJ30" s="14">
        <v>0</v>
      </c>
      <c r="SK30" s="33"/>
      <c r="SL30" s="13">
        <f>SD30+SE30-SJ30</f>
        <v>0</v>
      </c>
      <c r="SM30" s="15"/>
      <c r="SN30" s="15"/>
      <c r="SP30" s="14">
        <v>0</v>
      </c>
      <c r="SQ30" s="33"/>
      <c r="SR30" s="13">
        <f>SJ30+SK30-SP30</f>
        <v>0</v>
      </c>
      <c r="SS30" s="15"/>
      <c r="ST30" s="15"/>
      <c r="SV30" s="14">
        <v>0</v>
      </c>
      <c r="SW30" s="33"/>
      <c r="SX30" s="13">
        <f>SP30+SQ30-SV30</f>
        <v>0</v>
      </c>
      <c r="SY30" s="15"/>
      <c r="SZ30" s="15"/>
      <c r="TB30" s="14">
        <v>0</v>
      </c>
      <c r="TC30" s="33"/>
      <c r="TD30" s="13">
        <f>SV30+SW30-TB30</f>
        <v>0</v>
      </c>
      <c r="TE30" s="15"/>
      <c r="TF30" s="15"/>
      <c r="TH30" s="14">
        <v>0</v>
      </c>
      <c r="TI30" s="33">
        <v>1</v>
      </c>
      <c r="TJ30" s="13">
        <f>TB30+TC30-TH30</f>
        <v>0</v>
      </c>
      <c r="TK30" s="15"/>
      <c r="TL30" s="15"/>
      <c r="TN30" s="14">
        <v>0.9</v>
      </c>
      <c r="TO30" s="33"/>
      <c r="TP30" s="13">
        <f>TH30+TI30-TN30</f>
        <v>9.9999999999999978E-2</v>
      </c>
      <c r="TQ30" s="15"/>
      <c r="TR30" s="15"/>
      <c r="TT30" s="14">
        <v>0.9</v>
      </c>
      <c r="TU30" s="33"/>
      <c r="TV30" s="13">
        <f>TN30+TO30-TT30</f>
        <v>0</v>
      </c>
      <c r="TW30" s="15"/>
      <c r="TX30" s="15"/>
      <c r="TZ30" s="14">
        <v>0.9</v>
      </c>
      <c r="UA30" s="33"/>
      <c r="UB30" s="13">
        <f>TT30+TU30-TZ30</f>
        <v>0</v>
      </c>
      <c r="UC30" s="15"/>
      <c r="UD30" s="15"/>
      <c r="UF30" s="14">
        <v>0.9</v>
      </c>
      <c r="UG30" s="33"/>
      <c r="UH30" s="13">
        <f>TZ30+UA30-UF30</f>
        <v>0</v>
      </c>
      <c r="UI30" s="15"/>
      <c r="UJ30" s="15"/>
      <c r="UL30" s="14">
        <v>0.9</v>
      </c>
      <c r="UM30" s="33"/>
      <c r="UN30" s="13">
        <f>UF30+UG30-UL30</f>
        <v>0</v>
      </c>
      <c r="UO30" s="15"/>
      <c r="UP30" s="15"/>
      <c r="UR30" s="14">
        <v>0.9</v>
      </c>
      <c r="US30" s="33"/>
      <c r="UT30" s="13">
        <f>UL30+UM30-UR30</f>
        <v>0</v>
      </c>
      <c r="UU30" s="15"/>
      <c r="UV30" s="15"/>
      <c r="UX30" s="14">
        <v>0.9</v>
      </c>
      <c r="UY30" s="33"/>
      <c r="UZ30" s="13">
        <f>UR30+US30-UX30</f>
        <v>0</v>
      </c>
      <c r="VA30" s="15"/>
      <c r="VB30" s="15"/>
      <c r="VD30" s="14">
        <v>0.9</v>
      </c>
      <c r="VE30" s="33"/>
      <c r="VF30" s="13">
        <f>UX30+UY30-VD30</f>
        <v>0</v>
      </c>
      <c r="VG30" s="15"/>
      <c r="VH30" s="15"/>
      <c r="VJ30" s="14">
        <v>0.9</v>
      </c>
      <c r="VK30" s="33"/>
      <c r="VL30" s="13">
        <f>VD30+VE30-VJ30</f>
        <v>0</v>
      </c>
      <c r="VM30" s="15"/>
      <c r="VN30" s="15"/>
      <c r="VP30" s="14">
        <v>0.9</v>
      </c>
      <c r="VQ30" s="33"/>
      <c r="VR30" s="13">
        <f>VJ30+VK30-VP30</f>
        <v>0</v>
      </c>
      <c r="VS30" s="15"/>
      <c r="VT30" s="15"/>
      <c r="VV30" s="14">
        <v>0.9</v>
      </c>
      <c r="VW30" s="33"/>
      <c r="VX30" s="13">
        <f>VP30+VQ30-VV30</f>
        <v>0</v>
      </c>
      <c r="VY30" s="15"/>
      <c r="VZ30" s="15"/>
      <c r="WB30" s="14">
        <v>0.9</v>
      </c>
      <c r="WC30" s="33"/>
      <c r="WD30" s="13">
        <f>VV30+VW30-WB30</f>
        <v>0</v>
      </c>
      <c r="WE30" s="15"/>
      <c r="WF30" s="15"/>
      <c r="WH30" s="14">
        <v>0.9</v>
      </c>
      <c r="WI30" s="33"/>
      <c r="WJ30" s="13">
        <f>WB30+WC30-WH30</f>
        <v>0</v>
      </c>
      <c r="WK30" s="15"/>
      <c r="WL30" s="15"/>
      <c r="WN30" s="14">
        <v>0.9</v>
      </c>
      <c r="WO30" s="33"/>
      <c r="WP30" s="13">
        <f>WH30+WI30-WN30</f>
        <v>0</v>
      </c>
      <c r="WQ30" s="15"/>
      <c r="WR30" s="15"/>
      <c r="WT30" s="14">
        <v>0.9</v>
      </c>
      <c r="WU30" s="33"/>
      <c r="WV30" s="13">
        <f>WN30+WO30-WT30</f>
        <v>0</v>
      </c>
      <c r="WW30" s="15"/>
      <c r="WX30" s="15"/>
      <c r="WZ30" s="14">
        <v>0.9</v>
      </c>
      <c r="XA30" s="33"/>
      <c r="XB30" s="13">
        <f>WT30+WU30-WZ30</f>
        <v>0</v>
      </c>
      <c r="XC30" s="15"/>
      <c r="XD30" s="15"/>
      <c r="XF30" s="14">
        <v>0.9</v>
      </c>
      <c r="XG30" s="33"/>
      <c r="XH30" s="13">
        <f>WZ30+XA30-XF30</f>
        <v>0</v>
      </c>
      <c r="XI30" s="15"/>
      <c r="XJ30" s="15"/>
      <c r="XL30" s="14">
        <v>0.9</v>
      </c>
      <c r="XM30" s="33"/>
      <c r="XN30" s="13">
        <f>XF30+XG30-XL30</f>
        <v>0</v>
      </c>
      <c r="XO30" s="15"/>
      <c r="XP30" s="15"/>
      <c r="XR30" s="14">
        <v>0.9</v>
      </c>
      <c r="XS30" s="33"/>
      <c r="XT30" s="13">
        <f>XL30+XM30-XR30</f>
        <v>0</v>
      </c>
      <c r="XU30" s="15"/>
      <c r="XV30" s="15"/>
      <c r="XX30" s="14">
        <v>0.8</v>
      </c>
      <c r="XY30" s="33"/>
      <c r="XZ30" s="13">
        <f>XR30+XS30-XX30</f>
        <v>9.9999999999999978E-2</v>
      </c>
      <c r="YA30" s="15"/>
      <c r="YB30" s="15"/>
      <c r="YD30" s="14">
        <v>0.8</v>
      </c>
      <c r="YE30" s="33"/>
      <c r="YF30" s="13">
        <f>XX30+XY30-YD30</f>
        <v>0</v>
      </c>
      <c r="YG30" s="15"/>
      <c r="YH30" s="15"/>
      <c r="YJ30" s="14">
        <v>0.9</v>
      </c>
      <c r="YK30" s="33"/>
      <c r="YL30" s="13">
        <f>YD30+YE30-YJ30</f>
        <v>-9.9999999999999978E-2</v>
      </c>
      <c r="YM30" s="15"/>
      <c r="YN30" s="15"/>
      <c r="YP30" s="14">
        <v>0.9</v>
      </c>
      <c r="YQ30" s="33"/>
      <c r="YR30" s="13">
        <f>YJ30+YK30-YP30</f>
        <v>0</v>
      </c>
      <c r="YS30" s="15"/>
      <c r="YT30" s="15"/>
      <c r="YV30" s="14">
        <v>0.6</v>
      </c>
      <c r="YW30" s="33"/>
      <c r="YX30" s="13">
        <f>YP30+YQ30-YV30</f>
        <v>0.30000000000000004</v>
      </c>
      <c r="YY30" s="15"/>
      <c r="YZ30" s="15"/>
      <c r="ZB30" s="14">
        <v>0.7</v>
      </c>
      <c r="ZC30" s="33"/>
      <c r="ZD30" s="13">
        <f>YV30+YW30-ZB30</f>
        <v>-9.9999999999999978E-2</v>
      </c>
      <c r="ZE30" s="15"/>
      <c r="ZF30" s="15"/>
      <c r="ZH30" s="14">
        <v>0.4</v>
      </c>
      <c r="ZI30" s="33"/>
      <c r="ZJ30" s="13">
        <f>ZB30+ZC30-ZH30</f>
        <v>0.29999999999999993</v>
      </c>
      <c r="ZK30" s="15"/>
      <c r="ZL30" s="15"/>
      <c r="ZN30" s="14">
        <v>0.9</v>
      </c>
      <c r="ZO30" s="33"/>
      <c r="ZP30" s="13">
        <f>ZH30+ZI30-ZN30</f>
        <v>-0.5</v>
      </c>
      <c r="ZQ30" s="15"/>
      <c r="ZR30" s="15"/>
      <c r="ZT30" s="14">
        <v>0.5</v>
      </c>
      <c r="ZU30" s="33"/>
      <c r="ZV30" s="13">
        <f>ZN30+ZO30-ZT30</f>
        <v>0.4</v>
      </c>
      <c r="ZW30" s="15"/>
      <c r="ZX30" s="15"/>
      <c r="ZZ30" s="14">
        <v>0.9</v>
      </c>
      <c r="AAA30" s="33"/>
      <c r="AAB30" s="13">
        <f>ZT30+ZU30-ZZ30</f>
        <v>-0.4</v>
      </c>
      <c r="AAC30" s="15"/>
      <c r="AAD30" s="15"/>
      <c r="AAF30" s="14">
        <v>1.4</v>
      </c>
      <c r="AAG30" s="33"/>
      <c r="AAH30" s="13">
        <f>ZZ30+AAA30-AAF30</f>
        <v>-0.49999999999999989</v>
      </c>
      <c r="AAI30" s="15"/>
      <c r="AAJ30" s="15"/>
      <c r="AAL30" s="14">
        <v>0.6</v>
      </c>
      <c r="AAM30" s="33"/>
      <c r="AAN30" s="13">
        <f>AAF30+AAG30-AAL30</f>
        <v>0.79999999999999993</v>
      </c>
      <c r="AAO30" s="15"/>
      <c r="AAP30" s="15"/>
      <c r="AAR30" s="14">
        <v>0.8</v>
      </c>
      <c r="AAS30" s="33"/>
      <c r="AAT30" s="13">
        <f>AAL30+AAM30-AAR30</f>
        <v>-0.20000000000000007</v>
      </c>
      <c r="AAU30" s="15"/>
      <c r="AAV30" s="15"/>
      <c r="AAX30" s="14">
        <v>0.9</v>
      </c>
      <c r="AAY30" s="33"/>
      <c r="AAZ30" s="13">
        <f>AAR30+AAS30-AAX30</f>
        <v>-9.9999999999999978E-2</v>
      </c>
      <c r="ABA30" s="15"/>
      <c r="ABB30" s="15"/>
      <c r="ABD30" s="14">
        <v>1.5</v>
      </c>
      <c r="ABE30" s="33"/>
      <c r="ABF30" s="13">
        <f>AAX30+AAY30-ABD30</f>
        <v>-0.6</v>
      </c>
      <c r="ABG30" s="15"/>
      <c r="ABH30" s="15"/>
      <c r="ABJ30" s="14">
        <v>0.9</v>
      </c>
      <c r="ABK30" s="33"/>
      <c r="ABL30" s="13">
        <f>ABD30+ABE30-ABJ30</f>
        <v>0.6</v>
      </c>
      <c r="ABM30" s="15"/>
      <c r="ABN30" s="15"/>
      <c r="ABP30" s="14">
        <v>1</v>
      </c>
      <c r="ABQ30" s="33"/>
      <c r="ABR30" s="13">
        <f>ABJ30+ABK30-ABP30</f>
        <v>-9.9999999999999978E-2</v>
      </c>
      <c r="ABS30" s="15"/>
      <c r="ABT30" s="15"/>
      <c r="ABV30" s="14">
        <v>0.7</v>
      </c>
      <c r="ABW30" s="33"/>
      <c r="ABX30" s="13">
        <f>ABP30+ABQ30-ABV30</f>
        <v>0.30000000000000004</v>
      </c>
      <c r="ABY30" s="15"/>
      <c r="ABZ30" s="15"/>
      <c r="ACB30" s="14">
        <v>0.8</v>
      </c>
      <c r="ACC30" s="33"/>
      <c r="ACD30" s="13">
        <f>ABV30+ABW30-ACB30</f>
        <v>-0.10000000000000009</v>
      </c>
      <c r="ACE30" s="15"/>
      <c r="ACF30" s="15"/>
      <c r="ACH30" s="14">
        <v>0.9</v>
      </c>
      <c r="ACI30" s="33"/>
      <c r="ACJ30" s="13">
        <f>ACB30+ACC30-ACH30</f>
        <v>-9.9999999999999978E-2</v>
      </c>
      <c r="ACK30" s="15"/>
      <c r="ACL30" s="15"/>
      <c r="ACN30" s="14">
        <v>0.5</v>
      </c>
      <c r="ACO30" s="33"/>
      <c r="ACP30" s="13">
        <f>ACH30+ACI30-ACN30</f>
        <v>0.4</v>
      </c>
      <c r="ACQ30" s="15"/>
      <c r="ACR30" s="15"/>
      <c r="ACT30" s="14">
        <v>0.9</v>
      </c>
      <c r="ACU30" s="33"/>
      <c r="ACV30" s="13">
        <f>ACN30+ACO30-ACT30</f>
        <v>-0.4</v>
      </c>
      <c r="ACW30" s="15"/>
      <c r="ACX30" s="15"/>
      <c r="ACZ30" s="14">
        <v>0.8</v>
      </c>
      <c r="ADA30" s="33"/>
      <c r="ADB30" s="13">
        <f>ACT30+ACU30-ACZ30</f>
        <v>9.9999999999999978E-2</v>
      </c>
      <c r="ADC30" s="15"/>
      <c r="ADD30" s="15"/>
      <c r="ADF30" s="14">
        <v>0.7</v>
      </c>
      <c r="ADG30" s="33"/>
      <c r="ADH30" s="13">
        <f>ACZ30+ADA30-ADF30</f>
        <v>0.10000000000000009</v>
      </c>
      <c r="ADI30" s="15"/>
      <c r="ADJ30" s="15"/>
      <c r="ADL30" s="14">
        <v>0.8</v>
      </c>
      <c r="ADM30" s="33"/>
      <c r="ADN30" s="13">
        <f>ADF30+ADG30-ADL30</f>
        <v>-0.10000000000000009</v>
      </c>
      <c r="ADO30" s="15"/>
      <c r="ADP30" s="15"/>
      <c r="ADR30" s="14">
        <v>0.6</v>
      </c>
      <c r="ADS30" s="33"/>
      <c r="ADT30" s="13">
        <f>ADL30+ADM30-ADR30</f>
        <v>0.20000000000000007</v>
      </c>
      <c r="ADU30" s="15"/>
      <c r="ADV30" s="15"/>
      <c r="ADX30" s="14">
        <v>0.5</v>
      </c>
      <c r="ADY30" s="33"/>
      <c r="ADZ30" s="13">
        <f>ADR30+ADS30-ADX30</f>
        <v>9.9999999999999978E-2</v>
      </c>
      <c r="AEA30" s="15"/>
      <c r="AEB30" s="15"/>
      <c r="AED30" s="14">
        <v>0.5</v>
      </c>
      <c r="AEE30" s="33"/>
      <c r="AEF30" s="13">
        <f>ADX30+ADY30-AED30</f>
        <v>0</v>
      </c>
      <c r="AEG30" s="15"/>
      <c r="AEH30" s="15"/>
      <c r="AEJ30" s="14">
        <v>0.9</v>
      </c>
      <c r="AEK30" s="33"/>
      <c r="AEL30" s="13">
        <f>AED30+AEE30-AEJ30</f>
        <v>-0.4</v>
      </c>
      <c r="AEM30" s="15"/>
      <c r="AEN30" s="15"/>
      <c r="AEP30" s="14">
        <v>0.9</v>
      </c>
      <c r="AEQ30" s="33"/>
      <c r="AER30" s="13">
        <f>AEJ30+AEK30-AEP30</f>
        <v>0</v>
      </c>
      <c r="AES30" s="15"/>
      <c r="AET30" s="15"/>
      <c r="AEV30" s="14">
        <v>0.9</v>
      </c>
      <c r="AEW30" s="33"/>
      <c r="AEX30" s="13">
        <f>AEP30+AEQ30-AEV30</f>
        <v>0</v>
      </c>
      <c r="AEY30" s="15"/>
      <c r="AEZ30" s="15"/>
      <c r="AFB30" s="14">
        <v>0.8</v>
      </c>
      <c r="AFC30" s="33"/>
      <c r="AFD30" s="13">
        <f>AEV30+AEW30-AFB30</f>
        <v>9.9999999999999978E-2</v>
      </c>
      <c r="AFE30" s="15"/>
      <c r="AFF30" s="15"/>
      <c r="AFH30" s="14">
        <v>0.9</v>
      </c>
      <c r="AFI30" s="33"/>
      <c r="AFJ30" s="13">
        <f>AFB30+AFC30-AFH30</f>
        <v>-9.9999999999999978E-2</v>
      </c>
      <c r="AFK30" s="15"/>
      <c r="AFL30" s="15"/>
      <c r="AFN30" s="14">
        <v>0.9</v>
      </c>
      <c r="AFO30" s="33"/>
      <c r="AFP30" s="13">
        <f>AFH30+AFI30-AFN30</f>
        <v>0</v>
      </c>
      <c r="AFQ30" s="15"/>
      <c r="AFR30" s="15"/>
      <c r="AFT30" s="14">
        <v>0.9</v>
      </c>
      <c r="AFU30" s="33"/>
      <c r="AFV30" s="13">
        <f>AFN30+AFO30-AFT30</f>
        <v>0</v>
      </c>
      <c r="AFW30" s="15"/>
      <c r="AFX30" s="15"/>
      <c r="AFZ30" s="14">
        <v>0.9</v>
      </c>
      <c r="AGA30" s="33"/>
      <c r="AGB30" s="13">
        <f>AFT30+AFU30-AFZ30</f>
        <v>0</v>
      </c>
      <c r="AGC30" s="15"/>
      <c r="AGD30" s="15"/>
      <c r="AGF30" s="14">
        <v>0.9</v>
      </c>
      <c r="AGG30" s="33"/>
      <c r="AGH30" s="13">
        <f>AFZ30+AGA30-AGF30</f>
        <v>0</v>
      </c>
      <c r="AGI30" s="15"/>
      <c r="AGJ30" s="15"/>
      <c r="AGL30" s="14">
        <v>0.9</v>
      </c>
      <c r="AGM30" s="33"/>
      <c r="AGN30" s="13">
        <f>AGF30+AGG30-AGL30</f>
        <v>0</v>
      </c>
      <c r="AGO30" s="15"/>
      <c r="AGP30" s="15"/>
      <c r="AGR30" s="14">
        <v>0.9</v>
      </c>
      <c r="AGS30" s="33"/>
      <c r="AGT30" s="13">
        <f>AGL30+AGM30-AGR30</f>
        <v>0</v>
      </c>
      <c r="AGU30" s="15"/>
      <c r="AGV30" s="15"/>
      <c r="AGX30" s="14">
        <v>0.8</v>
      </c>
      <c r="AGY30" s="33"/>
      <c r="AGZ30" s="13">
        <f>AGR30+AGS30-AGX30</f>
        <v>9.9999999999999978E-2</v>
      </c>
      <c r="AHA30" s="15"/>
      <c r="AHB30" s="15"/>
      <c r="AHD30" s="14">
        <v>0.8</v>
      </c>
      <c r="AHE30" s="33"/>
      <c r="AHF30" s="13">
        <f>AGX30+AGY30-AHD30</f>
        <v>0</v>
      </c>
      <c r="AHG30" s="15"/>
      <c r="AHH30" s="15"/>
      <c r="AHJ30" s="14">
        <v>0.8</v>
      </c>
      <c r="AHK30" s="33"/>
      <c r="AHL30" s="13">
        <f>AHD30+AHE30-AHJ30</f>
        <v>0</v>
      </c>
      <c r="AHM30" s="15"/>
      <c r="AHN30" s="15"/>
      <c r="AHP30" s="14">
        <v>0.9</v>
      </c>
      <c r="AHQ30" s="33"/>
      <c r="AHR30" s="13">
        <f>AHJ30+AHK30-AHP30</f>
        <v>-9.9999999999999978E-2</v>
      </c>
      <c r="AHS30" s="15"/>
      <c r="AHT30" s="15"/>
      <c r="AHV30" s="14">
        <v>0.8</v>
      </c>
      <c r="AHW30" s="33"/>
      <c r="AHX30" s="13">
        <f>AHP30+AHQ30-AHV30</f>
        <v>9.9999999999999978E-2</v>
      </c>
      <c r="AHY30" s="15"/>
      <c r="AHZ30" s="15"/>
      <c r="AIB30" s="14">
        <v>0.9</v>
      </c>
      <c r="AIC30" s="33"/>
      <c r="AID30" s="13">
        <f>AHV30+AHW30-AIB30</f>
        <v>-9.9999999999999978E-2</v>
      </c>
      <c r="AIE30" s="15"/>
      <c r="AIF30" s="15"/>
      <c r="AIH30" s="14">
        <v>0.8</v>
      </c>
      <c r="AII30" s="33"/>
      <c r="AIJ30" s="13">
        <f>AIB30+AIC30-AIH30</f>
        <v>9.9999999999999978E-2</v>
      </c>
      <c r="AIK30" s="15"/>
      <c r="AIL30" s="15"/>
      <c r="AIN30" s="14">
        <v>0.9</v>
      </c>
      <c r="AIO30" s="33"/>
      <c r="AIP30" s="13">
        <f>AIH30+AII30-AIN30</f>
        <v>-9.9999999999999978E-2</v>
      </c>
      <c r="AIQ30" s="15"/>
      <c r="AIR30" s="15"/>
      <c r="AIT30" s="14">
        <v>0.8</v>
      </c>
      <c r="AIU30" s="33"/>
      <c r="AIV30" s="13">
        <f>AIN30+AIO30-AIT30</f>
        <v>9.9999999999999978E-2</v>
      </c>
      <c r="AIW30" s="15"/>
      <c r="AIX30" s="15"/>
      <c r="AIZ30" s="14">
        <v>0.8</v>
      </c>
      <c r="AJA30" s="33"/>
      <c r="AJB30" s="13">
        <f>AIT30+AIU30-AIZ30</f>
        <v>0</v>
      </c>
      <c r="AJC30" s="15"/>
      <c r="AJD30" s="15"/>
      <c r="AJF30" s="14">
        <v>0.8</v>
      </c>
      <c r="AJG30" s="33"/>
      <c r="AJH30" s="13">
        <f>AIZ30+AJA30-AJF30</f>
        <v>0</v>
      </c>
      <c r="AJI30" s="15"/>
      <c r="AJJ30" s="15"/>
      <c r="AJL30" s="14">
        <v>0.9</v>
      </c>
      <c r="AJM30" s="33"/>
      <c r="AJN30" s="13">
        <f>AJF30+AJG30-AJL30</f>
        <v>-9.9999999999999978E-2</v>
      </c>
      <c r="AJO30" s="15"/>
      <c r="AJP30" s="15"/>
      <c r="AJR30" s="14">
        <v>0.9</v>
      </c>
      <c r="AJS30" s="33"/>
      <c r="AJT30" s="13">
        <f>AJL30+AJM30-AJR30</f>
        <v>0</v>
      </c>
      <c r="AJU30" s="15"/>
      <c r="AJV30" s="15"/>
      <c r="AJX30" s="14">
        <v>0.8</v>
      </c>
      <c r="AJY30" s="33"/>
      <c r="AJZ30" s="13">
        <f>AJR30+AJS30-AJX30</f>
        <v>9.9999999999999978E-2</v>
      </c>
      <c r="AKA30" s="15"/>
      <c r="AKB30" s="15"/>
      <c r="AKD30" s="14">
        <v>0.7</v>
      </c>
      <c r="AKE30" s="33"/>
      <c r="AKF30" s="13">
        <f>AJX30+AJY30-AKD30</f>
        <v>0.10000000000000009</v>
      </c>
      <c r="AKG30" s="15"/>
      <c r="AKH30" s="15"/>
      <c r="AKJ30" s="14">
        <v>0.6</v>
      </c>
      <c r="AKK30" s="33"/>
      <c r="AKL30" s="13">
        <f>AKD30+AKE30-AKJ30</f>
        <v>9.9999999999999978E-2</v>
      </c>
      <c r="AKM30" s="15"/>
      <c r="AKN30" s="15"/>
      <c r="AKP30" s="14">
        <v>0.8</v>
      </c>
      <c r="AKQ30" s="33"/>
      <c r="AKR30" s="13">
        <f>AKJ30+AKK30-AKP30</f>
        <v>-0.20000000000000007</v>
      </c>
      <c r="AKS30" s="15"/>
      <c r="AKT30" s="15"/>
      <c r="AKV30" s="14">
        <v>0.7</v>
      </c>
      <c r="AKW30" s="33"/>
      <c r="AKX30" s="13">
        <f>AKP30+AKQ30-AKV30</f>
        <v>0.10000000000000009</v>
      </c>
      <c r="AKY30" s="15"/>
      <c r="AKZ30" s="15"/>
      <c r="ALB30" s="14">
        <v>0.8</v>
      </c>
      <c r="ALC30" s="33"/>
      <c r="ALD30" s="13">
        <f>AKV30+AKW30-ALB30</f>
        <v>-0.10000000000000009</v>
      </c>
      <c r="ALE30" s="15"/>
      <c r="ALF30" s="15"/>
      <c r="ALH30" s="14">
        <v>0.7</v>
      </c>
      <c r="ALI30" s="33"/>
      <c r="ALJ30" s="13">
        <f>ALB30+ALC30-ALH30</f>
        <v>0.10000000000000009</v>
      </c>
      <c r="ALK30" s="15"/>
      <c r="ALL30" s="15"/>
      <c r="ALN30" s="14">
        <v>0.6</v>
      </c>
      <c r="ALO30" s="33"/>
      <c r="ALP30" s="13">
        <f>ALH30+ALI30-ALN30</f>
        <v>9.9999999999999978E-2</v>
      </c>
      <c r="ALQ30" s="15"/>
      <c r="ALR30" s="15"/>
      <c r="ALT30" s="14">
        <v>0.6</v>
      </c>
      <c r="ALU30" s="33"/>
      <c r="ALV30" s="13">
        <f>ALN30+ALO30-ALT30</f>
        <v>0</v>
      </c>
      <c r="ALW30" s="15"/>
      <c r="ALX30" s="15"/>
      <c r="ALZ30" s="14">
        <v>0.8</v>
      </c>
      <c r="AMA30" s="33"/>
      <c r="AMB30" s="13">
        <f>ALT30+ALU30-ALZ30</f>
        <v>-0.20000000000000007</v>
      </c>
      <c r="AMC30" s="15"/>
      <c r="AMD30" s="15"/>
      <c r="AMF30" s="14">
        <v>0.8</v>
      </c>
      <c r="AMG30" s="33"/>
      <c r="AMH30" s="13">
        <f>ALZ30+AMA30-AMF30</f>
        <v>0</v>
      </c>
      <c r="AMI30" s="15"/>
      <c r="AMJ30" s="15"/>
      <c r="AML30" s="14">
        <v>0.9</v>
      </c>
      <c r="AMM30" s="33"/>
      <c r="AMN30" s="13">
        <f>AMF30+AMG30-AML30</f>
        <v>-9.9999999999999978E-2</v>
      </c>
      <c r="AMO30" s="15"/>
      <c r="AMP30" s="15"/>
      <c r="AMR30" s="14">
        <v>0.7</v>
      </c>
      <c r="AMS30" s="33"/>
      <c r="AMT30" s="13">
        <f>AML30+AMM30-AMR30</f>
        <v>0.20000000000000007</v>
      </c>
      <c r="AMU30" s="15"/>
      <c r="AMV30" s="15"/>
      <c r="AMX30" s="14">
        <v>0.8</v>
      </c>
      <c r="AMY30" s="33"/>
      <c r="AMZ30" s="13">
        <f>AMR30+AMS30-AMX30</f>
        <v>-0.10000000000000009</v>
      </c>
      <c r="ANA30" s="15"/>
      <c r="ANB30" s="15"/>
      <c r="AND30" s="14">
        <v>0.8</v>
      </c>
      <c r="ANE30" s="33"/>
      <c r="ANF30" s="13">
        <f>AMX30+AMY30-AND30</f>
        <v>0</v>
      </c>
      <c r="ANG30" s="15"/>
      <c r="ANH30" s="15"/>
      <c r="ANJ30" s="14">
        <v>0.9</v>
      </c>
      <c r="ANK30" s="33"/>
      <c r="ANL30" s="13">
        <f>AND30+ANE30-ANJ30</f>
        <v>-9.9999999999999978E-2</v>
      </c>
      <c r="ANM30" s="15"/>
      <c r="ANN30" s="15"/>
      <c r="ANP30" s="14">
        <v>0.8</v>
      </c>
      <c r="ANQ30" s="33"/>
      <c r="ANR30" s="13">
        <f>ANJ30+ANK30-ANP30</f>
        <v>9.9999999999999978E-2</v>
      </c>
      <c r="ANS30" s="15"/>
      <c r="ANT30" s="15"/>
      <c r="ANV30" s="14">
        <v>0.8</v>
      </c>
      <c r="ANW30" s="33"/>
      <c r="ANX30" s="13">
        <f>ANP30+ANQ30-ANV30</f>
        <v>0</v>
      </c>
      <c r="ANY30" s="15"/>
      <c r="ANZ30" s="15"/>
      <c r="AOB30" s="14"/>
      <c r="AOC30" s="33"/>
      <c r="AOD30" s="13">
        <f>ANV30+ANW30-AOB30</f>
        <v>0.8</v>
      </c>
      <c r="AOE30" s="15"/>
      <c r="AOF30" s="15"/>
      <c r="AOH30" s="14"/>
      <c r="AOI30" s="33"/>
      <c r="AOJ30" s="13">
        <f>AOB30+AOC30-AOH30</f>
        <v>0</v>
      </c>
      <c r="AOK30" s="15"/>
      <c r="AOL30" s="15"/>
      <c r="AON30" s="14"/>
      <c r="AOO30" s="33"/>
      <c r="AOP30" s="13">
        <f>AOH30+AOI30-AON30</f>
        <v>0</v>
      </c>
      <c r="AOQ30" s="15"/>
      <c r="AOR30" s="15"/>
    </row>
    <row r="31" spans="1:1024 1026:1084" x14ac:dyDescent="0.25">
      <c r="A31" s="3" t="s">
        <v>43</v>
      </c>
      <c r="B31" s="3"/>
      <c r="C31" s="5" t="s">
        <v>35</v>
      </c>
      <c r="D31" s="9">
        <v>0.1</v>
      </c>
      <c r="F31" s="15">
        <v>0.9</v>
      </c>
      <c r="G31" s="15"/>
      <c r="H31" s="11"/>
      <c r="I31" s="15"/>
      <c r="J31" s="15"/>
      <c r="L31" s="15">
        <v>0.9</v>
      </c>
      <c r="M31" s="15"/>
      <c r="N31" s="13">
        <f>F31+G31-L31</f>
        <v>0</v>
      </c>
      <c r="O31" s="15"/>
      <c r="P31" s="15"/>
      <c r="R31" s="15">
        <v>0.9</v>
      </c>
      <c r="S31" s="15"/>
      <c r="T31" s="13">
        <f>L31+M31-R31</f>
        <v>0</v>
      </c>
      <c r="U31" s="15"/>
      <c r="V31" s="15"/>
      <c r="X31" s="15">
        <v>0.9</v>
      </c>
      <c r="Y31" s="15"/>
      <c r="Z31" s="13">
        <f>R31+S31-X31</f>
        <v>0</v>
      </c>
      <c r="AA31" s="15"/>
      <c r="AB31" s="15"/>
      <c r="AD31" s="15">
        <v>0.9</v>
      </c>
      <c r="AE31" s="15"/>
      <c r="AF31" s="13">
        <f>X31+Y31-AD31</f>
        <v>0</v>
      </c>
      <c r="AG31" s="15"/>
      <c r="AH31" s="15"/>
      <c r="AJ31" s="15">
        <v>0.9</v>
      </c>
      <c r="AK31" s="15"/>
      <c r="AL31" s="13">
        <f t="shared" si="795"/>
        <v>0</v>
      </c>
      <c r="AM31" s="15"/>
      <c r="AN31" s="15"/>
      <c r="AP31" s="15">
        <v>0.9</v>
      </c>
      <c r="AQ31" s="15"/>
      <c r="AR31" s="13">
        <f t="shared" si="796"/>
        <v>0</v>
      </c>
      <c r="AS31" s="15"/>
      <c r="AT31" s="15"/>
      <c r="AV31" s="15">
        <v>0.9</v>
      </c>
      <c r="AW31" s="15"/>
      <c r="AX31" s="13">
        <f t="shared" si="774"/>
        <v>0</v>
      </c>
      <c r="AY31" s="15"/>
      <c r="AZ31" s="15"/>
      <c r="BB31" s="15">
        <v>0.9</v>
      </c>
      <c r="BC31" s="15"/>
      <c r="BD31" s="13">
        <f t="shared" si="797"/>
        <v>0</v>
      </c>
      <c r="BE31" s="15"/>
      <c r="BF31" s="15"/>
      <c r="BH31" s="15">
        <v>0.9</v>
      </c>
      <c r="BI31" s="15"/>
      <c r="BJ31" s="13">
        <f t="shared" si="798"/>
        <v>0</v>
      </c>
      <c r="BK31" s="15"/>
      <c r="BL31" s="15"/>
      <c r="BN31" s="15">
        <v>0.8</v>
      </c>
      <c r="BO31" s="15"/>
      <c r="BP31" s="13">
        <f t="shared" si="799"/>
        <v>9.9999999999999978E-2</v>
      </c>
      <c r="BQ31" s="15"/>
      <c r="BR31" s="15"/>
      <c r="BT31" s="15">
        <v>0.8</v>
      </c>
      <c r="BU31" s="15"/>
      <c r="BV31" s="13">
        <f t="shared" si="800"/>
        <v>0</v>
      </c>
      <c r="BW31" s="15"/>
      <c r="BX31" s="15"/>
      <c r="BZ31" s="15">
        <v>0.8</v>
      </c>
      <c r="CA31" s="15"/>
      <c r="CB31" s="13">
        <f t="shared" si="801"/>
        <v>0</v>
      </c>
      <c r="CC31" s="15"/>
      <c r="CD31" s="15"/>
      <c r="CF31" s="15">
        <v>0.8</v>
      </c>
      <c r="CG31" s="15"/>
      <c r="CH31" s="13">
        <f t="shared" si="802"/>
        <v>0</v>
      </c>
      <c r="CI31" s="15"/>
      <c r="CJ31" s="15"/>
      <c r="CL31" s="15">
        <v>0.8</v>
      </c>
      <c r="CM31" s="15"/>
      <c r="CN31" s="13">
        <f t="shared" si="803"/>
        <v>0</v>
      </c>
      <c r="CO31" s="15"/>
      <c r="CP31" s="15"/>
      <c r="CR31" s="15">
        <v>0.8</v>
      </c>
      <c r="CS31" s="15"/>
      <c r="CT31" s="13">
        <f t="shared" si="804"/>
        <v>0</v>
      </c>
      <c r="CU31" s="15"/>
      <c r="CV31" s="15"/>
      <c r="CX31" s="15">
        <v>0.8</v>
      </c>
      <c r="CY31" s="33"/>
      <c r="CZ31" s="13">
        <f t="shared" si="805"/>
        <v>0</v>
      </c>
      <c r="DA31" s="15"/>
      <c r="DB31" s="15"/>
      <c r="DD31" s="15">
        <v>0.6</v>
      </c>
      <c r="DE31" s="33"/>
      <c r="DF31" s="13">
        <f t="shared" si="806"/>
        <v>0.20000000000000007</v>
      </c>
      <c r="DG31" s="15"/>
      <c r="DH31" s="15"/>
      <c r="DJ31" s="15">
        <v>0.6</v>
      </c>
      <c r="DK31" s="33"/>
      <c r="DL31" s="13">
        <f t="shared" si="807"/>
        <v>0</v>
      </c>
      <c r="DM31" s="15"/>
      <c r="DN31" s="15"/>
      <c r="DP31" s="15">
        <v>0.6</v>
      </c>
      <c r="DQ31" s="33"/>
      <c r="DR31" s="13">
        <f t="shared" si="808"/>
        <v>0</v>
      </c>
      <c r="DS31" s="15"/>
      <c r="DT31" s="15"/>
      <c r="DV31" s="15">
        <v>0.6</v>
      </c>
      <c r="DW31" s="33"/>
      <c r="DX31" s="13">
        <f t="shared" si="809"/>
        <v>0</v>
      </c>
      <c r="DY31" s="15"/>
      <c r="DZ31" s="15"/>
      <c r="EB31" s="15">
        <v>0.6</v>
      </c>
      <c r="EC31" s="33"/>
      <c r="ED31" s="13">
        <f t="shared" si="810"/>
        <v>0</v>
      </c>
      <c r="EE31" s="15"/>
      <c r="EF31" s="15"/>
      <c r="EH31" s="15">
        <v>0.8</v>
      </c>
      <c r="EI31" s="33"/>
      <c r="EJ31" s="13">
        <f t="shared" si="811"/>
        <v>-0.20000000000000007</v>
      </c>
      <c r="EK31" s="15"/>
      <c r="EL31" s="15"/>
      <c r="EN31" s="15">
        <v>0.6</v>
      </c>
      <c r="EO31" s="33"/>
      <c r="EP31" s="13">
        <f t="shared" si="812"/>
        <v>0.20000000000000007</v>
      </c>
      <c r="EQ31" s="15"/>
      <c r="ER31" s="15"/>
      <c r="ET31" s="15">
        <v>0.6</v>
      </c>
      <c r="EU31" s="33"/>
      <c r="EV31" s="13">
        <f t="shared" si="813"/>
        <v>0</v>
      </c>
      <c r="EW31" s="15"/>
      <c r="EX31" s="15"/>
      <c r="EZ31" s="15">
        <v>0.6</v>
      </c>
      <c r="FA31" s="33"/>
      <c r="FB31" s="13">
        <f t="shared" si="814"/>
        <v>0</v>
      </c>
      <c r="FC31" s="15"/>
      <c r="FD31" s="15"/>
      <c r="FF31" s="15">
        <v>0.6</v>
      </c>
      <c r="FG31" s="33"/>
      <c r="FH31" s="13">
        <f>EZ31+FA31-FF31</f>
        <v>0</v>
      </c>
      <c r="FI31" s="15"/>
      <c r="FJ31" s="15"/>
      <c r="FL31" s="15"/>
      <c r="FM31" s="33"/>
      <c r="FN31" s="13">
        <f>FF31+FG31-FL31</f>
        <v>0.6</v>
      </c>
      <c r="FO31" s="15"/>
      <c r="FP31" s="15"/>
      <c r="FR31" s="15">
        <v>0.6</v>
      </c>
      <c r="FS31" s="33"/>
      <c r="FT31" s="13">
        <f>FL31+FM31-FR31</f>
        <v>-0.6</v>
      </c>
      <c r="FU31" s="15"/>
      <c r="FV31" s="15"/>
      <c r="FX31" s="15">
        <v>0.6</v>
      </c>
      <c r="FY31" s="33"/>
      <c r="FZ31" s="13">
        <f>FR31+FS31-FX31</f>
        <v>0</v>
      </c>
      <c r="GA31" s="15"/>
      <c r="GB31" s="15"/>
      <c r="GD31" s="15">
        <v>0.6</v>
      </c>
      <c r="GE31" s="33"/>
      <c r="GF31" s="13">
        <f>FX31+FY31-GD31</f>
        <v>0</v>
      </c>
      <c r="GG31" s="15"/>
      <c r="GH31" s="15"/>
      <c r="GJ31" s="15">
        <v>0.6</v>
      </c>
      <c r="GK31" s="33"/>
      <c r="GL31" s="13">
        <f>GD31+GE31-GJ31</f>
        <v>0</v>
      </c>
      <c r="GM31" s="15"/>
      <c r="GN31" s="15"/>
      <c r="GP31" s="15">
        <v>0.6</v>
      </c>
      <c r="GQ31" s="33"/>
      <c r="GR31" s="13">
        <f>GJ31+GK31-GP31</f>
        <v>0</v>
      </c>
      <c r="GS31" s="15"/>
      <c r="GT31" s="15"/>
      <c r="GV31" s="15">
        <v>0.6</v>
      </c>
      <c r="GW31" s="33"/>
      <c r="GX31" s="13">
        <f>GP31+GQ31-GV31</f>
        <v>0</v>
      </c>
      <c r="GY31" s="15"/>
      <c r="GZ31" s="15"/>
      <c r="HB31" s="15">
        <v>0.6</v>
      </c>
      <c r="HC31" s="33"/>
      <c r="HD31" s="13">
        <f>GV31+GW31-HB31</f>
        <v>0</v>
      </c>
      <c r="HE31" s="15"/>
      <c r="HF31" s="15"/>
      <c r="HH31" s="15">
        <v>0.6</v>
      </c>
      <c r="HI31" s="33"/>
      <c r="HJ31" s="13">
        <f>HB31+HC31-HH31</f>
        <v>0</v>
      </c>
      <c r="HK31" s="15"/>
      <c r="HL31" s="15"/>
      <c r="HN31" s="15">
        <v>0.6</v>
      </c>
      <c r="HO31" s="33"/>
      <c r="HP31" s="13">
        <f>HH31+HI31-HN31</f>
        <v>0</v>
      </c>
      <c r="HQ31" s="15"/>
      <c r="HR31" s="15"/>
      <c r="HT31" s="15">
        <v>0.6</v>
      </c>
      <c r="HU31" s="33"/>
      <c r="HV31" s="13">
        <f>HN31+HO31-HT31</f>
        <v>0</v>
      </c>
      <c r="HW31" s="15"/>
      <c r="HX31" s="15"/>
      <c r="HZ31" s="15">
        <v>0.6</v>
      </c>
      <c r="IA31" s="33"/>
      <c r="IB31" s="13">
        <f>HT31+HU31-HZ31</f>
        <v>0</v>
      </c>
      <c r="IC31" s="15"/>
      <c r="ID31" s="15"/>
      <c r="IF31" s="15">
        <v>0.6</v>
      </c>
      <c r="IG31" s="33"/>
      <c r="IH31" s="13">
        <f>HZ31+IA31-IF31</f>
        <v>0</v>
      </c>
      <c r="II31" s="15"/>
      <c r="IJ31" s="15"/>
      <c r="IL31" s="15">
        <v>0.6</v>
      </c>
      <c r="IM31" s="33"/>
      <c r="IN31" s="13">
        <f>IF31+IG31-IL31</f>
        <v>0</v>
      </c>
      <c r="IO31" s="15"/>
      <c r="IP31" s="15"/>
      <c r="IR31" s="15">
        <v>0.6</v>
      </c>
      <c r="IS31" s="33"/>
      <c r="IT31" s="13">
        <f>IL31+IM31-IR31</f>
        <v>0</v>
      </c>
      <c r="IU31" s="15"/>
      <c r="IV31" s="15"/>
      <c r="IX31" s="15">
        <v>0.6</v>
      </c>
      <c r="IY31" s="33"/>
      <c r="IZ31" s="13">
        <f>IR31+IS31-IX31</f>
        <v>0</v>
      </c>
      <c r="JA31" s="15"/>
      <c r="JB31" s="15"/>
      <c r="JD31" s="15">
        <v>0.6</v>
      </c>
      <c r="JE31" s="33"/>
      <c r="JF31" s="13">
        <f>IX31+IY31-JD31</f>
        <v>0</v>
      </c>
      <c r="JG31" s="15"/>
      <c r="JH31" s="15"/>
      <c r="JJ31" s="15">
        <v>0.6</v>
      </c>
      <c r="JK31" s="33"/>
      <c r="JL31" s="13">
        <f>JD31+JE31-JJ31</f>
        <v>0</v>
      </c>
      <c r="JM31" s="15"/>
      <c r="JN31" s="15"/>
      <c r="JP31" s="15">
        <v>0.6</v>
      </c>
      <c r="JQ31" s="33"/>
      <c r="JR31" s="13">
        <f>JJ31+JK31-JP31</f>
        <v>0</v>
      </c>
      <c r="JS31" s="15"/>
      <c r="JT31" s="15"/>
      <c r="JV31" s="15">
        <v>0.6</v>
      </c>
      <c r="JW31" s="33"/>
      <c r="JX31" s="13">
        <f>JP31+JQ31-JV31</f>
        <v>0</v>
      </c>
      <c r="JY31" s="15"/>
      <c r="JZ31" s="15"/>
      <c r="KB31" s="15">
        <v>0.6</v>
      </c>
      <c r="KC31" s="33"/>
      <c r="KD31" s="13">
        <f>JV31+JW31-KB31</f>
        <v>0</v>
      </c>
      <c r="KE31" s="15"/>
      <c r="KF31" s="15"/>
      <c r="KH31" s="15">
        <v>0.6</v>
      </c>
      <c r="KI31" s="33"/>
      <c r="KJ31" s="13">
        <f>KB31+KC31-KH31</f>
        <v>0</v>
      </c>
      <c r="KK31" s="15"/>
      <c r="KL31" s="15"/>
      <c r="KN31" s="15">
        <v>0.6</v>
      </c>
      <c r="KO31" s="33"/>
      <c r="KP31" s="13">
        <f>KH31+KI31-KN31</f>
        <v>0</v>
      </c>
      <c r="KQ31" s="15"/>
      <c r="KR31" s="15"/>
      <c r="KT31" s="15">
        <v>0.6</v>
      </c>
      <c r="KU31" s="33"/>
      <c r="KV31" s="13">
        <f>KN31+KO31-KT31</f>
        <v>0</v>
      </c>
      <c r="KW31" s="15"/>
      <c r="KX31" s="15"/>
      <c r="KZ31" s="15">
        <v>0.6</v>
      </c>
      <c r="LA31" s="33"/>
      <c r="LB31" s="13">
        <f>KT31+KU31-KZ31</f>
        <v>0</v>
      </c>
      <c r="LC31" s="15"/>
      <c r="LD31" s="15"/>
      <c r="LF31" s="15">
        <v>0.6</v>
      </c>
      <c r="LG31" s="33"/>
      <c r="LH31" s="13">
        <f>KZ31+LA31-LF31</f>
        <v>0</v>
      </c>
      <c r="LI31" s="15"/>
      <c r="LJ31" s="15"/>
      <c r="LL31" s="15">
        <v>0.6</v>
      </c>
      <c r="LM31" s="33"/>
      <c r="LN31" s="13">
        <f>LF31+LG31-LL31</f>
        <v>0</v>
      </c>
      <c r="LO31" s="15"/>
      <c r="LP31" s="15"/>
      <c r="LR31" s="15">
        <v>0.6</v>
      </c>
      <c r="LS31" s="33"/>
      <c r="LT31" s="13">
        <f>LL31+LM31-LR31</f>
        <v>0</v>
      </c>
      <c r="LU31" s="15"/>
      <c r="LV31" s="15"/>
      <c r="LX31" s="15">
        <v>0.6</v>
      </c>
      <c r="LY31" s="33"/>
      <c r="LZ31" s="13">
        <f>LR31+LS31-LX31</f>
        <v>0</v>
      </c>
      <c r="MA31" s="15"/>
      <c r="MB31" s="15"/>
      <c r="MD31" s="15">
        <v>0.6</v>
      </c>
      <c r="ME31" s="33"/>
      <c r="MF31" s="13">
        <f>LX31+LY31-MD31</f>
        <v>0</v>
      </c>
      <c r="MG31" s="15"/>
      <c r="MH31" s="15"/>
      <c r="MJ31" s="15">
        <v>0.6</v>
      </c>
      <c r="MK31" s="33"/>
      <c r="ML31" s="13">
        <f>MD31+ME31-MJ31</f>
        <v>0</v>
      </c>
      <c r="MM31" s="15"/>
      <c r="MN31" s="15"/>
      <c r="MP31" s="15">
        <v>0.6</v>
      </c>
      <c r="MQ31" s="33"/>
      <c r="MR31" s="13">
        <f>MJ31+MK31-MP31</f>
        <v>0</v>
      </c>
      <c r="MS31" s="15"/>
      <c r="MT31" s="15"/>
      <c r="MV31" s="15">
        <v>0.6</v>
      </c>
      <c r="MW31" s="33"/>
      <c r="MX31" s="13">
        <f>MP31+MQ31-MV31</f>
        <v>0</v>
      </c>
      <c r="MY31" s="15"/>
      <c r="MZ31" s="15"/>
      <c r="NB31" s="15">
        <v>0.6</v>
      </c>
      <c r="NC31" s="33"/>
      <c r="ND31" s="13">
        <f>MV31+MW31-NB31</f>
        <v>0</v>
      </c>
      <c r="NE31" s="15"/>
      <c r="NF31" s="15"/>
      <c r="NH31" s="15">
        <v>0.6</v>
      </c>
      <c r="NI31" s="33"/>
      <c r="NJ31" s="13">
        <f>NB31+NC31-NH31</f>
        <v>0</v>
      </c>
      <c r="NK31" s="15"/>
      <c r="NL31" s="15"/>
      <c r="NN31" s="15">
        <v>0.6</v>
      </c>
      <c r="NO31" s="33"/>
      <c r="NP31" s="13">
        <f>NH31+NI31-NN31</f>
        <v>0</v>
      </c>
      <c r="NQ31" s="15"/>
      <c r="NR31" s="15"/>
      <c r="NT31" s="15">
        <v>0.6</v>
      </c>
      <c r="NU31" s="33"/>
      <c r="NV31" s="13">
        <f>NN31+NO31-NT31</f>
        <v>0</v>
      </c>
      <c r="NW31" s="15"/>
      <c r="NX31" s="15"/>
      <c r="NZ31" s="15">
        <v>0.6</v>
      </c>
      <c r="OA31" s="33"/>
      <c r="OB31" s="13">
        <f>NT31+NU31-NZ31</f>
        <v>0</v>
      </c>
      <c r="OC31" s="15"/>
      <c r="OD31" s="15"/>
      <c r="OF31" s="15">
        <v>0.2</v>
      </c>
      <c r="OG31" s="33"/>
      <c r="OH31" s="13">
        <f>NZ31+OA31-OF31</f>
        <v>0.39999999999999997</v>
      </c>
      <c r="OI31" s="15"/>
      <c r="OJ31" s="15"/>
      <c r="OL31" s="15">
        <v>0.2</v>
      </c>
      <c r="OM31" s="33"/>
      <c r="ON31" s="13">
        <f>OF31+OG31-OL31</f>
        <v>0</v>
      </c>
      <c r="OO31" s="15"/>
      <c r="OP31" s="15"/>
      <c r="OR31" s="15">
        <v>0.2</v>
      </c>
      <c r="OS31" s="33"/>
      <c r="OT31" s="13">
        <f>OL31+OM31-OR31</f>
        <v>0</v>
      </c>
      <c r="OU31" s="15"/>
      <c r="OV31" s="15"/>
      <c r="OX31" s="15">
        <v>0.1</v>
      </c>
      <c r="OY31" s="33"/>
      <c r="OZ31" s="13">
        <f>OR31+OS31-OX31</f>
        <v>0.1</v>
      </c>
      <c r="PA31" s="15"/>
      <c r="PB31" s="15"/>
      <c r="PD31" s="15">
        <v>0.9</v>
      </c>
      <c r="PE31" s="33"/>
      <c r="PF31" s="13">
        <f>OX31+OY31-PD31</f>
        <v>-0.8</v>
      </c>
      <c r="PG31" s="15"/>
      <c r="PH31" s="15"/>
      <c r="PJ31" s="15">
        <v>0.8</v>
      </c>
      <c r="PK31" s="33"/>
      <c r="PL31" s="13">
        <f>PD31+PE31-PJ31</f>
        <v>9.9999999999999978E-2</v>
      </c>
      <c r="PM31" s="15"/>
      <c r="PN31" s="15"/>
      <c r="PP31" s="15">
        <v>1.8</v>
      </c>
      <c r="PQ31" s="33"/>
      <c r="PR31" s="13">
        <f>PJ31+PK31-PP31</f>
        <v>-1</v>
      </c>
      <c r="PS31" s="15"/>
      <c r="PT31" s="15"/>
      <c r="PV31" s="15">
        <v>1.8</v>
      </c>
      <c r="PW31" s="33"/>
      <c r="PX31" s="13">
        <f>PP31+PQ31-PV31</f>
        <v>0</v>
      </c>
      <c r="PY31" s="15"/>
      <c r="PZ31" s="15"/>
      <c r="QB31" s="15">
        <v>1.8</v>
      </c>
      <c r="QC31" s="33"/>
      <c r="QD31" s="13">
        <f>PV31+PW31-QB31</f>
        <v>0</v>
      </c>
      <c r="QE31" s="15"/>
      <c r="QF31" s="15"/>
      <c r="QH31" s="15">
        <v>1.6</v>
      </c>
      <c r="QI31" s="33"/>
      <c r="QJ31" s="13">
        <f>QB31+QC31-QH31</f>
        <v>0.19999999999999996</v>
      </c>
      <c r="QK31" s="15"/>
      <c r="QL31" s="15"/>
      <c r="QN31" s="15">
        <v>1.7</v>
      </c>
      <c r="QO31" s="33"/>
      <c r="QP31" s="13">
        <f>QH31+QI31-QN31</f>
        <v>-9.9999999999999867E-2</v>
      </c>
      <c r="QQ31" s="15"/>
      <c r="QR31" s="15"/>
      <c r="QT31" s="15">
        <v>1.5</v>
      </c>
      <c r="QU31" s="33"/>
      <c r="QV31" s="13">
        <f>QN31+QO31-QT31</f>
        <v>0.19999999999999996</v>
      </c>
      <c r="QW31" s="15"/>
      <c r="QX31" s="15"/>
      <c r="QZ31" s="15">
        <v>1.5</v>
      </c>
      <c r="RA31" s="33"/>
      <c r="RB31" s="13">
        <f>QT31+QU31-QZ31</f>
        <v>0</v>
      </c>
      <c r="RC31" s="15"/>
      <c r="RD31" s="15"/>
      <c r="RF31" s="15">
        <v>4.4000000000000004</v>
      </c>
      <c r="RG31" s="33"/>
      <c r="RH31" s="13">
        <f>QZ31+RA31-RF31</f>
        <v>-2.9000000000000004</v>
      </c>
      <c r="RI31" s="15"/>
      <c r="RJ31" s="15"/>
      <c r="RL31" s="15">
        <v>1.3</v>
      </c>
      <c r="RM31" s="33"/>
      <c r="RN31" s="13">
        <f>RF31+RG31-RL31</f>
        <v>3.1000000000000005</v>
      </c>
      <c r="RO31" s="15"/>
      <c r="RP31" s="15"/>
      <c r="RR31" s="15">
        <v>1.4</v>
      </c>
      <c r="RS31" s="33"/>
      <c r="RT31" s="13">
        <f>RL31+RM31-RR31</f>
        <v>-9.9999999999999867E-2</v>
      </c>
      <c r="RU31" s="15"/>
      <c r="RV31" s="15"/>
      <c r="RX31" s="15">
        <v>1.5</v>
      </c>
      <c r="RY31" s="33"/>
      <c r="RZ31" s="13">
        <f>RR31+RS31-RX31</f>
        <v>-0.10000000000000009</v>
      </c>
      <c r="SA31" s="15"/>
      <c r="SB31" s="15"/>
      <c r="SD31" s="15">
        <v>1.2</v>
      </c>
      <c r="SE31" s="33"/>
      <c r="SF31" s="13">
        <f>RX31+RY31-SD31</f>
        <v>0.30000000000000004</v>
      </c>
      <c r="SG31" s="15"/>
      <c r="SH31" s="15"/>
      <c r="SJ31" s="15">
        <v>1.2</v>
      </c>
      <c r="SK31" s="33"/>
      <c r="SL31" s="13">
        <f>SD31+SE31-SJ31</f>
        <v>0</v>
      </c>
      <c r="SM31" s="15"/>
      <c r="SN31" s="15"/>
      <c r="SP31" s="15">
        <v>1.4</v>
      </c>
      <c r="SQ31" s="33"/>
      <c r="SR31" s="13">
        <f>SJ31+SK31-SP31</f>
        <v>-0.19999999999999996</v>
      </c>
      <c r="SS31" s="15"/>
      <c r="ST31" s="15"/>
      <c r="SV31" s="15">
        <v>1.3</v>
      </c>
      <c r="SW31" s="33"/>
      <c r="SX31" s="13">
        <f>SP31+SQ31-SV31</f>
        <v>9.9999999999999867E-2</v>
      </c>
      <c r="SY31" s="15"/>
      <c r="SZ31" s="15"/>
      <c r="TB31" s="15">
        <v>1.2</v>
      </c>
      <c r="TC31" s="33"/>
      <c r="TD31" s="13">
        <f>SV31+SW31-TB31</f>
        <v>0.10000000000000009</v>
      </c>
      <c r="TE31" s="15"/>
      <c r="TF31" s="15"/>
      <c r="TH31" s="15">
        <v>1.2</v>
      </c>
      <c r="TI31" s="33"/>
      <c r="TJ31" s="13">
        <f>TB31+TC31-TH31</f>
        <v>0</v>
      </c>
      <c r="TK31" s="15"/>
      <c r="TL31" s="15"/>
      <c r="TN31" s="15">
        <v>1.3</v>
      </c>
      <c r="TO31" s="33"/>
      <c r="TP31" s="13">
        <f>TH31+TI31-TN31</f>
        <v>-0.10000000000000009</v>
      </c>
      <c r="TQ31" s="15"/>
      <c r="TR31" s="15"/>
      <c r="TT31" s="15">
        <v>1.1000000000000001</v>
      </c>
      <c r="TU31" s="33"/>
      <c r="TV31" s="13">
        <f>TN31+TO31-TT31</f>
        <v>0.19999999999999996</v>
      </c>
      <c r="TW31" s="15"/>
      <c r="TX31" s="15"/>
      <c r="TZ31" s="15">
        <v>1.3</v>
      </c>
      <c r="UA31" s="33"/>
      <c r="UB31" s="13">
        <f>TT31+TU31-TZ31</f>
        <v>-0.19999999999999996</v>
      </c>
      <c r="UC31" s="15"/>
      <c r="UD31" s="15"/>
      <c r="UF31" s="15">
        <v>1.2</v>
      </c>
      <c r="UG31" s="33"/>
      <c r="UH31" s="13">
        <f>TZ31+UA31-UF31</f>
        <v>0.10000000000000009</v>
      </c>
      <c r="UI31" s="15"/>
      <c r="UJ31" s="15"/>
      <c r="UL31" s="15">
        <v>1.2</v>
      </c>
      <c r="UM31" s="33"/>
      <c r="UN31" s="13">
        <f>UF31+UG31-UL31</f>
        <v>0</v>
      </c>
      <c r="UO31" s="15"/>
      <c r="UP31" s="15"/>
      <c r="UR31" s="15">
        <v>1.2</v>
      </c>
      <c r="US31" s="33"/>
      <c r="UT31" s="13">
        <f>UL31+UM31-UR31</f>
        <v>0</v>
      </c>
      <c r="UU31" s="15"/>
      <c r="UV31" s="15"/>
      <c r="UX31" s="15">
        <v>0.9</v>
      </c>
      <c r="UY31" s="33"/>
      <c r="UZ31" s="13">
        <f>UR31+US31-UX31</f>
        <v>0.29999999999999993</v>
      </c>
      <c r="VA31" s="15"/>
      <c r="VB31" s="15"/>
      <c r="VD31" s="15">
        <v>0.9</v>
      </c>
      <c r="VE31" s="33"/>
      <c r="VF31" s="13">
        <f>UX31+UY31-VD31</f>
        <v>0</v>
      </c>
      <c r="VG31" s="15"/>
      <c r="VH31" s="15"/>
      <c r="VJ31" s="15">
        <v>0.7</v>
      </c>
      <c r="VK31" s="33"/>
      <c r="VL31" s="13">
        <f>VD31+VE31-VJ31</f>
        <v>0.20000000000000007</v>
      </c>
      <c r="VM31" s="15"/>
      <c r="VN31" s="15"/>
      <c r="VP31" s="15">
        <v>0.9</v>
      </c>
      <c r="VQ31" s="33"/>
      <c r="VR31" s="13">
        <f>VJ31+VK31-VP31</f>
        <v>-0.20000000000000007</v>
      </c>
      <c r="VS31" s="15"/>
      <c r="VT31" s="15"/>
      <c r="VV31" s="15">
        <v>0.4</v>
      </c>
      <c r="VW31" s="33"/>
      <c r="VX31" s="13">
        <f>VP31+VQ31-VV31</f>
        <v>0.5</v>
      </c>
      <c r="VY31" s="15"/>
      <c r="VZ31" s="15"/>
      <c r="WB31" s="15">
        <v>0.8</v>
      </c>
      <c r="WC31" s="33"/>
      <c r="WD31" s="13">
        <f>VV31+VW31-WB31</f>
        <v>-0.4</v>
      </c>
      <c r="WE31" s="15"/>
      <c r="WF31" s="15"/>
      <c r="WH31" s="15">
        <v>0.9</v>
      </c>
      <c r="WI31" s="33"/>
      <c r="WJ31" s="13">
        <f>WB31+WC31-WH31</f>
        <v>-9.9999999999999978E-2</v>
      </c>
      <c r="WK31" s="15"/>
      <c r="WL31" s="15"/>
      <c r="WN31" s="15">
        <v>0.9</v>
      </c>
      <c r="WO31" s="33"/>
      <c r="WP31" s="13">
        <f>WH31+WI31-WN31</f>
        <v>0</v>
      </c>
      <c r="WQ31" s="15"/>
      <c r="WR31" s="15"/>
      <c r="WT31" s="15">
        <v>0.8</v>
      </c>
      <c r="WU31" s="33"/>
      <c r="WV31" s="13">
        <f>WN31+WO31-WT31</f>
        <v>9.9999999999999978E-2</v>
      </c>
      <c r="WW31" s="15"/>
      <c r="WX31" s="15"/>
      <c r="WZ31" s="15">
        <v>0.8</v>
      </c>
      <c r="XA31" s="33"/>
      <c r="XB31" s="13">
        <f>WT31+WU31-WZ31</f>
        <v>0</v>
      </c>
      <c r="XC31" s="15"/>
      <c r="XD31" s="15"/>
      <c r="XF31" s="15">
        <v>0.6</v>
      </c>
      <c r="XG31" s="33"/>
      <c r="XH31" s="13">
        <f>WZ31+XA31-XF31</f>
        <v>0.20000000000000007</v>
      </c>
      <c r="XI31" s="15"/>
      <c r="XJ31" s="15"/>
      <c r="XL31" s="15">
        <v>0.8</v>
      </c>
      <c r="XM31" s="33"/>
      <c r="XN31" s="13">
        <f>XF31+XG31-XL31</f>
        <v>-0.20000000000000007</v>
      </c>
      <c r="XO31" s="15"/>
      <c r="XP31" s="15"/>
      <c r="XR31" s="15">
        <v>0.8</v>
      </c>
      <c r="XS31" s="33"/>
      <c r="XT31" s="13">
        <f>XL31+XM31-XR31</f>
        <v>0</v>
      </c>
      <c r="XU31" s="15"/>
      <c r="XV31" s="15"/>
      <c r="XX31" s="15">
        <v>0.8</v>
      </c>
      <c r="XY31" s="33"/>
      <c r="XZ31" s="13">
        <f>XR31+XS31-XX31</f>
        <v>0</v>
      </c>
      <c r="YA31" s="15"/>
      <c r="YB31" s="15"/>
      <c r="YD31" s="15">
        <v>0.6</v>
      </c>
      <c r="YE31" s="33"/>
      <c r="YF31" s="13">
        <f>XX31+XY31-YD31</f>
        <v>0.20000000000000007</v>
      </c>
      <c r="YG31" s="15"/>
      <c r="YH31" s="15"/>
      <c r="YJ31" s="15">
        <v>0.8</v>
      </c>
      <c r="YK31" s="33"/>
      <c r="YL31" s="13">
        <f>YD31+YE31-YJ31</f>
        <v>-0.20000000000000007</v>
      </c>
      <c r="YM31" s="15"/>
      <c r="YN31" s="15"/>
      <c r="YP31" s="15">
        <v>0.7</v>
      </c>
      <c r="YQ31" s="33"/>
      <c r="YR31" s="13">
        <f>YJ31+YK31-YP31</f>
        <v>0.10000000000000009</v>
      </c>
      <c r="YS31" s="15"/>
      <c r="YT31" s="15"/>
      <c r="YV31" s="15">
        <v>0.4</v>
      </c>
      <c r="YW31" s="33"/>
      <c r="YX31" s="13">
        <f>YP31+YQ31-YV31</f>
        <v>0.29999999999999993</v>
      </c>
      <c r="YY31" s="15"/>
      <c r="YZ31" s="15"/>
      <c r="ZB31" s="15">
        <v>0.5</v>
      </c>
      <c r="ZC31" s="33"/>
      <c r="ZD31" s="13">
        <f>YV31+YW31-ZB31</f>
        <v>-9.9999999999999978E-2</v>
      </c>
      <c r="ZE31" s="15"/>
      <c r="ZF31" s="15"/>
      <c r="ZH31" s="15">
        <v>0.2</v>
      </c>
      <c r="ZI31" s="33"/>
      <c r="ZJ31" s="13">
        <f>ZB31+ZC31-ZH31</f>
        <v>0.3</v>
      </c>
      <c r="ZK31" s="15"/>
      <c r="ZL31" s="15"/>
      <c r="ZN31" s="15">
        <v>2.6</v>
      </c>
      <c r="ZO31" s="33"/>
      <c r="ZP31" s="13">
        <f>ZH31+ZI31-ZN31</f>
        <v>-2.4</v>
      </c>
      <c r="ZQ31" s="15"/>
      <c r="ZR31" s="15"/>
      <c r="ZT31" s="15">
        <v>0.7</v>
      </c>
      <c r="ZU31" s="33"/>
      <c r="ZV31" s="13">
        <f>ZN31+ZO31-ZT31</f>
        <v>1.9000000000000001</v>
      </c>
      <c r="ZW31" s="15"/>
      <c r="ZX31" s="15"/>
      <c r="ZZ31" s="15">
        <v>0.5</v>
      </c>
      <c r="AAA31" s="33"/>
      <c r="AAB31" s="13">
        <f>ZT31+ZU31-ZZ31</f>
        <v>0.19999999999999996</v>
      </c>
      <c r="AAC31" s="15"/>
      <c r="AAD31" s="15"/>
      <c r="AAF31" s="15">
        <v>0.4</v>
      </c>
      <c r="AAG31" s="33"/>
      <c r="AAH31" s="13">
        <f>ZZ31+AAA31-AAF31</f>
        <v>9.9999999999999978E-2</v>
      </c>
      <c r="AAI31" s="15"/>
      <c r="AAJ31" s="15"/>
      <c r="AAL31" s="15">
        <v>0.5</v>
      </c>
      <c r="AAM31" s="33"/>
      <c r="AAN31" s="13">
        <f>AAF31+AAG31-AAL31</f>
        <v>-9.9999999999999978E-2</v>
      </c>
      <c r="AAO31" s="15"/>
      <c r="AAP31" s="15"/>
      <c r="AAR31" s="15">
        <v>0.6</v>
      </c>
      <c r="AAS31" s="33"/>
      <c r="AAT31" s="13">
        <f>AAL31+AAM31-AAR31</f>
        <v>-9.9999999999999978E-2</v>
      </c>
      <c r="AAU31" s="15"/>
      <c r="AAV31" s="15"/>
      <c r="AAX31" s="15">
        <v>0.5</v>
      </c>
      <c r="AAY31" s="33"/>
      <c r="AAZ31" s="13">
        <f>AAR31+AAS31-AAX31</f>
        <v>9.9999999999999978E-2</v>
      </c>
      <c r="ABA31" s="15"/>
      <c r="ABB31" s="15"/>
      <c r="ABD31" s="15">
        <v>0.5</v>
      </c>
      <c r="ABE31" s="33"/>
      <c r="ABF31" s="13">
        <f>AAX31+AAY31-ABD31</f>
        <v>0</v>
      </c>
      <c r="ABG31" s="15"/>
      <c r="ABH31" s="15"/>
      <c r="ABJ31" s="15">
        <v>0.5</v>
      </c>
      <c r="ABK31" s="33"/>
      <c r="ABL31" s="13">
        <f>ABD31+ABE31-ABJ31</f>
        <v>0</v>
      </c>
      <c r="ABM31" s="15"/>
      <c r="ABN31" s="15"/>
      <c r="ABP31" s="15">
        <v>0.4</v>
      </c>
      <c r="ABQ31" s="33"/>
      <c r="ABR31" s="13">
        <f>ABJ31+ABK31-ABP31</f>
        <v>9.9999999999999978E-2</v>
      </c>
      <c r="ABS31" s="15"/>
      <c r="ABT31" s="15"/>
      <c r="ABV31" s="15">
        <v>0.2</v>
      </c>
      <c r="ABW31" s="33"/>
      <c r="ABX31" s="13">
        <f>ABP31+ABQ31-ABV31</f>
        <v>0.2</v>
      </c>
      <c r="ABY31" s="15"/>
      <c r="ABZ31" s="15"/>
      <c r="ACB31" s="15">
        <v>0.3</v>
      </c>
      <c r="ACC31" s="33"/>
      <c r="ACD31" s="13">
        <f>ABV31+ABW31-ACB31</f>
        <v>-9.9999999999999978E-2</v>
      </c>
      <c r="ACE31" s="15"/>
      <c r="ACF31" s="15"/>
      <c r="ACH31" s="15">
        <v>0.4</v>
      </c>
      <c r="ACI31" s="33"/>
      <c r="ACJ31" s="13">
        <f>ACB31+ACC31-ACH31</f>
        <v>-0.10000000000000003</v>
      </c>
      <c r="ACK31" s="15"/>
      <c r="ACL31" s="15"/>
      <c r="ACN31" s="15">
        <v>0.3</v>
      </c>
      <c r="ACO31" s="33"/>
      <c r="ACP31" s="13">
        <f>ACH31+ACI31-ACN31</f>
        <v>0.10000000000000003</v>
      </c>
      <c r="ACQ31" s="15"/>
      <c r="ACR31" s="15"/>
      <c r="ACT31" s="15">
        <v>0.5</v>
      </c>
      <c r="ACU31" s="33"/>
      <c r="ACV31" s="13">
        <f>ACN31+ACO31-ACT31</f>
        <v>-0.2</v>
      </c>
      <c r="ACW31" s="15"/>
      <c r="ACX31" s="15"/>
      <c r="ACZ31" s="15">
        <v>0.4</v>
      </c>
      <c r="ADA31" s="33"/>
      <c r="ADB31" s="13">
        <f>ACT31+ACU31-ACZ31</f>
        <v>9.9999999999999978E-2</v>
      </c>
      <c r="ADC31" s="15"/>
      <c r="ADD31" s="15"/>
      <c r="ADF31" s="15">
        <v>0.4</v>
      </c>
      <c r="ADG31" s="33"/>
      <c r="ADH31" s="13">
        <f>ACZ31+ADA31-ADF31</f>
        <v>0</v>
      </c>
      <c r="ADI31" s="15"/>
      <c r="ADJ31" s="15"/>
      <c r="ADL31" s="15">
        <v>0.2</v>
      </c>
      <c r="ADM31" s="33"/>
      <c r="ADN31" s="13">
        <f>ADF31+ADG31-ADL31</f>
        <v>0.2</v>
      </c>
      <c r="ADO31" s="15"/>
      <c r="ADP31" s="15"/>
      <c r="ADR31" s="15">
        <v>0.1</v>
      </c>
      <c r="ADS31" s="33"/>
      <c r="ADT31" s="13">
        <f>ADL31+ADM31-ADR31</f>
        <v>0.1</v>
      </c>
      <c r="ADU31" s="15"/>
      <c r="ADV31" s="15"/>
      <c r="ADX31" s="15">
        <v>0.1</v>
      </c>
      <c r="ADY31" s="33"/>
      <c r="ADZ31" s="13">
        <f>ADR31+ADS31-ADX31</f>
        <v>0</v>
      </c>
      <c r="AEA31" s="15"/>
      <c r="AEB31" s="15"/>
      <c r="AED31" s="15">
        <v>0.3</v>
      </c>
      <c r="AEE31" s="33"/>
      <c r="AEF31" s="13">
        <f>ADX31+ADY31-AED31</f>
        <v>-0.19999999999999998</v>
      </c>
      <c r="AEG31" s="15"/>
      <c r="AEH31" s="15"/>
      <c r="AEJ31" s="15">
        <v>0.2</v>
      </c>
      <c r="AEK31" s="33"/>
      <c r="AEL31" s="13">
        <f>AED31+AEE31-AEJ31</f>
        <v>9.9999999999999978E-2</v>
      </c>
      <c r="AEM31" s="15"/>
      <c r="AEN31" s="15"/>
      <c r="AEP31" s="15">
        <v>0.1</v>
      </c>
      <c r="AEQ31" s="33"/>
      <c r="AER31" s="13">
        <f>AEJ31+AEK31-AEP31</f>
        <v>0.1</v>
      </c>
      <c r="AES31" s="15"/>
      <c r="AET31" s="15"/>
      <c r="AEV31" s="15">
        <v>0.1</v>
      </c>
      <c r="AEW31" s="33"/>
      <c r="AEX31" s="13">
        <f>AEP31+AEQ31-AEV31</f>
        <v>0</v>
      </c>
      <c r="AEY31" s="15"/>
      <c r="AEZ31" s="15"/>
      <c r="AFB31" s="15">
        <v>0.1</v>
      </c>
      <c r="AFC31" s="33"/>
      <c r="AFD31" s="13">
        <f>AEV31+AEW31-AFB31</f>
        <v>0</v>
      </c>
      <c r="AFE31" s="15"/>
      <c r="AFF31" s="15"/>
      <c r="AFH31" s="15">
        <v>0.1</v>
      </c>
      <c r="AFI31" s="33">
        <v>1</v>
      </c>
      <c r="AFJ31" s="13">
        <f>AFB31+AFC31-AFH31</f>
        <v>0</v>
      </c>
      <c r="AFK31" s="15"/>
      <c r="AFL31" s="15"/>
      <c r="AFN31" s="15">
        <v>0.1</v>
      </c>
      <c r="AFO31" s="33"/>
      <c r="AFP31" s="13">
        <f>AFH31+AFI31-AFN31</f>
        <v>1</v>
      </c>
      <c r="AFQ31" s="15"/>
      <c r="AFR31" s="15"/>
      <c r="AFT31" s="15">
        <v>0.1</v>
      </c>
      <c r="AFU31" s="33"/>
      <c r="AFV31" s="13">
        <f>AFN31+AFO31-AFT31</f>
        <v>0</v>
      </c>
      <c r="AFW31" s="15"/>
      <c r="AFX31" s="15"/>
      <c r="AFZ31" s="15">
        <v>0.1</v>
      </c>
      <c r="AGA31" s="33"/>
      <c r="AGB31" s="13">
        <f>AFT31+AFU31-AFZ31</f>
        <v>0</v>
      </c>
      <c r="AGC31" s="15"/>
      <c r="AGD31" s="15"/>
      <c r="AGF31" s="15">
        <v>0.1</v>
      </c>
      <c r="AGG31" s="33">
        <v>1</v>
      </c>
      <c r="AGH31" s="13">
        <f>AFZ31+AGA31-AGF31</f>
        <v>0</v>
      </c>
      <c r="AGI31" s="15"/>
      <c r="AGJ31" s="15"/>
      <c r="AGL31" s="15">
        <v>0.1</v>
      </c>
      <c r="AGM31" s="33"/>
      <c r="AGN31" s="13">
        <f>AGF31+AGG31-AGL31</f>
        <v>1</v>
      </c>
      <c r="AGO31" s="15"/>
      <c r="AGP31" s="15"/>
      <c r="AGR31" s="15">
        <v>1.1000000000000001</v>
      </c>
      <c r="AGS31" s="33"/>
      <c r="AGT31" s="13">
        <f>AGL31+AGM31-AGR31</f>
        <v>-1</v>
      </c>
      <c r="AGU31" s="15"/>
      <c r="AGV31" s="15"/>
      <c r="AGX31" s="15">
        <v>1.1000000000000001</v>
      </c>
      <c r="AGY31" s="33"/>
      <c r="AGZ31" s="13">
        <f>AGR31+AGS31-AGX31</f>
        <v>0</v>
      </c>
      <c r="AHA31" s="15"/>
      <c r="AHB31" s="15"/>
      <c r="AHD31" s="15">
        <v>0.8</v>
      </c>
      <c r="AHE31" s="33"/>
      <c r="AHF31" s="13">
        <f>AGX31+AGY31-AHD31</f>
        <v>0.30000000000000004</v>
      </c>
      <c r="AHG31" s="15"/>
      <c r="AHH31" s="15"/>
      <c r="AHJ31" s="15">
        <v>0.9</v>
      </c>
      <c r="AHK31" s="33"/>
      <c r="AHL31" s="13">
        <f>AHD31+AHE31-AHJ31</f>
        <v>-9.9999999999999978E-2</v>
      </c>
      <c r="AHM31" s="15"/>
      <c r="AHN31" s="15"/>
      <c r="AHP31" s="15">
        <v>0.8</v>
      </c>
      <c r="AHQ31" s="33"/>
      <c r="AHR31" s="13">
        <f>AHJ31+AHK31-AHP31</f>
        <v>9.9999999999999978E-2</v>
      </c>
      <c r="AHS31" s="15"/>
      <c r="AHT31" s="15"/>
      <c r="AHV31" s="15">
        <v>0.8</v>
      </c>
      <c r="AHW31" s="33"/>
      <c r="AHX31" s="13">
        <f>AHP31+AHQ31-AHV31</f>
        <v>0</v>
      </c>
      <c r="AHY31" s="15"/>
      <c r="AHZ31" s="15"/>
      <c r="AIB31" s="15">
        <v>0.7</v>
      </c>
      <c r="AIC31" s="33"/>
      <c r="AID31" s="13">
        <f>AHV31+AHW31-AIB31</f>
        <v>0.10000000000000009</v>
      </c>
      <c r="AIE31" s="15"/>
      <c r="AIF31" s="15"/>
      <c r="AIH31" s="15">
        <v>0.8</v>
      </c>
      <c r="AII31" s="33"/>
      <c r="AIJ31" s="13">
        <f>AIB31+AIC31-AIH31</f>
        <v>-0.10000000000000009</v>
      </c>
      <c r="AIK31" s="15"/>
      <c r="AIL31" s="15"/>
      <c r="AIN31" s="15">
        <v>0.9</v>
      </c>
      <c r="AIO31" s="33"/>
      <c r="AIP31" s="13">
        <f>AIH31+AII31-AIN31</f>
        <v>-9.9999999999999978E-2</v>
      </c>
      <c r="AIQ31" s="15"/>
      <c r="AIR31" s="15"/>
      <c r="AIT31" s="15">
        <v>0.5</v>
      </c>
      <c r="AIU31" s="33"/>
      <c r="AIV31" s="13">
        <f>AIN31+AIO31-AIT31</f>
        <v>0.4</v>
      </c>
      <c r="AIW31" s="15"/>
      <c r="AIX31" s="15"/>
      <c r="AIZ31" s="15">
        <v>0.7</v>
      </c>
      <c r="AJA31" s="33"/>
      <c r="AJB31" s="13">
        <f>AIT31+AIU31-AIZ31</f>
        <v>-0.19999999999999996</v>
      </c>
      <c r="AJC31" s="15"/>
      <c r="AJD31" s="15"/>
      <c r="AJF31" s="15">
        <v>0.8</v>
      </c>
      <c r="AJG31" s="33"/>
      <c r="AJH31" s="13">
        <f>AIZ31+AJA31-AJF31</f>
        <v>-0.10000000000000009</v>
      </c>
      <c r="AJI31" s="15"/>
      <c r="AJJ31" s="15"/>
      <c r="AJL31" s="15">
        <v>0.8</v>
      </c>
      <c r="AJM31" s="33"/>
      <c r="AJN31" s="13">
        <f>AJF31+AJG31-AJL31</f>
        <v>0</v>
      </c>
      <c r="AJO31" s="15"/>
      <c r="AJP31" s="15"/>
      <c r="AJR31" s="15">
        <v>0.4</v>
      </c>
      <c r="AJS31" s="33"/>
      <c r="AJT31" s="13">
        <f>AJL31+AJM31-AJR31</f>
        <v>0.4</v>
      </c>
      <c r="AJU31" s="15"/>
      <c r="AJV31" s="15"/>
      <c r="AJX31" s="15">
        <v>0.7</v>
      </c>
      <c r="AJY31" s="33"/>
      <c r="AJZ31" s="13">
        <f>AJR31+AJS31-AJX31</f>
        <v>-0.29999999999999993</v>
      </c>
      <c r="AKA31" s="15"/>
      <c r="AKB31" s="15"/>
      <c r="AKD31" s="15">
        <v>0.4</v>
      </c>
      <c r="AKE31" s="33"/>
      <c r="AKF31" s="13">
        <f>AJX31+AJY31-AKD31</f>
        <v>0.29999999999999993</v>
      </c>
      <c r="AKG31" s="15"/>
      <c r="AKH31" s="15"/>
      <c r="AKJ31" s="15">
        <v>0.4</v>
      </c>
      <c r="AKK31" s="33"/>
      <c r="AKL31" s="13">
        <f>AKD31+AKE31-AKJ31</f>
        <v>0</v>
      </c>
      <c r="AKM31" s="15"/>
      <c r="AKN31" s="15"/>
      <c r="AKP31" s="15">
        <v>0.4</v>
      </c>
      <c r="AKQ31" s="33"/>
      <c r="AKR31" s="13">
        <f>AKJ31+AKK31-AKP31</f>
        <v>0</v>
      </c>
      <c r="AKS31" s="15"/>
      <c r="AKT31" s="15"/>
      <c r="AKV31" s="15">
        <v>0.5</v>
      </c>
      <c r="AKW31" s="33"/>
      <c r="AKX31" s="13">
        <f>AKP31+AKQ31-AKV31</f>
        <v>-9.9999999999999978E-2</v>
      </c>
      <c r="AKY31" s="15"/>
      <c r="AKZ31" s="15"/>
      <c r="ALB31" s="15">
        <v>0.3</v>
      </c>
      <c r="ALC31" s="33"/>
      <c r="ALD31" s="13">
        <f>AKV31+AKW31-ALB31</f>
        <v>0.2</v>
      </c>
      <c r="ALE31" s="15"/>
      <c r="ALF31" s="15"/>
      <c r="ALH31" s="15">
        <v>0.3</v>
      </c>
      <c r="ALI31" s="33"/>
      <c r="ALJ31" s="13">
        <f>ALB31+ALC31-ALH31</f>
        <v>0</v>
      </c>
      <c r="ALK31" s="15"/>
      <c r="ALL31" s="15"/>
      <c r="ALN31" s="15">
        <v>0.3</v>
      </c>
      <c r="ALO31" s="33"/>
      <c r="ALP31" s="13">
        <f>ALH31+ALI31-ALN31</f>
        <v>0</v>
      </c>
      <c r="ALQ31" s="15"/>
      <c r="ALR31" s="15"/>
      <c r="ALT31" s="15">
        <v>0.3</v>
      </c>
      <c r="ALU31" s="33"/>
      <c r="ALV31" s="13">
        <f>ALN31+ALO31-ALT31</f>
        <v>0</v>
      </c>
      <c r="ALW31" s="15"/>
      <c r="ALX31" s="15"/>
      <c r="ALZ31" s="15">
        <v>0.1</v>
      </c>
      <c r="AMA31" s="33">
        <v>1</v>
      </c>
      <c r="AMB31" s="13">
        <f>ALT31+ALU31-ALZ31</f>
        <v>0.19999999999999998</v>
      </c>
      <c r="AMC31" s="15"/>
      <c r="AMD31" s="15"/>
      <c r="AMF31" s="15">
        <v>0.2</v>
      </c>
      <c r="AMG31" s="33"/>
      <c r="AMH31" s="13">
        <f>ALZ31+AMA31-AMF31</f>
        <v>0.90000000000000013</v>
      </c>
      <c r="AMI31" s="15"/>
      <c r="AMJ31" s="15"/>
      <c r="AML31" s="15">
        <v>0.2</v>
      </c>
      <c r="AMM31" s="33"/>
      <c r="AMN31" s="13">
        <f>AMF31+AMG31-AML31</f>
        <v>0</v>
      </c>
      <c r="AMO31" s="15"/>
      <c r="AMP31" s="15"/>
      <c r="AMR31" s="15">
        <v>0.1</v>
      </c>
      <c r="AMS31" s="33">
        <v>1</v>
      </c>
      <c r="AMT31" s="13">
        <f>AML31+AMM31-AMR31</f>
        <v>0.1</v>
      </c>
      <c r="AMU31" s="15"/>
      <c r="AMV31" s="15"/>
      <c r="AMX31" s="15">
        <v>1</v>
      </c>
      <c r="AMY31" s="33"/>
      <c r="AMZ31" s="13">
        <f>AMR31+AMS31-AMX31</f>
        <v>0.10000000000000009</v>
      </c>
      <c r="ANA31" s="15"/>
      <c r="ANB31" s="15"/>
      <c r="AND31" s="15">
        <v>0.8</v>
      </c>
      <c r="ANE31" s="33"/>
      <c r="ANF31" s="13">
        <f>AMX31+AMY31-AND31</f>
        <v>0.19999999999999996</v>
      </c>
      <c r="ANG31" s="15"/>
      <c r="ANH31" s="15"/>
      <c r="ANJ31" s="15">
        <v>0.6</v>
      </c>
      <c r="ANK31" s="33"/>
      <c r="ANL31" s="13">
        <f>AND31+ANE31-ANJ31</f>
        <v>0.20000000000000007</v>
      </c>
      <c r="ANM31" s="15"/>
      <c r="ANN31" s="15"/>
      <c r="ANP31" s="15">
        <v>0.8</v>
      </c>
      <c r="ANQ31" s="33"/>
      <c r="ANR31" s="13">
        <f>ANJ31+ANK31-ANP31</f>
        <v>-0.20000000000000007</v>
      </c>
      <c r="ANS31" s="15"/>
      <c r="ANT31" s="15"/>
      <c r="ANV31" s="15">
        <v>0.3</v>
      </c>
      <c r="ANW31" s="33"/>
      <c r="ANX31" s="13">
        <f>ANP31+ANQ31-ANV31</f>
        <v>0.5</v>
      </c>
      <c r="ANY31" s="15"/>
      <c r="ANZ31" s="15"/>
      <c r="AOB31" s="15"/>
      <c r="AOC31" s="33"/>
      <c r="AOD31" s="13">
        <f>ANV31+ANW31-AOB31</f>
        <v>0.3</v>
      </c>
      <c r="AOE31" s="15"/>
      <c r="AOF31" s="15"/>
      <c r="AOH31" s="15"/>
      <c r="AOI31" s="33"/>
      <c r="AOJ31" s="13">
        <f>AOB31+AOC31-AOH31</f>
        <v>0</v>
      </c>
      <c r="AOK31" s="15"/>
      <c r="AOL31" s="15"/>
      <c r="AON31" s="15"/>
      <c r="AOO31" s="33"/>
      <c r="AOP31" s="13">
        <f>AOH31+AOI31-AON31</f>
        <v>0</v>
      </c>
      <c r="AOQ31" s="15"/>
      <c r="AOR31" s="15"/>
    </row>
    <row r="32" spans="1:1024 1026:1084" x14ac:dyDescent="0.25">
      <c r="A32" s="3" t="s">
        <v>44</v>
      </c>
      <c r="B32" s="3"/>
      <c r="C32" s="5" t="s">
        <v>35</v>
      </c>
      <c r="D32" s="9">
        <v>0.1</v>
      </c>
      <c r="F32" s="15">
        <v>0.9</v>
      </c>
      <c r="G32" s="15"/>
      <c r="H32" s="11"/>
      <c r="I32" s="15"/>
      <c r="J32" s="15"/>
      <c r="L32" s="15">
        <v>0.9</v>
      </c>
      <c r="M32" s="15"/>
      <c r="N32" s="13">
        <f>F32+G32-L32</f>
        <v>0</v>
      </c>
      <c r="O32" s="15"/>
      <c r="P32" s="15"/>
      <c r="R32" s="15">
        <v>0.9</v>
      </c>
      <c r="S32" s="15"/>
      <c r="T32" s="13">
        <f>L32+M32-R32</f>
        <v>0</v>
      </c>
      <c r="U32" s="15"/>
      <c r="V32" s="15"/>
      <c r="X32" s="15">
        <v>0.9</v>
      </c>
      <c r="Y32" s="15"/>
      <c r="Z32" s="13">
        <f>R32+S32-X32</f>
        <v>0</v>
      </c>
      <c r="AA32" s="15"/>
      <c r="AB32" s="15"/>
      <c r="AD32" s="15">
        <v>0.9</v>
      </c>
      <c r="AE32" s="15"/>
      <c r="AF32" s="13">
        <f>X32+Y32-AD32</f>
        <v>0</v>
      </c>
      <c r="AG32" s="15"/>
      <c r="AH32" s="15"/>
      <c r="AJ32" s="15">
        <v>0.9</v>
      </c>
      <c r="AK32" s="15"/>
      <c r="AL32" s="13">
        <f t="shared" si="795"/>
        <v>0</v>
      </c>
      <c r="AM32" s="15"/>
      <c r="AN32" s="15"/>
      <c r="AP32" s="15">
        <v>0.9</v>
      </c>
      <c r="AQ32" s="15"/>
      <c r="AR32" s="13">
        <f t="shared" si="796"/>
        <v>0</v>
      </c>
      <c r="AS32" s="15"/>
      <c r="AT32" s="15"/>
      <c r="AV32" s="15">
        <v>0.9</v>
      </c>
      <c r="AW32" s="15"/>
      <c r="AX32" s="13">
        <f t="shared" si="774"/>
        <v>0</v>
      </c>
      <c r="AY32" s="15"/>
      <c r="AZ32" s="15"/>
      <c r="BB32" s="15">
        <v>0.9</v>
      </c>
      <c r="BC32" s="15"/>
      <c r="BD32" s="13">
        <f t="shared" si="797"/>
        <v>0</v>
      </c>
      <c r="BE32" s="15"/>
      <c r="BF32" s="15"/>
      <c r="BH32" s="15">
        <v>0.9</v>
      </c>
      <c r="BI32" s="15"/>
      <c r="BJ32" s="13">
        <f t="shared" si="798"/>
        <v>0</v>
      </c>
      <c r="BK32" s="15"/>
      <c r="BL32" s="15"/>
      <c r="BN32" s="15">
        <v>0.8</v>
      </c>
      <c r="BO32" s="15"/>
      <c r="BP32" s="13">
        <f t="shared" si="799"/>
        <v>9.9999999999999978E-2</v>
      </c>
      <c r="BQ32" s="15"/>
      <c r="BR32" s="15"/>
      <c r="BT32" s="15">
        <v>0.8</v>
      </c>
      <c r="BU32" s="15"/>
      <c r="BV32" s="13">
        <f t="shared" si="800"/>
        <v>0</v>
      </c>
      <c r="BW32" s="15"/>
      <c r="BX32" s="15"/>
      <c r="BZ32" s="15">
        <v>0.8</v>
      </c>
      <c r="CA32" s="15"/>
      <c r="CB32" s="13">
        <f t="shared" si="801"/>
        <v>0</v>
      </c>
      <c r="CC32" s="15"/>
      <c r="CD32" s="15"/>
      <c r="CF32" s="15">
        <v>0.8</v>
      </c>
      <c r="CG32" s="15"/>
      <c r="CH32" s="13">
        <f t="shared" si="802"/>
        <v>0</v>
      </c>
      <c r="CI32" s="15"/>
      <c r="CJ32" s="15"/>
      <c r="CL32" s="15">
        <v>0.8</v>
      </c>
      <c r="CM32" s="15"/>
      <c r="CN32" s="13">
        <f t="shared" si="803"/>
        <v>0</v>
      </c>
      <c r="CO32" s="15"/>
      <c r="CP32" s="15"/>
      <c r="CR32" s="15">
        <v>0.8</v>
      </c>
      <c r="CS32" s="15"/>
      <c r="CT32" s="13">
        <f t="shared" si="804"/>
        <v>0</v>
      </c>
      <c r="CU32" s="15"/>
      <c r="CV32" s="15"/>
      <c r="CX32" s="15">
        <v>0.8</v>
      </c>
      <c r="CY32" s="33"/>
      <c r="CZ32" s="13">
        <f t="shared" si="805"/>
        <v>0</v>
      </c>
      <c r="DA32" s="15"/>
      <c r="DB32" s="15"/>
      <c r="DD32" s="15">
        <v>0.6</v>
      </c>
      <c r="DE32" s="33"/>
      <c r="DF32" s="13">
        <f t="shared" si="806"/>
        <v>0.20000000000000007</v>
      </c>
      <c r="DG32" s="15"/>
      <c r="DH32" s="15"/>
      <c r="DJ32" s="15">
        <v>0.6</v>
      </c>
      <c r="DK32" s="33"/>
      <c r="DL32" s="13">
        <f t="shared" si="807"/>
        <v>0</v>
      </c>
      <c r="DM32" s="15"/>
      <c r="DN32" s="15"/>
      <c r="DP32" s="15">
        <v>0.6</v>
      </c>
      <c r="DQ32" s="33"/>
      <c r="DR32" s="13">
        <f t="shared" si="808"/>
        <v>0</v>
      </c>
      <c r="DS32" s="15"/>
      <c r="DT32" s="15"/>
      <c r="DV32" s="15">
        <v>0.6</v>
      </c>
      <c r="DW32" s="33"/>
      <c r="DX32" s="13">
        <f t="shared" si="809"/>
        <v>0</v>
      </c>
      <c r="DY32" s="15"/>
      <c r="DZ32" s="15"/>
      <c r="EB32" s="15">
        <v>0.6</v>
      </c>
      <c r="EC32" s="33"/>
      <c r="ED32" s="13">
        <f t="shared" si="810"/>
        <v>0</v>
      </c>
      <c r="EE32" s="15"/>
      <c r="EF32" s="15"/>
      <c r="EH32" s="15">
        <v>0.9</v>
      </c>
      <c r="EI32" s="33"/>
      <c r="EJ32" s="13">
        <f t="shared" si="811"/>
        <v>-0.30000000000000004</v>
      </c>
      <c r="EK32" s="15"/>
      <c r="EL32" s="15"/>
      <c r="EN32" s="15">
        <v>0.6</v>
      </c>
      <c r="EO32" s="33"/>
      <c r="EP32" s="13">
        <f t="shared" si="812"/>
        <v>0.30000000000000004</v>
      </c>
      <c r="EQ32" s="15"/>
      <c r="ER32" s="15"/>
      <c r="ET32" s="15">
        <v>0.6</v>
      </c>
      <c r="EU32" s="33"/>
      <c r="EV32" s="13">
        <f t="shared" si="813"/>
        <v>0</v>
      </c>
      <c r="EW32" s="15"/>
      <c r="EX32" s="15"/>
      <c r="EZ32" s="15">
        <v>0.6</v>
      </c>
      <c r="FA32" s="33"/>
      <c r="FB32" s="13">
        <f t="shared" si="814"/>
        <v>0</v>
      </c>
      <c r="FC32" s="15"/>
      <c r="FD32" s="15"/>
      <c r="FF32" s="15">
        <v>0.6</v>
      </c>
      <c r="FG32" s="33"/>
      <c r="FH32" s="13">
        <f>EZ32+FA32-FF32</f>
        <v>0</v>
      </c>
      <c r="FI32" s="15"/>
      <c r="FJ32" s="15"/>
      <c r="FL32" s="15"/>
      <c r="FM32" s="33"/>
      <c r="FN32" s="13">
        <f>FF32+FG32-FL32</f>
        <v>0.6</v>
      </c>
      <c r="FO32" s="15"/>
      <c r="FP32" s="15"/>
      <c r="FR32" s="15">
        <v>0.6</v>
      </c>
      <c r="FS32" s="33"/>
      <c r="FT32" s="13">
        <f>FL32+FM32-FR32</f>
        <v>-0.6</v>
      </c>
      <c r="FU32" s="15"/>
      <c r="FV32" s="15"/>
      <c r="FX32" s="15">
        <v>0.6</v>
      </c>
      <c r="FY32" s="33"/>
      <c r="FZ32" s="13">
        <f>FR32+FS32-FX32</f>
        <v>0</v>
      </c>
      <c r="GA32" s="15"/>
      <c r="GB32" s="15"/>
      <c r="GD32" s="15">
        <v>0.6</v>
      </c>
      <c r="GE32" s="33"/>
      <c r="GF32" s="13">
        <f>FX32+FY32-GD32</f>
        <v>0</v>
      </c>
      <c r="GG32" s="15"/>
      <c r="GH32" s="15"/>
      <c r="GJ32" s="15">
        <v>0.6</v>
      </c>
      <c r="GK32" s="33"/>
      <c r="GL32" s="13">
        <f>GD32+GE32-GJ32</f>
        <v>0</v>
      </c>
      <c r="GM32" s="15"/>
      <c r="GN32" s="15"/>
      <c r="GP32" s="15">
        <v>0.6</v>
      </c>
      <c r="GQ32" s="33"/>
      <c r="GR32" s="13">
        <f>GJ32+GK32-GP32</f>
        <v>0</v>
      </c>
      <c r="GS32" s="15"/>
      <c r="GT32" s="15"/>
      <c r="GV32" s="15">
        <v>0.6</v>
      </c>
      <c r="GW32" s="33"/>
      <c r="GX32" s="13">
        <f>GP32+GQ32-GV32</f>
        <v>0</v>
      </c>
      <c r="GY32" s="15"/>
      <c r="GZ32" s="15"/>
      <c r="HB32" s="15">
        <v>0.6</v>
      </c>
      <c r="HC32" s="33"/>
      <c r="HD32" s="13">
        <f>GV32+GW32-HB32</f>
        <v>0</v>
      </c>
      <c r="HE32" s="15"/>
      <c r="HF32" s="15"/>
      <c r="HH32" s="15">
        <v>0.6</v>
      </c>
      <c r="HI32" s="33"/>
      <c r="HJ32" s="13">
        <f>HB32+HC32-HH32</f>
        <v>0</v>
      </c>
      <c r="HK32" s="15"/>
      <c r="HL32" s="15"/>
      <c r="HN32" s="15">
        <v>0.6</v>
      </c>
      <c r="HO32" s="33"/>
      <c r="HP32" s="13">
        <f>HH32+HI32-HN32</f>
        <v>0</v>
      </c>
      <c r="HQ32" s="15"/>
      <c r="HR32" s="15"/>
      <c r="HT32" s="15">
        <v>0.6</v>
      </c>
      <c r="HU32" s="33"/>
      <c r="HV32" s="13">
        <f>HN32+HO32-HT32</f>
        <v>0</v>
      </c>
      <c r="HW32" s="15"/>
      <c r="HX32" s="15"/>
      <c r="HZ32" s="15">
        <v>0.6</v>
      </c>
      <c r="IA32" s="33"/>
      <c r="IB32" s="13">
        <f>HT32+HU32-HZ32</f>
        <v>0</v>
      </c>
      <c r="IC32" s="15"/>
      <c r="ID32" s="15"/>
      <c r="IF32" s="15">
        <v>0.6</v>
      </c>
      <c r="IG32" s="33"/>
      <c r="IH32" s="13">
        <f>HZ32+IA32-IF32</f>
        <v>0</v>
      </c>
      <c r="II32" s="15"/>
      <c r="IJ32" s="15"/>
      <c r="IL32" s="15">
        <v>0.6</v>
      </c>
      <c r="IM32" s="33"/>
      <c r="IN32" s="13">
        <f>IF32+IG32-IL32</f>
        <v>0</v>
      </c>
      <c r="IO32" s="15"/>
      <c r="IP32" s="15"/>
      <c r="IR32" s="15">
        <v>0.6</v>
      </c>
      <c r="IS32" s="33"/>
      <c r="IT32" s="13">
        <f>IL32+IM32-IR32</f>
        <v>0</v>
      </c>
      <c r="IU32" s="15"/>
      <c r="IV32" s="15"/>
      <c r="IX32" s="15">
        <v>0.6</v>
      </c>
      <c r="IY32" s="33"/>
      <c r="IZ32" s="13">
        <f>IR32+IS32-IX32</f>
        <v>0</v>
      </c>
      <c r="JA32" s="15"/>
      <c r="JB32" s="15"/>
      <c r="JD32" s="15">
        <v>0.6</v>
      </c>
      <c r="JE32" s="33"/>
      <c r="JF32" s="13">
        <f>IX32+IY32-JD32</f>
        <v>0</v>
      </c>
      <c r="JG32" s="15"/>
      <c r="JH32" s="15"/>
      <c r="JJ32" s="15">
        <v>0.6</v>
      </c>
      <c r="JK32" s="33"/>
      <c r="JL32" s="13">
        <f>JD32+JE32-JJ32</f>
        <v>0</v>
      </c>
      <c r="JM32" s="15"/>
      <c r="JN32" s="15"/>
      <c r="JP32" s="15">
        <v>0.6</v>
      </c>
      <c r="JQ32" s="33"/>
      <c r="JR32" s="13">
        <f>JJ32+JK32-JP32</f>
        <v>0</v>
      </c>
      <c r="JS32" s="15"/>
      <c r="JT32" s="15"/>
      <c r="JV32" s="15">
        <v>0.6</v>
      </c>
      <c r="JW32" s="33"/>
      <c r="JX32" s="13">
        <f>JP32+JQ32-JV32</f>
        <v>0</v>
      </c>
      <c r="JY32" s="15"/>
      <c r="JZ32" s="15"/>
      <c r="KB32" s="15">
        <v>0.6</v>
      </c>
      <c r="KC32" s="33"/>
      <c r="KD32" s="13">
        <f>JV32+JW32-KB32</f>
        <v>0</v>
      </c>
      <c r="KE32" s="15"/>
      <c r="KF32" s="15"/>
      <c r="KH32" s="15">
        <v>0.6</v>
      </c>
      <c r="KI32" s="33"/>
      <c r="KJ32" s="13">
        <f>KB32+KC32-KH32</f>
        <v>0</v>
      </c>
      <c r="KK32" s="15"/>
      <c r="KL32" s="15"/>
      <c r="KN32" s="15">
        <v>0.6</v>
      </c>
      <c r="KO32" s="33"/>
      <c r="KP32" s="13">
        <f>KH32+KI32-KN32</f>
        <v>0</v>
      </c>
      <c r="KQ32" s="15"/>
      <c r="KR32" s="15"/>
      <c r="KT32" s="15">
        <v>0.6</v>
      </c>
      <c r="KU32" s="33"/>
      <c r="KV32" s="13">
        <f>KN32+KO32-KT32</f>
        <v>0</v>
      </c>
      <c r="KW32" s="15"/>
      <c r="KX32" s="15"/>
      <c r="KZ32" s="15">
        <v>0.6</v>
      </c>
      <c r="LA32" s="33"/>
      <c r="LB32" s="13">
        <f>KT32+KU32-KZ32</f>
        <v>0</v>
      </c>
      <c r="LC32" s="15"/>
      <c r="LD32" s="15"/>
      <c r="LF32" s="15">
        <v>0.6</v>
      </c>
      <c r="LG32" s="33"/>
      <c r="LH32" s="13">
        <f>KZ32+LA32-LF32</f>
        <v>0</v>
      </c>
      <c r="LI32" s="15"/>
      <c r="LJ32" s="15"/>
      <c r="LL32" s="15">
        <v>0.6</v>
      </c>
      <c r="LM32" s="33"/>
      <c r="LN32" s="13">
        <f>LF32+LG32-LL32</f>
        <v>0</v>
      </c>
      <c r="LO32" s="15"/>
      <c r="LP32" s="15"/>
      <c r="LR32" s="15">
        <v>0.6</v>
      </c>
      <c r="LS32" s="33"/>
      <c r="LT32" s="13">
        <f>LL32+LM32-LR32</f>
        <v>0</v>
      </c>
      <c r="LU32" s="15"/>
      <c r="LV32" s="15"/>
      <c r="LX32" s="15">
        <v>0.6</v>
      </c>
      <c r="LY32" s="33"/>
      <c r="LZ32" s="13">
        <f>LR32+LS32-LX32</f>
        <v>0</v>
      </c>
      <c r="MA32" s="15"/>
      <c r="MB32" s="15"/>
      <c r="MD32" s="15">
        <v>0.6</v>
      </c>
      <c r="ME32" s="33"/>
      <c r="MF32" s="13">
        <f>LX32+LY32-MD32</f>
        <v>0</v>
      </c>
      <c r="MG32" s="15"/>
      <c r="MH32" s="15"/>
      <c r="MJ32" s="15">
        <v>0.6</v>
      </c>
      <c r="MK32" s="33"/>
      <c r="ML32" s="13">
        <f>MD32+ME32-MJ32</f>
        <v>0</v>
      </c>
      <c r="MM32" s="15"/>
      <c r="MN32" s="15"/>
      <c r="MP32" s="15">
        <v>0.6</v>
      </c>
      <c r="MQ32" s="33"/>
      <c r="MR32" s="13">
        <f>MJ32+MK32-MP32</f>
        <v>0</v>
      </c>
      <c r="MS32" s="15"/>
      <c r="MT32" s="15"/>
      <c r="MV32" s="15">
        <v>0.6</v>
      </c>
      <c r="MW32" s="33"/>
      <c r="MX32" s="13">
        <f>MP32+MQ32-MV32</f>
        <v>0</v>
      </c>
      <c r="MY32" s="15"/>
      <c r="MZ32" s="15"/>
      <c r="NB32" s="15">
        <v>0.6</v>
      </c>
      <c r="NC32" s="33"/>
      <c r="ND32" s="13">
        <f>MV32+MW32-NB32</f>
        <v>0</v>
      </c>
      <c r="NE32" s="15"/>
      <c r="NF32" s="15"/>
      <c r="NH32" s="15">
        <v>0.6</v>
      </c>
      <c r="NI32" s="33"/>
      <c r="NJ32" s="13">
        <f>NB32+NC32-NH32</f>
        <v>0</v>
      </c>
      <c r="NK32" s="15"/>
      <c r="NL32" s="15"/>
      <c r="NN32" s="15">
        <v>0.6</v>
      </c>
      <c r="NO32" s="33"/>
      <c r="NP32" s="13">
        <f>NH32+NI32-NN32</f>
        <v>0</v>
      </c>
      <c r="NQ32" s="15"/>
      <c r="NR32" s="15"/>
      <c r="NT32" s="15">
        <v>0.6</v>
      </c>
      <c r="NU32" s="33"/>
      <c r="NV32" s="13">
        <f>NN32+NO32-NT32</f>
        <v>0</v>
      </c>
      <c r="NW32" s="15"/>
      <c r="NX32" s="15"/>
      <c r="NZ32" s="15">
        <v>0.6</v>
      </c>
      <c r="OA32" s="33"/>
      <c r="OB32" s="13">
        <f>NT32+NU32-NZ32</f>
        <v>0</v>
      </c>
      <c r="OC32" s="15"/>
      <c r="OD32" s="15"/>
      <c r="OF32" s="15">
        <v>0.6</v>
      </c>
      <c r="OG32" s="33"/>
      <c r="OH32" s="13">
        <f>NZ32+OA32-OF32</f>
        <v>0</v>
      </c>
      <c r="OI32" s="15"/>
      <c r="OJ32" s="15"/>
      <c r="OL32" s="15">
        <v>0.6</v>
      </c>
      <c r="OM32" s="33"/>
      <c r="ON32" s="13">
        <f>OF32+OG32-OL32</f>
        <v>0</v>
      </c>
      <c r="OO32" s="15"/>
      <c r="OP32" s="15"/>
      <c r="OR32" s="15">
        <v>0.6</v>
      </c>
      <c r="OS32" s="33"/>
      <c r="OT32" s="13">
        <f>OL32+OM32-OR32</f>
        <v>0</v>
      </c>
      <c r="OU32" s="15"/>
      <c r="OV32" s="15"/>
      <c r="OX32" s="15">
        <v>0.6</v>
      </c>
      <c r="OY32" s="33"/>
      <c r="OZ32" s="13">
        <f>OR32+OS32-OX32</f>
        <v>0</v>
      </c>
      <c r="PA32" s="15"/>
      <c r="PB32" s="15"/>
      <c r="PD32" s="15">
        <v>0.9</v>
      </c>
      <c r="PE32" s="33"/>
      <c r="PF32" s="13">
        <f>OX32+OY32-PD32</f>
        <v>-0.30000000000000004</v>
      </c>
      <c r="PG32" s="15"/>
      <c r="PH32" s="15"/>
      <c r="PJ32" s="15">
        <v>0.6</v>
      </c>
      <c r="PK32" s="33"/>
      <c r="PL32" s="13">
        <f>PD32+PE32-PJ32</f>
        <v>0.30000000000000004</v>
      </c>
      <c r="PM32" s="15"/>
      <c r="PN32" s="15"/>
      <c r="PP32" s="15">
        <v>0.8</v>
      </c>
      <c r="PQ32" s="33"/>
      <c r="PR32" s="13">
        <f>PJ32+PK32-PP32</f>
        <v>-0.20000000000000007</v>
      </c>
      <c r="PS32" s="15"/>
      <c r="PT32" s="15"/>
      <c r="PV32" s="15">
        <v>0</v>
      </c>
      <c r="PW32" s="33"/>
      <c r="PX32" s="13">
        <f>PP32+PQ32-PV32</f>
        <v>0.8</v>
      </c>
      <c r="PY32" s="15"/>
      <c r="PZ32" s="15"/>
      <c r="QB32" s="15">
        <v>0</v>
      </c>
      <c r="QC32" s="33"/>
      <c r="QD32" s="13">
        <f>PV32+PW32-QB32</f>
        <v>0</v>
      </c>
      <c r="QE32" s="15"/>
      <c r="QF32" s="15"/>
      <c r="QH32" s="15">
        <v>0</v>
      </c>
      <c r="QI32" s="33"/>
      <c r="QJ32" s="13">
        <f>QB32+QC32-QH32</f>
        <v>0</v>
      </c>
      <c r="QK32" s="15"/>
      <c r="QL32" s="15"/>
      <c r="QN32" s="15">
        <v>0.9</v>
      </c>
      <c r="QO32" s="33"/>
      <c r="QP32" s="13">
        <f>QH32+QI32-QN32</f>
        <v>-0.9</v>
      </c>
      <c r="QQ32" s="15"/>
      <c r="QR32" s="15"/>
      <c r="QT32" s="15">
        <v>0.6</v>
      </c>
      <c r="QU32" s="33"/>
      <c r="QV32" s="13">
        <f>QN32+QO32-QT32</f>
        <v>0.30000000000000004</v>
      </c>
      <c r="QW32" s="15"/>
      <c r="QX32" s="15"/>
      <c r="QZ32" s="15">
        <v>0.9</v>
      </c>
      <c r="RA32" s="33"/>
      <c r="RB32" s="13">
        <f>QT32+QU32-QZ32</f>
        <v>-0.30000000000000004</v>
      </c>
      <c r="RC32" s="15"/>
      <c r="RD32" s="15"/>
      <c r="RF32" s="15">
        <v>0.9</v>
      </c>
      <c r="RG32" s="33"/>
      <c r="RH32" s="13">
        <f>QZ32+RA32-RF32</f>
        <v>0</v>
      </c>
      <c r="RI32" s="15"/>
      <c r="RJ32" s="15"/>
      <c r="RL32" s="15">
        <v>0.9</v>
      </c>
      <c r="RM32" s="33"/>
      <c r="RN32" s="13">
        <f>RF32+RG32-RL32</f>
        <v>0</v>
      </c>
      <c r="RO32" s="15"/>
      <c r="RP32" s="15"/>
      <c r="RR32" s="15">
        <v>0.8</v>
      </c>
      <c r="RS32" s="33"/>
      <c r="RT32" s="13">
        <f>RL32+RM32-RR32</f>
        <v>9.9999999999999978E-2</v>
      </c>
      <c r="RU32" s="15"/>
      <c r="RV32" s="15"/>
      <c r="RX32" s="15">
        <v>0.7</v>
      </c>
      <c r="RY32" s="33"/>
      <c r="RZ32" s="13">
        <f>RR32+RS32-RX32</f>
        <v>0.10000000000000009</v>
      </c>
      <c r="SA32" s="15"/>
      <c r="SB32" s="15"/>
      <c r="SD32" s="15">
        <v>0.6</v>
      </c>
      <c r="SE32" s="33"/>
      <c r="SF32" s="13">
        <f>RX32+RY32-SD32</f>
        <v>9.9999999999999978E-2</v>
      </c>
      <c r="SG32" s="15"/>
      <c r="SH32" s="15"/>
      <c r="SJ32" s="15">
        <v>0.8</v>
      </c>
      <c r="SK32" s="33"/>
      <c r="SL32" s="13">
        <f>SD32+SE32-SJ32</f>
        <v>-0.20000000000000007</v>
      </c>
      <c r="SM32" s="15"/>
      <c r="SN32" s="15"/>
      <c r="SP32" s="15">
        <v>0.5</v>
      </c>
      <c r="SQ32" s="33"/>
      <c r="SR32" s="13">
        <f>SJ32+SK32-SP32</f>
        <v>0.30000000000000004</v>
      </c>
      <c r="SS32" s="15"/>
      <c r="ST32" s="15"/>
      <c r="SV32" s="15">
        <v>0.5</v>
      </c>
      <c r="SW32" s="33"/>
      <c r="SX32" s="13">
        <f>SP32+SQ32-SV32</f>
        <v>0</v>
      </c>
      <c r="SY32" s="15"/>
      <c r="SZ32" s="15"/>
      <c r="TB32" s="15">
        <v>0.9</v>
      </c>
      <c r="TC32" s="33"/>
      <c r="TD32" s="13">
        <f>SV32+SW32-TB32</f>
        <v>-0.4</v>
      </c>
      <c r="TE32" s="15"/>
      <c r="TF32" s="15"/>
      <c r="TH32" s="15">
        <v>0.5</v>
      </c>
      <c r="TI32" s="33"/>
      <c r="TJ32" s="13">
        <f>TB32+TC32-TH32</f>
        <v>0.4</v>
      </c>
      <c r="TK32" s="15"/>
      <c r="TL32" s="15"/>
      <c r="TN32" s="15">
        <v>0.6</v>
      </c>
      <c r="TO32" s="33"/>
      <c r="TP32" s="13">
        <f>TH32+TI32-TN32</f>
        <v>-9.9999999999999978E-2</v>
      </c>
      <c r="TQ32" s="15"/>
      <c r="TR32" s="15"/>
      <c r="TT32" s="15">
        <v>0.6</v>
      </c>
      <c r="TU32" s="33"/>
      <c r="TV32" s="13">
        <f>TN32+TO32-TT32</f>
        <v>0</v>
      </c>
      <c r="TW32" s="15"/>
      <c r="TX32" s="15"/>
      <c r="TZ32" s="15">
        <v>0.6</v>
      </c>
      <c r="UA32" s="33"/>
      <c r="UB32" s="13">
        <f>TT32+TU32-TZ32</f>
        <v>0</v>
      </c>
      <c r="UC32" s="15"/>
      <c r="UD32" s="15"/>
      <c r="UF32" s="15">
        <v>0.6</v>
      </c>
      <c r="UG32" s="33"/>
      <c r="UH32" s="13">
        <f>TZ32+UA32-UF32</f>
        <v>0</v>
      </c>
      <c r="UI32" s="15"/>
      <c r="UJ32" s="15"/>
      <c r="UL32" s="15">
        <v>0.6</v>
      </c>
      <c r="UM32" s="33"/>
      <c r="UN32" s="13">
        <f>UF32+UG32-UL32</f>
        <v>0</v>
      </c>
      <c r="UO32" s="15"/>
      <c r="UP32" s="15"/>
      <c r="UR32" s="15">
        <v>0.6</v>
      </c>
      <c r="US32" s="33"/>
      <c r="UT32" s="13">
        <f>UL32+UM32-UR32</f>
        <v>0</v>
      </c>
      <c r="UU32" s="15"/>
      <c r="UV32" s="15"/>
      <c r="UX32" s="15">
        <v>0.5</v>
      </c>
      <c r="UY32" s="33"/>
      <c r="UZ32" s="13">
        <f>UR32+US32-UX32</f>
        <v>9.9999999999999978E-2</v>
      </c>
      <c r="VA32" s="15"/>
      <c r="VB32" s="15"/>
      <c r="VD32" s="15">
        <v>0.5</v>
      </c>
      <c r="VE32" s="33"/>
      <c r="VF32" s="13">
        <f>UX32+UY32-VD32</f>
        <v>0</v>
      </c>
      <c r="VG32" s="15"/>
      <c r="VH32" s="15"/>
      <c r="VJ32" s="15">
        <v>0.6</v>
      </c>
      <c r="VK32" s="33"/>
      <c r="VL32" s="13">
        <f>VD32+VE32-VJ32</f>
        <v>-9.9999999999999978E-2</v>
      </c>
      <c r="VM32" s="15"/>
      <c r="VN32" s="15"/>
      <c r="VP32" s="15">
        <v>0.6</v>
      </c>
      <c r="VQ32" s="33"/>
      <c r="VR32" s="13">
        <f>VJ32+VK32-VP32</f>
        <v>0</v>
      </c>
      <c r="VS32" s="15"/>
      <c r="VT32" s="15"/>
      <c r="VV32" s="15">
        <v>0.6</v>
      </c>
      <c r="VW32" s="33"/>
      <c r="VX32" s="13">
        <f>VP32+VQ32-VV32</f>
        <v>0</v>
      </c>
      <c r="VY32" s="15"/>
      <c r="VZ32" s="15"/>
      <c r="WB32" s="15">
        <v>0.6</v>
      </c>
      <c r="WC32" s="33"/>
      <c r="WD32" s="13">
        <f>VV32+VW32-WB32</f>
        <v>0</v>
      </c>
      <c r="WE32" s="15"/>
      <c r="WF32" s="15"/>
      <c r="WH32" s="15">
        <v>0.6</v>
      </c>
      <c r="WI32" s="33"/>
      <c r="WJ32" s="13">
        <f>WB32+WC32-WH32</f>
        <v>0</v>
      </c>
      <c r="WK32" s="15"/>
      <c r="WL32" s="15"/>
      <c r="WN32" s="15">
        <v>0.6</v>
      </c>
      <c r="WO32" s="33"/>
      <c r="WP32" s="13">
        <f>WH32+WI32-WN32</f>
        <v>0</v>
      </c>
      <c r="WQ32" s="15"/>
      <c r="WR32" s="15"/>
      <c r="WT32" s="15">
        <v>0.6</v>
      </c>
      <c r="WU32" s="33"/>
      <c r="WV32" s="13">
        <f>WN32+WO32-WT32</f>
        <v>0</v>
      </c>
      <c r="WW32" s="15"/>
      <c r="WX32" s="15"/>
      <c r="WZ32" s="15">
        <v>0.6</v>
      </c>
      <c r="XA32" s="33"/>
      <c r="XB32" s="13">
        <f>WT32+WU32-WZ32</f>
        <v>0</v>
      </c>
      <c r="XC32" s="15"/>
      <c r="XD32" s="15"/>
      <c r="XF32" s="15">
        <v>0.9</v>
      </c>
      <c r="XG32" s="33"/>
      <c r="XH32" s="13">
        <f>WZ32+XA32-XF32</f>
        <v>-0.30000000000000004</v>
      </c>
      <c r="XI32" s="15"/>
      <c r="XJ32" s="15"/>
      <c r="XL32" s="15">
        <v>0</v>
      </c>
      <c r="XM32" s="33"/>
      <c r="XN32" s="13">
        <f>XF32+XG32-XL32</f>
        <v>0.9</v>
      </c>
      <c r="XO32" s="15"/>
      <c r="XP32" s="15"/>
      <c r="XR32" s="15">
        <v>0.4</v>
      </c>
      <c r="XS32" s="33"/>
      <c r="XT32" s="13">
        <f>XL32+XM32-XR32</f>
        <v>-0.4</v>
      </c>
      <c r="XU32" s="15"/>
      <c r="XV32" s="15"/>
      <c r="XX32" s="15">
        <v>0.6</v>
      </c>
      <c r="XY32" s="33"/>
      <c r="XZ32" s="13">
        <f>XR32+XS32-XX32</f>
        <v>-0.19999999999999996</v>
      </c>
      <c r="YA32" s="15"/>
      <c r="YB32" s="15"/>
      <c r="YD32" s="15">
        <v>0.6</v>
      </c>
      <c r="YE32" s="33"/>
      <c r="YF32" s="13">
        <f>XX32+XY32-YD32</f>
        <v>0</v>
      </c>
      <c r="YG32" s="15"/>
      <c r="YH32" s="15"/>
      <c r="YJ32" s="15">
        <v>0.9</v>
      </c>
      <c r="YK32" s="33"/>
      <c r="YL32" s="13">
        <f>YD32+YE32-YJ32</f>
        <v>-0.30000000000000004</v>
      </c>
      <c r="YM32" s="15"/>
      <c r="YN32" s="15"/>
      <c r="YP32" s="15">
        <v>0.6</v>
      </c>
      <c r="YQ32" s="33"/>
      <c r="YR32" s="13">
        <f>YJ32+YK32-YP32</f>
        <v>0.30000000000000004</v>
      </c>
      <c r="YS32" s="15"/>
      <c r="YT32" s="15"/>
      <c r="YV32" s="15">
        <v>0.9</v>
      </c>
      <c r="YW32" s="33"/>
      <c r="YX32" s="13">
        <f>YP32+YQ32-YV32</f>
        <v>-0.30000000000000004</v>
      </c>
      <c r="YY32" s="15"/>
      <c r="YZ32" s="15"/>
      <c r="ZB32" s="15">
        <v>0.4</v>
      </c>
      <c r="ZC32" s="33"/>
      <c r="ZD32" s="13">
        <f>YV32+YW32-ZB32</f>
        <v>0.5</v>
      </c>
      <c r="ZE32" s="15"/>
      <c r="ZF32" s="15"/>
      <c r="ZH32" s="15">
        <v>0.3</v>
      </c>
      <c r="ZI32" s="33"/>
      <c r="ZJ32" s="13">
        <f>ZB32+ZC32-ZH32</f>
        <v>0.10000000000000003</v>
      </c>
      <c r="ZK32" s="15"/>
      <c r="ZL32" s="15"/>
      <c r="ZN32" s="15">
        <v>0.5</v>
      </c>
      <c r="ZO32" s="33"/>
      <c r="ZP32" s="13">
        <f>ZH32+ZI32-ZN32</f>
        <v>-0.2</v>
      </c>
      <c r="ZQ32" s="15"/>
      <c r="ZR32" s="15"/>
      <c r="ZT32" s="15">
        <v>0</v>
      </c>
      <c r="ZU32" s="33"/>
      <c r="ZV32" s="13">
        <f>ZN32+ZO32-ZT32</f>
        <v>0.5</v>
      </c>
      <c r="ZW32" s="15"/>
      <c r="ZX32" s="15"/>
      <c r="ZZ32" s="15">
        <v>0.2</v>
      </c>
      <c r="AAA32" s="33"/>
      <c r="AAB32" s="13">
        <f>ZT32+ZU32-ZZ32</f>
        <v>-0.2</v>
      </c>
      <c r="AAC32" s="15"/>
      <c r="AAD32" s="15"/>
      <c r="AAF32" s="15">
        <v>0.5</v>
      </c>
      <c r="AAG32" s="33"/>
      <c r="AAH32" s="13">
        <f>ZZ32+AAA32-AAF32</f>
        <v>-0.3</v>
      </c>
      <c r="AAI32" s="15"/>
      <c r="AAJ32" s="15"/>
      <c r="AAL32" s="15">
        <v>0.5</v>
      </c>
      <c r="AAM32" s="33"/>
      <c r="AAN32" s="13">
        <f>AAF32+AAG32-AAL32</f>
        <v>0</v>
      </c>
      <c r="AAO32" s="15"/>
      <c r="AAP32" s="15"/>
      <c r="AAR32" s="15">
        <v>0</v>
      </c>
      <c r="AAS32" s="33"/>
      <c r="AAT32" s="13">
        <f>AAL32+AAM32-AAR32</f>
        <v>0.5</v>
      </c>
      <c r="AAU32" s="15"/>
      <c r="AAV32" s="15"/>
      <c r="AAX32" s="15">
        <v>0.5</v>
      </c>
      <c r="AAY32" s="33"/>
      <c r="AAZ32" s="13">
        <f>AAR32+AAS32-AAX32</f>
        <v>-0.5</v>
      </c>
      <c r="ABA32" s="15"/>
      <c r="ABB32" s="15"/>
      <c r="ABD32" s="15">
        <v>0</v>
      </c>
      <c r="ABE32" s="33"/>
      <c r="ABF32" s="13">
        <f>AAX32+AAY32-ABD32</f>
        <v>0.5</v>
      </c>
      <c r="ABG32" s="15"/>
      <c r="ABH32" s="15"/>
      <c r="ABJ32" s="15">
        <v>0.5</v>
      </c>
      <c r="ABK32" s="33"/>
      <c r="ABL32" s="13">
        <f>ABD32+ABE32-ABJ32</f>
        <v>-0.5</v>
      </c>
      <c r="ABM32" s="15"/>
      <c r="ABN32" s="15"/>
      <c r="ABP32" s="15">
        <v>0.6</v>
      </c>
      <c r="ABQ32" s="33"/>
      <c r="ABR32" s="13">
        <f>ABJ32+ABK32-ABP32</f>
        <v>-9.9999999999999978E-2</v>
      </c>
      <c r="ABS32" s="15"/>
      <c r="ABT32" s="15"/>
      <c r="ABV32" s="15">
        <v>0.2</v>
      </c>
      <c r="ABW32" s="33"/>
      <c r="ABX32" s="13">
        <f>ABP32+ABQ32-ABV32</f>
        <v>0.39999999999999997</v>
      </c>
      <c r="ABY32" s="15"/>
      <c r="ABZ32" s="15"/>
      <c r="ACB32" s="15">
        <v>0.2</v>
      </c>
      <c r="ACC32" s="33"/>
      <c r="ACD32" s="13">
        <f>ABV32+ABW32-ACB32</f>
        <v>0</v>
      </c>
      <c r="ACE32" s="15"/>
      <c r="ACF32" s="15"/>
      <c r="ACH32" s="15">
        <v>0.6</v>
      </c>
      <c r="ACI32" s="33"/>
      <c r="ACJ32" s="13">
        <f>ACB32+ACC32-ACH32</f>
        <v>-0.39999999999999997</v>
      </c>
      <c r="ACK32" s="15"/>
      <c r="ACL32" s="15"/>
      <c r="ACN32" s="15">
        <v>0.5</v>
      </c>
      <c r="ACO32" s="33"/>
      <c r="ACP32" s="13">
        <f>ACH32+ACI32-ACN32</f>
        <v>9.9999999999999978E-2</v>
      </c>
      <c r="ACQ32" s="15"/>
      <c r="ACR32" s="15"/>
      <c r="ACT32" s="15">
        <v>0.8</v>
      </c>
      <c r="ACU32" s="33"/>
      <c r="ACV32" s="13">
        <f>ACN32+ACO32-ACT32</f>
        <v>-0.30000000000000004</v>
      </c>
      <c r="ACW32" s="15"/>
      <c r="ACX32" s="15"/>
      <c r="ACZ32" s="15">
        <v>0.8</v>
      </c>
      <c r="ADA32" s="33"/>
      <c r="ADB32" s="13">
        <f>ACT32+ACU32-ACZ32</f>
        <v>0</v>
      </c>
      <c r="ADC32" s="15"/>
      <c r="ADD32" s="15"/>
      <c r="ADF32" s="15">
        <v>0.4</v>
      </c>
      <c r="ADG32" s="33"/>
      <c r="ADH32" s="13">
        <f>ACZ32+ADA32-ADF32</f>
        <v>0.4</v>
      </c>
      <c r="ADI32" s="15"/>
      <c r="ADJ32" s="15"/>
      <c r="ADL32" s="15">
        <v>0.5</v>
      </c>
      <c r="ADM32" s="33"/>
      <c r="ADN32" s="13">
        <f>ADF32+ADG32-ADL32</f>
        <v>-9.9999999999999978E-2</v>
      </c>
      <c r="ADO32" s="15"/>
      <c r="ADP32" s="15"/>
      <c r="ADR32" s="15">
        <v>0.5</v>
      </c>
      <c r="ADS32" s="33"/>
      <c r="ADT32" s="13">
        <f>ADL32+ADM32-ADR32</f>
        <v>0</v>
      </c>
      <c r="ADU32" s="15"/>
      <c r="ADV32" s="15"/>
      <c r="ADX32" s="15">
        <v>0.5</v>
      </c>
      <c r="ADY32" s="33"/>
      <c r="ADZ32" s="13">
        <f>ADR32+ADS32-ADX32</f>
        <v>0</v>
      </c>
      <c r="AEA32" s="15"/>
      <c r="AEB32" s="15"/>
      <c r="AED32" s="15">
        <v>0.5</v>
      </c>
      <c r="AEE32" s="33"/>
      <c r="AEF32" s="13">
        <f>ADX32+ADY32-AED32</f>
        <v>0</v>
      </c>
      <c r="AEG32" s="15"/>
      <c r="AEH32" s="15"/>
      <c r="AEJ32" s="15">
        <v>0.8</v>
      </c>
      <c r="AEK32" s="33"/>
      <c r="AEL32" s="13">
        <f>AED32+AEE32-AEJ32</f>
        <v>-0.30000000000000004</v>
      </c>
      <c r="AEM32" s="15"/>
      <c r="AEN32" s="15"/>
      <c r="AEP32" s="15">
        <v>0.8</v>
      </c>
      <c r="AEQ32" s="33"/>
      <c r="AER32" s="13">
        <f>AEJ32+AEK32-AEP32</f>
        <v>0</v>
      </c>
      <c r="AES32" s="15"/>
      <c r="AET32" s="15"/>
      <c r="AEV32" s="15">
        <v>0.8</v>
      </c>
      <c r="AEW32" s="33"/>
      <c r="AEX32" s="13">
        <f>AEP32+AEQ32-AEV32</f>
        <v>0</v>
      </c>
      <c r="AEY32" s="15"/>
      <c r="AEZ32" s="15"/>
      <c r="AFB32" s="15">
        <v>0.8</v>
      </c>
      <c r="AFC32" s="33"/>
      <c r="AFD32" s="13">
        <f>AEV32+AEW32-AFB32</f>
        <v>0</v>
      </c>
      <c r="AFE32" s="15"/>
      <c r="AFF32" s="15"/>
      <c r="AFH32" s="15">
        <v>0.8</v>
      </c>
      <c r="AFI32" s="33"/>
      <c r="AFJ32" s="13">
        <f>AFB32+AFC32-AFH32</f>
        <v>0</v>
      </c>
      <c r="AFK32" s="15"/>
      <c r="AFL32" s="15"/>
      <c r="AFN32" s="15">
        <v>0.7</v>
      </c>
      <c r="AFO32" s="33"/>
      <c r="AFP32" s="13">
        <f>AFH32+AFI32-AFN32</f>
        <v>0.10000000000000009</v>
      </c>
      <c r="AFQ32" s="15"/>
      <c r="AFR32" s="15"/>
      <c r="AFT32" s="15">
        <v>0.5</v>
      </c>
      <c r="AFU32" s="33"/>
      <c r="AFV32" s="13">
        <f>AFN32+AFO32-AFT32</f>
        <v>0.19999999999999996</v>
      </c>
      <c r="AFW32" s="15"/>
      <c r="AFX32" s="15"/>
      <c r="AFZ32" s="15">
        <v>0.7</v>
      </c>
      <c r="AGA32" s="33"/>
      <c r="AGB32" s="13">
        <f>AFT32+AFU32-AFZ32</f>
        <v>-0.19999999999999996</v>
      </c>
      <c r="AGC32" s="15"/>
      <c r="AGD32" s="15"/>
      <c r="AGF32" s="15">
        <v>0.6</v>
      </c>
      <c r="AGG32" s="33"/>
      <c r="AGH32" s="13">
        <f>AFZ32+AGA32-AGF32</f>
        <v>9.9999999999999978E-2</v>
      </c>
      <c r="AGI32" s="15"/>
      <c r="AGJ32" s="15"/>
      <c r="AGL32" s="15">
        <v>0.7</v>
      </c>
      <c r="AGM32" s="33"/>
      <c r="AGN32" s="13">
        <f>AGF32+AGG32-AGL32</f>
        <v>-9.9999999999999978E-2</v>
      </c>
      <c r="AGO32" s="15"/>
      <c r="AGP32" s="15"/>
      <c r="AGR32" s="15">
        <v>0.8</v>
      </c>
      <c r="AGS32" s="33"/>
      <c r="AGT32" s="13">
        <f>AGL32+AGM32-AGR32</f>
        <v>-0.10000000000000009</v>
      </c>
      <c r="AGU32" s="15"/>
      <c r="AGV32" s="15"/>
      <c r="AGX32" s="15">
        <v>0.7</v>
      </c>
      <c r="AGY32" s="33"/>
      <c r="AGZ32" s="13">
        <f>AGR32+AGS32-AGX32</f>
        <v>0.10000000000000009</v>
      </c>
      <c r="AHA32" s="15"/>
      <c r="AHB32" s="15"/>
      <c r="AHD32" s="15">
        <v>0.7</v>
      </c>
      <c r="AHE32" s="33"/>
      <c r="AHF32" s="13">
        <f>AGX32+AGY32-AHD32</f>
        <v>0</v>
      </c>
      <c r="AHG32" s="15"/>
      <c r="AHH32" s="15"/>
      <c r="AHJ32" s="15">
        <v>0.7</v>
      </c>
      <c r="AHK32" s="33"/>
      <c r="AHL32" s="13">
        <f>AHD32+AHE32-AHJ32</f>
        <v>0</v>
      </c>
      <c r="AHM32" s="15"/>
      <c r="AHN32" s="15"/>
      <c r="AHP32" s="15">
        <v>0.7</v>
      </c>
      <c r="AHQ32" s="33"/>
      <c r="AHR32" s="13">
        <f>AHJ32+AHK32-AHP32</f>
        <v>0</v>
      </c>
      <c r="AHS32" s="15"/>
      <c r="AHT32" s="15"/>
      <c r="AHV32" s="15">
        <v>0.8</v>
      </c>
      <c r="AHW32" s="33"/>
      <c r="AHX32" s="13">
        <f>AHP32+AHQ32-AHV32</f>
        <v>-0.10000000000000009</v>
      </c>
      <c r="AHY32" s="15"/>
      <c r="AHZ32" s="15"/>
      <c r="AIB32" s="15">
        <v>0.9</v>
      </c>
      <c r="AIC32" s="33"/>
      <c r="AID32" s="13">
        <f>AHV32+AHW32-AIB32</f>
        <v>-9.9999999999999978E-2</v>
      </c>
      <c r="AIE32" s="15"/>
      <c r="AIF32" s="15"/>
      <c r="AIH32" s="15">
        <v>0.8</v>
      </c>
      <c r="AII32" s="33"/>
      <c r="AIJ32" s="13">
        <f>AIB32+AIC32-AIH32</f>
        <v>9.9999999999999978E-2</v>
      </c>
      <c r="AIK32" s="15"/>
      <c r="AIL32" s="15"/>
      <c r="AIN32" s="15">
        <v>0.7</v>
      </c>
      <c r="AIO32" s="33"/>
      <c r="AIP32" s="13">
        <f>AIH32+AII32-AIN32</f>
        <v>0.10000000000000009</v>
      </c>
      <c r="AIQ32" s="15"/>
      <c r="AIR32" s="15"/>
      <c r="AIT32" s="15">
        <v>0.3</v>
      </c>
      <c r="AIU32" s="33"/>
      <c r="AIV32" s="13">
        <f>AIN32+AIO32-AIT32</f>
        <v>0.39999999999999997</v>
      </c>
      <c r="AIW32" s="15"/>
      <c r="AIX32" s="15"/>
      <c r="AIZ32" s="15">
        <v>0.7</v>
      </c>
      <c r="AJA32" s="33"/>
      <c r="AJB32" s="13">
        <f>AIT32+AIU32-AIZ32</f>
        <v>-0.39999999999999997</v>
      </c>
      <c r="AJC32" s="15"/>
      <c r="AJD32" s="15"/>
      <c r="AJF32" s="15">
        <v>0.5</v>
      </c>
      <c r="AJG32" s="33"/>
      <c r="AJH32" s="13">
        <f>AIZ32+AJA32-AJF32</f>
        <v>0.19999999999999996</v>
      </c>
      <c r="AJI32" s="15"/>
      <c r="AJJ32" s="15"/>
      <c r="AJL32" s="15">
        <v>0.7</v>
      </c>
      <c r="AJM32" s="33"/>
      <c r="AJN32" s="13">
        <f>AJF32+AJG32-AJL32</f>
        <v>-0.19999999999999996</v>
      </c>
      <c r="AJO32" s="15"/>
      <c r="AJP32" s="15"/>
      <c r="AJR32" s="15">
        <v>0.6</v>
      </c>
      <c r="AJS32" s="33"/>
      <c r="AJT32" s="13">
        <f>AJL32+AJM32-AJR32</f>
        <v>9.9999999999999978E-2</v>
      </c>
      <c r="AJU32" s="15"/>
      <c r="AJV32" s="15"/>
      <c r="AJX32" s="15">
        <v>0.4</v>
      </c>
      <c r="AJY32" s="33"/>
      <c r="AJZ32" s="13">
        <f>AJR32+AJS32-AJX32</f>
        <v>0.19999999999999996</v>
      </c>
      <c r="AKA32" s="15"/>
      <c r="AKB32" s="15"/>
      <c r="AKD32" s="15">
        <v>0.3</v>
      </c>
      <c r="AKE32" s="33"/>
      <c r="AKF32" s="13">
        <f>AJX32+AJY32-AKD32</f>
        <v>0.10000000000000003</v>
      </c>
      <c r="AKG32" s="15"/>
      <c r="AKH32" s="15"/>
      <c r="AKJ32" s="15">
        <v>0.4</v>
      </c>
      <c r="AKK32" s="33"/>
      <c r="AKL32" s="13">
        <f>AKD32+AKE32-AKJ32</f>
        <v>-0.10000000000000003</v>
      </c>
      <c r="AKM32" s="15"/>
      <c r="AKN32" s="15"/>
      <c r="AKP32" s="15">
        <v>0.3</v>
      </c>
      <c r="AKQ32" s="33"/>
      <c r="AKR32" s="13">
        <f>AKJ32+AKK32-AKP32</f>
        <v>0.10000000000000003</v>
      </c>
      <c r="AKS32" s="15"/>
      <c r="AKT32" s="15"/>
      <c r="AKV32" s="15">
        <v>0.3</v>
      </c>
      <c r="AKW32" s="33"/>
      <c r="AKX32" s="13">
        <f>AKP32+AKQ32-AKV32</f>
        <v>0</v>
      </c>
      <c r="AKY32" s="15"/>
      <c r="AKZ32" s="15"/>
      <c r="ALB32" s="15">
        <v>0.2</v>
      </c>
      <c r="ALC32" s="33"/>
      <c r="ALD32" s="13">
        <f>AKV32+AKW32-ALB32</f>
        <v>9.9999999999999978E-2</v>
      </c>
      <c r="ALE32" s="15"/>
      <c r="ALF32" s="15"/>
      <c r="ALH32" s="15">
        <v>0.5</v>
      </c>
      <c r="ALI32" s="33"/>
      <c r="ALJ32" s="13">
        <f>ALB32+ALC32-ALH32</f>
        <v>-0.3</v>
      </c>
      <c r="ALK32" s="15"/>
      <c r="ALL32" s="15"/>
      <c r="ALN32" s="15">
        <v>0.3</v>
      </c>
      <c r="ALO32" s="33"/>
      <c r="ALP32" s="13">
        <f>ALH32+ALI32-ALN32</f>
        <v>0.2</v>
      </c>
      <c r="ALQ32" s="15"/>
      <c r="ALR32" s="15"/>
      <c r="ALT32" s="15">
        <v>0.5</v>
      </c>
      <c r="ALU32" s="33"/>
      <c r="ALV32" s="13">
        <f>ALN32+ALO32-ALT32</f>
        <v>-0.2</v>
      </c>
      <c r="ALW32" s="15"/>
      <c r="ALX32" s="15"/>
      <c r="ALZ32" s="15">
        <v>0.4</v>
      </c>
      <c r="AMA32" s="33"/>
      <c r="AMB32" s="13">
        <f>ALT32+ALU32-ALZ32</f>
        <v>9.9999999999999978E-2</v>
      </c>
      <c r="AMC32" s="15"/>
      <c r="AMD32" s="15"/>
      <c r="AMF32" s="15">
        <v>0.2</v>
      </c>
      <c r="AMG32" s="33"/>
      <c r="AMH32" s="13">
        <f>ALZ32+AMA32-AMF32</f>
        <v>0.2</v>
      </c>
      <c r="AMI32" s="15"/>
      <c r="AMJ32" s="15"/>
      <c r="AML32" s="15">
        <v>0.3</v>
      </c>
      <c r="AMM32" s="33"/>
      <c r="AMN32" s="13">
        <f>AMF32+AMG32-AML32</f>
        <v>-9.9999999999999978E-2</v>
      </c>
      <c r="AMO32" s="15"/>
      <c r="AMP32" s="15"/>
      <c r="AMR32" s="15">
        <v>0.3</v>
      </c>
      <c r="AMS32" s="33"/>
      <c r="AMT32" s="13">
        <f>AML32+AMM32-AMR32</f>
        <v>0</v>
      </c>
      <c r="AMU32" s="15"/>
      <c r="AMV32" s="15"/>
      <c r="AMX32" s="15">
        <v>0.3</v>
      </c>
      <c r="AMY32" s="33"/>
      <c r="AMZ32" s="13">
        <f>AMR32+AMS32-AMX32</f>
        <v>0</v>
      </c>
      <c r="ANA32" s="15"/>
      <c r="ANB32" s="15"/>
      <c r="AND32" s="15">
        <v>0.3</v>
      </c>
      <c r="ANE32" s="33"/>
      <c r="ANF32" s="13">
        <f>AMX32+AMY32-AND32</f>
        <v>0</v>
      </c>
      <c r="ANG32" s="15"/>
      <c r="ANH32" s="15"/>
      <c r="ANJ32" s="15">
        <v>0.2</v>
      </c>
      <c r="ANK32" s="33"/>
      <c r="ANL32" s="13">
        <f>AND32+ANE32-ANJ32</f>
        <v>9.9999999999999978E-2</v>
      </c>
      <c r="ANM32" s="15"/>
      <c r="ANN32" s="15"/>
      <c r="ANP32" s="15">
        <v>0.2</v>
      </c>
      <c r="ANQ32" s="33"/>
      <c r="ANR32" s="13">
        <f>ANJ32+ANK32-ANP32</f>
        <v>0</v>
      </c>
      <c r="ANS32" s="15"/>
      <c r="ANT32" s="15"/>
      <c r="ANV32" s="15">
        <v>0.3</v>
      </c>
      <c r="ANW32" s="33"/>
      <c r="ANX32" s="13">
        <f>ANP32+ANQ32-ANV32</f>
        <v>-9.9999999999999978E-2</v>
      </c>
      <c r="ANY32" s="15"/>
      <c r="ANZ32" s="15"/>
      <c r="AOB32" s="15"/>
      <c r="AOC32" s="33"/>
      <c r="AOD32" s="13">
        <f>ANV32+ANW32-AOB32</f>
        <v>0.3</v>
      </c>
      <c r="AOE32" s="15"/>
      <c r="AOF32" s="15"/>
      <c r="AOH32" s="15"/>
      <c r="AOI32" s="33"/>
      <c r="AOJ32" s="13">
        <f>AOB32+AOC32-AOH32</f>
        <v>0</v>
      </c>
      <c r="AOK32" s="15"/>
      <c r="AOL32" s="15"/>
      <c r="AON32" s="15"/>
      <c r="AOO32" s="33"/>
      <c r="AOP32" s="13">
        <f>AOH32+AOI32-AON32</f>
        <v>0</v>
      </c>
      <c r="AOQ32" s="15"/>
      <c r="AOR32" s="15"/>
    </row>
    <row r="33" spans="1:1020 1026:1080" x14ac:dyDescent="0.25">
      <c r="A33"/>
      <c r="AK33" s="4" t="s">
        <v>45</v>
      </c>
      <c r="AQ33" s="4" t="s">
        <v>45</v>
      </c>
      <c r="AW33" s="4" t="s">
        <v>45</v>
      </c>
      <c r="BC33" s="4" t="s">
        <v>45</v>
      </c>
      <c r="BI33" s="4" t="s">
        <v>45</v>
      </c>
      <c r="BO33" s="4" t="s">
        <v>45</v>
      </c>
    </row>
    <row r="34" spans="1:1020 1026:1080" x14ac:dyDescent="0.25">
      <c r="JD34" s="20" t="s">
        <v>46</v>
      </c>
      <c r="JJ34" s="20" t="s">
        <v>46</v>
      </c>
      <c r="JP34" s="20" t="s">
        <v>46</v>
      </c>
      <c r="JV34" s="20"/>
      <c r="KB34" s="20"/>
      <c r="KH34" s="20"/>
      <c r="KN34" s="20"/>
      <c r="KT34" s="20"/>
      <c r="KZ34" s="20"/>
      <c r="LF34" s="20"/>
      <c r="LL34" s="20"/>
      <c r="LR34" s="20"/>
      <c r="LX34" s="20"/>
      <c r="MD34" s="20"/>
      <c r="MJ34" s="20"/>
      <c r="MP34" s="20"/>
      <c r="MV34" s="20"/>
      <c r="NB34" s="20"/>
      <c r="NH34" s="20"/>
      <c r="NN34" s="20"/>
      <c r="NT34" s="20"/>
      <c r="NZ34" s="20"/>
      <c r="OF34" s="20"/>
      <c r="OL34" s="20"/>
      <c r="OR34" s="20"/>
      <c r="OX34" s="20"/>
      <c r="PD34" s="20"/>
      <c r="PJ34" s="20"/>
      <c r="PP34" s="20"/>
      <c r="PV34" s="20"/>
      <c r="QB34" s="20"/>
      <c r="QH34" s="20"/>
      <c r="QN34" s="20"/>
      <c r="QT34" s="20"/>
      <c r="QZ34" s="20"/>
      <c r="RF34" s="20"/>
      <c r="RL34" s="20"/>
      <c r="RR34" s="20"/>
      <c r="RX34" s="20"/>
      <c r="SD34" s="20"/>
      <c r="SJ34" s="20"/>
      <c r="SP34" s="20"/>
      <c r="SV34" s="20"/>
      <c r="TB34" s="20"/>
      <c r="TH34" s="20"/>
      <c r="TN34" s="20"/>
      <c r="TT34" s="20"/>
      <c r="TZ34" s="20"/>
      <c r="UF34" s="20"/>
      <c r="UL34" s="20"/>
      <c r="UR34" s="20"/>
      <c r="UX34" s="20"/>
      <c r="VD34" s="20"/>
      <c r="VJ34" s="20"/>
      <c r="VP34" s="20"/>
      <c r="VV34" s="20"/>
      <c r="WB34" s="20"/>
      <c r="WH34" s="20"/>
      <c r="WN34" s="20"/>
      <c r="WT34" s="20"/>
      <c r="WZ34" s="20"/>
      <c r="XF34" s="20"/>
      <c r="XL34" s="20"/>
      <c r="XR34" s="20"/>
      <c r="XX34" s="20"/>
      <c r="YD34" s="20"/>
      <c r="YJ34" s="20"/>
      <c r="YP34" s="20"/>
      <c r="YV34" s="20"/>
      <c r="ZB34" s="20"/>
      <c r="ZH34" s="20"/>
      <c r="ZN34" s="20"/>
      <c r="ZT34" s="20"/>
      <c r="ZZ34" s="20"/>
      <c r="AAF34" s="20"/>
      <c r="AAL34" s="20"/>
      <c r="AAR34" s="20"/>
      <c r="AAX34" s="20"/>
      <c r="ABD34" s="20"/>
      <c r="ABJ34" s="20"/>
      <c r="ABP34" s="20"/>
      <c r="ABV34" s="20"/>
      <c r="ACB34" s="20"/>
      <c r="ACH34" s="20"/>
      <c r="ACN34" s="20"/>
      <c r="ACT34" s="20"/>
      <c r="ACZ34" s="20"/>
      <c r="ADF34" s="20"/>
      <c r="ADL34" s="20"/>
      <c r="ADR34" s="20"/>
      <c r="ADX34" s="20"/>
      <c r="AED34" s="20"/>
      <c r="AEJ34" s="20"/>
      <c r="AEP34" s="20"/>
      <c r="AEV34" s="20"/>
      <c r="AFB34" s="20"/>
      <c r="AFH34" s="20"/>
      <c r="AFN34" s="20"/>
      <c r="AFT34" s="20"/>
      <c r="AFZ34" s="20"/>
      <c r="AGF34" s="20"/>
      <c r="AGL34" s="20"/>
      <c r="AGR34" s="20"/>
      <c r="AGX34" s="20"/>
      <c r="AHD34" s="20"/>
      <c r="AHJ34" s="20"/>
      <c r="AHP34" s="20"/>
      <c r="AHV34" s="20"/>
      <c r="AIB34" s="20"/>
      <c r="AIH34" s="20"/>
      <c r="AIN34" s="20"/>
      <c r="AIT34" s="20"/>
      <c r="AIZ34" s="20"/>
      <c r="AJF34" s="20"/>
      <c r="AJL34" s="20"/>
      <c r="AJR34" s="20"/>
      <c r="AJX34" s="20"/>
      <c r="AKD34" s="20"/>
      <c r="AKJ34" s="20"/>
      <c r="AKP34" s="20"/>
      <c r="AKV34" s="20"/>
      <c r="ALB34" s="20"/>
      <c r="ALH34" s="20"/>
      <c r="ALN34" s="20"/>
      <c r="ALT34" s="20"/>
      <c r="ALZ34" s="20"/>
      <c r="AMF34" s="20"/>
      <c r="AML34" s="20"/>
      <c r="AMR34" s="20"/>
      <c r="AMX34" s="20"/>
      <c r="AND34" s="20"/>
      <c r="ANJ34" s="20"/>
      <c r="ANP34" s="20"/>
      <c r="ANV34" s="20"/>
      <c r="AOB34" s="20"/>
      <c r="AOH34" s="20"/>
      <c r="AON34" s="20"/>
    </row>
    <row r="35" spans="1:1020 1026:1080" x14ac:dyDescent="0.25">
      <c r="CZ35" s="4" t="s">
        <v>47</v>
      </c>
    </row>
  </sheetData>
  <mergeCells count="361">
    <mergeCell ref="AOO2:AOP2"/>
    <mergeCell ref="AOQ2:AOR2"/>
    <mergeCell ref="AOC2:AOD2"/>
    <mergeCell ref="AOE2:AOF2"/>
    <mergeCell ref="AOI2:AOJ2"/>
    <mergeCell ref="AOK2:AOL2"/>
    <mergeCell ref="ANW2:ANX2"/>
    <mergeCell ref="ANY2:ANZ2"/>
    <mergeCell ref="ANK2:ANL2"/>
    <mergeCell ref="ANM2:ANN2"/>
    <mergeCell ref="ANE2:ANF2"/>
    <mergeCell ref="ANG2:ANH2"/>
    <mergeCell ref="AMO2:AMP2"/>
    <mergeCell ref="AMG2:AMH2"/>
    <mergeCell ref="AMI2:AMJ2"/>
    <mergeCell ref="ANQ2:ANR2"/>
    <mergeCell ref="ANS2:ANT2"/>
    <mergeCell ref="AMA2:AMB2"/>
    <mergeCell ref="AMC2:AMD2"/>
    <mergeCell ref="AMY2:AMZ2"/>
    <mergeCell ref="ANA2:ANB2"/>
    <mergeCell ref="AMS2:AMT2"/>
    <mergeCell ref="AMU2:AMV2"/>
    <mergeCell ref="ALO2:ALP2"/>
    <mergeCell ref="ALQ2:ALR2"/>
    <mergeCell ref="ALI2:ALJ2"/>
    <mergeCell ref="ALK2:ALL2"/>
    <mergeCell ref="AMM2:AMN2"/>
    <mergeCell ref="ALU2:ALV2"/>
    <mergeCell ref="ALW2:ALX2"/>
    <mergeCell ref="II2:IJ2"/>
    <mergeCell ref="QE2:QF2"/>
    <mergeCell ref="QO2:QP2"/>
    <mergeCell ref="QQ2:QR2"/>
    <mergeCell ref="OS2:OT2"/>
    <mergeCell ref="OU2:OV2"/>
    <mergeCell ref="PW2:PX2"/>
    <mergeCell ref="PY2:PZ2"/>
    <mergeCell ref="PQ2:PR2"/>
    <mergeCell ref="PS2:PT2"/>
    <mergeCell ref="PK2:PL2"/>
    <mergeCell ref="PM2:PN2"/>
    <mergeCell ref="OG2:OH2"/>
    <mergeCell ref="OI2:OJ2"/>
    <mergeCell ref="PE2:PF2"/>
    <mergeCell ref="PG2:PH2"/>
    <mergeCell ref="OY2:OZ2"/>
    <mergeCell ref="PA2:PB2"/>
    <mergeCell ref="MQ2:MR2"/>
    <mergeCell ref="MS2:MT2"/>
    <mergeCell ref="OA2:OB2"/>
    <mergeCell ref="QC2:QD2"/>
    <mergeCell ref="QI2:QJ2"/>
    <mergeCell ref="IA2:IB2"/>
    <mergeCell ref="IC2:ID2"/>
    <mergeCell ref="JQ2:JR2"/>
    <mergeCell ref="JS2:JT2"/>
    <mergeCell ref="ME2:MF2"/>
    <mergeCell ref="OC2:OD2"/>
    <mergeCell ref="LM2:LN2"/>
    <mergeCell ref="LO2:LP2"/>
    <mergeCell ref="JK2:JL2"/>
    <mergeCell ref="JM2:JN2"/>
    <mergeCell ref="KO2:KP2"/>
    <mergeCell ref="KQ2:KR2"/>
    <mergeCell ref="KI2:KJ2"/>
    <mergeCell ref="KK2:KL2"/>
    <mergeCell ref="KC2:KD2"/>
    <mergeCell ref="KE2:KF2"/>
    <mergeCell ref="LI2:LJ2"/>
    <mergeCell ref="LA2:LB2"/>
    <mergeCell ref="LC2:LD2"/>
    <mergeCell ref="JW2:JX2"/>
    <mergeCell ref="JY2:JZ2"/>
    <mergeCell ref="LY2:LZ2"/>
    <mergeCell ref="MA2:MB2"/>
    <mergeCell ref="MG2:MH2"/>
    <mergeCell ref="HU2:HV2"/>
    <mergeCell ref="RM2:RN2"/>
    <mergeCell ref="IM2:IN2"/>
    <mergeCell ref="IO2:IP2"/>
    <mergeCell ref="IG2:IH2"/>
    <mergeCell ref="NU2:NV2"/>
    <mergeCell ref="NW2:NX2"/>
    <mergeCell ref="NQ2:NR2"/>
    <mergeCell ref="NI2:NJ2"/>
    <mergeCell ref="NK2:NL2"/>
    <mergeCell ref="MW2:MX2"/>
    <mergeCell ref="MY2:MZ2"/>
    <mergeCell ref="MK2:ML2"/>
    <mergeCell ref="MM2:MN2"/>
    <mergeCell ref="LS2:LT2"/>
    <mergeCell ref="LU2:LV2"/>
    <mergeCell ref="NC2:ND2"/>
    <mergeCell ref="NE2:NF2"/>
    <mergeCell ref="LG2:LH2"/>
    <mergeCell ref="OM2:ON2"/>
    <mergeCell ref="OO2:OP2"/>
    <mergeCell ref="KU2:KV2"/>
    <mergeCell ref="KW2:KX2"/>
    <mergeCell ref="NO2:NP2"/>
    <mergeCell ref="AG2:AH2"/>
    <mergeCell ref="AQ2:AR2"/>
    <mergeCell ref="AK2:AL2"/>
    <mergeCell ref="AM2:AN2"/>
    <mergeCell ref="BK2:BL2"/>
    <mergeCell ref="BU2:BV2"/>
    <mergeCell ref="DW2:DX2"/>
    <mergeCell ref="EC2:ED2"/>
    <mergeCell ref="EE2:EF2"/>
    <mergeCell ref="DY2:DZ2"/>
    <mergeCell ref="DK2:DL2"/>
    <mergeCell ref="CA2:CB2"/>
    <mergeCell ref="DM2:DN2"/>
    <mergeCell ref="DQ2:DR2"/>
    <mergeCell ref="DS2:DT2"/>
    <mergeCell ref="CC2:CD2"/>
    <mergeCell ref="CS2:CT2"/>
    <mergeCell ref="CU2:CV2"/>
    <mergeCell ref="CI2:CJ2"/>
    <mergeCell ref="AS2:AT2"/>
    <mergeCell ref="DE2:DF2"/>
    <mergeCell ref="DG2:DH2"/>
    <mergeCell ref="CM2:CN2"/>
    <mergeCell ref="BC2:BD2"/>
    <mergeCell ref="A1:D2"/>
    <mergeCell ref="G2:H2"/>
    <mergeCell ref="I2:J2"/>
    <mergeCell ref="M2:N2"/>
    <mergeCell ref="AE2:AF2"/>
    <mergeCell ref="AA2:AB2"/>
    <mergeCell ref="S2:T2"/>
    <mergeCell ref="U2:V2"/>
    <mergeCell ref="Y2:Z2"/>
    <mergeCell ref="O2:P2"/>
    <mergeCell ref="GA2:GB2"/>
    <mergeCell ref="FS2:FT2"/>
    <mergeCell ref="FU2:FV2"/>
    <mergeCell ref="FY2:FZ2"/>
    <mergeCell ref="FM2:FN2"/>
    <mergeCell ref="EW2:EX2"/>
    <mergeCell ref="FO2:FP2"/>
    <mergeCell ref="AW2:AX2"/>
    <mergeCell ref="AY2:AZ2"/>
    <mergeCell ref="CO2:CP2"/>
    <mergeCell ref="BE2:BF2"/>
    <mergeCell ref="CY2:CZ2"/>
    <mergeCell ref="CG2:CH2"/>
    <mergeCell ref="DA2:DB2"/>
    <mergeCell ref="BW2:BX2"/>
    <mergeCell ref="BO2:BP2"/>
    <mergeCell ref="BQ2:BR2"/>
    <mergeCell ref="BI2:BJ2"/>
    <mergeCell ref="EI2:EJ2"/>
    <mergeCell ref="EK2:EL2"/>
    <mergeCell ref="EO2:EP2"/>
    <mergeCell ref="EQ2:ER2"/>
    <mergeCell ref="EU2:EV2"/>
    <mergeCell ref="FI2:FJ2"/>
    <mergeCell ref="FA2:FB2"/>
    <mergeCell ref="FC2:FD2"/>
    <mergeCell ref="FG2:FH2"/>
    <mergeCell ref="JE2:JF2"/>
    <mergeCell ref="JG2:JH2"/>
    <mergeCell ref="GE2:GF2"/>
    <mergeCell ref="GG2:GH2"/>
    <mergeCell ref="GS2:GT2"/>
    <mergeCell ref="GW2:GX2"/>
    <mergeCell ref="GQ2:GR2"/>
    <mergeCell ref="GK2:GL2"/>
    <mergeCell ref="GM2:GN2"/>
    <mergeCell ref="GY2:GZ2"/>
    <mergeCell ref="IY2:IZ2"/>
    <mergeCell ref="HW2:HX2"/>
    <mergeCell ref="IS2:IT2"/>
    <mergeCell ref="HO2:HP2"/>
    <mergeCell ref="HQ2:HR2"/>
    <mergeCell ref="HI2:HJ2"/>
    <mergeCell ref="HK2:HL2"/>
    <mergeCell ref="HC2:HD2"/>
    <mergeCell ref="HE2:HF2"/>
    <mergeCell ref="JA2:JB2"/>
    <mergeCell ref="IU2:IV2"/>
    <mergeCell ref="RG2:RH2"/>
    <mergeCell ref="RI2:RJ2"/>
    <mergeCell ref="RA2:RB2"/>
    <mergeCell ref="RC2:RD2"/>
    <mergeCell ref="QU2:QV2"/>
    <mergeCell ref="QW2:QX2"/>
    <mergeCell ref="QK2:QL2"/>
    <mergeCell ref="RO2:RP2"/>
    <mergeCell ref="SE2:SF2"/>
    <mergeCell ref="SW2:SX2"/>
    <mergeCell ref="SY2:SZ2"/>
    <mergeCell ref="SG2:SH2"/>
    <mergeCell ref="TE2:TF2"/>
    <mergeCell ref="UA2:UB2"/>
    <mergeCell ref="UC2:UD2"/>
    <mergeCell ref="TU2:TV2"/>
    <mergeCell ref="TW2:TX2"/>
    <mergeCell ref="RS2:RT2"/>
    <mergeCell ref="RU2:RV2"/>
    <mergeCell ref="RY2:RZ2"/>
    <mergeCell ref="SA2:SB2"/>
    <mergeCell ref="SQ2:SR2"/>
    <mergeCell ref="SS2:ST2"/>
    <mergeCell ref="SK2:SL2"/>
    <mergeCell ref="SM2:SN2"/>
    <mergeCell ref="TC2:TD2"/>
    <mergeCell ref="TI2:TJ2"/>
    <mergeCell ref="TK2:TL2"/>
    <mergeCell ref="TO2:TP2"/>
    <mergeCell ref="TQ2:TR2"/>
    <mergeCell ref="UM2:UN2"/>
    <mergeCell ref="UO2:UP2"/>
    <mergeCell ref="UG2:UH2"/>
    <mergeCell ref="UI2:UJ2"/>
    <mergeCell ref="VQ2:VR2"/>
    <mergeCell ref="VS2:VT2"/>
    <mergeCell ref="VK2:VL2"/>
    <mergeCell ref="VM2:VN2"/>
    <mergeCell ref="VE2:VF2"/>
    <mergeCell ref="VG2:VH2"/>
    <mergeCell ref="UY2:UZ2"/>
    <mergeCell ref="VA2:VB2"/>
    <mergeCell ref="US2:UT2"/>
    <mergeCell ref="UU2:UV2"/>
    <mergeCell ref="WO2:WP2"/>
    <mergeCell ref="WQ2:WR2"/>
    <mergeCell ref="VW2:VX2"/>
    <mergeCell ref="VY2:VZ2"/>
    <mergeCell ref="XA2:XB2"/>
    <mergeCell ref="XC2:XD2"/>
    <mergeCell ref="WU2:WV2"/>
    <mergeCell ref="WW2:WX2"/>
    <mergeCell ref="YE2:YF2"/>
    <mergeCell ref="XY2:XZ2"/>
    <mergeCell ref="YA2:YB2"/>
    <mergeCell ref="XS2:XT2"/>
    <mergeCell ref="XU2:XV2"/>
    <mergeCell ref="XM2:XN2"/>
    <mergeCell ref="XO2:XP2"/>
    <mergeCell ref="XG2:XH2"/>
    <mergeCell ref="XI2:XJ2"/>
    <mergeCell ref="WI2:WJ2"/>
    <mergeCell ref="WK2:WL2"/>
    <mergeCell ref="WC2:WD2"/>
    <mergeCell ref="WE2:WF2"/>
    <mergeCell ref="AAM2:AAN2"/>
    <mergeCell ref="AAO2:AAP2"/>
    <mergeCell ref="YG2:YH2"/>
    <mergeCell ref="ZC2:ZD2"/>
    <mergeCell ref="ZE2:ZF2"/>
    <mergeCell ref="YW2:YX2"/>
    <mergeCell ref="YY2:YZ2"/>
    <mergeCell ref="ZO2:ZP2"/>
    <mergeCell ref="ZQ2:ZR2"/>
    <mergeCell ref="ZI2:ZJ2"/>
    <mergeCell ref="ZK2:ZL2"/>
    <mergeCell ref="YQ2:YR2"/>
    <mergeCell ref="YS2:YT2"/>
    <mergeCell ref="YK2:YL2"/>
    <mergeCell ref="YM2:YN2"/>
    <mergeCell ref="ZU2:ZV2"/>
    <mergeCell ref="ZW2:ZX2"/>
    <mergeCell ref="AAG2:AAH2"/>
    <mergeCell ref="AAI2:AAJ2"/>
    <mergeCell ref="AAA2:AAB2"/>
    <mergeCell ref="AAC2:AAD2"/>
    <mergeCell ref="ABA2:ABB2"/>
    <mergeCell ref="AAS2:AAT2"/>
    <mergeCell ref="AAU2:AAV2"/>
    <mergeCell ref="ADU2:ADV2"/>
    <mergeCell ref="ADA2:ADB2"/>
    <mergeCell ref="ADC2:ADD2"/>
    <mergeCell ref="ACO2:ACP2"/>
    <mergeCell ref="ABW2:ABX2"/>
    <mergeCell ref="ABY2:ABZ2"/>
    <mergeCell ref="ABQ2:ABR2"/>
    <mergeCell ref="ABS2:ABT2"/>
    <mergeCell ref="ABK2:ABL2"/>
    <mergeCell ref="ABM2:ABN2"/>
    <mergeCell ref="ABE2:ABF2"/>
    <mergeCell ref="ABG2:ABH2"/>
    <mergeCell ref="AAY2:AAZ2"/>
    <mergeCell ref="ACC2:ACD2"/>
    <mergeCell ref="ACQ2:ACR2"/>
    <mergeCell ref="ACI2:ACJ2"/>
    <mergeCell ref="ACK2:ACL2"/>
    <mergeCell ref="ADM2:ADN2"/>
    <mergeCell ref="AEE2:AEF2"/>
    <mergeCell ref="AEG2:AEH2"/>
    <mergeCell ref="ADO2:ADP2"/>
    <mergeCell ref="ADG2:ADH2"/>
    <mergeCell ref="ADI2:ADJ2"/>
    <mergeCell ref="ACU2:ACV2"/>
    <mergeCell ref="ACW2:ACX2"/>
    <mergeCell ref="ACE2:ACF2"/>
    <mergeCell ref="ADY2:ADZ2"/>
    <mergeCell ref="AEA2:AEB2"/>
    <mergeCell ref="ADS2:ADT2"/>
    <mergeCell ref="AEK2:AEL2"/>
    <mergeCell ref="AEM2:AEN2"/>
    <mergeCell ref="AGA2:AGB2"/>
    <mergeCell ref="AGC2:AGD2"/>
    <mergeCell ref="AFU2:AFV2"/>
    <mergeCell ref="AFW2:AFX2"/>
    <mergeCell ref="AFC2:AFD2"/>
    <mergeCell ref="AFE2:AFF2"/>
    <mergeCell ref="AEW2:AEX2"/>
    <mergeCell ref="AEY2:AEZ2"/>
    <mergeCell ref="AFI2:AFJ2"/>
    <mergeCell ref="AFK2:AFL2"/>
    <mergeCell ref="AFO2:AFP2"/>
    <mergeCell ref="AFQ2:AFR2"/>
    <mergeCell ref="AEQ2:AER2"/>
    <mergeCell ref="AES2:AET2"/>
    <mergeCell ref="AHW2:AHX2"/>
    <mergeCell ref="AGG2:AGH2"/>
    <mergeCell ref="AGI2:AGJ2"/>
    <mergeCell ref="AHQ2:AHR2"/>
    <mergeCell ref="AGY2:AGZ2"/>
    <mergeCell ref="AHA2:AHB2"/>
    <mergeCell ref="AIU2:AIV2"/>
    <mergeCell ref="AIW2:AIX2"/>
    <mergeCell ref="AHE2:AHF2"/>
    <mergeCell ref="AHG2:AHH2"/>
    <mergeCell ref="AHS2:AHT2"/>
    <mergeCell ref="AHK2:AHL2"/>
    <mergeCell ref="AHM2:AHN2"/>
    <mergeCell ref="AGS2:AGT2"/>
    <mergeCell ref="AGU2:AGV2"/>
    <mergeCell ref="AGM2:AGN2"/>
    <mergeCell ref="AGO2:AGP2"/>
    <mergeCell ref="AII2:AIJ2"/>
    <mergeCell ref="AIK2:AIL2"/>
    <mergeCell ref="AIC2:AID2"/>
    <mergeCell ref="AIE2:AIF2"/>
    <mergeCell ref="AHY2:AHZ2"/>
    <mergeCell ref="AIO2:AIP2"/>
    <mergeCell ref="AIQ2:AIR2"/>
    <mergeCell ref="ALE2:ALF2"/>
    <mergeCell ref="AKS2:AKT2"/>
    <mergeCell ref="AKK2:AKL2"/>
    <mergeCell ref="AKM2:AKN2"/>
    <mergeCell ref="AJY2:AJZ2"/>
    <mergeCell ref="AKA2:AKB2"/>
    <mergeCell ref="AJA2:AJB2"/>
    <mergeCell ref="AJC2:AJD2"/>
    <mergeCell ref="AKQ2:AKR2"/>
    <mergeCell ref="AKW2:AKX2"/>
    <mergeCell ref="AKY2:AKZ2"/>
    <mergeCell ref="AKE2:AKF2"/>
    <mergeCell ref="AKG2:AKH2"/>
    <mergeCell ref="AJS2:AJT2"/>
    <mergeCell ref="AJU2:AJV2"/>
    <mergeCell ref="AJM2:AJN2"/>
    <mergeCell ref="AJO2:AJP2"/>
    <mergeCell ref="AJG2:AJH2"/>
    <mergeCell ref="AJI2:AJJ2"/>
    <mergeCell ref="ALC2:ALD2"/>
  </mergeCells>
  <pageMargins left="0.25" right="0.25" top="0.79166666666666663" bottom="0.75" header="0.3" footer="0.3"/>
  <pageSetup fitToWidth="0" fitToHeight="0" orientation="landscape" r:id="rId1"/>
  <headerFooter>
    <oddHeader>&amp;L&amp;"-,Bold"&amp;16NORTH&amp;C&amp;"-,Bold"&amp;15PEPSI USAGE&amp;R&amp;"-,Bold"&amp;16FRI for MON - &amp;UAS
&amp;"-,Regular"&amp;11&amp;UGV 7/7/2020</oddHeader>
    <oddFooter>&amp;C&amp;Z&amp;F</oddFooter>
  </headerFooter>
  <ignoredErrors>
    <ignoredError sqref="WR5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A9F28-62D3-4E72-8184-FA500386D35B}">
  <sheetPr>
    <tabColor rgb="FFC00000"/>
  </sheetPr>
  <dimension ref="A1:AOZ21"/>
  <sheetViews>
    <sheetView topLeftCell="AOC1" zoomScaleNormal="100" workbookViewId="0">
      <selection activeCell="AOW24" sqref="AOW24"/>
    </sheetView>
  </sheetViews>
  <sheetFormatPr defaultRowHeight="15" x14ac:dyDescent="0.25"/>
  <cols>
    <col min="1" max="1" width="17.5703125" customWidth="1"/>
    <col min="2" max="2" width="6" style="1" customWidth="1"/>
    <col min="3" max="3" width="4.5703125" customWidth="1"/>
    <col min="4" max="4" width="4.140625" customWidth="1"/>
    <col min="5" max="5" width="6.7109375" style="1" customWidth="1"/>
    <col min="6" max="6" width="4.85546875" style="1" customWidth="1"/>
    <col min="7" max="7" width="3.42578125" customWidth="1"/>
    <col min="8" max="8" width="5.140625" style="1" customWidth="1"/>
    <col min="9" max="9" width="4.85546875" style="1" customWidth="1"/>
    <col min="10" max="10" width="4.42578125" style="1" customWidth="1"/>
    <col min="11" max="11" width="5.7109375" style="1" customWidth="1"/>
    <col min="12" max="12" width="5.5703125" style="1" customWidth="1"/>
    <col min="13" max="13" width="4.28515625" customWidth="1"/>
    <col min="14" max="14" width="6.140625" style="1" customWidth="1"/>
    <col min="15" max="15" width="4.85546875" style="1" customWidth="1"/>
    <col min="16" max="16" width="4.7109375" style="1" customWidth="1"/>
    <col min="17" max="17" width="5.7109375" style="1" customWidth="1"/>
    <col min="18" max="18" width="6.5703125" style="1" customWidth="1"/>
    <col min="19" max="19" width="4.28515625" customWidth="1"/>
    <col min="20" max="20" width="6.140625" style="1" customWidth="1"/>
    <col min="21" max="21" width="4.85546875" style="1" customWidth="1"/>
    <col min="22" max="22" width="4.7109375" style="1" customWidth="1"/>
    <col min="23" max="23" width="5.7109375" style="1" customWidth="1"/>
    <col min="24" max="24" width="6.5703125" style="1" customWidth="1"/>
    <col min="25" max="25" width="2.85546875" customWidth="1"/>
    <col min="26" max="26" width="6.140625" style="1" customWidth="1"/>
    <col min="27" max="27" width="4.85546875" style="1" customWidth="1"/>
    <col min="28" max="28" width="4.7109375" style="1" customWidth="1"/>
    <col min="29" max="29" width="5.7109375" style="1" customWidth="1"/>
    <col min="30" max="30" width="6.5703125" style="1" customWidth="1"/>
    <col min="31" max="31" width="2.85546875" customWidth="1"/>
    <col min="32" max="32" width="6.140625" style="1" customWidth="1"/>
    <col min="33" max="33" width="4.85546875" style="1" customWidth="1"/>
    <col min="34" max="34" width="4.7109375" style="1" customWidth="1"/>
    <col min="35" max="35" width="5.7109375" style="1" customWidth="1"/>
    <col min="36" max="36" width="6.5703125" style="1" customWidth="1"/>
    <col min="37" max="37" width="2.85546875" customWidth="1"/>
    <col min="38" max="38" width="6.140625" style="1" customWidth="1"/>
    <col min="39" max="39" width="4.85546875" style="1" customWidth="1"/>
    <col min="40" max="40" width="4.7109375" style="1" customWidth="1"/>
    <col min="41" max="41" width="5.7109375" style="1" customWidth="1"/>
    <col min="42" max="42" width="6.5703125" style="1" customWidth="1"/>
    <col min="43" max="43" width="2.85546875" customWidth="1"/>
    <col min="44" max="44" width="7.140625" style="1" customWidth="1"/>
    <col min="45" max="45" width="4.85546875" style="1" customWidth="1"/>
    <col min="46" max="46" width="4.7109375" style="1" customWidth="1"/>
    <col min="47" max="47" width="5.7109375" style="1" customWidth="1"/>
    <col min="48" max="48" width="6.5703125" style="1" customWidth="1"/>
    <col min="49" max="49" width="2.85546875" customWidth="1"/>
    <col min="50" max="50" width="7.140625" style="1" customWidth="1"/>
    <col min="51" max="51" width="4.85546875" style="1" customWidth="1"/>
    <col min="52" max="52" width="4.7109375" style="1" customWidth="1"/>
    <col min="53" max="53" width="5.7109375" style="1" customWidth="1"/>
    <col min="54" max="54" width="6.5703125" style="1" customWidth="1"/>
    <col min="55" max="55" width="2.85546875" customWidth="1"/>
    <col min="56" max="56" width="7.140625" style="1" customWidth="1"/>
    <col min="57" max="57" width="4.85546875" style="1" customWidth="1"/>
    <col min="58" max="58" width="4.7109375" style="1" customWidth="1"/>
    <col min="59" max="59" width="5.7109375" style="1" customWidth="1"/>
    <col min="60" max="60" width="6.5703125" style="1" customWidth="1"/>
    <col min="61" max="61" width="2.85546875" customWidth="1"/>
    <col min="62" max="62" width="7.140625" style="1" customWidth="1"/>
    <col min="63" max="63" width="4.85546875" style="1" customWidth="1"/>
    <col min="64" max="64" width="4.7109375" style="1" customWidth="1"/>
    <col min="65" max="65" width="5.7109375" style="1" customWidth="1"/>
    <col min="66" max="66" width="4.7109375" style="1" customWidth="1"/>
    <col min="67" max="67" width="2.85546875" customWidth="1"/>
    <col min="68" max="68" width="7.140625" style="1" customWidth="1"/>
    <col min="69" max="69" width="4.85546875" style="1" customWidth="1"/>
    <col min="70" max="70" width="4.7109375" style="1" customWidth="1"/>
    <col min="71" max="71" width="5.7109375" style="1" customWidth="1"/>
    <col min="72" max="72" width="4.7109375" style="1" customWidth="1"/>
    <col min="73" max="73" width="2.85546875" customWidth="1"/>
    <col min="74" max="74" width="7.140625" style="1" customWidth="1"/>
    <col min="75" max="75" width="4.85546875" style="1" customWidth="1"/>
    <col min="76" max="76" width="4.7109375" style="1" customWidth="1"/>
    <col min="77" max="77" width="5.7109375" style="1" customWidth="1"/>
    <col min="78" max="78" width="5.5703125" style="1" customWidth="1"/>
    <col min="79" max="79" width="2.85546875" customWidth="1"/>
    <col min="80" max="80" width="7.140625" style="1" customWidth="1"/>
    <col min="81" max="81" width="4.85546875" style="1" customWidth="1"/>
    <col min="82" max="82" width="4.7109375" style="1" customWidth="1"/>
    <col min="83" max="83" width="5.7109375" style="1" customWidth="1"/>
    <col min="84" max="84" width="5.5703125" style="1" customWidth="1"/>
    <col min="85" max="85" width="2.85546875" customWidth="1"/>
    <col min="86" max="86" width="7.140625" style="1" customWidth="1"/>
    <col min="87" max="87" width="4.85546875" style="1" customWidth="1"/>
    <col min="88" max="88" width="4.7109375" style="1" customWidth="1"/>
    <col min="89" max="89" width="5.7109375" style="1" customWidth="1"/>
    <col min="90" max="90" width="5.5703125" style="1" customWidth="1"/>
    <col min="91" max="91" width="2.85546875" customWidth="1"/>
    <col min="92" max="92" width="7.140625" style="1" customWidth="1"/>
    <col min="93" max="93" width="4.85546875" style="1" customWidth="1"/>
    <col min="94" max="94" width="4.7109375" style="1" customWidth="1"/>
    <col min="95" max="95" width="5.7109375" style="1" customWidth="1"/>
    <col min="96" max="96" width="5.5703125" style="1" customWidth="1"/>
    <col min="97" max="97" width="2.85546875" customWidth="1"/>
    <col min="98" max="98" width="7.140625" style="1" customWidth="1"/>
    <col min="99" max="99" width="4.85546875" style="1" customWidth="1"/>
    <col min="100" max="100" width="4.7109375" style="1" customWidth="1"/>
    <col min="101" max="101" width="5.7109375" style="1" customWidth="1"/>
    <col min="102" max="102" width="5.5703125" style="1" customWidth="1"/>
    <col min="103" max="103" width="2.85546875" customWidth="1"/>
    <col min="104" max="104" width="7.140625" style="1" customWidth="1"/>
    <col min="105" max="105" width="4.85546875" style="1" customWidth="1"/>
    <col min="106" max="106" width="4.7109375" style="1" customWidth="1"/>
    <col min="107" max="107" width="5.7109375" style="1" customWidth="1"/>
    <col min="108" max="108" width="5.5703125" style="1" customWidth="1"/>
    <col min="109" max="109" width="2.85546875" customWidth="1"/>
    <col min="110" max="110" width="7.140625" style="1" customWidth="1"/>
    <col min="111" max="111" width="4.85546875" style="1" customWidth="1"/>
    <col min="112" max="112" width="4.7109375" style="1" customWidth="1"/>
    <col min="113" max="113" width="5.7109375" style="1" customWidth="1"/>
    <col min="114" max="114" width="5.5703125" style="1" customWidth="1"/>
    <col min="115" max="115" width="2.85546875" customWidth="1"/>
    <col min="116" max="116" width="7.140625" style="1" customWidth="1"/>
    <col min="117" max="117" width="4.85546875" style="1" customWidth="1"/>
    <col min="118" max="118" width="4.7109375" style="1" customWidth="1"/>
    <col min="119" max="119" width="5.7109375" style="1" customWidth="1"/>
    <col min="120" max="120" width="5.5703125" style="1" customWidth="1"/>
    <col min="121" max="121" width="2.85546875" customWidth="1"/>
    <col min="122" max="122" width="7.140625" style="1" customWidth="1"/>
    <col min="123" max="123" width="4.85546875" style="1" customWidth="1"/>
    <col min="124" max="124" width="4.7109375" style="1" customWidth="1"/>
    <col min="125" max="125" width="5.7109375" style="1" customWidth="1"/>
    <col min="126" max="126" width="5.5703125" style="1" customWidth="1"/>
    <col min="127" max="127" width="2.85546875" customWidth="1"/>
    <col min="128" max="128" width="7.140625" style="1" customWidth="1"/>
    <col min="129" max="129" width="4.85546875" style="1" customWidth="1"/>
    <col min="130" max="130" width="4.7109375" style="1" customWidth="1"/>
    <col min="131" max="131" width="5.7109375" style="1" customWidth="1"/>
    <col min="132" max="132" width="5.5703125" style="1" customWidth="1"/>
    <col min="133" max="133" width="2.85546875" customWidth="1"/>
    <col min="134" max="134" width="7.140625" style="1" customWidth="1"/>
    <col min="135" max="135" width="4.85546875" style="1" customWidth="1"/>
    <col min="136" max="136" width="4.7109375" style="1" customWidth="1"/>
    <col min="137" max="137" width="5.7109375" style="1" customWidth="1"/>
    <col min="138" max="138" width="5.5703125" style="1" customWidth="1"/>
    <col min="139" max="139" width="2.85546875" customWidth="1"/>
    <col min="140" max="140" width="7.140625" style="1" customWidth="1"/>
    <col min="141" max="141" width="4.85546875" style="1" customWidth="1"/>
    <col min="142" max="142" width="4.7109375" style="1" customWidth="1"/>
    <col min="143" max="143" width="5.7109375" style="1" customWidth="1"/>
    <col min="144" max="144" width="5.5703125" style="1" customWidth="1"/>
    <col min="145" max="145" width="2.85546875" customWidth="1"/>
    <col min="146" max="146" width="7.140625" style="1" customWidth="1"/>
    <col min="147" max="147" width="4.85546875" style="1" customWidth="1"/>
    <col min="148" max="148" width="4.7109375" style="1" customWidth="1"/>
    <col min="149" max="149" width="5.7109375" style="1" customWidth="1"/>
    <col min="150" max="150" width="5.5703125" style="1" customWidth="1"/>
    <col min="151" max="151" width="2.85546875" customWidth="1"/>
    <col min="152" max="152" width="7.140625" style="1" customWidth="1"/>
    <col min="153" max="153" width="4.85546875" style="1" customWidth="1"/>
    <col min="154" max="154" width="4.7109375" style="1" customWidth="1"/>
    <col min="155" max="155" width="5.7109375" style="1" customWidth="1"/>
    <col min="156" max="156" width="5.5703125" style="1" customWidth="1"/>
    <col min="157" max="157" width="2.85546875" customWidth="1"/>
    <col min="158" max="158" width="7.140625" style="1" customWidth="1"/>
    <col min="159" max="159" width="4.85546875" style="1" customWidth="1"/>
    <col min="160" max="160" width="4.7109375" style="1" customWidth="1"/>
    <col min="161" max="161" width="5.7109375" style="1" customWidth="1"/>
    <col min="162" max="162" width="5.5703125" style="1" customWidth="1"/>
    <col min="163" max="163" width="2.85546875" customWidth="1"/>
    <col min="164" max="164" width="7.140625" style="1" customWidth="1"/>
    <col min="165" max="165" width="4.85546875" style="1" customWidth="1"/>
    <col min="166" max="166" width="4.7109375" style="1" customWidth="1"/>
    <col min="167" max="167" width="5.7109375" style="1" customWidth="1"/>
    <col min="168" max="168" width="5.5703125" style="1" customWidth="1"/>
    <col min="169" max="169" width="2.85546875" customWidth="1"/>
    <col min="170" max="170" width="7.140625" style="1" customWidth="1"/>
    <col min="171" max="171" width="4.85546875" style="1" customWidth="1"/>
    <col min="172" max="172" width="4.7109375" style="1" customWidth="1"/>
    <col min="173" max="173" width="5.7109375" style="1" customWidth="1"/>
    <col min="174" max="174" width="5.5703125" style="1" customWidth="1"/>
    <col min="175" max="175" width="2.85546875" customWidth="1"/>
    <col min="176" max="176" width="7.140625" style="1" customWidth="1"/>
    <col min="177" max="177" width="4.85546875" style="1" customWidth="1"/>
    <col min="178" max="178" width="4.7109375" style="1" customWidth="1"/>
    <col min="179" max="179" width="5.7109375" style="1" customWidth="1"/>
    <col min="180" max="180" width="5.5703125" style="1" customWidth="1"/>
    <col min="181" max="181" width="2.85546875" customWidth="1"/>
    <col min="182" max="182" width="7.140625" style="1" customWidth="1"/>
    <col min="183" max="183" width="4.85546875" style="1" customWidth="1"/>
    <col min="184" max="184" width="4.7109375" style="1" customWidth="1"/>
    <col min="185" max="185" width="5.7109375" style="1" customWidth="1"/>
    <col min="186" max="186" width="5.5703125" style="1" customWidth="1"/>
    <col min="187" max="187" width="2.85546875" customWidth="1"/>
    <col min="188" max="188" width="7.140625" style="1" customWidth="1"/>
    <col min="189" max="189" width="4.85546875" style="1" customWidth="1"/>
    <col min="190" max="190" width="5.28515625" style="1" customWidth="1"/>
    <col min="191" max="191" width="5.7109375" style="1" customWidth="1"/>
    <col min="192" max="192" width="5.5703125" style="1" customWidth="1"/>
    <col min="193" max="193" width="2.85546875" customWidth="1"/>
    <col min="194" max="194" width="7.140625" style="1" customWidth="1"/>
    <col min="195" max="195" width="4.85546875" style="1" customWidth="1"/>
    <col min="196" max="196" width="5.28515625" style="1" customWidth="1"/>
    <col min="197" max="197" width="5.7109375" style="1" customWidth="1"/>
    <col min="198" max="198" width="5.5703125" style="1" customWidth="1"/>
    <col min="199" max="199" width="2.85546875" customWidth="1"/>
    <col min="200" max="200" width="7.140625" style="1" customWidth="1"/>
    <col min="201" max="201" width="4.85546875" style="1" customWidth="1"/>
    <col min="202" max="202" width="5.28515625" style="1" customWidth="1"/>
    <col min="203" max="203" width="5.7109375" style="1" customWidth="1"/>
    <col min="204" max="204" width="5.5703125" style="1" customWidth="1"/>
    <col min="205" max="205" width="2.85546875" customWidth="1"/>
    <col min="206" max="206" width="7.140625" style="1" customWidth="1"/>
    <col min="207" max="207" width="4.85546875" style="1" customWidth="1"/>
    <col min="208" max="208" width="5.28515625" style="1" customWidth="1"/>
    <col min="209" max="209" width="5.7109375" style="1" customWidth="1"/>
    <col min="210" max="210" width="5.5703125" style="1" customWidth="1"/>
    <col min="211" max="211" width="2.85546875" customWidth="1"/>
    <col min="212" max="212" width="7.140625" style="1" customWidth="1"/>
    <col min="213" max="213" width="4.85546875" style="1" customWidth="1"/>
    <col min="214" max="214" width="5.28515625" style="1" customWidth="1"/>
    <col min="215" max="215" width="5.7109375" style="1" customWidth="1"/>
    <col min="216" max="216" width="5.5703125" style="1" customWidth="1"/>
    <col min="217" max="217" width="2.85546875" customWidth="1"/>
    <col min="218" max="218" width="7.140625" style="1" customWidth="1"/>
    <col min="219" max="219" width="4.85546875" style="1" customWidth="1"/>
    <col min="220" max="220" width="5.28515625" style="1" customWidth="1"/>
    <col min="221" max="221" width="5.7109375" style="1" customWidth="1"/>
    <col min="222" max="222" width="5.5703125" style="1" customWidth="1"/>
    <col min="223" max="223" width="2.85546875" customWidth="1"/>
    <col min="224" max="224" width="7.140625" style="1" customWidth="1"/>
    <col min="225" max="225" width="4.85546875" style="1" customWidth="1"/>
    <col min="226" max="226" width="5.28515625" style="1" customWidth="1"/>
    <col min="227" max="227" width="5.7109375" style="1" customWidth="1"/>
    <col min="228" max="228" width="5.5703125" style="1" customWidth="1"/>
    <col min="229" max="229" width="2.85546875" customWidth="1"/>
    <col min="230" max="230" width="7.140625" style="1" customWidth="1"/>
    <col min="231" max="231" width="4.85546875" style="1" customWidth="1"/>
    <col min="232" max="232" width="5.28515625" style="1" customWidth="1"/>
    <col min="233" max="233" width="5.7109375" style="1" customWidth="1"/>
    <col min="234" max="234" width="5.5703125" style="1" customWidth="1"/>
    <col min="235" max="235" width="2.85546875" customWidth="1"/>
    <col min="236" max="236" width="7.140625" style="1" customWidth="1"/>
    <col min="237" max="237" width="4.85546875" style="1" customWidth="1"/>
    <col min="238" max="238" width="5.28515625" style="1" customWidth="1"/>
    <col min="239" max="239" width="5.7109375" style="1" customWidth="1"/>
    <col min="240" max="240" width="5.5703125" style="1" customWidth="1"/>
    <col min="241" max="241" width="2.85546875" customWidth="1"/>
    <col min="242" max="242" width="7.140625" style="1" customWidth="1"/>
    <col min="243" max="243" width="4.85546875" style="1" customWidth="1"/>
    <col min="244" max="244" width="5.28515625" style="1" customWidth="1"/>
    <col min="245" max="245" width="5.7109375" style="1" customWidth="1"/>
    <col min="246" max="246" width="5.5703125" style="1" customWidth="1"/>
    <col min="247" max="247" width="2.85546875" customWidth="1"/>
    <col min="248" max="248" width="7.140625" style="1" customWidth="1"/>
    <col min="249" max="249" width="4.85546875" style="1" customWidth="1"/>
    <col min="250" max="250" width="5.28515625" style="1" customWidth="1"/>
    <col min="251" max="251" width="5.7109375" style="1" customWidth="1"/>
    <col min="252" max="252" width="5.5703125" style="1" customWidth="1"/>
    <col min="253" max="253" width="2.85546875" customWidth="1"/>
    <col min="254" max="254" width="7.140625" style="1" customWidth="1"/>
    <col min="255" max="255" width="4.85546875" style="1" customWidth="1"/>
    <col min="256" max="256" width="5.28515625" style="1" customWidth="1"/>
    <col min="257" max="257" width="5.7109375" style="1" customWidth="1"/>
    <col min="258" max="258" width="5.5703125" style="1" customWidth="1"/>
    <col min="259" max="259" width="2.85546875" customWidth="1"/>
    <col min="260" max="260" width="7.140625" style="1" customWidth="1"/>
    <col min="261" max="261" width="4.85546875" style="1" customWidth="1"/>
    <col min="262" max="262" width="5.28515625" style="1" customWidth="1"/>
    <col min="263" max="263" width="5.7109375" style="1" customWidth="1"/>
    <col min="264" max="264" width="5.5703125" style="1" customWidth="1"/>
    <col min="265" max="265" width="2.85546875" customWidth="1"/>
    <col min="266" max="266" width="7.140625" style="1" customWidth="1"/>
    <col min="267" max="267" width="4.85546875" style="1" customWidth="1"/>
    <col min="268" max="268" width="5.28515625" style="1" customWidth="1"/>
    <col min="269" max="269" width="5.7109375" style="1" customWidth="1"/>
    <col min="270" max="270" width="5.5703125" style="1" customWidth="1"/>
    <col min="271" max="271" width="2.85546875" customWidth="1"/>
    <col min="272" max="272" width="7.140625" style="1" customWidth="1"/>
    <col min="273" max="273" width="4.85546875" style="1" customWidth="1"/>
    <col min="274" max="274" width="5.28515625" style="1" customWidth="1"/>
    <col min="275" max="275" width="5.7109375" style="1" customWidth="1"/>
    <col min="276" max="276" width="5.5703125" style="1" customWidth="1"/>
    <col min="277" max="277" width="2.85546875" customWidth="1"/>
    <col min="278" max="278" width="7.42578125" style="1" customWidth="1"/>
    <col min="279" max="279" width="4.85546875" style="1" customWidth="1"/>
    <col min="280" max="280" width="5.28515625" style="1" customWidth="1"/>
    <col min="281" max="281" width="5.7109375" style="1" customWidth="1"/>
    <col min="282" max="282" width="5.5703125" style="1" customWidth="1"/>
    <col min="283" max="283" width="2.85546875" customWidth="1"/>
    <col min="284" max="284" width="7.42578125" style="1" customWidth="1"/>
    <col min="285" max="285" width="4.85546875" style="1" customWidth="1"/>
    <col min="286" max="286" width="5.28515625" style="1" customWidth="1"/>
    <col min="287" max="287" width="5.7109375" style="1" customWidth="1"/>
    <col min="288" max="288" width="5.5703125" style="1" customWidth="1"/>
    <col min="289" max="289" width="2.85546875" customWidth="1"/>
    <col min="290" max="290" width="7.42578125" style="1" customWidth="1"/>
    <col min="291" max="291" width="4.85546875" style="1" customWidth="1"/>
    <col min="292" max="292" width="5.28515625" style="1" customWidth="1"/>
    <col min="293" max="293" width="5.7109375" style="1" customWidth="1"/>
    <col min="294" max="294" width="5.5703125" style="1" customWidth="1"/>
    <col min="295" max="295" width="2.85546875" customWidth="1"/>
    <col min="296" max="296" width="7.42578125" style="1" customWidth="1"/>
    <col min="297" max="297" width="4.85546875" style="1" customWidth="1"/>
    <col min="298" max="298" width="5.28515625" style="1" customWidth="1"/>
    <col min="299" max="299" width="5.7109375" style="1" customWidth="1"/>
    <col min="300" max="300" width="5.5703125" style="1" customWidth="1"/>
    <col min="301" max="301" width="2.85546875" customWidth="1"/>
    <col min="302" max="302" width="7.42578125" style="1" customWidth="1"/>
    <col min="303" max="303" width="4.85546875" style="1" customWidth="1"/>
    <col min="304" max="304" width="5.28515625" style="1" customWidth="1"/>
    <col min="305" max="305" width="5.7109375" style="1" customWidth="1"/>
    <col min="306" max="306" width="5.5703125" style="1" customWidth="1"/>
    <col min="307" max="307" width="2.85546875" customWidth="1"/>
    <col min="308" max="308" width="7.42578125" style="1" customWidth="1"/>
    <col min="309" max="309" width="4.85546875" style="1" customWidth="1"/>
    <col min="310" max="310" width="5.28515625" style="1" customWidth="1"/>
    <col min="311" max="311" width="5.7109375" style="1" customWidth="1"/>
    <col min="312" max="312" width="5.5703125" style="1" customWidth="1"/>
    <col min="313" max="313" width="2.85546875" customWidth="1"/>
    <col min="314" max="314" width="7.42578125" style="1" customWidth="1"/>
    <col min="315" max="315" width="4.85546875" style="1" customWidth="1"/>
    <col min="316" max="316" width="5.28515625" style="1" customWidth="1"/>
    <col min="317" max="317" width="5.7109375" style="1" customWidth="1"/>
    <col min="318" max="318" width="5.5703125" style="1" customWidth="1"/>
    <col min="319" max="319" width="2.85546875" customWidth="1"/>
    <col min="320" max="320" width="7.42578125" style="1" customWidth="1"/>
    <col min="321" max="321" width="4.85546875" style="1" customWidth="1"/>
    <col min="322" max="322" width="5.28515625" style="1" customWidth="1"/>
    <col min="323" max="323" width="5.7109375" style="1" customWidth="1"/>
    <col min="324" max="324" width="5.5703125" style="1" customWidth="1"/>
    <col min="325" max="325" width="2.85546875" customWidth="1"/>
    <col min="326" max="326" width="7.42578125" style="1" customWidth="1"/>
    <col min="327" max="327" width="4.85546875" style="1" customWidth="1"/>
    <col min="328" max="328" width="5.28515625" style="1" customWidth="1"/>
    <col min="329" max="329" width="5.7109375" style="1" customWidth="1"/>
    <col min="330" max="330" width="5.5703125" style="1" customWidth="1"/>
    <col min="331" max="331" width="2.85546875" customWidth="1"/>
    <col min="332" max="332" width="7.42578125" style="1" customWidth="1"/>
    <col min="333" max="333" width="4.85546875" style="1" customWidth="1"/>
    <col min="334" max="334" width="5.28515625" style="1" customWidth="1"/>
    <col min="335" max="335" width="5.7109375" style="1" customWidth="1"/>
    <col min="336" max="336" width="5.5703125" style="1" customWidth="1"/>
    <col min="337" max="337" width="2.85546875" customWidth="1"/>
    <col min="338" max="338" width="7.42578125" style="1" customWidth="1"/>
    <col min="339" max="339" width="4.85546875" style="1" customWidth="1"/>
    <col min="340" max="340" width="5.28515625" style="1" customWidth="1"/>
    <col min="341" max="341" width="5.7109375" style="1" customWidth="1"/>
    <col min="342" max="342" width="5.5703125" style="1" customWidth="1"/>
    <col min="343" max="343" width="2.85546875" customWidth="1"/>
    <col min="344" max="344" width="7.42578125" style="1" customWidth="1"/>
    <col min="345" max="345" width="4.85546875" style="1" customWidth="1"/>
    <col min="346" max="346" width="5.28515625" style="1" customWidth="1"/>
    <col min="347" max="347" width="5.7109375" style="1" customWidth="1"/>
    <col min="348" max="348" width="5.5703125" style="1" customWidth="1"/>
    <col min="349" max="349" width="2.85546875" customWidth="1"/>
    <col min="350" max="350" width="7.42578125" style="1" customWidth="1"/>
    <col min="351" max="351" width="4.85546875" style="1" customWidth="1"/>
    <col min="352" max="352" width="5.28515625" style="1" customWidth="1"/>
    <col min="353" max="353" width="5.7109375" style="1" customWidth="1"/>
    <col min="354" max="354" width="5.5703125" style="1" customWidth="1"/>
    <col min="355" max="355" width="2.85546875" customWidth="1"/>
    <col min="356" max="356" width="7.42578125" style="1" customWidth="1"/>
    <col min="357" max="357" width="4.85546875" style="1" customWidth="1"/>
    <col min="358" max="358" width="5.28515625" style="1" customWidth="1"/>
    <col min="359" max="359" width="5.7109375" style="1" customWidth="1"/>
    <col min="360" max="360" width="5.5703125" style="1" customWidth="1"/>
    <col min="361" max="361" width="2.85546875" customWidth="1"/>
    <col min="362" max="362" width="7.42578125" style="1" customWidth="1"/>
    <col min="363" max="363" width="4.85546875" style="1" customWidth="1"/>
    <col min="364" max="364" width="5.28515625" style="1" customWidth="1"/>
    <col min="365" max="365" width="5.7109375" style="1" customWidth="1"/>
    <col min="366" max="366" width="5.5703125" style="1" customWidth="1"/>
    <col min="367" max="367" width="2.85546875" customWidth="1"/>
    <col min="368" max="368" width="7.42578125" style="1" customWidth="1"/>
    <col min="369" max="369" width="4.85546875" style="1" customWidth="1"/>
    <col min="370" max="370" width="5.28515625" style="1" customWidth="1"/>
    <col min="371" max="371" width="5.7109375" style="1" customWidth="1"/>
    <col min="372" max="372" width="5.5703125" style="1" customWidth="1"/>
    <col min="373" max="373" width="2.85546875" customWidth="1"/>
    <col min="374" max="374" width="7.42578125" style="1" customWidth="1"/>
    <col min="375" max="375" width="4.85546875" style="1" customWidth="1"/>
    <col min="376" max="376" width="5.28515625" style="1" customWidth="1"/>
    <col min="377" max="377" width="5.7109375" style="1" customWidth="1"/>
    <col min="378" max="378" width="5.5703125" style="1" customWidth="1"/>
    <col min="379" max="379" width="2.85546875" customWidth="1"/>
    <col min="380" max="380" width="7.42578125" style="1" customWidth="1"/>
    <col min="381" max="381" width="4.85546875" style="1" customWidth="1"/>
    <col min="382" max="382" width="5.28515625" style="1" customWidth="1"/>
    <col min="383" max="383" width="5.7109375" style="1" customWidth="1"/>
    <col min="384" max="384" width="5.5703125" style="1" customWidth="1"/>
    <col min="385" max="385" width="2.85546875" customWidth="1"/>
    <col min="386" max="386" width="7.42578125" style="1" customWidth="1"/>
    <col min="387" max="387" width="4.85546875" style="1" customWidth="1"/>
    <col min="388" max="388" width="5.28515625" style="1" customWidth="1"/>
    <col min="389" max="389" width="5.7109375" style="1" customWidth="1"/>
    <col min="390" max="390" width="5.5703125" style="1" customWidth="1"/>
    <col min="391" max="391" width="2.85546875" customWidth="1"/>
    <col min="392" max="392" width="7.42578125" style="1" customWidth="1"/>
    <col min="393" max="393" width="4.85546875" style="1" customWidth="1"/>
    <col min="394" max="394" width="5.28515625" style="1" customWidth="1"/>
    <col min="395" max="395" width="5.7109375" style="1" customWidth="1"/>
    <col min="396" max="396" width="5.5703125" style="1" customWidth="1"/>
    <col min="397" max="397" width="2.85546875" customWidth="1"/>
    <col min="398" max="398" width="7.42578125" style="1" customWidth="1"/>
    <col min="399" max="399" width="4.85546875" style="1" customWidth="1"/>
    <col min="400" max="400" width="5.28515625" style="1" customWidth="1"/>
    <col min="401" max="401" width="5.7109375" style="1" customWidth="1"/>
    <col min="402" max="402" width="5.5703125" style="1" customWidth="1"/>
    <col min="403" max="403" width="2.85546875" customWidth="1"/>
    <col min="404" max="404" width="7.42578125" style="1" customWidth="1"/>
    <col min="405" max="405" width="4.85546875" style="1" customWidth="1"/>
    <col min="406" max="406" width="5.28515625" style="1" customWidth="1"/>
    <col min="407" max="407" width="5.7109375" style="1" customWidth="1"/>
    <col min="408" max="408" width="5.5703125" style="1" customWidth="1"/>
    <col min="409" max="409" width="2.85546875" customWidth="1"/>
    <col min="410" max="410" width="7.42578125" style="1" customWidth="1"/>
    <col min="411" max="411" width="4.85546875" style="1" customWidth="1"/>
    <col min="412" max="412" width="5.28515625" style="1" customWidth="1"/>
    <col min="413" max="413" width="5.7109375" style="1" customWidth="1"/>
    <col min="414" max="414" width="5.5703125" style="1" customWidth="1"/>
    <col min="415" max="415" width="2.85546875" customWidth="1"/>
    <col min="416" max="416" width="7.42578125" style="1" customWidth="1"/>
    <col min="417" max="417" width="4.85546875" style="1" customWidth="1"/>
    <col min="418" max="418" width="5.28515625" style="1" customWidth="1"/>
    <col min="419" max="419" width="5.7109375" style="1" customWidth="1"/>
    <col min="420" max="420" width="5.5703125" style="1" customWidth="1"/>
    <col min="421" max="421" width="2.85546875" customWidth="1"/>
    <col min="422" max="422" width="7.42578125" style="1" customWidth="1"/>
    <col min="423" max="423" width="4.85546875" style="1" customWidth="1"/>
    <col min="424" max="424" width="5.28515625" style="1" customWidth="1"/>
    <col min="425" max="425" width="5.7109375" style="1" customWidth="1"/>
    <col min="426" max="426" width="5.5703125" style="1" customWidth="1"/>
    <col min="427" max="427" width="2.85546875" customWidth="1"/>
    <col min="428" max="428" width="7.42578125" style="1" customWidth="1"/>
    <col min="429" max="429" width="4.85546875" style="1" customWidth="1"/>
    <col min="430" max="430" width="5.28515625" style="1" customWidth="1"/>
    <col min="431" max="431" width="5.7109375" style="1" customWidth="1"/>
    <col min="432" max="432" width="5.5703125" style="1" customWidth="1"/>
    <col min="433" max="433" width="2.85546875" customWidth="1"/>
    <col min="434" max="434" width="7.42578125" style="1" customWidth="1"/>
    <col min="435" max="435" width="4.85546875" style="1" customWidth="1"/>
    <col min="436" max="436" width="5.28515625" style="1" customWidth="1"/>
    <col min="437" max="437" width="5.7109375" style="1" customWidth="1"/>
    <col min="438" max="438" width="5.5703125" style="1" customWidth="1"/>
    <col min="439" max="439" width="2.85546875" customWidth="1"/>
    <col min="440" max="440" width="7.42578125" style="1" customWidth="1"/>
    <col min="441" max="441" width="4.85546875" style="1" customWidth="1"/>
    <col min="442" max="442" width="5.28515625" style="1" customWidth="1"/>
    <col min="443" max="443" width="5.7109375" style="1" customWidth="1"/>
    <col min="444" max="444" width="5.5703125" style="1" customWidth="1"/>
    <col min="445" max="445" width="2.85546875" customWidth="1"/>
    <col min="446" max="446" width="7.42578125" style="1" customWidth="1"/>
    <col min="447" max="447" width="4.85546875" style="1" customWidth="1"/>
    <col min="448" max="448" width="5.28515625" style="1" customWidth="1"/>
    <col min="449" max="449" width="5.7109375" style="1" customWidth="1"/>
    <col min="450" max="450" width="5.5703125" style="1" customWidth="1"/>
    <col min="451" max="451" width="2.85546875" customWidth="1"/>
    <col min="452" max="452" width="7.42578125" style="1" customWidth="1"/>
    <col min="453" max="453" width="4.85546875" style="1" customWidth="1"/>
    <col min="454" max="454" width="5.28515625" style="1" customWidth="1"/>
    <col min="455" max="455" width="5.7109375" style="1" customWidth="1"/>
    <col min="456" max="456" width="5.5703125" style="1" customWidth="1"/>
    <col min="457" max="457" width="2.85546875" customWidth="1"/>
    <col min="458" max="458" width="7.42578125" style="1" customWidth="1"/>
    <col min="459" max="459" width="4.85546875" style="1" customWidth="1"/>
    <col min="460" max="460" width="5.28515625" style="1" customWidth="1"/>
    <col min="461" max="461" width="5.7109375" style="1" customWidth="1"/>
    <col min="462" max="462" width="5.5703125" style="1" customWidth="1"/>
    <col min="463" max="463" width="2.85546875" customWidth="1"/>
    <col min="464" max="464" width="7.42578125" style="1" customWidth="1"/>
    <col min="465" max="465" width="4.85546875" style="1" customWidth="1"/>
    <col min="466" max="466" width="5.28515625" style="1" customWidth="1"/>
    <col min="467" max="467" width="5.7109375" style="1" customWidth="1"/>
    <col min="468" max="468" width="5.5703125" style="1" customWidth="1"/>
    <col min="469" max="469" width="2.85546875" customWidth="1"/>
    <col min="470" max="470" width="7.42578125" style="1" customWidth="1"/>
    <col min="471" max="471" width="4.85546875" style="1" customWidth="1"/>
    <col min="472" max="472" width="5.28515625" style="1" customWidth="1"/>
    <col min="473" max="473" width="5.7109375" style="1" customWidth="1"/>
    <col min="474" max="474" width="5.5703125" style="1" customWidth="1"/>
    <col min="475" max="475" width="2.85546875" customWidth="1"/>
    <col min="476" max="476" width="7.42578125" style="1" customWidth="1"/>
    <col min="477" max="477" width="4.85546875" style="1" customWidth="1"/>
    <col min="478" max="478" width="5.28515625" style="1" customWidth="1"/>
    <col min="479" max="479" width="5.7109375" style="1" customWidth="1"/>
    <col min="480" max="480" width="5.5703125" style="1" customWidth="1"/>
    <col min="481" max="481" width="2.85546875" customWidth="1"/>
    <col min="482" max="482" width="7.42578125" style="1" customWidth="1"/>
    <col min="483" max="483" width="4.85546875" style="1" customWidth="1"/>
    <col min="484" max="484" width="5.28515625" style="1" customWidth="1"/>
    <col min="485" max="485" width="5.7109375" style="1" customWidth="1"/>
    <col min="486" max="486" width="5.5703125" style="1" customWidth="1"/>
    <col min="487" max="487" width="2.85546875" customWidth="1"/>
    <col min="488" max="488" width="7.42578125" style="1" customWidth="1"/>
    <col min="489" max="489" width="4.85546875" style="1" customWidth="1"/>
    <col min="490" max="490" width="5.28515625" style="1" customWidth="1"/>
    <col min="491" max="491" width="5.7109375" style="1" customWidth="1"/>
    <col min="492" max="492" width="5.5703125" style="1" customWidth="1"/>
    <col min="493" max="493" width="2.85546875" customWidth="1"/>
    <col min="494" max="494" width="7.42578125" style="1" customWidth="1"/>
    <col min="495" max="495" width="4.85546875" style="1" customWidth="1"/>
    <col min="496" max="496" width="5.28515625" style="1" customWidth="1"/>
    <col min="497" max="497" width="5.7109375" style="1" customWidth="1"/>
    <col min="498" max="498" width="5.5703125" style="1" customWidth="1"/>
    <col min="499" max="499" width="2.85546875" customWidth="1"/>
    <col min="500" max="500" width="7.42578125" style="1" customWidth="1"/>
    <col min="501" max="501" width="4.85546875" style="1" customWidth="1"/>
    <col min="502" max="502" width="5.28515625" style="1" customWidth="1"/>
    <col min="503" max="503" width="5.7109375" style="1" customWidth="1"/>
    <col min="504" max="504" width="5.5703125" style="1" customWidth="1"/>
    <col min="505" max="505" width="2.85546875" customWidth="1"/>
    <col min="506" max="506" width="7.42578125" style="1" customWidth="1"/>
    <col min="507" max="507" width="4.85546875" style="1" customWidth="1"/>
    <col min="508" max="508" width="5.28515625" style="1" customWidth="1"/>
    <col min="509" max="509" width="5.7109375" style="1" customWidth="1"/>
    <col min="510" max="510" width="5.5703125" style="1" customWidth="1"/>
    <col min="511" max="511" width="2.85546875" customWidth="1"/>
    <col min="512" max="512" width="7.42578125" style="1" customWidth="1"/>
    <col min="513" max="513" width="4.85546875" style="1" customWidth="1"/>
    <col min="514" max="514" width="5.28515625" style="1" customWidth="1"/>
    <col min="515" max="515" width="5.7109375" style="1" customWidth="1"/>
    <col min="516" max="516" width="5.5703125" style="1" customWidth="1"/>
    <col min="517" max="517" width="2.85546875" customWidth="1"/>
    <col min="518" max="518" width="7.42578125" style="1" customWidth="1"/>
    <col min="519" max="519" width="4.85546875" style="1" customWidth="1"/>
    <col min="520" max="520" width="5.28515625" style="1" customWidth="1"/>
    <col min="521" max="521" width="5.7109375" style="1" customWidth="1"/>
    <col min="522" max="522" width="5.5703125" style="1" customWidth="1"/>
    <col min="523" max="523" width="2.85546875" customWidth="1"/>
    <col min="524" max="524" width="7.42578125" style="1" customWidth="1"/>
    <col min="525" max="525" width="4.85546875" style="1" customWidth="1"/>
    <col min="526" max="526" width="5.28515625" style="1" customWidth="1"/>
    <col min="527" max="527" width="5.7109375" style="1" customWidth="1"/>
    <col min="528" max="528" width="5.5703125" style="1" customWidth="1"/>
    <col min="529" max="529" width="2.85546875" customWidth="1"/>
    <col min="530" max="530" width="7.42578125" style="1" customWidth="1"/>
    <col min="531" max="531" width="4.85546875" style="1" customWidth="1"/>
    <col min="532" max="532" width="5.28515625" style="1" customWidth="1"/>
    <col min="533" max="533" width="5.7109375" style="1" customWidth="1"/>
    <col min="534" max="534" width="5.5703125" style="1" customWidth="1"/>
    <col min="535" max="535" width="2.85546875" customWidth="1"/>
    <col min="536" max="536" width="7.42578125" style="1" customWidth="1"/>
    <col min="537" max="537" width="4.85546875" style="1" customWidth="1"/>
    <col min="538" max="538" width="5.28515625" style="1" customWidth="1"/>
    <col min="539" max="539" width="5.7109375" style="1" customWidth="1"/>
    <col min="540" max="540" width="5.5703125" style="1" customWidth="1"/>
    <col min="541" max="541" width="2.85546875" customWidth="1"/>
    <col min="542" max="542" width="7.42578125" style="1" customWidth="1"/>
    <col min="543" max="543" width="4.85546875" style="1" customWidth="1"/>
    <col min="544" max="544" width="5.28515625" style="1" customWidth="1"/>
    <col min="545" max="545" width="5.7109375" style="1" customWidth="1"/>
    <col min="546" max="546" width="5.5703125" style="1" customWidth="1"/>
    <col min="547" max="547" width="2.85546875" customWidth="1"/>
    <col min="548" max="548" width="7.42578125" style="1" customWidth="1"/>
    <col min="549" max="549" width="4.85546875" style="1" customWidth="1"/>
    <col min="550" max="550" width="5.28515625" style="1" customWidth="1"/>
    <col min="551" max="551" width="5.7109375" style="1" customWidth="1"/>
    <col min="552" max="552" width="5.5703125" style="1" customWidth="1"/>
    <col min="553" max="553" width="2.85546875" customWidth="1"/>
    <col min="554" max="554" width="7.42578125" style="1" customWidth="1"/>
    <col min="555" max="555" width="4.85546875" style="1" customWidth="1"/>
    <col min="556" max="556" width="5.28515625" style="1" customWidth="1"/>
    <col min="557" max="557" width="5.7109375" style="1" customWidth="1"/>
    <col min="558" max="558" width="5.5703125" style="1" customWidth="1"/>
    <col min="559" max="559" width="2.85546875" customWidth="1"/>
    <col min="560" max="560" width="7.42578125" style="1" customWidth="1"/>
    <col min="561" max="561" width="4.85546875" style="1" customWidth="1"/>
    <col min="562" max="562" width="5.28515625" style="1" customWidth="1"/>
    <col min="563" max="563" width="5.7109375" style="1" customWidth="1"/>
    <col min="564" max="564" width="5.5703125" style="1" customWidth="1"/>
    <col min="565" max="565" width="2.85546875" customWidth="1"/>
    <col min="566" max="566" width="7.42578125" style="1" customWidth="1"/>
    <col min="567" max="567" width="4.85546875" style="1" customWidth="1"/>
    <col min="568" max="568" width="5.28515625" style="1" customWidth="1"/>
    <col min="569" max="569" width="5.7109375" style="1" customWidth="1"/>
    <col min="570" max="570" width="5.5703125" style="1" customWidth="1"/>
    <col min="571" max="571" width="2.85546875" customWidth="1"/>
    <col min="572" max="572" width="7.42578125" style="1" customWidth="1"/>
    <col min="573" max="573" width="4.85546875" style="1" customWidth="1"/>
    <col min="574" max="574" width="5.28515625" style="1" customWidth="1"/>
    <col min="575" max="575" width="5.7109375" style="1" customWidth="1"/>
    <col min="576" max="576" width="5.5703125" style="1" customWidth="1"/>
    <col min="577" max="577" width="2.85546875" customWidth="1"/>
    <col min="578" max="578" width="7.42578125" style="1" customWidth="1"/>
    <col min="579" max="579" width="4.85546875" style="1" customWidth="1"/>
    <col min="580" max="580" width="5.28515625" style="1" customWidth="1"/>
    <col min="581" max="581" width="5.7109375" style="1" customWidth="1"/>
    <col min="582" max="582" width="5.5703125" style="1" customWidth="1"/>
    <col min="583" max="583" width="2.85546875" customWidth="1"/>
    <col min="584" max="584" width="7.42578125" style="1" customWidth="1"/>
    <col min="585" max="585" width="4.85546875" style="1" customWidth="1"/>
    <col min="586" max="586" width="5.28515625" style="1" customWidth="1"/>
    <col min="587" max="587" width="5.7109375" style="1" customWidth="1"/>
    <col min="588" max="588" width="5.5703125" style="1" customWidth="1"/>
    <col min="589" max="589" width="2.85546875" customWidth="1"/>
    <col min="590" max="590" width="7.42578125" style="1" customWidth="1"/>
    <col min="591" max="591" width="4.85546875" style="1" customWidth="1"/>
    <col min="592" max="592" width="5.28515625" style="1" customWidth="1"/>
    <col min="593" max="593" width="5.7109375" style="1" customWidth="1"/>
    <col min="594" max="594" width="5.5703125" style="1" customWidth="1"/>
    <col min="595" max="595" width="2.85546875" customWidth="1"/>
    <col min="596" max="596" width="7.42578125" style="1" customWidth="1"/>
    <col min="597" max="597" width="4.85546875" style="1" customWidth="1"/>
    <col min="598" max="598" width="5.28515625" style="1" customWidth="1"/>
    <col min="599" max="599" width="5.7109375" style="1" customWidth="1"/>
    <col min="600" max="600" width="5.5703125" style="1" customWidth="1"/>
    <col min="601" max="601" width="2.85546875" customWidth="1"/>
    <col min="602" max="602" width="7.42578125" style="1" customWidth="1"/>
    <col min="603" max="603" width="4.85546875" style="1" customWidth="1"/>
    <col min="604" max="604" width="5.28515625" style="1" customWidth="1"/>
    <col min="605" max="605" width="5.7109375" style="1" customWidth="1"/>
    <col min="606" max="606" width="5.5703125" style="1" customWidth="1"/>
    <col min="607" max="607" width="2.85546875" customWidth="1"/>
    <col min="608" max="608" width="7.42578125" style="1" customWidth="1"/>
    <col min="609" max="609" width="4.85546875" style="1" customWidth="1"/>
    <col min="610" max="610" width="5.28515625" style="1" customWidth="1"/>
    <col min="611" max="611" width="5.7109375" style="1" customWidth="1"/>
    <col min="612" max="612" width="5.5703125" style="1" customWidth="1"/>
    <col min="613" max="613" width="2.85546875" customWidth="1"/>
    <col min="614" max="614" width="7.42578125" style="1" customWidth="1"/>
    <col min="615" max="615" width="4.85546875" style="1" customWidth="1"/>
    <col min="616" max="616" width="5.28515625" style="1" customWidth="1"/>
    <col min="617" max="617" width="5.7109375" style="1" customWidth="1"/>
    <col min="618" max="618" width="5.5703125" style="1" customWidth="1"/>
    <col min="619" max="619" width="2.85546875" customWidth="1"/>
    <col min="620" max="620" width="7.42578125" style="1" customWidth="1"/>
    <col min="621" max="621" width="4.85546875" style="1" customWidth="1"/>
    <col min="622" max="622" width="5.28515625" style="1" customWidth="1"/>
    <col min="623" max="623" width="5.7109375" style="1" customWidth="1"/>
    <col min="624" max="624" width="4.7109375" style="1" customWidth="1"/>
    <col min="625" max="625" width="2.85546875" customWidth="1"/>
    <col min="626" max="626" width="7.42578125" style="1" customWidth="1"/>
    <col min="627" max="627" width="4.85546875" style="1" customWidth="1"/>
    <col min="628" max="628" width="5.28515625" style="1" customWidth="1"/>
    <col min="629" max="629" width="5.7109375" style="1" customWidth="1"/>
    <col min="630" max="630" width="4.7109375" style="1" customWidth="1"/>
    <col min="631" max="631" width="2.85546875" customWidth="1"/>
    <col min="632" max="632" width="7.42578125" style="1" customWidth="1"/>
    <col min="633" max="633" width="4.85546875" style="1" customWidth="1"/>
    <col min="634" max="634" width="5.28515625" style="1" customWidth="1"/>
    <col min="635" max="635" width="5.7109375" style="1" customWidth="1"/>
    <col min="636" max="636" width="4.7109375" style="1" customWidth="1"/>
    <col min="637" max="637" width="2.85546875" customWidth="1"/>
    <col min="638" max="638" width="7.42578125" style="1" customWidth="1"/>
    <col min="639" max="639" width="4.85546875" style="1" customWidth="1"/>
    <col min="640" max="640" width="5.28515625" style="1" customWidth="1"/>
    <col min="641" max="641" width="5.7109375" style="1" customWidth="1"/>
    <col min="642" max="642" width="4.7109375" style="1" customWidth="1"/>
    <col min="643" max="643" width="2.85546875" customWidth="1"/>
    <col min="644" max="644" width="7.42578125" style="1" customWidth="1"/>
    <col min="645" max="645" width="4.85546875" style="1" customWidth="1"/>
    <col min="646" max="646" width="5.28515625" style="1" customWidth="1"/>
    <col min="647" max="647" width="5.7109375" style="1" customWidth="1"/>
    <col min="648" max="648" width="4.7109375" style="1" customWidth="1"/>
    <col min="649" max="649" width="2.85546875" customWidth="1"/>
    <col min="650" max="650" width="7.42578125" style="1" customWidth="1"/>
    <col min="651" max="651" width="4.85546875" style="1" customWidth="1"/>
    <col min="652" max="652" width="5.28515625" style="1" customWidth="1"/>
    <col min="653" max="653" width="5.7109375" style="1" customWidth="1"/>
    <col min="654" max="654" width="4.7109375" style="1" customWidth="1"/>
    <col min="655" max="655" width="2.85546875" customWidth="1"/>
    <col min="656" max="656" width="7.42578125" style="1" customWidth="1"/>
    <col min="657" max="657" width="4.85546875" style="1" customWidth="1"/>
    <col min="658" max="658" width="5.28515625" style="1" customWidth="1"/>
    <col min="659" max="659" width="5.7109375" style="1" customWidth="1"/>
    <col min="660" max="660" width="4.7109375" style="1" customWidth="1"/>
    <col min="661" max="661" width="2.85546875" customWidth="1"/>
    <col min="662" max="662" width="7.42578125" style="1" customWidth="1"/>
    <col min="663" max="663" width="4.85546875" style="1" customWidth="1"/>
    <col min="664" max="664" width="5.28515625" style="1" customWidth="1"/>
    <col min="665" max="665" width="5.7109375" style="1" customWidth="1"/>
    <col min="666" max="666" width="4.7109375" style="1" customWidth="1"/>
    <col min="667" max="667" width="2.85546875" customWidth="1"/>
    <col min="668" max="668" width="7.42578125" style="1" customWidth="1"/>
    <col min="669" max="669" width="4.85546875" style="1" customWidth="1"/>
    <col min="670" max="670" width="5.28515625" style="1" customWidth="1"/>
    <col min="671" max="671" width="5.7109375" style="1" customWidth="1"/>
    <col min="672" max="672" width="4.7109375" style="1" customWidth="1"/>
    <col min="673" max="673" width="2.85546875" customWidth="1"/>
    <col min="674" max="674" width="7.42578125" style="1" customWidth="1"/>
    <col min="675" max="675" width="4.85546875" style="1" customWidth="1"/>
    <col min="676" max="676" width="5.28515625" style="1" customWidth="1"/>
    <col min="677" max="677" width="5.7109375" style="1" customWidth="1"/>
    <col min="678" max="678" width="4.7109375" style="1" customWidth="1"/>
    <col min="679" max="679" width="2.85546875" customWidth="1"/>
    <col min="680" max="680" width="7.42578125" style="1" customWidth="1"/>
    <col min="681" max="681" width="4.85546875" style="1" customWidth="1"/>
    <col min="682" max="682" width="5.28515625" style="1" customWidth="1"/>
    <col min="683" max="683" width="5.7109375" style="1" customWidth="1"/>
    <col min="684" max="684" width="4.7109375" style="1" customWidth="1"/>
    <col min="685" max="685" width="2.85546875" customWidth="1"/>
    <col min="686" max="686" width="7.42578125" style="1" customWidth="1"/>
    <col min="687" max="687" width="4.85546875" style="1" customWidth="1"/>
    <col min="688" max="688" width="5.28515625" style="1" customWidth="1"/>
    <col min="689" max="689" width="5.7109375" style="1" customWidth="1"/>
    <col min="690" max="690" width="4.7109375" style="1" customWidth="1"/>
    <col min="691" max="691" width="2.85546875" customWidth="1"/>
    <col min="692" max="692" width="7.42578125" style="1" customWidth="1"/>
    <col min="693" max="693" width="4.85546875" style="1" customWidth="1"/>
    <col min="694" max="694" width="5.28515625" style="1" customWidth="1"/>
    <col min="695" max="695" width="5.7109375" style="1" customWidth="1"/>
    <col min="696" max="696" width="4.7109375" style="1" customWidth="1"/>
    <col min="697" max="697" width="2.85546875" customWidth="1"/>
    <col min="698" max="698" width="7.42578125" style="1" customWidth="1"/>
    <col min="699" max="699" width="4.85546875" style="1" customWidth="1"/>
    <col min="700" max="700" width="5.28515625" style="1" customWidth="1"/>
    <col min="701" max="701" width="5.7109375" style="1" customWidth="1"/>
    <col min="702" max="702" width="4.7109375" style="1" customWidth="1"/>
    <col min="703" max="703" width="2.85546875" customWidth="1"/>
    <col min="704" max="704" width="7.42578125" style="1" customWidth="1"/>
    <col min="705" max="705" width="4.85546875" style="1" customWidth="1"/>
    <col min="706" max="706" width="5.28515625" style="1" customWidth="1"/>
    <col min="707" max="707" width="5.7109375" style="1" customWidth="1"/>
    <col min="708" max="708" width="4.7109375" style="1" customWidth="1"/>
    <col min="709" max="709" width="2.85546875" customWidth="1"/>
    <col min="710" max="710" width="7.42578125" style="1" customWidth="1"/>
    <col min="711" max="711" width="4.85546875" style="1" customWidth="1"/>
    <col min="712" max="712" width="5.28515625" style="1" customWidth="1"/>
    <col min="713" max="713" width="5.7109375" style="1" customWidth="1"/>
    <col min="714" max="714" width="4.7109375" style="1" customWidth="1"/>
    <col min="715" max="715" width="2.85546875" customWidth="1"/>
    <col min="716" max="716" width="7.42578125" style="1" customWidth="1"/>
    <col min="717" max="717" width="4.85546875" style="1" customWidth="1"/>
    <col min="718" max="718" width="5.28515625" style="1" customWidth="1"/>
    <col min="719" max="719" width="5.7109375" style="1" customWidth="1"/>
    <col min="720" max="720" width="4.7109375" style="1" customWidth="1"/>
    <col min="721" max="721" width="2.85546875" customWidth="1"/>
    <col min="722" max="722" width="7.42578125" style="1" customWidth="1"/>
    <col min="723" max="723" width="4.85546875" style="1" customWidth="1"/>
    <col min="724" max="724" width="5.28515625" style="1" customWidth="1"/>
    <col min="725" max="725" width="5.7109375" style="1" customWidth="1"/>
    <col min="726" max="726" width="4.7109375" style="1" customWidth="1"/>
    <col min="727" max="727" width="2.85546875" customWidth="1"/>
    <col min="728" max="728" width="7.42578125" style="1" customWidth="1"/>
    <col min="729" max="729" width="4.85546875" style="1" customWidth="1"/>
    <col min="730" max="730" width="5.28515625" style="1" customWidth="1"/>
    <col min="731" max="731" width="5.7109375" style="1" customWidth="1"/>
    <col min="732" max="732" width="4.7109375" style="1" customWidth="1"/>
    <col min="733" max="733" width="2.85546875" customWidth="1"/>
    <col min="734" max="734" width="7.42578125" style="1" customWidth="1"/>
    <col min="735" max="735" width="4.85546875" style="1" customWidth="1"/>
    <col min="736" max="736" width="5.28515625" style="1" customWidth="1"/>
    <col min="737" max="737" width="5.7109375" style="1" customWidth="1"/>
    <col min="738" max="738" width="4.7109375" style="1" customWidth="1"/>
    <col min="739" max="739" width="2.85546875" customWidth="1"/>
    <col min="740" max="740" width="7.42578125" style="1" customWidth="1"/>
    <col min="741" max="741" width="4.85546875" style="1" customWidth="1"/>
    <col min="742" max="742" width="5.28515625" style="1" customWidth="1"/>
    <col min="743" max="743" width="5.7109375" style="1" customWidth="1"/>
    <col min="744" max="744" width="4.7109375" style="1" customWidth="1"/>
    <col min="745" max="745" width="2.85546875" customWidth="1"/>
    <col min="746" max="746" width="7.42578125" style="1" customWidth="1"/>
    <col min="747" max="747" width="4.85546875" style="1" customWidth="1"/>
    <col min="748" max="748" width="5.28515625" style="1" customWidth="1"/>
    <col min="749" max="749" width="5.7109375" style="1" customWidth="1"/>
    <col min="750" max="750" width="4.7109375" style="1" customWidth="1"/>
    <col min="751" max="751" width="2.85546875" customWidth="1"/>
    <col min="752" max="752" width="7.42578125" style="1" customWidth="1"/>
    <col min="753" max="753" width="4.85546875" style="1" customWidth="1"/>
    <col min="754" max="754" width="5.28515625" style="1" customWidth="1"/>
    <col min="755" max="755" width="5.7109375" style="1" customWidth="1"/>
    <col min="756" max="756" width="4.7109375" style="1" customWidth="1"/>
    <col min="757" max="757" width="2.85546875" customWidth="1"/>
    <col min="758" max="758" width="7.42578125" style="1" customWidth="1"/>
    <col min="759" max="759" width="4.85546875" style="1" customWidth="1"/>
    <col min="760" max="760" width="5.28515625" style="1" customWidth="1"/>
    <col min="761" max="761" width="5.7109375" style="1" customWidth="1"/>
    <col min="762" max="762" width="4.7109375" style="1" customWidth="1"/>
    <col min="763" max="763" width="2.85546875" customWidth="1"/>
    <col min="764" max="764" width="7.42578125" style="1" customWidth="1"/>
    <col min="765" max="765" width="4.85546875" style="1" customWidth="1"/>
    <col min="766" max="766" width="5.28515625" style="1" customWidth="1"/>
    <col min="767" max="767" width="5.7109375" style="1" customWidth="1"/>
    <col min="768" max="768" width="4.7109375" style="1" customWidth="1"/>
    <col min="769" max="769" width="2.85546875" customWidth="1"/>
    <col min="770" max="770" width="7.42578125" style="1" customWidth="1"/>
    <col min="771" max="771" width="4.85546875" style="1" customWidth="1"/>
    <col min="772" max="772" width="5.28515625" style="1" customWidth="1"/>
    <col min="773" max="773" width="5.7109375" style="1" customWidth="1"/>
    <col min="774" max="774" width="4.7109375" style="1" customWidth="1"/>
    <col min="775" max="775" width="2.85546875" customWidth="1"/>
    <col min="776" max="776" width="7.42578125" style="1" customWidth="1"/>
    <col min="777" max="777" width="4.85546875" style="1" customWidth="1"/>
    <col min="778" max="778" width="5.28515625" style="1" customWidth="1"/>
    <col min="779" max="779" width="5.7109375" style="1" customWidth="1"/>
    <col min="780" max="780" width="4.7109375" style="1" customWidth="1"/>
    <col min="781" max="781" width="2.85546875" customWidth="1"/>
    <col min="782" max="782" width="7.42578125" style="1" customWidth="1"/>
    <col min="783" max="783" width="4.85546875" style="1" customWidth="1"/>
    <col min="784" max="784" width="5.28515625" style="1" customWidth="1"/>
    <col min="785" max="785" width="5.7109375" style="1" customWidth="1"/>
    <col min="786" max="786" width="4.7109375" style="1" customWidth="1"/>
    <col min="787" max="787" width="2.85546875" customWidth="1"/>
    <col min="788" max="788" width="7.42578125" style="1" customWidth="1"/>
    <col min="789" max="789" width="4.85546875" style="1" customWidth="1"/>
    <col min="790" max="790" width="5.28515625" style="1" customWidth="1"/>
    <col min="791" max="791" width="5.7109375" style="1" customWidth="1"/>
    <col min="792" max="792" width="4.7109375" style="1" customWidth="1"/>
    <col min="793" max="793" width="2.85546875" customWidth="1"/>
    <col min="794" max="794" width="7.42578125" style="1" customWidth="1"/>
    <col min="795" max="795" width="4.85546875" style="1" customWidth="1"/>
    <col min="796" max="796" width="5.28515625" style="1" customWidth="1"/>
    <col min="797" max="797" width="5.7109375" style="1" customWidth="1"/>
    <col min="798" max="798" width="4.7109375" style="1" customWidth="1"/>
    <col min="799" max="799" width="2.85546875" customWidth="1"/>
    <col min="800" max="800" width="7.42578125" style="1" customWidth="1"/>
    <col min="801" max="801" width="4.85546875" style="1" customWidth="1"/>
    <col min="802" max="802" width="5.28515625" style="1" customWidth="1"/>
    <col min="803" max="803" width="5.7109375" style="1" customWidth="1"/>
    <col min="804" max="804" width="4.7109375" style="1" customWidth="1"/>
    <col min="805" max="805" width="2.85546875" customWidth="1"/>
    <col min="806" max="806" width="7.42578125" style="1" customWidth="1"/>
    <col min="807" max="807" width="4.85546875" style="1" customWidth="1"/>
    <col min="808" max="808" width="5.28515625" style="1" customWidth="1"/>
    <col min="809" max="809" width="5.7109375" style="1" customWidth="1"/>
    <col min="810" max="810" width="4.7109375" style="1" customWidth="1"/>
    <col min="811" max="811" width="2.85546875" customWidth="1"/>
    <col min="812" max="812" width="7.42578125" style="1" customWidth="1"/>
    <col min="813" max="813" width="4.85546875" style="1" customWidth="1"/>
    <col min="814" max="814" width="5.28515625" style="1" customWidth="1"/>
    <col min="815" max="815" width="5.7109375" style="1" customWidth="1"/>
    <col min="816" max="816" width="4.7109375" style="1" customWidth="1"/>
    <col min="817" max="817" width="2.85546875" customWidth="1"/>
    <col min="818" max="818" width="7.42578125" style="1" customWidth="1"/>
    <col min="819" max="819" width="4.85546875" style="1" customWidth="1"/>
    <col min="820" max="820" width="5.28515625" style="1" customWidth="1"/>
    <col min="821" max="821" width="5.7109375" style="1" customWidth="1"/>
    <col min="822" max="822" width="4.7109375" style="1" customWidth="1"/>
    <col min="823" max="823" width="2.85546875" customWidth="1"/>
    <col min="824" max="824" width="7.42578125" style="1" customWidth="1"/>
    <col min="825" max="825" width="4.85546875" style="1" customWidth="1"/>
    <col min="826" max="826" width="5.28515625" style="1" customWidth="1"/>
    <col min="827" max="827" width="5.7109375" style="1" customWidth="1"/>
    <col min="828" max="828" width="4.7109375" style="1" customWidth="1"/>
    <col min="829" max="829" width="2.85546875" customWidth="1"/>
    <col min="830" max="830" width="7.42578125" style="1" customWidth="1"/>
    <col min="831" max="831" width="4.85546875" style="1" customWidth="1"/>
    <col min="832" max="832" width="5.28515625" style="1" customWidth="1"/>
    <col min="833" max="833" width="5.7109375" style="1" customWidth="1"/>
    <col min="834" max="834" width="4.7109375" style="1" customWidth="1"/>
    <col min="835" max="835" width="2.85546875" customWidth="1"/>
    <col min="836" max="836" width="7.42578125" style="1" customWidth="1"/>
    <col min="837" max="837" width="4.85546875" style="1" customWidth="1"/>
    <col min="838" max="838" width="5.28515625" style="1" customWidth="1"/>
    <col min="839" max="839" width="5.7109375" style="1" customWidth="1"/>
    <col min="840" max="840" width="4.7109375" style="1" customWidth="1"/>
    <col min="841" max="841" width="2.85546875" customWidth="1"/>
    <col min="842" max="842" width="7.42578125" style="1" customWidth="1"/>
    <col min="843" max="843" width="4.85546875" style="1" customWidth="1"/>
    <col min="844" max="844" width="5.28515625" style="1" customWidth="1"/>
    <col min="845" max="845" width="5.7109375" style="1" customWidth="1"/>
    <col min="846" max="846" width="4.7109375" style="1" customWidth="1"/>
    <col min="847" max="847" width="2.85546875" customWidth="1"/>
    <col min="848" max="848" width="7.42578125" style="1" customWidth="1"/>
    <col min="849" max="849" width="4.85546875" style="1" customWidth="1"/>
    <col min="850" max="850" width="5.28515625" style="1" customWidth="1"/>
    <col min="851" max="851" width="5.7109375" style="1" customWidth="1"/>
    <col min="852" max="852" width="4.7109375" style="1" customWidth="1"/>
    <col min="853" max="853" width="2.85546875" customWidth="1"/>
    <col min="854" max="854" width="7.42578125" style="1" customWidth="1"/>
    <col min="855" max="855" width="4.85546875" style="1" customWidth="1"/>
    <col min="856" max="856" width="5.28515625" style="1" customWidth="1"/>
    <col min="857" max="857" width="5.7109375" style="1" customWidth="1"/>
    <col min="858" max="858" width="4.7109375" style="1" customWidth="1"/>
    <col min="859" max="859" width="2.85546875" customWidth="1"/>
    <col min="860" max="860" width="7.42578125" style="1" customWidth="1"/>
    <col min="861" max="861" width="4.85546875" style="1" customWidth="1"/>
    <col min="862" max="862" width="5.28515625" style="1" customWidth="1"/>
    <col min="863" max="863" width="5.7109375" style="1" customWidth="1"/>
    <col min="864" max="864" width="4.7109375" style="1" customWidth="1"/>
    <col min="865" max="865" width="2.85546875" customWidth="1"/>
    <col min="866" max="866" width="7.42578125" style="1" customWidth="1"/>
    <col min="867" max="867" width="4.85546875" style="1" customWidth="1"/>
    <col min="868" max="868" width="5.28515625" style="1" customWidth="1"/>
    <col min="869" max="869" width="5.7109375" style="1" customWidth="1"/>
    <col min="870" max="870" width="4.7109375" style="1" customWidth="1"/>
    <col min="871" max="871" width="2.85546875" customWidth="1"/>
    <col min="872" max="872" width="7.42578125" style="1" customWidth="1"/>
    <col min="873" max="873" width="4.85546875" style="1" customWidth="1"/>
    <col min="874" max="874" width="5.28515625" style="1" customWidth="1"/>
    <col min="875" max="875" width="5.7109375" style="1" customWidth="1"/>
    <col min="876" max="876" width="4.7109375" style="1" customWidth="1"/>
    <col min="877" max="877" width="2.85546875" customWidth="1"/>
    <col min="878" max="878" width="7.42578125" style="1" customWidth="1"/>
    <col min="879" max="879" width="4.85546875" style="1" customWidth="1"/>
    <col min="880" max="880" width="5.28515625" style="1" customWidth="1"/>
    <col min="881" max="881" width="5.7109375" style="1" customWidth="1"/>
    <col min="882" max="882" width="4.7109375" style="1" customWidth="1"/>
    <col min="883" max="883" width="2.85546875" customWidth="1"/>
    <col min="884" max="884" width="7.42578125" style="1" customWidth="1"/>
    <col min="885" max="885" width="4.85546875" style="1" customWidth="1"/>
    <col min="886" max="886" width="5.28515625" style="1" customWidth="1"/>
    <col min="887" max="887" width="5.7109375" style="1" customWidth="1"/>
    <col min="888" max="888" width="4.7109375" style="1" customWidth="1"/>
    <col min="889" max="889" width="2.85546875" customWidth="1"/>
    <col min="890" max="890" width="7.42578125" style="1" customWidth="1"/>
    <col min="891" max="891" width="4.85546875" style="1" customWidth="1"/>
    <col min="892" max="892" width="5.28515625" style="1" customWidth="1"/>
    <col min="893" max="893" width="5.7109375" style="1" customWidth="1"/>
    <col min="894" max="894" width="4.7109375" style="1" customWidth="1"/>
    <col min="895" max="895" width="2.85546875" customWidth="1"/>
    <col min="896" max="896" width="7.42578125" style="1" customWidth="1"/>
    <col min="897" max="897" width="4.85546875" style="1" customWidth="1"/>
    <col min="898" max="898" width="5.28515625" style="1" customWidth="1"/>
    <col min="899" max="899" width="5.7109375" style="1" customWidth="1"/>
    <col min="900" max="900" width="4.7109375" style="1" customWidth="1"/>
    <col min="901" max="901" width="2.85546875" customWidth="1"/>
    <col min="902" max="902" width="7.42578125" style="1" customWidth="1"/>
    <col min="903" max="903" width="4.85546875" style="1" customWidth="1"/>
    <col min="904" max="904" width="5.28515625" style="1" customWidth="1"/>
    <col min="905" max="905" width="5.7109375" style="1" customWidth="1"/>
    <col min="906" max="906" width="4.7109375" style="1" customWidth="1"/>
    <col min="907" max="907" width="2.85546875" customWidth="1"/>
    <col min="908" max="908" width="7.42578125" style="1" customWidth="1"/>
    <col min="909" max="909" width="4.85546875" style="1" customWidth="1"/>
    <col min="910" max="910" width="5.28515625" style="1" customWidth="1"/>
    <col min="911" max="911" width="5.7109375" style="1" customWidth="1"/>
    <col min="912" max="912" width="4.7109375" style="1" customWidth="1"/>
    <col min="913" max="913" width="2.85546875" customWidth="1"/>
    <col min="914" max="914" width="7.42578125" style="1" customWidth="1"/>
    <col min="915" max="915" width="4.85546875" style="1" customWidth="1"/>
    <col min="916" max="916" width="5.28515625" style="1" customWidth="1"/>
    <col min="917" max="917" width="5.7109375" style="1" customWidth="1"/>
    <col min="918" max="918" width="4.7109375" style="1" customWidth="1"/>
    <col min="919" max="919" width="2.85546875" customWidth="1"/>
    <col min="920" max="920" width="7.42578125" style="1" customWidth="1"/>
    <col min="921" max="921" width="4.85546875" style="1" customWidth="1"/>
    <col min="922" max="922" width="5.28515625" style="1" customWidth="1"/>
    <col min="923" max="923" width="5.7109375" style="1" customWidth="1"/>
    <col min="924" max="924" width="4.7109375" style="1" customWidth="1"/>
    <col min="925" max="925" width="2.85546875" customWidth="1"/>
    <col min="926" max="926" width="7.42578125" style="1" customWidth="1"/>
    <col min="927" max="927" width="4.85546875" style="1" customWidth="1"/>
    <col min="928" max="928" width="5.28515625" style="1" customWidth="1"/>
    <col min="929" max="929" width="5.7109375" style="1" customWidth="1"/>
    <col min="930" max="930" width="4.7109375" style="1" customWidth="1"/>
    <col min="931" max="931" width="2.85546875" customWidth="1"/>
    <col min="932" max="932" width="7.42578125" style="1" customWidth="1"/>
    <col min="933" max="933" width="4.85546875" style="1" customWidth="1"/>
    <col min="934" max="934" width="5.28515625" style="1" customWidth="1"/>
    <col min="935" max="935" width="5.7109375" style="1" customWidth="1"/>
    <col min="936" max="936" width="4.7109375" style="1" customWidth="1"/>
    <col min="937" max="937" width="2.85546875" customWidth="1"/>
    <col min="938" max="938" width="7.42578125" style="1" customWidth="1"/>
    <col min="939" max="939" width="4.85546875" style="1" customWidth="1"/>
    <col min="940" max="940" width="5.28515625" style="1" customWidth="1"/>
    <col min="941" max="941" width="5.7109375" style="1" customWidth="1"/>
    <col min="942" max="942" width="4.7109375" style="1" customWidth="1"/>
    <col min="943" max="943" width="2.85546875" customWidth="1"/>
    <col min="944" max="944" width="7.42578125" style="1" customWidth="1"/>
    <col min="945" max="945" width="4.85546875" style="1" customWidth="1"/>
    <col min="946" max="946" width="5.28515625" style="1" customWidth="1"/>
    <col min="947" max="947" width="5.7109375" style="1" customWidth="1"/>
    <col min="948" max="948" width="4.7109375" style="1" customWidth="1"/>
    <col min="949" max="949" width="2.85546875" customWidth="1"/>
    <col min="950" max="950" width="7.42578125" style="1" customWidth="1"/>
    <col min="951" max="951" width="4.85546875" style="1" customWidth="1"/>
    <col min="952" max="952" width="5.28515625" style="1" customWidth="1"/>
    <col min="953" max="953" width="5.7109375" style="1" customWidth="1"/>
    <col min="954" max="954" width="4.7109375" style="1" customWidth="1"/>
    <col min="955" max="955" width="2.85546875" customWidth="1"/>
    <col min="956" max="956" width="7.42578125" style="1" customWidth="1"/>
    <col min="957" max="957" width="4.85546875" style="1" customWidth="1"/>
    <col min="958" max="958" width="5.28515625" style="1" customWidth="1"/>
    <col min="959" max="959" width="5.7109375" style="1" customWidth="1"/>
    <col min="960" max="960" width="4.7109375" style="1" customWidth="1"/>
    <col min="961" max="961" width="2.85546875" customWidth="1"/>
    <col min="962" max="962" width="7.42578125" style="1" customWidth="1"/>
    <col min="963" max="963" width="4.85546875" style="1" customWidth="1"/>
    <col min="964" max="964" width="5.28515625" style="1" customWidth="1"/>
    <col min="965" max="965" width="5.7109375" style="1" customWidth="1"/>
    <col min="966" max="966" width="4.7109375" style="1" customWidth="1"/>
    <col min="967" max="967" width="2.85546875" customWidth="1"/>
    <col min="968" max="968" width="7.42578125" style="1" customWidth="1"/>
    <col min="969" max="969" width="4.85546875" style="1" customWidth="1"/>
    <col min="970" max="970" width="5.28515625" style="1" customWidth="1"/>
    <col min="971" max="971" width="8" style="1" customWidth="1"/>
    <col min="972" max="972" width="4.7109375" style="1" customWidth="1"/>
    <col min="973" max="973" width="2.85546875" customWidth="1"/>
    <col min="974" max="974" width="7.42578125" style="1" customWidth="1"/>
    <col min="975" max="975" width="4.85546875" style="1" customWidth="1"/>
    <col min="976" max="976" width="5.28515625" style="1" customWidth="1"/>
    <col min="977" max="977" width="8" style="1" customWidth="1"/>
    <col min="978" max="978" width="4.7109375" style="1" customWidth="1"/>
    <col min="979" max="979" width="2.85546875" customWidth="1"/>
    <col min="980" max="980" width="7.42578125" style="1" customWidth="1"/>
    <col min="981" max="981" width="4.85546875" style="1" customWidth="1"/>
    <col min="982" max="982" width="5.28515625" style="1" customWidth="1"/>
    <col min="983" max="983" width="8" style="1" customWidth="1"/>
    <col min="984" max="984" width="4.7109375" style="1" customWidth="1"/>
    <col min="985" max="985" width="2.85546875" customWidth="1"/>
    <col min="986" max="986" width="7.42578125" style="1" customWidth="1"/>
    <col min="987" max="987" width="4.85546875" style="1" customWidth="1"/>
    <col min="988" max="988" width="5.28515625" style="1" customWidth="1"/>
    <col min="989" max="989" width="8" style="1" customWidth="1"/>
    <col min="990" max="990" width="4.7109375" style="1" customWidth="1"/>
    <col min="991" max="991" width="2.85546875" customWidth="1"/>
    <col min="992" max="992" width="7.42578125" style="1" customWidth="1"/>
    <col min="993" max="993" width="4.85546875" style="1" customWidth="1"/>
    <col min="994" max="994" width="5.28515625" style="1" customWidth="1"/>
    <col min="995" max="995" width="8" style="1" customWidth="1"/>
    <col min="996" max="996" width="4.7109375" style="1" customWidth="1"/>
    <col min="997" max="997" width="2.85546875" customWidth="1"/>
    <col min="998" max="998" width="7.42578125" style="1" customWidth="1"/>
    <col min="999" max="999" width="4.85546875" style="1" customWidth="1"/>
    <col min="1000" max="1000" width="5.28515625" style="1" customWidth="1"/>
    <col min="1001" max="1001" width="8" style="1" customWidth="1"/>
    <col min="1002" max="1002" width="4.7109375" style="1" customWidth="1"/>
    <col min="1003" max="1003" width="2.85546875" customWidth="1"/>
    <col min="1004" max="1004" width="7.42578125" style="1" customWidth="1"/>
    <col min="1005" max="1005" width="4.85546875" style="1" customWidth="1"/>
    <col min="1006" max="1006" width="5.28515625" style="1" customWidth="1"/>
    <col min="1007" max="1007" width="8" style="1" customWidth="1"/>
    <col min="1008" max="1008" width="4.7109375" style="1" customWidth="1"/>
    <col min="1009" max="1009" width="2.85546875" customWidth="1"/>
    <col min="1010" max="1010" width="7.42578125" style="1" customWidth="1"/>
    <col min="1011" max="1011" width="4.85546875" style="1" customWidth="1"/>
    <col min="1012" max="1012" width="5.28515625" style="1" customWidth="1"/>
    <col min="1013" max="1013" width="8" style="1" customWidth="1"/>
    <col min="1014" max="1014" width="4.7109375" style="1" customWidth="1"/>
    <col min="1015" max="1015" width="2.85546875" customWidth="1"/>
    <col min="1016" max="1016" width="7.42578125" style="1" customWidth="1"/>
    <col min="1017" max="1017" width="4.85546875" style="1" customWidth="1"/>
    <col min="1018" max="1018" width="5.28515625" style="1" customWidth="1"/>
    <col min="1019" max="1019" width="8" style="1" customWidth="1"/>
    <col min="1020" max="1020" width="4.7109375" style="1" customWidth="1"/>
    <col min="1021" max="1021" width="2.85546875" customWidth="1"/>
    <col min="1022" max="1022" width="7.42578125" style="1" customWidth="1"/>
    <col min="1023" max="1023" width="4.85546875" style="1" customWidth="1"/>
    <col min="1024" max="1024" width="5.28515625" style="1" customWidth="1"/>
    <col min="1025" max="1025" width="8" style="1" customWidth="1"/>
    <col min="1026" max="1026" width="4.7109375" style="1" customWidth="1"/>
    <col min="1027" max="1027" width="2.85546875" customWidth="1"/>
    <col min="1028" max="1028" width="7.42578125" style="1" customWidth="1"/>
    <col min="1029" max="1029" width="4.85546875" style="1" customWidth="1"/>
    <col min="1030" max="1030" width="5.28515625" style="1" customWidth="1"/>
    <col min="1031" max="1031" width="8" style="1" customWidth="1"/>
    <col min="1032" max="1032" width="4.7109375" style="1" customWidth="1"/>
    <col min="1033" max="1033" width="2.85546875" customWidth="1"/>
    <col min="1034" max="1034" width="7.42578125" style="1" customWidth="1"/>
    <col min="1035" max="1035" width="4.85546875" style="1" customWidth="1"/>
    <col min="1036" max="1036" width="5.28515625" style="1" customWidth="1"/>
    <col min="1037" max="1037" width="8" style="1" customWidth="1"/>
    <col min="1038" max="1038" width="4.7109375" style="1" customWidth="1"/>
    <col min="1039" max="1039" width="2.85546875" customWidth="1"/>
    <col min="1040" max="1040" width="7.42578125" style="1" customWidth="1"/>
    <col min="1041" max="1041" width="4.85546875" style="1" customWidth="1"/>
    <col min="1042" max="1042" width="5.28515625" style="1" customWidth="1"/>
    <col min="1043" max="1043" width="8" style="1" customWidth="1"/>
    <col min="1044" max="1044" width="4.7109375" style="1" customWidth="1"/>
    <col min="1045" max="1045" width="2.85546875" customWidth="1"/>
    <col min="1046" max="1046" width="7.42578125" style="1" customWidth="1"/>
    <col min="1047" max="1047" width="4.85546875" style="1" customWidth="1"/>
    <col min="1048" max="1048" width="5.28515625" style="1" customWidth="1"/>
    <col min="1049" max="1049" width="8" style="1" customWidth="1"/>
    <col min="1050" max="1050" width="4.7109375" style="1" customWidth="1"/>
    <col min="1051" max="1051" width="2.85546875" customWidth="1"/>
    <col min="1052" max="1052" width="7.42578125" style="1" customWidth="1"/>
    <col min="1053" max="1053" width="4.85546875" style="1" customWidth="1"/>
    <col min="1054" max="1054" width="5.28515625" style="1" customWidth="1"/>
    <col min="1055" max="1055" width="8" style="1" customWidth="1"/>
    <col min="1056" max="1056" width="4.7109375" style="1" customWidth="1"/>
    <col min="1057" max="1057" width="2.85546875" customWidth="1"/>
    <col min="1058" max="1058" width="7.42578125" style="1" customWidth="1"/>
    <col min="1059" max="1059" width="4.85546875" style="1" customWidth="1"/>
    <col min="1060" max="1060" width="5.28515625" style="1" customWidth="1"/>
    <col min="1061" max="1061" width="8" style="1" customWidth="1"/>
    <col min="1062" max="1062" width="4.7109375" style="1" customWidth="1"/>
    <col min="1063" max="1063" width="2.85546875" customWidth="1"/>
    <col min="1064" max="1064" width="7.42578125" style="1" customWidth="1"/>
    <col min="1065" max="1065" width="4.85546875" style="1" customWidth="1"/>
    <col min="1066" max="1066" width="5.28515625" style="1" customWidth="1"/>
    <col min="1067" max="1067" width="8" style="1" customWidth="1"/>
    <col min="1068" max="1068" width="4.7109375" style="1" customWidth="1"/>
    <col min="1069" max="1069" width="2.85546875" customWidth="1"/>
    <col min="1070" max="1070" width="7.42578125" style="1" customWidth="1"/>
    <col min="1071" max="1071" width="4.85546875" style="1" customWidth="1"/>
    <col min="1072" max="1072" width="5.28515625" style="1" customWidth="1"/>
    <col min="1073" max="1073" width="8" style="1" customWidth="1"/>
    <col min="1074" max="1074" width="4.7109375" style="1" customWidth="1"/>
    <col min="1075" max="1075" width="2.85546875" customWidth="1"/>
    <col min="1076" max="1076" width="7.42578125" style="1" customWidth="1"/>
    <col min="1077" max="1077" width="4.85546875" style="1" customWidth="1"/>
    <col min="1078" max="1078" width="5.28515625" style="1" customWidth="1"/>
    <col min="1079" max="1079" width="8" style="1" customWidth="1"/>
    <col min="1080" max="1080" width="4.7109375" style="1" customWidth="1"/>
    <col min="1081" max="1081" width="2.85546875" customWidth="1"/>
    <col min="1082" max="1082" width="7.42578125" style="1" customWidth="1"/>
    <col min="1083" max="1083" width="4.85546875" style="1" customWidth="1"/>
    <col min="1084" max="1084" width="5.28515625" style="1" customWidth="1"/>
    <col min="1085" max="1085" width="8" style="1" customWidth="1"/>
    <col min="1086" max="1086" width="4.7109375" style="1" customWidth="1"/>
    <col min="1087" max="1087" width="2.85546875" customWidth="1"/>
    <col min="1088" max="1088" width="7.42578125" style="1" customWidth="1"/>
    <col min="1089" max="1089" width="4.85546875" style="1" customWidth="1"/>
    <col min="1090" max="1090" width="5.28515625" style="1" customWidth="1"/>
    <col min="1091" max="1091" width="8" style="1" customWidth="1"/>
    <col min="1092" max="1092" width="4.7109375" style="1" customWidth="1"/>
  </cols>
  <sheetData>
    <row r="1" spans="1:1092" x14ac:dyDescent="0.25">
      <c r="A1" s="172" t="s">
        <v>0</v>
      </c>
      <c r="B1" s="172"/>
      <c r="C1" s="172"/>
      <c r="D1" s="76"/>
      <c r="E1" s="77" t="s">
        <v>1</v>
      </c>
      <c r="F1" s="76"/>
      <c r="G1" s="76"/>
      <c r="H1" s="77" t="s">
        <v>1</v>
      </c>
      <c r="I1" s="77" t="s">
        <v>2</v>
      </c>
      <c r="J1" s="77"/>
      <c r="K1" s="78" t="s">
        <v>3</v>
      </c>
      <c r="L1" s="79"/>
      <c r="M1" s="76"/>
      <c r="N1" s="77" t="s">
        <v>1</v>
      </c>
      <c r="O1" s="77" t="s">
        <v>2</v>
      </c>
      <c r="P1" s="77"/>
      <c r="Q1" s="78" t="s">
        <v>3</v>
      </c>
      <c r="R1" s="79"/>
      <c r="S1" s="76"/>
      <c r="T1" s="77" t="s">
        <v>1</v>
      </c>
      <c r="U1" s="77" t="s">
        <v>2</v>
      </c>
      <c r="V1" s="77"/>
      <c r="W1" s="78" t="s">
        <v>3</v>
      </c>
      <c r="X1" s="79"/>
      <c r="Y1" s="76"/>
      <c r="Z1" s="77" t="s">
        <v>1</v>
      </c>
      <c r="AA1" s="77" t="s">
        <v>2</v>
      </c>
      <c r="AB1" s="77"/>
      <c r="AC1" s="78" t="s">
        <v>3</v>
      </c>
      <c r="AD1" s="79"/>
      <c r="AE1" s="76"/>
      <c r="AF1" s="77" t="s">
        <v>1</v>
      </c>
      <c r="AG1" s="77" t="s">
        <v>2</v>
      </c>
      <c r="AH1" s="77"/>
      <c r="AI1" s="78" t="s">
        <v>3</v>
      </c>
      <c r="AJ1" s="79"/>
      <c r="AK1" s="76"/>
      <c r="AL1" s="77" t="s">
        <v>1</v>
      </c>
      <c r="AM1" s="77" t="s">
        <v>2</v>
      </c>
      <c r="AN1" s="77"/>
      <c r="AO1" s="78" t="s">
        <v>3</v>
      </c>
      <c r="AP1" s="79"/>
      <c r="AQ1" s="76"/>
      <c r="AR1" s="77" t="s">
        <v>1</v>
      </c>
      <c r="AS1" s="77" t="s">
        <v>2</v>
      </c>
      <c r="AT1" s="77"/>
      <c r="AU1" s="78" t="s">
        <v>3</v>
      </c>
      <c r="AV1" s="79"/>
      <c r="AW1" s="76"/>
      <c r="AX1" s="77" t="s">
        <v>1</v>
      </c>
      <c r="AY1" s="77" t="s">
        <v>2</v>
      </c>
      <c r="AZ1" s="77"/>
      <c r="BA1" s="78" t="s">
        <v>3</v>
      </c>
      <c r="BB1" s="79"/>
      <c r="BC1" s="76"/>
      <c r="BD1" s="77" t="s">
        <v>1</v>
      </c>
      <c r="BE1" s="77" t="s">
        <v>2</v>
      </c>
      <c r="BF1" s="77"/>
      <c r="BG1" s="78" t="s">
        <v>3</v>
      </c>
      <c r="BH1" s="79"/>
      <c r="BI1" s="76"/>
      <c r="BJ1" s="77" t="s">
        <v>1</v>
      </c>
      <c r="BK1" s="77" t="s">
        <v>2</v>
      </c>
      <c r="BL1" s="77"/>
      <c r="BM1" s="78" t="s">
        <v>3</v>
      </c>
      <c r="BN1" s="79"/>
      <c r="BO1" s="76"/>
      <c r="BP1" s="77" t="s">
        <v>1</v>
      </c>
      <c r="BQ1" s="77" t="s">
        <v>2</v>
      </c>
      <c r="BR1" s="77"/>
      <c r="BS1" s="78" t="s">
        <v>3</v>
      </c>
      <c r="BT1" s="79"/>
      <c r="BU1" s="76"/>
      <c r="BV1" s="77" t="s">
        <v>1</v>
      </c>
      <c r="BW1" s="77" t="s">
        <v>2</v>
      </c>
      <c r="BX1" s="77"/>
      <c r="BY1" s="78" t="s">
        <v>3</v>
      </c>
      <c r="BZ1" s="79"/>
      <c r="CA1" s="76"/>
      <c r="CB1" s="77" t="s">
        <v>1</v>
      </c>
      <c r="CC1" s="77" t="s">
        <v>2</v>
      </c>
      <c r="CD1" s="77"/>
      <c r="CE1" s="80" t="s">
        <v>3</v>
      </c>
      <c r="CF1" s="79"/>
      <c r="CG1" s="76"/>
      <c r="CH1" s="77" t="s">
        <v>1</v>
      </c>
      <c r="CI1" s="77" t="s">
        <v>2</v>
      </c>
      <c r="CJ1" s="77"/>
      <c r="CK1" s="80" t="s">
        <v>3</v>
      </c>
      <c r="CL1" s="79"/>
      <c r="CM1" s="76"/>
      <c r="CN1" s="77" t="s">
        <v>1</v>
      </c>
      <c r="CO1" s="77" t="s">
        <v>2</v>
      </c>
      <c r="CP1" s="77"/>
      <c r="CQ1" s="80" t="s">
        <v>3</v>
      </c>
      <c r="CR1" s="79"/>
      <c r="CS1" s="76"/>
      <c r="CT1" s="77" t="s">
        <v>1</v>
      </c>
      <c r="CU1" s="77" t="s">
        <v>2</v>
      </c>
      <c r="CV1" s="77"/>
      <c r="CW1" s="80" t="s">
        <v>3</v>
      </c>
      <c r="CX1" s="79"/>
      <c r="CY1" s="76"/>
      <c r="CZ1" s="77" t="s">
        <v>1</v>
      </c>
      <c r="DA1" s="77" t="s">
        <v>2</v>
      </c>
      <c r="DB1" s="77"/>
      <c r="DC1" s="80" t="s">
        <v>3</v>
      </c>
      <c r="DD1" s="79"/>
      <c r="DE1" s="76"/>
      <c r="DF1" s="77" t="s">
        <v>1</v>
      </c>
      <c r="DG1" s="77" t="s">
        <v>2</v>
      </c>
      <c r="DH1" s="77"/>
      <c r="DI1" s="80" t="s">
        <v>3</v>
      </c>
      <c r="DJ1" s="79"/>
      <c r="DK1" s="76"/>
      <c r="DL1" s="77" t="s">
        <v>1</v>
      </c>
      <c r="DM1" s="77" t="s">
        <v>2</v>
      </c>
      <c r="DN1" s="77"/>
      <c r="DO1" s="80" t="s">
        <v>3</v>
      </c>
      <c r="DP1" s="79"/>
      <c r="DQ1" s="76"/>
      <c r="DR1" s="77" t="s">
        <v>1</v>
      </c>
      <c r="DS1" s="77" t="s">
        <v>2</v>
      </c>
      <c r="DT1" s="77"/>
      <c r="DU1" s="80" t="s">
        <v>3</v>
      </c>
      <c r="DV1" s="79"/>
      <c r="DW1" s="76"/>
      <c r="DX1" s="77" t="s">
        <v>1</v>
      </c>
      <c r="DY1" s="77" t="s">
        <v>2</v>
      </c>
      <c r="DZ1" s="77"/>
      <c r="EA1" s="80" t="s">
        <v>3</v>
      </c>
      <c r="EB1" s="79"/>
      <c r="EC1" s="76"/>
      <c r="ED1" s="77" t="s">
        <v>1</v>
      </c>
      <c r="EE1" s="77" t="s">
        <v>2</v>
      </c>
      <c r="EF1" s="77"/>
      <c r="EG1" s="80" t="s">
        <v>3</v>
      </c>
      <c r="EH1" s="79"/>
      <c r="EI1" s="76"/>
      <c r="EJ1" s="77" t="s">
        <v>1</v>
      </c>
      <c r="EK1" s="77" t="s">
        <v>2</v>
      </c>
      <c r="EL1" s="77"/>
      <c r="EM1" s="80" t="s">
        <v>3</v>
      </c>
      <c r="EN1" s="79"/>
      <c r="EO1" s="76"/>
      <c r="EP1" s="77" t="s">
        <v>1</v>
      </c>
      <c r="EQ1" s="77" t="s">
        <v>2</v>
      </c>
      <c r="ER1" s="77"/>
      <c r="ES1" s="80" t="s">
        <v>3</v>
      </c>
      <c r="ET1" s="79"/>
      <c r="EU1" s="76"/>
      <c r="EV1" s="77" t="s">
        <v>1</v>
      </c>
      <c r="EW1" s="77" t="s">
        <v>2</v>
      </c>
      <c r="EX1" s="77"/>
      <c r="EY1" s="80" t="s">
        <v>3</v>
      </c>
      <c r="EZ1" s="79"/>
      <c r="FA1" s="76"/>
      <c r="FB1" s="77" t="s">
        <v>1</v>
      </c>
      <c r="FC1" s="77" t="s">
        <v>2</v>
      </c>
      <c r="FD1" s="77"/>
      <c r="FE1" s="80" t="s">
        <v>3</v>
      </c>
      <c r="FF1" s="79"/>
      <c r="FG1" s="76"/>
      <c r="FH1" s="77" t="s">
        <v>1</v>
      </c>
      <c r="FI1" s="77" t="s">
        <v>2</v>
      </c>
      <c r="FJ1" s="77"/>
      <c r="FK1" s="80" t="s">
        <v>3</v>
      </c>
      <c r="FL1" s="79"/>
      <c r="FM1" s="76"/>
      <c r="FN1" s="77" t="s">
        <v>1</v>
      </c>
      <c r="FO1" s="77" t="s">
        <v>2</v>
      </c>
      <c r="FP1" s="77"/>
      <c r="FQ1" s="80" t="s">
        <v>3</v>
      </c>
      <c r="FR1" s="79"/>
      <c r="FS1" s="76"/>
      <c r="FT1" s="77" t="s">
        <v>1</v>
      </c>
      <c r="FU1" s="77" t="s">
        <v>2</v>
      </c>
      <c r="FV1" s="77"/>
      <c r="FW1" s="80" t="s">
        <v>3</v>
      </c>
      <c r="FX1" s="79"/>
      <c r="FY1" s="76"/>
      <c r="FZ1" s="77" t="s">
        <v>1</v>
      </c>
      <c r="GA1" s="77" t="s">
        <v>2</v>
      </c>
      <c r="GB1" s="77"/>
      <c r="GC1" s="80" t="s">
        <v>3</v>
      </c>
      <c r="GD1" s="79"/>
      <c r="GE1" s="76"/>
      <c r="GF1" s="77" t="s">
        <v>1</v>
      </c>
      <c r="GG1" s="77" t="s">
        <v>2</v>
      </c>
      <c r="GH1" s="77"/>
      <c r="GI1" s="80" t="s">
        <v>3</v>
      </c>
      <c r="GJ1" s="79"/>
      <c r="GK1" s="76"/>
      <c r="GL1" s="77" t="s">
        <v>1</v>
      </c>
      <c r="GM1" s="77" t="s">
        <v>2</v>
      </c>
      <c r="GN1" s="77"/>
      <c r="GO1" s="80" t="s">
        <v>3</v>
      </c>
      <c r="GP1" s="79"/>
      <c r="GQ1" s="76"/>
      <c r="GR1" s="77" t="s">
        <v>1</v>
      </c>
      <c r="GS1" s="77" t="s">
        <v>2</v>
      </c>
      <c r="GT1" s="77"/>
      <c r="GU1" s="80" t="s">
        <v>3</v>
      </c>
      <c r="GV1" s="79"/>
      <c r="GW1" s="76"/>
      <c r="GX1" s="77" t="s">
        <v>1</v>
      </c>
      <c r="GY1" s="77" t="s">
        <v>2</v>
      </c>
      <c r="GZ1" s="77"/>
      <c r="HA1" s="80" t="s">
        <v>3</v>
      </c>
      <c r="HB1" s="79"/>
      <c r="HC1" s="76"/>
      <c r="HD1" s="77" t="s">
        <v>1</v>
      </c>
      <c r="HE1" s="77" t="s">
        <v>2</v>
      </c>
      <c r="HF1" s="77"/>
      <c r="HG1" s="80" t="s">
        <v>3</v>
      </c>
      <c r="HH1" s="79"/>
      <c r="HI1" s="76"/>
      <c r="HJ1" s="77" t="s">
        <v>1</v>
      </c>
      <c r="HK1" s="77" t="s">
        <v>2</v>
      </c>
      <c r="HL1" s="77"/>
      <c r="HM1" s="80" t="s">
        <v>3</v>
      </c>
      <c r="HN1" s="79"/>
      <c r="HO1" s="76"/>
      <c r="HP1" s="77" t="s">
        <v>1</v>
      </c>
      <c r="HQ1" s="77" t="s">
        <v>2</v>
      </c>
      <c r="HR1" s="77"/>
      <c r="HS1" s="80" t="s">
        <v>3</v>
      </c>
      <c r="HT1" s="79"/>
      <c r="HU1" s="76"/>
      <c r="HV1" s="77" t="s">
        <v>1</v>
      </c>
      <c r="HW1" s="77" t="s">
        <v>2</v>
      </c>
      <c r="HX1" s="77"/>
      <c r="HY1" s="80" t="s">
        <v>3</v>
      </c>
      <c r="HZ1" s="79"/>
      <c r="IA1" s="76"/>
      <c r="IB1" s="77" t="s">
        <v>1</v>
      </c>
      <c r="IC1" s="77" t="s">
        <v>2</v>
      </c>
      <c r="ID1" s="77"/>
      <c r="IE1" s="80" t="s">
        <v>3</v>
      </c>
      <c r="IF1" s="79"/>
      <c r="IG1" s="76"/>
      <c r="IH1" s="77" t="s">
        <v>1</v>
      </c>
      <c r="II1" s="77" t="s">
        <v>2</v>
      </c>
      <c r="IJ1" s="77"/>
      <c r="IK1" s="80" t="s">
        <v>3</v>
      </c>
      <c r="IL1" s="79"/>
      <c r="IM1" s="76"/>
      <c r="IN1" s="77" t="s">
        <v>1</v>
      </c>
      <c r="IO1" s="77" t="s">
        <v>2</v>
      </c>
      <c r="IP1" s="77"/>
      <c r="IQ1" s="80" t="s">
        <v>3</v>
      </c>
      <c r="IR1" s="79"/>
      <c r="IS1" s="76"/>
      <c r="IT1" s="77" t="s">
        <v>1</v>
      </c>
      <c r="IU1" s="77" t="s">
        <v>2</v>
      </c>
      <c r="IV1" s="77"/>
      <c r="IW1" s="80" t="s">
        <v>3</v>
      </c>
      <c r="IX1" s="79"/>
      <c r="IY1" s="76"/>
      <c r="IZ1" s="77" t="s">
        <v>1</v>
      </c>
      <c r="JA1" s="77" t="s">
        <v>2</v>
      </c>
      <c r="JB1" s="77"/>
      <c r="JC1" s="80" t="s">
        <v>3</v>
      </c>
      <c r="JD1" s="79"/>
      <c r="JE1" s="76"/>
      <c r="JF1" s="77" t="s">
        <v>1</v>
      </c>
      <c r="JG1" s="77" t="s">
        <v>2</v>
      </c>
      <c r="JH1" s="77"/>
      <c r="JI1" s="80" t="s">
        <v>3</v>
      </c>
      <c r="JJ1" s="79"/>
      <c r="JK1" s="76"/>
      <c r="JL1" s="77" t="s">
        <v>1</v>
      </c>
      <c r="JM1" s="77" t="s">
        <v>2</v>
      </c>
      <c r="JN1" s="77"/>
      <c r="JO1" s="80" t="s">
        <v>3</v>
      </c>
      <c r="JP1" s="79"/>
      <c r="JQ1" s="76"/>
      <c r="JR1" s="77" t="s">
        <v>1</v>
      </c>
      <c r="JS1" s="77" t="s">
        <v>2</v>
      </c>
      <c r="JT1" s="77"/>
      <c r="JU1" s="80" t="s">
        <v>3</v>
      </c>
      <c r="JV1" s="79"/>
      <c r="JW1" s="76"/>
      <c r="JX1" s="77" t="s">
        <v>1</v>
      </c>
      <c r="JY1" s="77" t="s">
        <v>2</v>
      </c>
      <c r="JZ1" s="77"/>
      <c r="KA1" s="80" t="s">
        <v>3</v>
      </c>
      <c r="KB1" s="79"/>
      <c r="KC1" s="76"/>
      <c r="KD1" s="77" t="s">
        <v>1</v>
      </c>
      <c r="KE1" s="77" t="s">
        <v>2</v>
      </c>
      <c r="KF1" s="77"/>
      <c r="KG1" s="80" t="s">
        <v>3</v>
      </c>
      <c r="KH1" s="79"/>
      <c r="KI1" s="76"/>
      <c r="KJ1" s="77" t="s">
        <v>1</v>
      </c>
      <c r="KK1" s="77" t="s">
        <v>2</v>
      </c>
      <c r="KL1" s="77"/>
      <c r="KM1" s="80" t="s">
        <v>3</v>
      </c>
      <c r="KN1" s="79"/>
      <c r="KO1" s="76"/>
      <c r="KP1" s="77" t="s">
        <v>1</v>
      </c>
      <c r="KQ1" s="77" t="s">
        <v>2</v>
      </c>
      <c r="KR1" s="77"/>
      <c r="KS1" s="80" t="s">
        <v>3</v>
      </c>
      <c r="KT1" s="79"/>
      <c r="KU1" s="76"/>
      <c r="KV1" s="77" t="s">
        <v>1</v>
      </c>
      <c r="KW1" s="77" t="s">
        <v>2</v>
      </c>
      <c r="KX1" s="77"/>
      <c r="KY1" s="80" t="s">
        <v>3</v>
      </c>
      <c r="KZ1" s="79"/>
      <c r="LA1" s="76"/>
      <c r="LB1" s="77" t="s">
        <v>1</v>
      </c>
      <c r="LC1" s="77" t="s">
        <v>2</v>
      </c>
      <c r="LD1" s="77"/>
      <c r="LE1" s="80" t="s">
        <v>3</v>
      </c>
      <c r="LF1" s="79"/>
      <c r="LG1" s="76"/>
      <c r="LH1" s="77" t="s">
        <v>1</v>
      </c>
      <c r="LI1" s="77" t="s">
        <v>2</v>
      </c>
      <c r="LJ1" s="77"/>
      <c r="LK1" s="80" t="s">
        <v>3</v>
      </c>
      <c r="LL1" s="79"/>
      <c r="LM1" s="76"/>
      <c r="LN1" s="77" t="s">
        <v>1</v>
      </c>
      <c r="LO1" s="77" t="s">
        <v>2</v>
      </c>
      <c r="LP1" s="77"/>
      <c r="LQ1" s="80" t="s">
        <v>3</v>
      </c>
      <c r="LR1" s="79"/>
      <c r="LS1" s="76"/>
      <c r="LT1" s="77" t="s">
        <v>1</v>
      </c>
      <c r="LU1" s="77" t="s">
        <v>2</v>
      </c>
      <c r="LV1" s="77"/>
      <c r="LW1" s="80" t="s">
        <v>3</v>
      </c>
      <c r="LX1" s="79"/>
      <c r="LY1" s="76"/>
      <c r="LZ1" s="77" t="s">
        <v>1</v>
      </c>
      <c r="MA1" s="77" t="s">
        <v>2</v>
      </c>
      <c r="MB1" s="77"/>
      <c r="MC1" s="80" t="s">
        <v>3</v>
      </c>
      <c r="MD1" s="79"/>
      <c r="ME1" s="76"/>
      <c r="MF1" s="77" t="s">
        <v>1</v>
      </c>
      <c r="MG1" s="77" t="s">
        <v>2</v>
      </c>
      <c r="MH1" s="77"/>
      <c r="MI1" s="80" t="s">
        <v>3</v>
      </c>
      <c r="MJ1" s="79"/>
      <c r="MK1" s="76"/>
      <c r="ML1" s="77" t="s">
        <v>1</v>
      </c>
      <c r="MM1" s="77" t="s">
        <v>2</v>
      </c>
      <c r="MN1" s="77"/>
      <c r="MO1" s="80" t="s">
        <v>3</v>
      </c>
      <c r="MP1" s="79"/>
      <c r="MQ1" s="76"/>
      <c r="MR1" s="77" t="s">
        <v>1</v>
      </c>
      <c r="MS1" s="77" t="s">
        <v>2</v>
      </c>
      <c r="MT1" s="77"/>
      <c r="MU1" s="80" t="s">
        <v>3</v>
      </c>
      <c r="MV1" s="79"/>
      <c r="MW1" s="76"/>
      <c r="MX1" s="77" t="s">
        <v>1</v>
      </c>
      <c r="MY1" s="77" t="s">
        <v>2</v>
      </c>
      <c r="MZ1" s="77"/>
      <c r="NA1" s="80" t="s">
        <v>3</v>
      </c>
      <c r="NB1" s="79"/>
      <c r="NC1" s="76"/>
      <c r="ND1" s="77" t="s">
        <v>1</v>
      </c>
      <c r="NE1" s="77" t="s">
        <v>2</v>
      </c>
      <c r="NF1" s="77"/>
      <c r="NG1" s="80" t="s">
        <v>3</v>
      </c>
      <c r="NH1" s="79"/>
      <c r="NI1" s="76"/>
      <c r="NJ1" s="77" t="s">
        <v>1</v>
      </c>
      <c r="NK1" s="77" t="s">
        <v>2</v>
      </c>
      <c r="NL1" s="77"/>
      <c r="NM1" s="80" t="s">
        <v>3</v>
      </c>
      <c r="NN1" s="79"/>
      <c r="NO1" s="76"/>
      <c r="NP1" s="77" t="s">
        <v>1</v>
      </c>
      <c r="NQ1" s="77" t="s">
        <v>2</v>
      </c>
      <c r="NR1" s="77"/>
      <c r="NS1" s="80" t="s">
        <v>3</v>
      </c>
      <c r="NT1" s="79"/>
      <c r="NU1" s="76"/>
      <c r="NV1" s="77" t="s">
        <v>1</v>
      </c>
      <c r="NW1" s="77" t="s">
        <v>2</v>
      </c>
      <c r="NX1" s="77"/>
      <c r="NY1" s="80" t="s">
        <v>3</v>
      </c>
      <c r="NZ1" s="79"/>
      <c r="OA1" s="76"/>
      <c r="OB1" s="77" t="s">
        <v>1</v>
      </c>
      <c r="OC1" s="77" t="s">
        <v>2</v>
      </c>
      <c r="OD1" s="77"/>
      <c r="OE1" s="80" t="s">
        <v>3</v>
      </c>
      <c r="OF1" s="79"/>
      <c r="OG1" s="76"/>
      <c r="OH1" s="77" t="s">
        <v>1</v>
      </c>
      <c r="OI1" s="77" t="s">
        <v>2</v>
      </c>
      <c r="OJ1" s="77"/>
      <c r="OK1" s="80" t="s">
        <v>3</v>
      </c>
      <c r="OL1" s="79"/>
      <c r="OM1" s="76"/>
      <c r="ON1" s="77" t="s">
        <v>1</v>
      </c>
      <c r="OO1" s="77" t="s">
        <v>2</v>
      </c>
      <c r="OP1" s="77"/>
      <c r="OQ1" s="80" t="s">
        <v>3</v>
      </c>
      <c r="OR1" s="79"/>
      <c r="OS1" s="76"/>
      <c r="OT1" s="77" t="s">
        <v>1</v>
      </c>
      <c r="OU1" s="77" t="s">
        <v>2</v>
      </c>
      <c r="OV1" s="77"/>
      <c r="OW1" s="80" t="s">
        <v>3</v>
      </c>
      <c r="OX1" s="79"/>
      <c r="OY1" s="76"/>
      <c r="OZ1" s="77" t="s">
        <v>1</v>
      </c>
      <c r="PA1" s="77" t="s">
        <v>2</v>
      </c>
      <c r="PB1" s="77"/>
      <c r="PC1" s="80" t="s">
        <v>3</v>
      </c>
      <c r="PD1" s="79"/>
      <c r="PE1" s="76"/>
      <c r="PF1" s="77" t="s">
        <v>1</v>
      </c>
      <c r="PG1" s="77" t="s">
        <v>2</v>
      </c>
      <c r="PH1" s="77"/>
      <c r="PI1" s="80" t="s">
        <v>3</v>
      </c>
      <c r="PJ1" s="79"/>
      <c r="PK1" s="76"/>
      <c r="PL1" s="77" t="s">
        <v>1</v>
      </c>
      <c r="PM1" s="77" t="s">
        <v>2</v>
      </c>
      <c r="PN1" s="77"/>
      <c r="PO1" s="80" t="s">
        <v>3</v>
      </c>
      <c r="PP1" s="79"/>
      <c r="PQ1" s="76"/>
      <c r="PR1" s="77" t="s">
        <v>1</v>
      </c>
      <c r="PS1" s="77" t="s">
        <v>2</v>
      </c>
      <c r="PT1" s="77"/>
      <c r="PU1" s="80" t="s">
        <v>3</v>
      </c>
      <c r="PV1" s="79"/>
      <c r="PW1" s="76"/>
      <c r="PX1" s="77" t="s">
        <v>1</v>
      </c>
      <c r="PY1" s="77" t="s">
        <v>2</v>
      </c>
      <c r="PZ1" s="77"/>
      <c r="QA1" s="80" t="s">
        <v>3</v>
      </c>
      <c r="QB1" s="79"/>
      <c r="QC1" s="76"/>
      <c r="QD1" s="77" t="s">
        <v>1</v>
      </c>
      <c r="QE1" s="77" t="s">
        <v>2</v>
      </c>
      <c r="QF1" s="77"/>
      <c r="QG1" s="80" t="s">
        <v>3</v>
      </c>
      <c r="QH1" s="79"/>
      <c r="QI1" s="76"/>
      <c r="QJ1" s="77" t="s">
        <v>1</v>
      </c>
      <c r="QK1" s="77" t="s">
        <v>2</v>
      </c>
      <c r="QL1" s="77"/>
      <c r="QM1" s="80" t="s">
        <v>3</v>
      </c>
      <c r="QN1" s="79"/>
      <c r="QO1" s="76"/>
      <c r="QP1" s="77" t="s">
        <v>1</v>
      </c>
      <c r="QQ1" s="77" t="s">
        <v>2</v>
      </c>
      <c r="QR1" s="77"/>
      <c r="QS1" s="80" t="s">
        <v>3</v>
      </c>
      <c r="QT1" s="79"/>
      <c r="QU1" s="76"/>
      <c r="QV1" s="77" t="s">
        <v>1</v>
      </c>
      <c r="QW1" s="77" t="s">
        <v>2</v>
      </c>
      <c r="QX1" s="77"/>
      <c r="QY1" s="80" t="s">
        <v>3</v>
      </c>
      <c r="QZ1" s="79"/>
      <c r="RA1" s="76"/>
      <c r="RB1" s="77" t="s">
        <v>1</v>
      </c>
      <c r="RC1" s="77" t="s">
        <v>2</v>
      </c>
      <c r="RD1" s="77"/>
      <c r="RE1" s="80" t="s">
        <v>3</v>
      </c>
      <c r="RF1" s="79"/>
      <c r="RG1" s="76"/>
      <c r="RH1" s="77" t="s">
        <v>1</v>
      </c>
      <c r="RI1" s="77" t="s">
        <v>2</v>
      </c>
      <c r="RJ1" s="77"/>
      <c r="RK1" s="80" t="s">
        <v>3</v>
      </c>
      <c r="RL1" s="79"/>
      <c r="RM1" s="76"/>
      <c r="RN1" s="77" t="s">
        <v>1</v>
      </c>
      <c r="RO1" s="77" t="s">
        <v>2</v>
      </c>
      <c r="RP1" s="77"/>
      <c r="RQ1" s="80" t="s">
        <v>3</v>
      </c>
      <c r="RR1" s="79"/>
      <c r="RS1" s="76"/>
      <c r="RT1" s="77" t="s">
        <v>1</v>
      </c>
      <c r="RU1" s="77" t="s">
        <v>2</v>
      </c>
      <c r="RV1" s="77"/>
      <c r="RW1" s="80" t="s">
        <v>3</v>
      </c>
      <c r="RX1" s="79"/>
      <c r="RY1" s="76"/>
      <c r="RZ1" s="77" t="s">
        <v>1</v>
      </c>
      <c r="SA1" s="77" t="s">
        <v>2</v>
      </c>
      <c r="SB1" s="77"/>
      <c r="SC1" s="80" t="s">
        <v>3</v>
      </c>
      <c r="SD1" s="79"/>
      <c r="SE1" s="76"/>
      <c r="SF1" s="77" t="s">
        <v>1</v>
      </c>
      <c r="SG1" s="77" t="s">
        <v>2</v>
      </c>
      <c r="SH1" s="77"/>
      <c r="SI1" s="80" t="s">
        <v>3</v>
      </c>
      <c r="SJ1" s="79"/>
      <c r="SK1" s="76"/>
      <c r="SL1" s="77" t="s">
        <v>1</v>
      </c>
      <c r="SM1" s="77" t="s">
        <v>2</v>
      </c>
      <c r="SN1" s="77"/>
      <c r="SO1" s="80" t="s">
        <v>3</v>
      </c>
      <c r="SP1" s="79"/>
      <c r="SQ1" s="76"/>
      <c r="SR1" s="77" t="s">
        <v>1</v>
      </c>
      <c r="SS1" s="77" t="s">
        <v>2</v>
      </c>
      <c r="ST1" s="77"/>
      <c r="SU1" s="80" t="s">
        <v>3</v>
      </c>
      <c r="SV1" s="79"/>
      <c r="SW1" s="76"/>
      <c r="SX1" s="77" t="s">
        <v>1</v>
      </c>
      <c r="SY1" s="77" t="s">
        <v>2</v>
      </c>
      <c r="SZ1" s="77"/>
      <c r="TA1" s="80" t="s">
        <v>3</v>
      </c>
      <c r="TB1" s="79"/>
      <c r="TC1" s="76"/>
      <c r="TD1" s="77" t="s">
        <v>1</v>
      </c>
      <c r="TE1" s="77" t="s">
        <v>2</v>
      </c>
      <c r="TF1" s="77"/>
      <c r="TG1" s="80" t="s">
        <v>3</v>
      </c>
      <c r="TH1" s="79"/>
      <c r="TI1" s="76"/>
      <c r="TJ1" s="77" t="s">
        <v>1</v>
      </c>
      <c r="TK1" s="77" t="s">
        <v>2</v>
      </c>
      <c r="TL1" s="77"/>
      <c r="TM1" s="80" t="s">
        <v>3</v>
      </c>
      <c r="TN1" s="79"/>
      <c r="TO1" s="76"/>
      <c r="TP1" s="77" t="s">
        <v>1</v>
      </c>
      <c r="TQ1" s="77" t="s">
        <v>2</v>
      </c>
      <c r="TR1" s="77"/>
      <c r="TS1" s="80" t="s">
        <v>3</v>
      </c>
      <c r="TT1" s="79"/>
      <c r="TU1" s="76"/>
      <c r="TV1" s="77" t="s">
        <v>1</v>
      </c>
      <c r="TW1" s="77" t="s">
        <v>2</v>
      </c>
      <c r="TX1" s="77"/>
      <c r="TY1" s="80" t="s">
        <v>3</v>
      </c>
      <c r="TZ1" s="79"/>
      <c r="UA1" s="76"/>
      <c r="UB1" s="77" t="s">
        <v>1</v>
      </c>
      <c r="UC1" s="77" t="s">
        <v>2</v>
      </c>
      <c r="UD1" s="77"/>
      <c r="UE1" s="80" t="s">
        <v>3</v>
      </c>
      <c r="UF1" s="79"/>
      <c r="UG1" s="76"/>
      <c r="UH1" s="77" t="s">
        <v>1</v>
      </c>
      <c r="UI1" s="77" t="s">
        <v>2</v>
      </c>
      <c r="UJ1" s="77"/>
      <c r="UK1" s="80" t="s">
        <v>3</v>
      </c>
      <c r="UL1" s="79"/>
      <c r="UM1" s="76"/>
      <c r="UN1" s="77" t="s">
        <v>1</v>
      </c>
      <c r="UO1" s="77" t="s">
        <v>2</v>
      </c>
      <c r="UP1" s="77"/>
      <c r="UQ1" s="80" t="s">
        <v>3</v>
      </c>
      <c r="UR1" s="79"/>
      <c r="US1" s="76"/>
      <c r="UT1" s="77" t="s">
        <v>1</v>
      </c>
      <c r="UU1" s="77" t="s">
        <v>2</v>
      </c>
      <c r="UV1" s="77"/>
      <c r="UW1" s="80" t="s">
        <v>3</v>
      </c>
      <c r="UX1" s="79"/>
      <c r="UY1" s="76"/>
      <c r="UZ1" s="77" t="s">
        <v>1</v>
      </c>
      <c r="VA1" s="77" t="s">
        <v>2</v>
      </c>
      <c r="VB1" s="77"/>
      <c r="VC1" s="80" t="s">
        <v>3</v>
      </c>
      <c r="VD1" s="79"/>
      <c r="VE1" s="76"/>
      <c r="VF1" s="77" t="s">
        <v>1</v>
      </c>
      <c r="VG1" s="77" t="s">
        <v>2</v>
      </c>
      <c r="VH1" s="77"/>
      <c r="VI1" s="80" t="s">
        <v>3</v>
      </c>
      <c r="VJ1" s="79"/>
      <c r="VK1" s="76"/>
      <c r="VL1" s="77" t="s">
        <v>1</v>
      </c>
      <c r="VM1" s="77" t="s">
        <v>2</v>
      </c>
      <c r="VN1" s="77"/>
      <c r="VO1" s="80" t="s">
        <v>3</v>
      </c>
      <c r="VP1" s="79"/>
      <c r="VQ1" s="76"/>
      <c r="VR1" s="77" t="s">
        <v>1</v>
      </c>
      <c r="VS1" s="77" t="s">
        <v>2</v>
      </c>
      <c r="VT1" s="77"/>
      <c r="VU1" s="80" t="s">
        <v>3</v>
      </c>
      <c r="VV1" s="79"/>
      <c r="VW1" s="76"/>
      <c r="VX1" s="77" t="s">
        <v>1</v>
      </c>
      <c r="VY1" s="77" t="s">
        <v>2</v>
      </c>
      <c r="VZ1" s="77"/>
      <c r="WA1" s="80" t="s">
        <v>3</v>
      </c>
      <c r="WB1" s="79"/>
      <c r="WC1" s="76"/>
      <c r="WD1" s="77" t="s">
        <v>1</v>
      </c>
      <c r="WE1" s="77" t="s">
        <v>2</v>
      </c>
      <c r="WF1" s="77"/>
      <c r="WG1" s="80" t="s">
        <v>3</v>
      </c>
      <c r="WH1" s="79"/>
      <c r="WI1" s="76"/>
      <c r="WJ1" s="77" t="s">
        <v>1</v>
      </c>
      <c r="WK1" s="77" t="s">
        <v>2</v>
      </c>
      <c r="WL1" s="77"/>
      <c r="WM1" s="80" t="s">
        <v>3</v>
      </c>
      <c r="WN1" s="79"/>
      <c r="WO1" s="76"/>
      <c r="WP1" s="77" t="s">
        <v>1</v>
      </c>
      <c r="WQ1" s="77" t="s">
        <v>2</v>
      </c>
      <c r="WR1" s="77"/>
      <c r="WS1" s="80" t="s">
        <v>3</v>
      </c>
      <c r="WT1" s="79"/>
      <c r="WU1" s="76"/>
      <c r="WV1" s="77" t="s">
        <v>1</v>
      </c>
      <c r="WW1" s="77" t="s">
        <v>2</v>
      </c>
      <c r="WX1" s="77"/>
      <c r="WY1" s="80" t="s">
        <v>3</v>
      </c>
      <c r="WZ1" s="79"/>
      <c r="XA1" s="76"/>
      <c r="XB1" s="77" t="s">
        <v>1</v>
      </c>
      <c r="XC1" s="77" t="s">
        <v>2</v>
      </c>
      <c r="XD1" s="77"/>
      <c r="XE1" s="80" t="s">
        <v>3</v>
      </c>
      <c r="XF1" s="79"/>
      <c r="XG1" s="76"/>
      <c r="XH1" s="77" t="s">
        <v>1</v>
      </c>
      <c r="XI1" s="77" t="s">
        <v>2</v>
      </c>
      <c r="XJ1" s="77"/>
      <c r="XK1" s="80" t="s">
        <v>3</v>
      </c>
      <c r="XL1" s="79"/>
      <c r="XM1" s="76"/>
      <c r="XN1" s="77" t="s">
        <v>1</v>
      </c>
      <c r="XO1" s="77" t="s">
        <v>2</v>
      </c>
      <c r="XP1" s="77"/>
      <c r="XQ1" s="80" t="s">
        <v>3</v>
      </c>
      <c r="XR1" s="79"/>
      <c r="XS1" s="76"/>
      <c r="XT1" s="77" t="s">
        <v>1</v>
      </c>
      <c r="XU1" s="77" t="s">
        <v>2</v>
      </c>
      <c r="XV1" s="77"/>
      <c r="XW1" s="80" t="s">
        <v>3</v>
      </c>
      <c r="XX1" s="79"/>
      <c r="XY1" s="76"/>
      <c r="XZ1" s="77" t="s">
        <v>1</v>
      </c>
      <c r="YA1" s="77" t="s">
        <v>2</v>
      </c>
      <c r="YB1" s="77"/>
      <c r="YC1" s="80" t="s">
        <v>3</v>
      </c>
      <c r="YD1" s="79"/>
      <c r="YE1" s="76"/>
      <c r="YF1" s="77" t="s">
        <v>1</v>
      </c>
      <c r="YG1" s="77" t="s">
        <v>2</v>
      </c>
      <c r="YH1" s="77"/>
      <c r="YI1" s="80" t="s">
        <v>3</v>
      </c>
      <c r="YJ1" s="79"/>
      <c r="YK1" s="76"/>
      <c r="YL1" s="77" t="s">
        <v>1</v>
      </c>
      <c r="YM1" s="77" t="s">
        <v>2</v>
      </c>
      <c r="YN1" s="77"/>
      <c r="YO1" s="80" t="s">
        <v>3</v>
      </c>
      <c r="YP1" s="79"/>
      <c r="YQ1" s="76"/>
      <c r="YR1" s="77" t="s">
        <v>1</v>
      </c>
      <c r="YS1" s="77" t="s">
        <v>2</v>
      </c>
      <c r="YT1" s="77"/>
      <c r="YU1" s="80" t="s">
        <v>3</v>
      </c>
      <c r="YV1" s="79"/>
      <c r="YW1" s="76"/>
      <c r="YX1" s="77" t="s">
        <v>1</v>
      </c>
      <c r="YY1" s="77" t="s">
        <v>2</v>
      </c>
      <c r="YZ1" s="77"/>
      <c r="ZA1" s="80" t="s">
        <v>3</v>
      </c>
      <c r="ZB1" s="79"/>
      <c r="ZC1" s="76"/>
      <c r="ZD1" s="77" t="s">
        <v>1</v>
      </c>
      <c r="ZE1" s="77" t="s">
        <v>2</v>
      </c>
      <c r="ZF1" s="77"/>
      <c r="ZG1" s="80" t="s">
        <v>3</v>
      </c>
      <c r="ZH1" s="79"/>
      <c r="ZI1" s="76"/>
      <c r="ZJ1" s="77" t="s">
        <v>1</v>
      </c>
      <c r="ZK1" s="77" t="s">
        <v>2</v>
      </c>
      <c r="ZL1" s="77"/>
      <c r="ZM1" s="80" t="s">
        <v>3</v>
      </c>
      <c r="ZN1" s="79"/>
      <c r="ZO1" s="76"/>
      <c r="ZP1" s="77" t="s">
        <v>1</v>
      </c>
      <c r="ZQ1" s="77" t="s">
        <v>2</v>
      </c>
      <c r="ZR1" s="77"/>
      <c r="ZS1" s="80" t="s">
        <v>3</v>
      </c>
      <c r="ZT1" s="79"/>
      <c r="ZU1" s="76"/>
      <c r="ZV1" s="77" t="s">
        <v>1</v>
      </c>
      <c r="ZW1" s="77" t="s">
        <v>2</v>
      </c>
      <c r="ZX1" s="77"/>
      <c r="ZY1" s="80" t="s">
        <v>3</v>
      </c>
      <c r="ZZ1" s="79"/>
      <c r="AAA1" s="76"/>
      <c r="AAB1" s="77" t="s">
        <v>1</v>
      </c>
      <c r="AAC1" s="77" t="s">
        <v>2</v>
      </c>
      <c r="AAD1" s="77"/>
      <c r="AAE1" s="80" t="s">
        <v>3</v>
      </c>
      <c r="AAF1" s="79"/>
      <c r="AAG1" s="76"/>
      <c r="AAH1" s="77" t="s">
        <v>1</v>
      </c>
      <c r="AAI1" s="77" t="s">
        <v>2</v>
      </c>
      <c r="AAJ1" s="77"/>
      <c r="AAK1" s="80" t="s">
        <v>3</v>
      </c>
      <c r="AAL1" s="79"/>
      <c r="AAM1" s="76"/>
      <c r="AAN1" s="77" t="s">
        <v>1</v>
      </c>
      <c r="AAO1" s="77" t="s">
        <v>2</v>
      </c>
      <c r="AAP1" s="77"/>
      <c r="AAQ1" s="80" t="s">
        <v>3</v>
      </c>
      <c r="AAR1" s="79"/>
      <c r="AAS1" s="76"/>
      <c r="AAT1" s="77" t="s">
        <v>1</v>
      </c>
      <c r="AAU1" s="77" t="s">
        <v>2</v>
      </c>
      <c r="AAV1" s="77"/>
      <c r="AAW1" s="80" t="s">
        <v>3</v>
      </c>
      <c r="AAX1" s="79"/>
      <c r="AAY1" s="76"/>
      <c r="AAZ1" s="77" t="s">
        <v>1</v>
      </c>
      <c r="ABA1" s="77" t="s">
        <v>2</v>
      </c>
      <c r="ABB1" s="77"/>
      <c r="ABC1" s="80" t="s">
        <v>3</v>
      </c>
      <c r="ABD1" s="79"/>
      <c r="ABE1" s="76"/>
      <c r="ABF1" s="77" t="s">
        <v>1</v>
      </c>
      <c r="ABG1" s="77" t="s">
        <v>2</v>
      </c>
      <c r="ABH1" s="77"/>
      <c r="ABI1" s="80" t="s">
        <v>3</v>
      </c>
      <c r="ABJ1" s="79"/>
      <c r="ABK1" s="76"/>
      <c r="ABL1" s="77" t="s">
        <v>1</v>
      </c>
      <c r="ABM1" s="77" t="s">
        <v>2</v>
      </c>
      <c r="ABN1" s="77"/>
      <c r="ABO1" s="80" t="s">
        <v>3</v>
      </c>
      <c r="ABP1" s="79"/>
      <c r="ABQ1" s="76"/>
      <c r="ABR1" s="77" t="s">
        <v>1</v>
      </c>
      <c r="ABS1" s="77" t="s">
        <v>2</v>
      </c>
      <c r="ABT1" s="77"/>
      <c r="ABU1" s="80" t="s">
        <v>3</v>
      </c>
      <c r="ABV1" s="79"/>
      <c r="ABW1" s="76"/>
      <c r="ABX1" s="77" t="s">
        <v>1</v>
      </c>
      <c r="ABY1" s="77" t="s">
        <v>2</v>
      </c>
      <c r="ABZ1" s="77"/>
      <c r="ACA1" s="80" t="s">
        <v>3</v>
      </c>
      <c r="ACB1" s="79"/>
      <c r="ACC1" s="76"/>
      <c r="ACD1" s="77" t="s">
        <v>1</v>
      </c>
      <c r="ACE1" s="77" t="s">
        <v>2</v>
      </c>
      <c r="ACF1" s="77"/>
      <c r="ACG1" s="80" t="s">
        <v>3</v>
      </c>
      <c r="ACH1" s="79"/>
      <c r="ACI1" s="76"/>
      <c r="ACJ1" s="77" t="s">
        <v>1</v>
      </c>
      <c r="ACK1" s="77" t="s">
        <v>2</v>
      </c>
      <c r="ACL1" s="77"/>
      <c r="ACM1" s="80" t="s">
        <v>3</v>
      </c>
      <c r="ACN1" s="79"/>
      <c r="ACO1" s="76"/>
      <c r="ACP1" s="77" t="s">
        <v>1</v>
      </c>
      <c r="ACQ1" s="77" t="s">
        <v>2</v>
      </c>
      <c r="ACR1" s="77"/>
      <c r="ACS1" s="80" t="s">
        <v>3</v>
      </c>
      <c r="ACT1" s="79"/>
      <c r="ACU1" s="76"/>
      <c r="ACV1" s="77" t="s">
        <v>1</v>
      </c>
      <c r="ACW1" s="77" t="s">
        <v>2</v>
      </c>
      <c r="ACX1" s="77"/>
      <c r="ACY1" s="80" t="s">
        <v>3</v>
      </c>
      <c r="ACZ1" s="79"/>
      <c r="ADA1" s="76"/>
      <c r="ADB1" s="77" t="s">
        <v>1</v>
      </c>
      <c r="ADC1" s="77" t="s">
        <v>2</v>
      </c>
      <c r="ADD1" s="77"/>
      <c r="ADE1" s="80" t="s">
        <v>3</v>
      </c>
      <c r="ADF1" s="79"/>
      <c r="ADG1" s="76"/>
      <c r="ADH1" s="77" t="s">
        <v>1</v>
      </c>
      <c r="ADI1" s="77" t="s">
        <v>2</v>
      </c>
      <c r="ADJ1" s="77"/>
      <c r="ADK1" s="80" t="s">
        <v>3</v>
      </c>
      <c r="ADL1" s="79"/>
      <c r="ADM1" s="76"/>
      <c r="ADN1" s="77" t="s">
        <v>1</v>
      </c>
      <c r="ADO1" s="77" t="s">
        <v>2</v>
      </c>
      <c r="ADP1" s="77"/>
      <c r="ADQ1" s="80" t="s">
        <v>3</v>
      </c>
      <c r="ADR1" s="79"/>
      <c r="ADS1" s="76"/>
      <c r="ADT1" s="77" t="s">
        <v>1</v>
      </c>
      <c r="ADU1" s="77" t="s">
        <v>2</v>
      </c>
      <c r="ADV1" s="77"/>
      <c r="ADW1" s="80" t="s">
        <v>3</v>
      </c>
      <c r="ADX1" s="79"/>
      <c r="ADY1" s="76"/>
      <c r="ADZ1" s="77" t="s">
        <v>1</v>
      </c>
      <c r="AEA1" s="77" t="s">
        <v>2</v>
      </c>
      <c r="AEB1" s="77"/>
      <c r="AEC1" s="80" t="s">
        <v>3</v>
      </c>
      <c r="AED1" s="79"/>
      <c r="AEE1" s="76"/>
      <c r="AEF1" s="77" t="s">
        <v>1</v>
      </c>
      <c r="AEG1" s="77" t="s">
        <v>2</v>
      </c>
      <c r="AEH1" s="77"/>
      <c r="AEI1" s="80" t="s">
        <v>3</v>
      </c>
      <c r="AEJ1" s="79"/>
      <c r="AEK1" s="76"/>
      <c r="AEL1" s="77" t="s">
        <v>1</v>
      </c>
      <c r="AEM1" s="77" t="s">
        <v>2</v>
      </c>
      <c r="AEN1" s="77"/>
      <c r="AEO1" s="80" t="s">
        <v>3</v>
      </c>
      <c r="AEP1" s="79"/>
      <c r="AEQ1" s="76"/>
      <c r="AER1" s="77" t="s">
        <v>1</v>
      </c>
      <c r="AES1" s="77" t="s">
        <v>2</v>
      </c>
      <c r="AET1" s="77"/>
      <c r="AEU1" s="80" t="s">
        <v>3</v>
      </c>
      <c r="AEV1" s="79"/>
      <c r="AEW1" s="76"/>
      <c r="AEX1" s="77" t="s">
        <v>1</v>
      </c>
      <c r="AEY1" s="77" t="s">
        <v>2</v>
      </c>
      <c r="AEZ1" s="77"/>
      <c r="AFA1" s="80" t="s">
        <v>3</v>
      </c>
      <c r="AFB1" s="79"/>
      <c r="AFC1" s="76"/>
      <c r="AFD1" s="77" t="s">
        <v>1</v>
      </c>
      <c r="AFE1" s="77" t="s">
        <v>2</v>
      </c>
      <c r="AFF1" s="77"/>
      <c r="AFG1" s="80" t="s">
        <v>3</v>
      </c>
      <c r="AFH1" s="79"/>
      <c r="AFI1" s="76"/>
      <c r="AFJ1" s="77" t="s">
        <v>1</v>
      </c>
      <c r="AFK1" s="77" t="s">
        <v>2</v>
      </c>
      <c r="AFL1" s="77"/>
      <c r="AFM1" s="80" t="s">
        <v>3</v>
      </c>
      <c r="AFN1" s="79"/>
      <c r="AFO1" s="76"/>
      <c r="AFP1" s="77" t="s">
        <v>1</v>
      </c>
      <c r="AFQ1" s="77" t="s">
        <v>2</v>
      </c>
      <c r="AFR1" s="77"/>
      <c r="AFS1" s="80" t="s">
        <v>3</v>
      </c>
      <c r="AFT1" s="79"/>
      <c r="AFU1" s="76"/>
      <c r="AFV1" s="77" t="s">
        <v>1</v>
      </c>
      <c r="AFW1" s="77" t="s">
        <v>2</v>
      </c>
      <c r="AFX1" s="77"/>
      <c r="AFY1" s="80" t="s">
        <v>3</v>
      </c>
      <c r="AFZ1" s="79"/>
      <c r="AGA1" s="76"/>
      <c r="AGB1" s="77" t="s">
        <v>1</v>
      </c>
      <c r="AGC1" s="77" t="s">
        <v>2</v>
      </c>
      <c r="AGD1" s="77"/>
      <c r="AGE1" s="80" t="s">
        <v>3</v>
      </c>
      <c r="AGF1" s="79"/>
      <c r="AGG1" s="76"/>
      <c r="AGH1" s="77" t="s">
        <v>1</v>
      </c>
      <c r="AGI1" s="77" t="s">
        <v>2</v>
      </c>
      <c r="AGJ1" s="77"/>
      <c r="AGK1" s="80" t="s">
        <v>3</v>
      </c>
      <c r="AGL1" s="79"/>
      <c r="AGM1" s="76"/>
      <c r="AGN1" s="77" t="s">
        <v>1</v>
      </c>
      <c r="AGO1" s="77" t="s">
        <v>2</v>
      </c>
      <c r="AGP1" s="77"/>
      <c r="AGQ1" s="80" t="s">
        <v>3</v>
      </c>
      <c r="AGR1" s="79"/>
      <c r="AGS1" s="76"/>
      <c r="AGT1" s="77" t="s">
        <v>1</v>
      </c>
      <c r="AGU1" s="77" t="s">
        <v>2</v>
      </c>
      <c r="AGV1" s="77"/>
      <c r="AGW1" s="80" t="s">
        <v>3</v>
      </c>
      <c r="AGX1" s="79"/>
      <c r="AGY1" s="76"/>
      <c r="AGZ1" s="77" t="s">
        <v>1</v>
      </c>
      <c r="AHA1" s="77" t="s">
        <v>2</v>
      </c>
      <c r="AHB1" s="77"/>
      <c r="AHC1" s="80" t="s">
        <v>3</v>
      </c>
      <c r="AHD1" s="79"/>
      <c r="AHE1" s="76"/>
      <c r="AHF1" s="77" t="s">
        <v>1</v>
      </c>
      <c r="AHG1" s="77" t="s">
        <v>2</v>
      </c>
      <c r="AHH1" s="77"/>
      <c r="AHI1" s="80" t="s">
        <v>3</v>
      </c>
      <c r="AHJ1" s="79"/>
      <c r="AHK1" s="76"/>
      <c r="AHL1" s="77" t="s">
        <v>1</v>
      </c>
      <c r="AHM1" s="77" t="s">
        <v>2</v>
      </c>
      <c r="AHN1" s="77"/>
      <c r="AHO1" s="80" t="s">
        <v>3</v>
      </c>
      <c r="AHP1" s="79"/>
      <c r="AHQ1" s="76"/>
      <c r="AHR1" s="77" t="s">
        <v>1</v>
      </c>
      <c r="AHS1" s="77" t="s">
        <v>2</v>
      </c>
      <c r="AHT1" s="77"/>
      <c r="AHU1" s="80" t="s">
        <v>3</v>
      </c>
      <c r="AHV1" s="79"/>
      <c r="AHW1" s="76"/>
      <c r="AHX1" s="77" t="s">
        <v>1</v>
      </c>
      <c r="AHY1" s="77" t="s">
        <v>2</v>
      </c>
      <c r="AHZ1" s="77"/>
      <c r="AIA1" s="80" t="s">
        <v>3</v>
      </c>
      <c r="AIB1" s="79"/>
      <c r="AIC1" s="76"/>
      <c r="AID1" s="77" t="s">
        <v>1</v>
      </c>
      <c r="AIE1" s="77" t="s">
        <v>2</v>
      </c>
      <c r="AIF1" s="77"/>
      <c r="AIG1" s="80" t="s">
        <v>3</v>
      </c>
      <c r="AIH1" s="79"/>
      <c r="AII1" s="76"/>
      <c r="AIJ1" s="77" t="s">
        <v>1</v>
      </c>
      <c r="AIK1" s="77" t="s">
        <v>2</v>
      </c>
      <c r="AIL1" s="77"/>
      <c r="AIM1" s="80" t="s">
        <v>3</v>
      </c>
      <c r="AIN1" s="79"/>
      <c r="AIO1" s="76"/>
      <c r="AIP1" s="77" t="s">
        <v>1</v>
      </c>
      <c r="AIQ1" s="77" t="s">
        <v>2</v>
      </c>
      <c r="AIR1" s="77"/>
      <c r="AIS1" s="80" t="s">
        <v>3</v>
      </c>
      <c r="AIT1" s="79"/>
      <c r="AIU1" s="76"/>
      <c r="AIV1" s="77" t="s">
        <v>1</v>
      </c>
      <c r="AIW1" s="77" t="s">
        <v>2</v>
      </c>
      <c r="AIX1" s="77"/>
      <c r="AIY1" s="80" t="s">
        <v>3</v>
      </c>
      <c r="AIZ1" s="79"/>
      <c r="AJA1" s="76"/>
      <c r="AJB1" s="77" t="s">
        <v>1</v>
      </c>
      <c r="AJC1" s="77" t="s">
        <v>2</v>
      </c>
      <c r="AJD1" s="77"/>
      <c r="AJE1" s="80" t="s">
        <v>3</v>
      </c>
      <c r="AJF1" s="79"/>
      <c r="AJG1" s="76"/>
      <c r="AJH1" s="77" t="s">
        <v>1</v>
      </c>
      <c r="AJI1" s="77" t="s">
        <v>2</v>
      </c>
      <c r="AJJ1" s="77"/>
      <c r="AJK1" s="80" t="s">
        <v>3</v>
      </c>
      <c r="AJL1" s="79"/>
      <c r="AJM1" s="76"/>
      <c r="AJN1" s="77" t="s">
        <v>1</v>
      </c>
      <c r="AJO1" s="77" t="s">
        <v>2</v>
      </c>
      <c r="AJP1" s="77"/>
      <c r="AJQ1" s="80" t="s">
        <v>3</v>
      </c>
      <c r="AJR1" s="79"/>
      <c r="AJS1" s="76"/>
      <c r="AJT1" s="77" t="s">
        <v>1</v>
      </c>
      <c r="AJU1" s="77" t="s">
        <v>2</v>
      </c>
      <c r="AJV1" s="77"/>
      <c r="AJW1" s="80" t="s">
        <v>3</v>
      </c>
      <c r="AJX1" s="79"/>
      <c r="AJY1" s="76"/>
      <c r="AJZ1" s="77" t="s">
        <v>1</v>
      </c>
      <c r="AKA1" s="77" t="s">
        <v>2</v>
      </c>
      <c r="AKB1" s="77"/>
      <c r="AKC1" s="80" t="s">
        <v>3</v>
      </c>
      <c r="AKD1" s="79"/>
      <c r="AKE1" s="76"/>
      <c r="AKF1" s="77" t="s">
        <v>1</v>
      </c>
      <c r="AKG1" s="77" t="s">
        <v>2</v>
      </c>
      <c r="AKH1" s="77"/>
      <c r="AKI1" s="80" t="s">
        <v>3</v>
      </c>
      <c r="AKJ1" s="79"/>
      <c r="AKK1" s="76"/>
      <c r="AKL1" s="77" t="s">
        <v>1</v>
      </c>
      <c r="AKM1" s="77" t="s">
        <v>2</v>
      </c>
      <c r="AKN1" s="77"/>
      <c r="AKO1" s="80" t="s">
        <v>3</v>
      </c>
      <c r="AKP1" s="79"/>
      <c r="AKQ1" s="76"/>
      <c r="AKR1" s="77" t="s">
        <v>1</v>
      </c>
      <c r="AKS1" s="77" t="s">
        <v>2</v>
      </c>
      <c r="AKT1" s="77"/>
      <c r="AKU1" s="80" t="s">
        <v>3</v>
      </c>
      <c r="AKV1" s="79"/>
      <c r="AKW1" s="76"/>
      <c r="AKX1" s="77" t="s">
        <v>1</v>
      </c>
      <c r="AKY1" s="77" t="s">
        <v>2</v>
      </c>
      <c r="AKZ1" s="77"/>
      <c r="ALA1" s="80" t="s">
        <v>3</v>
      </c>
      <c r="ALB1" s="79"/>
      <c r="ALC1" s="76"/>
      <c r="ALD1" s="77" t="s">
        <v>1</v>
      </c>
      <c r="ALE1" s="77" t="s">
        <v>2</v>
      </c>
      <c r="ALF1" s="77"/>
      <c r="ALG1" s="80" t="s">
        <v>3</v>
      </c>
      <c r="ALH1" s="79"/>
      <c r="ALI1" s="76"/>
      <c r="ALJ1" s="77" t="s">
        <v>1</v>
      </c>
      <c r="ALK1" s="77" t="s">
        <v>2</v>
      </c>
      <c r="ALL1" s="77"/>
      <c r="ALM1" s="80" t="s">
        <v>3</v>
      </c>
      <c r="ALN1" s="79"/>
      <c r="ALO1" s="76"/>
      <c r="ALP1" s="77" t="s">
        <v>1</v>
      </c>
      <c r="ALQ1" s="77" t="s">
        <v>2</v>
      </c>
      <c r="ALR1" s="77"/>
      <c r="ALS1" s="80" t="s">
        <v>3</v>
      </c>
      <c r="ALT1" s="79"/>
      <c r="ALU1" s="76"/>
      <c r="ALV1" s="77" t="s">
        <v>1</v>
      </c>
      <c r="ALW1" s="77" t="s">
        <v>2</v>
      </c>
      <c r="ALX1" s="77"/>
      <c r="ALY1" s="80" t="s">
        <v>3</v>
      </c>
      <c r="ALZ1" s="79"/>
      <c r="AMA1" s="76"/>
      <c r="AMB1" s="77" t="s">
        <v>1</v>
      </c>
      <c r="AMC1" s="77" t="s">
        <v>2</v>
      </c>
      <c r="AMD1" s="77"/>
      <c r="AME1" s="80" t="s">
        <v>3</v>
      </c>
      <c r="AMF1" s="79"/>
      <c r="AMG1" s="76"/>
      <c r="AMH1" s="77" t="s">
        <v>1</v>
      </c>
      <c r="AMI1" s="77" t="s">
        <v>2</v>
      </c>
      <c r="AMJ1" s="77"/>
      <c r="AMK1" s="80" t="s">
        <v>3</v>
      </c>
      <c r="AML1" s="79"/>
      <c r="AMM1" s="76"/>
      <c r="AMN1" s="77" t="s">
        <v>1</v>
      </c>
      <c r="AMO1" s="77" t="s">
        <v>2</v>
      </c>
      <c r="AMP1" s="77"/>
      <c r="AMQ1" s="80" t="s">
        <v>3</v>
      </c>
      <c r="AMR1" s="79"/>
      <c r="AMS1" s="76"/>
      <c r="AMT1" s="77" t="s">
        <v>1</v>
      </c>
      <c r="AMU1" s="77" t="s">
        <v>2</v>
      </c>
      <c r="AMV1" s="77"/>
      <c r="AMW1" s="80" t="s">
        <v>3</v>
      </c>
      <c r="AMX1" s="79"/>
      <c r="AMY1" s="76"/>
      <c r="AMZ1" s="77" t="s">
        <v>1</v>
      </c>
      <c r="ANA1" s="77" t="s">
        <v>2</v>
      </c>
      <c r="ANB1" s="77"/>
      <c r="ANC1" s="80" t="s">
        <v>3</v>
      </c>
      <c r="AND1" s="79"/>
      <c r="ANE1" s="76"/>
      <c r="ANF1" s="77" t="s">
        <v>1</v>
      </c>
      <c r="ANG1" s="77" t="s">
        <v>2</v>
      </c>
      <c r="ANH1" s="77"/>
      <c r="ANI1" s="80" t="s">
        <v>3</v>
      </c>
      <c r="ANJ1" s="79"/>
      <c r="ANK1" s="76"/>
      <c r="ANL1" s="77" t="s">
        <v>1</v>
      </c>
      <c r="ANM1" s="77" t="s">
        <v>2</v>
      </c>
      <c r="ANN1" s="77"/>
      <c r="ANO1" s="80" t="s">
        <v>3</v>
      </c>
      <c r="ANP1" s="79"/>
      <c r="ANQ1" s="76"/>
      <c r="ANR1" s="77" t="s">
        <v>1</v>
      </c>
      <c r="ANS1" s="77" t="s">
        <v>2</v>
      </c>
      <c r="ANT1" s="77"/>
      <c r="ANU1" s="80" t="s">
        <v>3</v>
      </c>
      <c r="ANV1" s="79"/>
      <c r="ANW1" s="76"/>
      <c r="ANX1" s="77" t="s">
        <v>1</v>
      </c>
      <c r="ANY1" s="77" t="s">
        <v>2</v>
      </c>
      <c r="ANZ1" s="77"/>
      <c r="AOA1" s="80" t="s">
        <v>3</v>
      </c>
      <c r="AOB1" s="79"/>
      <c r="AOC1" s="76"/>
      <c r="AOD1" s="77" t="s">
        <v>1</v>
      </c>
      <c r="AOE1" s="77" t="s">
        <v>2</v>
      </c>
      <c r="AOF1" s="77"/>
      <c r="AOG1" s="80" t="s">
        <v>3</v>
      </c>
      <c r="AOH1" s="79"/>
      <c r="AOI1" s="76"/>
      <c r="AOJ1" s="77" t="s">
        <v>1</v>
      </c>
      <c r="AOK1" s="77" t="s">
        <v>2</v>
      </c>
      <c r="AOL1" s="77"/>
      <c r="AOM1" s="80" t="s">
        <v>3</v>
      </c>
      <c r="AON1" s="79"/>
      <c r="AOO1" s="76"/>
      <c r="AOP1" s="77" t="s">
        <v>1</v>
      </c>
      <c r="AOQ1" s="77" t="s">
        <v>2</v>
      </c>
      <c r="AOR1" s="77"/>
      <c r="AOS1" s="80" t="s">
        <v>3</v>
      </c>
      <c r="AOT1" s="79"/>
      <c r="AOU1" s="76"/>
      <c r="AOV1" s="77" t="s">
        <v>1</v>
      </c>
      <c r="AOW1" s="77" t="s">
        <v>2</v>
      </c>
      <c r="AOX1" s="77"/>
      <c r="AOY1" s="80" t="s">
        <v>3</v>
      </c>
      <c r="AOZ1" s="79"/>
    </row>
    <row r="2" spans="1:1092" x14ac:dyDescent="0.25">
      <c r="A2" s="172"/>
      <c r="B2" s="172"/>
      <c r="C2" s="172"/>
      <c r="D2" s="76"/>
      <c r="E2" s="81">
        <v>44010</v>
      </c>
      <c r="F2" s="76"/>
      <c r="G2" s="76"/>
      <c r="H2" s="81">
        <v>44019</v>
      </c>
      <c r="I2" s="177"/>
      <c r="J2" s="178"/>
      <c r="K2" s="180"/>
      <c r="L2" s="179"/>
      <c r="M2" s="76"/>
      <c r="N2" s="81">
        <v>44024</v>
      </c>
      <c r="O2" s="177"/>
      <c r="P2" s="178"/>
      <c r="Q2" s="175">
        <v>0.5</v>
      </c>
      <c r="R2" s="179"/>
      <c r="S2" s="76"/>
      <c r="T2" s="81">
        <v>44031</v>
      </c>
      <c r="U2" s="177" t="s">
        <v>4</v>
      </c>
      <c r="V2" s="178"/>
      <c r="W2" s="175"/>
      <c r="X2" s="179"/>
      <c r="Y2" s="76"/>
      <c r="Z2" s="81">
        <v>44031</v>
      </c>
      <c r="AA2" s="177" t="s">
        <v>4</v>
      </c>
      <c r="AB2" s="178"/>
      <c r="AC2" s="175"/>
      <c r="AD2" s="179"/>
      <c r="AE2" s="76"/>
      <c r="AF2" s="81">
        <v>44045</v>
      </c>
      <c r="AG2" s="177" t="s">
        <v>4</v>
      </c>
      <c r="AH2" s="178"/>
      <c r="AI2" s="175"/>
      <c r="AJ2" s="179"/>
      <c r="AK2" s="76"/>
      <c r="AL2" s="81">
        <v>44052</v>
      </c>
      <c r="AM2" s="177" t="s">
        <v>4</v>
      </c>
      <c r="AN2" s="178"/>
      <c r="AO2" s="175"/>
      <c r="AP2" s="179"/>
      <c r="AQ2" s="76"/>
      <c r="AR2" s="81">
        <v>44059</v>
      </c>
      <c r="AS2" s="177" t="s">
        <v>4</v>
      </c>
      <c r="AT2" s="178"/>
      <c r="AU2" s="175"/>
      <c r="AV2" s="179"/>
      <c r="AW2" s="76"/>
      <c r="AX2" s="81">
        <v>44066</v>
      </c>
      <c r="AY2" s="177" t="s">
        <v>4</v>
      </c>
      <c r="AZ2" s="178"/>
      <c r="BA2" s="175">
        <v>0.85416666666666663</v>
      </c>
      <c r="BB2" s="179"/>
      <c r="BC2" s="76"/>
      <c r="BD2" s="81">
        <v>44073</v>
      </c>
      <c r="BE2" s="177" t="s">
        <v>6</v>
      </c>
      <c r="BF2" s="178"/>
      <c r="BG2" s="175">
        <v>0.85416666666666663</v>
      </c>
      <c r="BH2" s="179"/>
      <c r="BI2" s="76"/>
      <c r="BJ2" s="81">
        <v>44080</v>
      </c>
      <c r="BK2" s="177" t="s">
        <v>48</v>
      </c>
      <c r="BL2" s="178"/>
      <c r="BM2" s="175">
        <v>0.83333333333333337</v>
      </c>
      <c r="BN2" s="179"/>
      <c r="BO2" s="76"/>
      <c r="BP2" s="81">
        <v>44087</v>
      </c>
      <c r="BQ2" s="177" t="s">
        <v>48</v>
      </c>
      <c r="BR2" s="178"/>
      <c r="BS2" s="175">
        <v>0.83333333333333337</v>
      </c>
      <c r="BT2" s="179"/>
      <c r="BU2" s="76"/>
      <c r="BV2" s="81">
        <v>44094</v>
      </c>
      <c r="BW2" s="177" t="s">
        <v>4</v>
      </c>
      <c r="BX2" s="178"/>
      <c r="BY2" s="175">
        <v>0.83333333333333337</v>
      </c>
      <c r="BZ2" s="179"/>
      <c r="CA2" s="76"/>
      <c r="CB2" s="81">
        <v>44101</v>
      </c>
      <c r="CC2" s="177" t="s">
        <v>4</v>
      </c>
      <c r="CD2" s="178"/>
      <c r="CE2" s="175">
        <v>0.83333333333333337</v>
      </c>
      <c r="CF2" s="179"/>
      <c r="CG2" s="76"/>
      <c r="CH2" s="81">
        <v>44108</v>
      </c>
      <c r="CI2" s="177" t="s">
        <v>4</v>
      </c>
      <c r="CJ2" s="178"/>
      <c r="CK2" s="175">
        <v>0.83333333333333337</v>
      </c>
      <c r="CL2" s="179"/>
      <c r="CM2" s="76"/>
      <c r="CN2" s="81">
        <v>44115</v>
      </c>
      <c r="CO2" s="177" t="s">
        <v>4</v>
      </c>
      <c r="CP2" s="178"/>
      <c r="CQ2" s="175">
        <v>0.83333333333333337</v>
      </c>
      <c r="CR2" s="179"/>
      <c r="CS2" s="76"/>
      <c r="CT2" s="81">
        <v>44122</v>
      </c>
      <c r="CU2" s="177" t="s">
        <v>4</v>
      </c>
      <c r="CV2" s="178"/>
      <c r="CW2" s="175">
        <v>0.83333333333333337</v>
      </c>
      <c r="CX2" s="179"/>
      <c r="CY2" s="76"/>
      <c r="CZ2" s="81">
        <v>44129</v>
      </c>
      <c r="DA2" s="177" t="s">
        <v>4</v>
      </c>
      <c r="DB2" s="178"/>
      <c r="DC2" s="175">
        <v>0.83333333333333337</v>
      </c>
      <c r="DD2" s="179"/>
      <c r="DE2" s="76"/>
      <c r="DF2" s="81">
        <v>44136</v>
      </c>
      <c r="DG2" s="177" t="s">
        <v>49</v>
      </c>
      <c r="DH2" s="178"/>
      <c r="DI2" s="175">
        <v>0.83333333333333337</v>
      </c>
      <c r="DJ2" s="179"/>
      <c r="DK2" s="76"/>
      <c r="DL2" s="81">
        <v>44143</v>
      </c>
      <c r="DM2" s="177" t="s">
        <v>49</v>
      </c>
      <c r="DN2" s="178"/>
      <c r="DO2" s="175">
        <v>0.83333333333333337</v>
      </c>
      <c r="DP2" s="179"/>
      <c r="DQ2" s="76"/>
      <c r="DR2" s="81">
        <v>44150</v>
      </c>
      <c r="DS2" s="177" t="s">
        <v>50</v>
      </c>
      <c r="DT2" s="178"/>
      <c r="DU2" s="175">
        <v>0.83333333333333337</v>
      </c>
      <c r="DV2" s="179"/>
      <c r="DW2" s="76"/>
      <c r="DX2" s="81">
        <v>44157</v>
      </c>
      <c r="DY2" s="177" t="s">
        <v>50</v>
      </c>
      <c r="DZ2" s="178"/>
      <c r="EA2" s="175">
        <v>0.83333333333333337</v>
      </c>
      <c r="EB2" s="179"/>
      <c r="EC2" s="76"/>
      <c r="ED2" s="81">
        <v>44164</v>
      </c>
      <c r="EE2" s="177" t="s">
        <v>49</v>
      </c>
      <c r="EF2" s="178"/>
      <c r="EG2" s="175">
        <v>0.83333333333333337</v>
      </c>
      <c r="EH2" s="179"/>
      <c r="EI2" s="76"/>
      <c r="EJ2" s="81">
        <v>44171</v>
      </c>
      <c r="EK2" s="177" t="s">
        <v>49</v>
      </c>
      <c r="EL2" s="178"/>
      <c r="EM2" s="175">
        <v>0.83333333333333337</v>
      </c>
      <c r="EN2" s="179"/>
      <c r="EO2" s="76"/>
      <c r="EP2" s="81">
        <v>44178</v>
      </c>
      <c r="EQ2" s="177" t="s">
        <v>49</v>
      </c>
      <c r="ER2" s="178"/>
      <c r="ES2" s="175">
        <v>0.83333333333333337</v>
      </c>
      <c r="ET2" s="179"/>
      <c r="EU2" s="76"/>
      <c r="EV2" s="81">
        <v>44184</v>
      </c>
      <c r="EW2" s="177" t="s">
        <v>49</v>
      </c>
      <c r="EX2" s="178"/>
      <c r="EY2" s="175">
        <v>0.83333333333333337</v>
      </c>
      <c r="EZ2" s="179"/>
      <c r="FA2" s="76"/>
      <c r="FB2" s="81">
        <v>44192</v>
      </c>
      <c r="FC2" s="177" t="s">
        <v>49</v>
      </c>
      <c r="FD2" s="178"/>
      <c r="FE2" s="175">
        <v>0.83333333333333337</v>
      </c>
      <c r="FF2" s="176"/>
      <c r="FG2" s="76"/>
      <c r="FH2" s="81">
        <v>44199</v>
      </c>
      <c r="FI2" s="177" t="s">
        <v>49</v>
      </c>
      <c r="FJ2" s="178"/>
      <c r="FK2" s="175">
        <v>0.83333333333333337</v>
      </c>
      <c r="FL2" s="176"/>
      <c r="FM2" s="76"/>
      <c r="FN2" s="81">
        <v>44206</v>
      </c>
      <c r="FO2" s="177" t="s">
        <v>49</v>
      </c>
      <c r="FP2" s="178"/>
      <c r="FQ2" s="175">
        <v>0.83333333333333337</v>
      </c>
      <c r="FR2" s="176"/>
      <c r="FS2" s="76"/>
      <c r="FT2" s="81">
        <v>44213</v>
      </c>
      <c r="FU2" s="177" t="s">
        <v>49</v>
      </c>
      <c r="FV2" s="178"/>
      <c r="FW2" s="175">
        <v>0.83333333333333337</v>
      </c>
      <c r="FX2" s="176"/>
      <c r="FY2" s="76"/>
      <c r="FZ2" s="81">
        <v>44220</v>
      </c>
      <c r="GA2" s="177" t="s">
        <v>49</v>
      </c>
      <c r="GB2" s="178"/>
      <c r="GC2" s="175">
        <v>0.83333333333333337</v>
      </c>
      <c r="GD2" s="176"/>
      <c r="GE2" s="76"/>
      <c r="GF2" s="81">
        <v>44227</v>
      </c>
      <c r="GG2" s="177" t="s">
        <v>49</v>
      </c>
      <c r="GH2" s="178"/>
      <c r="GI2" s="175">
        <v>0.83333333333333337</v>
      </c>
      <c r="GJ2" s="176"/>
      <c r="GK2" s="76"/>
      <c r="GL2" s="81">
        <v>44234</v>
      </c>
      <c r="GM2" s="177" t="s">
        <v>49</v>
      </c>
      <c r="GN2" s="178"/>
      <c r="GO2" s="175">
        <v>0.83333333333333337</v>
      </c>
      <c r="GP2" s="176"/>
      <c r="GQ2" s="76"/>
      <c r="GR2" s="81">
        <v>44241</v>
      </c>
      <c r="GS2" s="177" t="s">
        <v>49</v>
      </c>
      <c r="GT2" s="178"/>
      <c r="GU2" s="175">
        <v>0.83333333333333337</v>
      </c>
      <c r="GV2" s="176"/>
      <c r="GW2" s="76"/>
      <c r="GX2" s="81">
        <v>44248</v>
      </c>
      <c r="GY2" s="177" t="s">
        <v>49</v>
      </c>
      <c r="GZ2" s="178"/>
      <c r="HA2" s="175">
        <v>0.83333333333333337</v>
      </c>
      <c r="HB2" s="176"/>
      <c r="HC2" s="76"/>
      <c r="HD2" s="81">
        <v>44255</v>
      </c>
      <c r="HE2" s="177" t="s">
        <v>49</v>
      </c>
      <c r="HF2" s="178"/>
      <c r="HG2" s="175">
        <v>0.83333333333333337</v>
      </c>
      <c r="HH2" s="176"/>
      <c r="HI2" s="76"/>
      <c r="HJ2" s="81">
        <v>44262</v>
      </c>
      <c r="HK2" s="177" t="s">
        <v>50</v>
      </c>
      <c r="HL2" s="178"/>
      <c r="HM2" s="175">
        <v>0.83333333333333337</v>
      </c>
      <c r="HN2" s="176"/>
      <c r="HO2" s="76"/>
      <c r="HP2" s="81">
        <v>44269</v>
      </c>
      <c r="HQ2" s="177" t="s">
        <v>50</v>
      </c>
      <c r="HR2" s="178"/>
      <c r="HS2" s="175">
        <v>0.83333333333333337</v>
      </c>
      <c r="HT2" s="176"/>
      <c r="HU2" s="76"/>
      <c r="HV2" s="81">
        <v>44276</v>
      </c>
      <c r="HW2" s="177" t="s">
        <v>50</v>
      </c>
      <c r="HX2" s="178"/>
      <c r="HY2" s="175">
        <v>0.83333333333333337</v>
      </c>
      <c r="HZ2" s="176"/>
      <c r="IA2" s="76"/>
      <c r="IB2" s="81">
        <v>44283</v>
      </c>
      <c r="IC2" s="177" t="s">
        <v>50</v>
      </c>
      <c r="ID2" s="178"/>
      <c r="IE2" s="175">
        <v>0.83333333333333337</v>
      </c>
      <c r="IF2" s="176"/>
      <c r="IG2" s="76"/>
      <c r="IH2" s="81">
        <v>44290</v>
      </c>
      <c r="II2" s="177" t="s">
        <v>50</v>
      </c>
      <c r="IJ2" s="178"/>
      <c r="IK2" s="175">
        <v>0.83333333333333337</v>
      </c>
      <c r="IL2" s="176"/>
      <c r="IM2" s="76"/>
      <c r="IN2" s="81">
        <v>44297</v>
      </c>
      <c r="IO2" s="177" t="s">
        <v>50</v>
      </c>
      <c r="IP2" s="178"/>
      <c r="IQ2" s="175">
        <v>0.83333333333333337</v>
      </c>
      <c r="IR2" s="176"/>
      <c r="IS2" s="76"/>
      <c r="IT2" s="81">
        <v>44304</v>
      </c>
      <c r="IU2" s="177" t="s">
        <v>50</v>
      </c>
      <c r="IV2" s="178"/>
      <c r="IW2" s="175">
        <v>0.83333333333333337</v>
      </c>
      <c r="IX2" s="176"/>
      <c r="IY2" s="76"/>
      <c r="IZ2" s="81">
        <v>44311</v>
      </c>
      <c r="JA2" s="177" t="s">
        <v>50</v>
      </c>
      <c r="JB2" s="178"/>
      <c r="JC2" s="175">
        <v>0.83333333333333337</v>
      </c>
      <c r="JD2" s="176"/>
      <c r="JE2" s="76"/>
      <c r="JF2" s="81">
        <v>44318</v>
      </c>
      <c r="JG2" s="177" t="s">
        <v>50</v>
      </c>
      <c r="JH2" s="178"/>
      <c r="JI2" s="175">
        <v>0.83333333333333337</v>
      </c>
      <c r="JJ2" s="176"/>
      <c r="JK2" s="76"/>
      <c r="JL2" s="81">
        <v>44325</v>
      </c>
      <c r="JM2" s="177" t="s">
        <v>50</v>
      </c>
      <c r="JN2" s="178"/>
      <c r="JO2" s="175">
        <v>0.83333333333333337</v>
      </c>
      <c r="JP2" s="176"/>
      <c r="JQ2" s="76"/>
      <c r="JR2" s="81">
        <v>44331</v>
      </c>
      <c r="JS2" s="177" t="s">
        <v>50</v>
      </c>
      <c r="JT2" s="178"/>
      <c r="JU2" s="175">
        <v>0.83333333333333337</v>
      </c>
      <c r="JV2" s="176"/>
      <c r="JW2" s="76"/>
      <c r="JX2" s="81">
        <v>44339</v>
      </c>
      <c r="JY2" s="177" t="s">
        <v>49</v>
      </c>
      <c r="JZ2" s="178"/>
      <c r="KA2" s="175">
        <v>0.83333333333333337</v>
      </c>
      <c r="KB2" s="176"/>
      <c r="KC2" s="76"/>
      <c r="KD2" s="81">
        <v>44347</v>
      </c>
      <c r="KE2" s="177" t="s">
        <v>49</v>
      </c>
      <c r="KF2" s="178"/>
      <c r="KG2" s="175">
        <v>0.83333333333333337</v>
      </c>
      <c r="KH2" s="176"/>
      <c r="KI2" s="76"/>
      <c r="KJ2" s="81">
        <v>44353</v>
      </c>
      <c r="KK2" s="177" t="s">
        <v>49</v>
      </c>
      <c r="KL2" s="178"/>
      <c r="KM2" s="175">
        <v>0.83333333333333337</v>
      </c>
      <c r="KN2" s="176"/>
      <c r="KO2" s="76"/>
      <c r="KP2" s="81">
        <v>44360</v>
      </c>
      <c r="KQ2" s="177" t="s">
        <v>49</v>
      </c>
      <c r="KR2" s="178"/>
      <c r="KS2" s="175">
        <v>0.83333333333333337</v>
      </c>
      <c r="KT2" s="176"/>
      <c r="KU2" s="76"/>
      <c r="KV2" s="81">
        <v>44367</v>
      </c>
      <c r="KW2" s="177" t="s">
        <v>49</v>
      </c>
      <c r="KX2" s="178"/>
      <c r="KY2" s="175">
        <v>0.83333333333333337</v>
      </c>
      <c r="KZ2" s="176"/>
      <c r="LA2" s="76"/>
      <c r="LB2" s="81">
        <v>44374</v>
      </c>
      <c r="LC2" s="177" t="s">
        <v>49</v>
      </c>
      <c r="LD2" s="178"/>
      <c r="LE2" s="175">
        <v>0.83333333333333337</v>
      </c>
      <c r="LF2" s="176"/>
      <c r="LG2" s="76"/>
      <c r="LH2" s="81">
        <v>44381</v>
      </c>
      <c r="LI2" s="177" t="s">
        <v>49</v>
      </c>
      <c r="LJ2" s="178"/>
      <c r="LK2" s="175">
        <v>0.83333333333333337</v>
      </c>
      <c r="LL2" s="176"/>
      <c r="LM2" s="76"/>
      <c r="LN2" s="81">
        <v>44388</v>
      </c>
      <c r="LO2" s="177" t="s">
        <v>49</v>
      </c>
      <c r="LP2" s="178"/>
      <c r="LQ2" s="175">
        <v>0.83333333333333337</v>
      </c>
      <c r="LR2" s="176"/>
      <c r="LS2" s="76"/>
      <c r="LT2" s="81">
        <v>44395</v>
      </c>
      <c r="LU2" s="177" t="s">
        <v>49</v>
      </c>
      <c r="LV2" s="178"/>
      <c r="LW2" s="175">
        <v>0.83333333333333337</v>
      </c>
      <c r="LX2" s="176"/>
      <c r="LY2" s="76"/>
      <c r="LZ2" s="81">
        <v>44401</v>
      </c>
      <c r="MA2" s="177" t="s">
        <v>49</v>
      </c>
      <c r="MB2" s="178"/>
      <c r="MC2" s="175">
        <v>0.83333333333333337</v>
      </c>
      <c r="MD2" s="176"/>
      <c r="ME2" s="76"/>
      <c r="MF2" s="81">
        <v>44409</v>
      </c>
      <c r="MG2" s="177" t="s">
        <v>49</v>
      </c>
      <c r="MH2" s="178"/>
      <c r="MI2" s="175">
        <v>0.83333333333333337</v>
      </c>
      <c r="MJ2" s="176"/>
      <c r="MK2" s="76"/>
      <c r="ML2" s="81">
        <v>44416</v>
      </c>
      <c r="MM2" s="177" t="s">
        <v>49</v>
      </c>
      <c r="MN2" s="178"/>
      <c r="MO2" s="175">
        <v>0.83333333333333337</v>
      </c>
      <c r="MP2" s="176"/>
      <c r="MQ2" s="76"/>
      <c r="MR2" s="81">
        <v>44423</v>
      </c>
      <c r="MS2" s="177" t="s">
        <v>49</v>
      </c>
      <c r="MT2" s="178"/>
      <c r="MU2" s="175">
        <v>0.83333333333333337</v>
      </c>
      <c r="MV2" s="176"/>
      <c r="MW2" s="76"/>
      <c r="MX2" s="81">
        <v>44430</v>
      </c>
      <c r="MY2" s="177" t="s">
        <v>49</v>
      </c>
      <c r="MZ2" s="178"/>
      <c r="NA2" s="175">
        <v>0.83333333333333337</v>
      </c>
      <c r="NB2" s="176"/>
      <c r="NC2" s="76"/>
      <c r="ND2" s="81">
        <v>44437</v>
      </c>
      <c r="NE2" s="177" t="s">
        <v>49</v>
      </c>
      <c r="NF2" s="178"/>
      <c r="NG2" s="175">
        <v>0.83333333333333337</v>
      </c>
      <c r="NH2" s="176"/>
      <c r="NI2" s="76"/>
      <c r="NJ2" s="81">
        <v>44444</v>
      </c>
      <c r="NK2" s="177" t="s">
        <v>49</v>
      </c>
      <c r="NL2" s="178"/>
      <c r="NM2" s="175">
        <v>0.83333333333333337</v>
      </c>
      <c r="NN2" s="176"/>
      <c r="NO2" s="76"/>
      <c r="NP2" s="81">
        <v>44451</v>
      </c>
      <c r="NQ2" s="177" t="s">
        <v>49</v>
      </c>
      <c r="NR2" s="178"/>
      <c r="NS2" s="175">
        <v>0.83333333333333337</v>
      </c>
      <c r="NT2" s="176"/>
      <c r="NU2" s="76"/>
      <c r="NV2" s="81">
        <v>44458</v>
      </c>
      <c r="NW2" s="177" t="s">
        <v>49</v>
      </c>
      <c r="NX2" s="178"/>
      <c r="NY2" s="175">
        <v>0.83333333333333337</v>
      </c>
      <c r="NZ2" s="176"/>
      <c r="OA2" s="76"/>
      <c r="OB2" s="81">
        <v>44465</v>
      </c>
      <c r="OC2" s="177" t="s">
        <v>49</v>
      </c>
      <c r="OD2" s="178"/>
      <c r="OE2" s="175">
        <v>0.83333333333333337</v>
      </c>
      <c r="OF2" s="176"/>
      <c r="OG2" s="76"/>
      <c r="OH2" s="81">
        <v>44472</v>
      </c>
      <c r="OI2" s="177" t="s">
        <v>49</v>
      </c>
      <c r="OJ2" s="178"/>
      <c r="OK2" s="175">
        <v>0.83333333333333337</v>
      </c>
      <c r="OL2" s="176"/>
      <c r="OM2" s="76"/>
      <c r="ON2" s="81">
        <v>44479</v>
      </c>
      <c r="OO2" s="177" t="s">
        <v>49</v>
      </c>
      <c r="OP2" s="178"/>
      <c r="OQ2" s="175">
        <v>0.83333333333333337</v>
      </c>
      <c r="OR2" s="176"/>
      <c r="OS2" s="76"/>
      <c r="OT2" s="81">
        <v>44486</v>
      </c>
      <c r="OU2" s="177" t="s">
        <v>49</v>
      </c>
      <c r="OV2" s="178"/>
      <c r="OW2" s="175">
        <v>0.83333333333333337</v>
      </c>
      <c r="OX2" s="176"/>
      <c r="OY2" s="76"/>
      <c r="OZ2" s="81">
        <v>44493</v>
      </c>
      <c r="PA2" s="177" t="s">
        <v>49</v>
      </c>
      <c r="PB2" s="178"/>
      <c r="PC2" s="175">
        <v>0.83333333333333337</v>
      </c>
      <c r="PD2" s="176"/>
      <c r="PE2" s="76"/>
      <c r="PF2" s="81">
        <v>44500</v>
      </c>
      <c r="PG2" s="177" t="s">
        <v>49</v>
      </c>
      <c r="PH2" s="178"/>
      <c r="PI2" s="175">
        <v>0.83333333333333337</v>
      </c>
      <c r="PJ2" s="176"/>
      <c r="PK2" s="76"/>
      <c r="PL2" s="81">
        <v>44507</v>
      </c>
      <c r="PM2" s="177" t="s">
        <v>49</v>
      </c>
      <c r="PN2" s="178"/>
      <c r="PO2" s="175">
        <v>0.83333333333333337</v>
      </c>
      <c r="PP2" s="176"/>
      <c r="PQ2" s="76"/>
      <c r="PR2" s="81">
        <v>44514</v>
      </c>
      <c r="PS2" s="177" t="s">
        <v>49</v>
      </c>
      <c r="PT2" s="178"/>
      <c r="PU2" s="175">
        <v>0.83333333333333337</v>
      </c>
      <c r="PV2" s="176"/>
      <c r="PW2" s="76"/>
      <c r="PX2" s="81">
        <v>44521</v>
      </c>
      <c r="PY2" s="177" t="s">
        <v>49</v>
      </c>
      <c r="PZ2" s="178"/>
      <c r="QA2" s="175">
        <v>0.83333333333333337</v>
      </c>
      <c r="QB2" s="176"/>
      <c r="QC2" s="76"/>
      <c r="QD2" s="81">
        <v>44528</v>
      </c>
      <c r="QE2" s="177" t="s">
        <v>49</v>
      </c>
      <c r="QF2" s="178"/>
      <c r="QG2" s="175">
        <v>0.83333333333333337</v>
      </c>
      <c r="QH2" s="176"/>
      <c r="QI2" s="76"/>
      <c r="QJ2" s="81">
        <v>44535</v>
      </c>
      <c r="QK2" s="177" t="s">
        <v>49</v>
      </c>
      <c r="QL2" s="178"/>
      <c r="QM2" s="175">
        <v>0.83333333333333337</v>
      </c>
      <c r="QN2" s="176"/>
      <c r="QO2" s="76"/>
      <c r="QP2" s="81">
        <v>44542</v>
      </c>
      <c r="QQ2" s="177" t="s">
        <v>49</v>
      </c>
      <c r="QR2" s="178"/>
      <c r="QS2" s="175">
        <v>0.83333333333333337</v>
      </c>
      <c r="QT2" s="176"/>
      <c r="QU2" s="76"/>
      <c r="QV2" s="81">
        <v>44549</v>
      </c>
      <c r="QW2" s="177" t="s">
        <v>49</v>
      </c>
      <c r="QX2" s="178"/>
      <c r="QY2" s="175">
        <v>0.83333333333333337</v>
      </c>
      <c r="QZ2" s="176"/>
      <c r="RA2" s="76"/>
      <c r="RB2" s="81">
        <v>44556</v>
      </c>
      <c r="RC2" s="177" t="s">
        <v>49</v>
      </c>
      <c r="RD2" s="178"/>
      <c r="RE2" s="175">
        <v>0.83333333333333337</v>
      </c>
      <c r="RF2" s="176"/>
      <c r="RG2" s="76"/>
      <c r="RH2" s="81">
        <v>44563</v>
      </c>
      <c r="RI2" s="177" t="s">
        <v>49</v>
      </c>
      <c r="RJ2" s="178"/>
      <c r="RK2" s="175">
        <v>0.83333333333333337</v>
      </c>
      <c r="RL2" s="176"/>
      <c r="RM2" s="76"/>
      <c r="RN2" s="81">
        <v>44570</v>
      </c>
      <c r="RO2" s="177" t="s">
        <v>49</v>
      </c>
      <c r="RP2" s="178"/>
      <c r="RQ2" s="175">
        <v>0.83333333333333337</v>
      </c>
      <c r="RR2" s="176"/>
      <c r="RS2" s="76"/>
      <c r="RT2" s="81">
        <v>44570</v>
      </c>
      <c r="RU2" s="177" t="s">
        <v>49</v>
      </c>
      <c r="RV2" s="178"/>
      <c r="RW2" s="175">
        <v>0.83333333333333337</v>
      </c>
      <c r="RX2" s="176"/>
      <c r="RY2" s="76"/>
      <c r="RZ2" s="81">
        <v>44584</v>
      </c>
      <c r="SA2" s="177" t="s">
        <v>49</v>
      </c>
      <c r="SB2" s="178"/>
      <c r="SC2" s="175">
        <v>0.83333333333333337</v>
      </c>
      <c r="SD2" s="176"/>
      <c r="SE2" s="76"/>
      <c r="SF2" s="81">
        <v>44591</v>
      </c>
      <c r="SG2" s="177" t="s">
        <v>49</v>
      </c>
      <c r="SH2" s="178"/>
      <c r="SI2" s="175">
        <v>0.83333333333333337</v>
      </c>
      <c r="SJ2" s="176"/>
      <c r="SK2" s="76"/>
      <c r="SL2" s="81">
        <v>44598</v>
      </c>
      <c r="SM2" s="177" t="s">
        <v>49</v>
      </c>
      <c r="SN2" s="178"/>
      <c r="SO2" s="175">
        <v>0.83333333333333337</v>
      </c>
      <c r="SP2" s="176"/>
      <c r="SQ2" s="76"/>
      <c r="SR2" s="81">
        <v>44605</v>
      </c>
      <c r="SS2" s="177" t="s">
        <v>49</v>
      </c>
      <c r="ST2" s="178"/>
      <c r="SU2" s="175">
        <v>0.83333333333333337</v>
      </c>
      <c r="SV2" s="176"/>
      <c r="SW2" s="76"/>
      <c r="SX2" s="81">
        <v>44609</v>
      </c>
      <c r="SY2" s="177" t="s">
        <v>49</v>
      </c>
      <c r="SZ2" s="178"/>
      <c r="TA2" s="175">
        <v>0.83333333333333337</v>
      </c>
      <c r="TB2" s="176"/>
      <c r="TC2" s="76"/>
      <c r="TD2" s="81">
        <v>44619</v>
      </c>
      <c r="TE2" s="177" t="s">
        <v>49</v>
      </c>
      <c r="TF2" s="178"/>
      <c r="TG2" s="175">
        <v>0.83333333333333337</v>
      </c>
      <c r="TH2" s="176"/>
      <c r="TI2" s="76"/>
      <c r="TJ2" s="81">
        <v>44626</v>
      </c>
      <c r="TK2" s="177" t="s">
        <v>49</v>
      </c>
      <c r="TL2" s="178"/>
      <c r="TM2" s="175">
        <v>0.83333333333333337</v>
      </c>
      <c r="TN2" s="176"/>
      <c r="TO2" s="76"/>
      <c r="TP2" s="81">
        <v>44633</v>
      </c>
      <c r="TQ2" s="177" t="s">
        <v>49</v>
      </c>
      <c r="TR2" s="178"/>
      <c r="TS2" s="175">
        <v>0.83333333333333337</v>
      </c>
      <c r="TT2" s="176"/>
      <c r="TU2" s="76"/>
      <c r="TV2" s="81">
        <v>44633</v>
      </c>
      <c r="TW2" s="177" t="s">
        <v>49</v>
      </c>
      <c r="TX2" s="178"/>
      <c r="TY2" s="175">
        <v>0.83333333333333337</v>
      </c>
      <c r="TZ2" s="176"/>
      <c r="UA2" s="76"/>
      <c r="UB2" s="81">
        <v>44647</v>
      </c>
      <c r="UC2" s="177" t="s">
        <v>49</v>
      </c>
      <c r="UD2" s="178"/>
      <c r="UE2" s="175">
        <v>0.83333333333333337</v>
      </c>
      <c r="UF2" s="176"/>
      <c r="UG2" s="76"/>
      <c r="UH2" s="81">
        <v>44654</v>
      </c>
      <c r="UI2" s="177" t="s">
        <v>49</v>
      </c>
      <c r="UJ2" s="178"/>
      <c r="UK2" s="175">
        <v>0.83333333333333337</v>
      </c>
      <c r="UL2" s="176"/>
      <c r="UM2" s="76"/>
      <c r="UN2" s="81">
        <v>44661</v>
      </c>
      <c r="UO2" s="177" t="s">
        <v>49</v>
      </c>
      <c r="UP2" s="178"/>
      <c r="UQ2" s="175">
        <v>0.83333333333333337</v>
      </c>
      <c r="UR2" s="176"/>
      <c r="US2" s="76"/>
      <c r="UT2" s="81">
        <v>44668</v>
      </c>
      <c r="UU2" s="177" t="s">
        <v>49</v>
      </c>
      <c r="UV2" s="178"/>
      <c r="UW2" s="175">
        <v>0.83333333333333337</v>
      </c>
      <c r="UX2" s="176"/>
      <c r="UY2" s="76"/>
      <c r="UZ2" s="81">
        <v>44675</v>
      </c>
      <c r="VA2" s="177" t="s">
        <v>49</v>
      </c>
      <c r="VB2" s="178"/>
      <c r="VC2" s="175">
        <v>0.83333333333333337</v>
      </c>
      <c r="VD2" s="176"/>
      <c r="VE2" s="76"/>
      <c r="VF2" s="81">
        <v>44682</v>
      </c>
      <c r="VG2" s="177" t="s">
        <v>49</v>
      </c>
      <c r="VH2" s="178"/>
      <c r="VI2" s="175">
        <v>0.83333333333333337</v>
      </c>
      <c r="VJ2" s="176"/>
      <c r="VK2" s="76"/>
      <c r="VL2" s="81">
        <v>44689</v>
      </c>
      <c r="VM2" s="177" t="s">
        <v>49</v>
      </c>
      <c r="VN2" s="178"/>
      <c r="VO2" s="175">
        <v>0.83333333333333337</v>
      </c>
      <c r="VP2" s="176"/>
      <c r="VQ2" s="76"/>
      <c r="VR2" s="81">
        <v>44696</v>
      </c>
      <c r="VS2" s="177" t="s">
        <v>49</v>
      </c>
      <c r="VT2" s="178"/>
      <c r="VU2" s="175">
        <v>0.83333333333333337</v>
      </c>
      <c r="VV2" s="176"/>
      <c r="VW2" s="76"/>
      <c r="VX2" s="81">
        <v>44703</v>
      </c>
      <c r="VY2" s="177" t="s">
        <v>49</v>
      </c>
      <c r="VZ2" s="178"/>
      <c r="WA2" s="175">
        <v>0.83333333333333337</v>
      </c>
      <c r="WB2" s="176"/>
      <c r="WC2" s="76"/>
      <c r="WD2" s="81">
        <v>44708</v>
      </c>
      <c r="WE2" s="177" t="s">
        <v>49</v>
      </c>
      <c r="WF2" s="178"/>
      <c r="WG2" s="175">
        <v>0.83333333333333337</v>
      </c>
      <c r="WH2" s="176"/>
      <c r="WI2" s="76"/>
      <c r="WJ2" s="81">
        <v>44717</v>
      </c>
      <c r="WK2" s="177" t="s">
        <v>49</v>
      </c>
      <c r="WL2" s="178"/>
      <c r="WM2" s="175">
        <v>0.83333333333333337</v>
      </c>
      <c r="WN2" s="176"/>
      <c r="WO2" s="76"/>
      <c r="WP2" s="81">
        <v>44724</v>
      </c>
      <c r="WQ2" s="177" t="s">
        <v>49</v>
      </c>
      <c r="WR2" s="178"/>
      <c r="WS2" s="175">
        <v>0.83333333333333337</v>
      </c>
      <c r="WT2" s="176"/>
      <c r="WU2" s="76"/>
      <c r="WV2" s="81">
        <v>44731</v>
      </c>
      <c r="WW2" s="177" t="s">
        <v>49</v>
      </c>
      <c r="WX2" s="178"/>
      <c r="WY2" s="175">
        <v>0.83333333333333337</v>
      </c>
      <c r="WZ2" s="176"/>
      <c r="XA2" s="76"/>
      <c r="XB2" s="81">
        <v>44738</v>
      </c>
      <c r="XC2" s="177" t="s">
        <v>49</v>
      </c>
      <c r="XD2" s="178"/>
      <c r="XE2" s="175">
        <v>0.83333333333333337</v>
      </c>
      <c r="XF2" s="176"/>
      <c r="XG2" s="76"/>
      <c r="XH2" s="81">
        <v>44745</v>
      </c>
      <c r="XI2" s="177" t="s">
        <v>49</v>
      </c>
      <c r="XJ2" s="178"/>
      <c r="XK2" s="175">
        <v>0.83333333333333337</v>
      </c>
      <c r="XL2" s="176"/>
      <c r="XM2" s="76"/>
      <c r="XN2" s="81">
        <v>44752</v>
      </c>
      <c r="XO2" s="177" t="s">
        <v>49</v>
      </c>
      <c r="XP2" s="178"/>
      <c r="XQ2" s="175">
        <v>0.83333333333333337</v>
      </c>
      <c r="XR2" s="176"/>
      <c r="XS2" s="76"/>
      <c r="XT2" s="81">
        <v>44759</v>
      </c>
      <c r="XU2" s="177" t="s">
        <v>49</v>
      </c>
      <c r="XV2" s="178"/>
      <c r="XW2" s="175">
        <v>0.83333333333333337</v>
      </c>
      <c r="XX2" s="176"/>
      <c r="XY2" s="76"/>
      <c r="XZ2" s="81">
        <v>44766</v>
      </c>
      <c r="YA2" s="177" t="s">
        <v>49</v>
      </c>
      <c r="YB2" s="178"/>
      <c r="YC2" s="175">
        <v>0.83333333333333337</v>
      </c>
      <c r="YD2" s="176"/>
      <c r="YE2" s="76"/>
      <c r="YF2" s="81">
        <v>44773</v>
      </c>
      <c r="YG2" s="177" t="s">
        <v>49</v>
      </c>
      <c r="YH2" s="178"/>
      <c r="YI2" s="175">
        <v>0.83333333333333337</v>
      </c>
      <c r="YJ2" s="176"/>
      <c r="YK2" s="76"/>
      <c r="YL2" s="81">
        <v>44775</v>
      </c>
      <c r="YM2" s="177" t="s">
        <v>49</v>
      </c>
      <c r="YN2" s="178"/>
      <c r="YO2" s="175">
        <v>0.83333333333333337</v>
      </c>
      <c r="YP2" s="176"/>
      <c r="YQ2" s="76"/>
      <c r="YR2" s="81">
        <v>44787</v>
      </c>
      <c r="YS2" s="177" t="s">
        <v>49</v>
      </c>
      <c r="YT2" s="178"/>
      <c r="YU2" s="175">
        <v>0.83333333333333337</v>
      </c>
      <c r="YV2" s="176"/>
      <c r="YW2" s="76"/>
      <c r="YX2" s="81">
        <v>44794</v>
      </c>
      <c r="YY2" s="177" t="s">
        <v>49</v>
      </c>
      <c r="YZ2" s="178"/>
      <c r="ZA2" s="175">
        <v>0.83333333333333337</v>
      </c>
      <c r="ZB2" s="176"/>
      <c r="ZC2" s="76"/>
      <c r="ZD2" s="81">
        <v>44801</v>
      </c>
      <c r="ZE2" s="177" t="s">
        <v>49</v>
      </c>
      <c r="ZF2" s="178"/>
      <c r="ZG2" s="175">
        <v>0.83333333333333337</v>
      </c>
      <c r="ZH2" s="176"/>
      <c r="ZI2" s="76"/>
      <c r="ZJ2" s="81">
        <v>44808</v>
      </c>
      <c r="ZK2" s="177" t="s">
        <v>49</v>
      </c>
      <c r="ZL2" s="178"/>
      <c r="ZM2" s="175">
        <v>0.83333333333333337</v>
      </c>
      <c r="ZN2" s="176"/>
      <c r="ZO2" s="76"/>
      <c r="ZP2" s="81">
        <v>44815</v>
      </c>
      <c r="ZQ2" s="177" t="s">
        <v>49</v>
      </c>
      <c r="ZR2" s="178"/>
      <c r="ZS2" s="175">
        <v>0.83333333333333337</v>
      </c>
      <c r="ZT2" s="176"/>
      <c r="ZU2" s="76"/>
      <c r="ZV2" s="81">
        <v>44822</v>
      </c>
      <c r="ZW2" s="177" t="s">
        <v>49</v>
      </c>
      <c r="ZX2" s="178"/>
      <c r="ZY2" s="175">
        <v>0.83333333333333337</v>
      </c>
      <c r="ZZ2" s="176"/>
      <c r="AAA2" s="76"/>
      <c r="AAB2" s="81">
        <v>44829</v>
      </c>
      <c r="AAC2" s="177" t="s">
        <v>49</v>
      </c>
      <c r="AAD2" s="178"/>
      <c r="AAE2" s="175">
        <v>0.83333333333333337</v>
      </c>
      <c r="AAF2" s="176"/>
      <c r="AAG2" s="76"/>
      <c r="AAH2" s="81">
        <v>44836</v>
      </c>
      <c r="AAI2" s="177" t="s">
        <v>49</v>
      </c>
      <c r="AAJ2" s="178"/>
      <c r="AAK2" s="175">
        <v>0.83333333333333337</v>
      </c>
      <c r="AAL2" s="176"/>
      <c r="AAM2" s="76"/>
      <c r="AAN2" s="81">
        <v>44843</v>
      </c>
      <c r="AAO2" s="177" t="s">
        <v>49</v>
      </c>
      <c r="AAP2" s="178"/>
      <c r="AAQ2" s="175">
        <v>0.83333333333333337</v>
      </c>
      <c r="AAR2" s="176"/>
      <c r="AAS2" s="76"/>
      <c r="AAT2" s="81">
        <v>44850</v>
      </c>
      <c r="AAU2" s="177" t="s">
        <v>49</v>
      </c>
      <c r="AAV2" s="178"/>
      <c r="AAW2" s="175">
        <v>0.83333333333333337</v>
      </c>
      <c r="AAX2" s="176"/>
      <c r="AAY2" s="76"/>
      <c r="AAZ2" s="81">
        <v>44857</v>
      </c>
      <c r="ABA2" s="177" t="s">
        <v>49</v>
      </c>
      <c r="ABB2" s="178"/>
      <c r="ABC2" s="175">
        <v>0.83333333333333337</v>
      </c>
      <c r="ABD2" s="176"/>
      <c r="ABE2" s="76"/>
      <c r="ABF2" s="81">
        <v>44864</v>
      </c>
      <c r="ABG2" s="177" t="s">
        <v>49</v>
      </c>
      <c r="ABH2" s="178"/>
      <c r="ABI2" s="175">
        <v>0.83333333333333337</v>
      </c>
      <c r="ABJ2" s="176"/>
      <c r="ABK2" s="76"/>
      <c r="ABL2" s="81">
        <v>44878</v>
      </c>
      <c r="ABM2" s="177" t="s">
        <v>49</v>
      </c>
      <c r="ABN2" s="178"/>
      <c r="ABO2" s="175">
        <v>0.83333333333333337</v>
      </c>
      <c r="ABP2" s="176"/>
      <c r="ABQ2" s="76"/>
      <c r="ABR2" s="81">
        <v>44885</v>
      </c>
      <c r="ABS2" s="177"/>
      <c r="ABT2" s="178"/>
      <c r="ABU2" s="175">
        <v>0.83333333333333337</v>
      </c>
      <c r="ABV2" s="176"/>
      <c r="ABW2" s="76"/>
      <c r="ABX2" s="81">
        <v>44892</v>
      </c>
      <c r="ABY2" s="177"/>
      <c r="ABZ2" s="178"/>
      <c r="ACA2" s="175">
        <v>0.83333333333333337</v>
      </c>
      <c r="ACB2" s="176"/>
      <c r="ACC2" s="76"/>
      <c r="ACD2" s="81">
        <v>44892</v>
      </c>
      <c r="ACE2" s="177"/>
      <c r="ACF2" s="178"/>
      <c r="ACG2" s="175">
        <v>0.83333333333333337</v>
      </c>
      <c r="ACH2" s="176"/>
      <c r="ACI2" s="76"/>
      <c r="ACJ2" s="81">
        <v>44906</v>
      </c>
      <c r="ACK2" s="177"/>
      <c r="ACL2" s="178"/>
      <c r="ACM2" s="175">
        <v>0.83333333333333337</v>
      </c>
      <c r="ACN2" s="176"/>
      <c r="ACO2" s="76"/>
      <c r="ACP2" s="81">
        <v>44913</v>
      </c>
      <c r="ACQ2" s="177"/>
      <c r="ACR2" s="178"/>
      <c r="ACS2" s="175">
        <v>0.83333333333333337</v>
      </c>
      <c r="ACT2" s="176"/>
      <c r="ACU2" s="76"/>
      <c r="ACV2" s="81">
        <v>44919</v>
      </c>
      <c r="ACW2" s="177"/>
      <c r="ACX2" s="178"/>
      <c r="ACY2" s="175">
        <v>0.83333333333333337</v>
      </c>
      <c r="ACZ2" s="176"/>
      <c r="ADA2" s="76"/>
      <c r="ADB2" s="81">
        <v>44927</v>
      </c>
      <c r="ADC2" s="177"/>
      <c r="ADD2" s="178"/>
      <c r="ADE2" s="175">
        <v>0.83333333333333337</v>
      </c>
      <c r="ADF2" s="176"/>
      <c r="ADG2" s="76"/>
      <c r="ADH2" s="81">
        <v>44934</v>
      </c>
      <c r="ADI2" s="177"/>
      <c r="ADJ2" s="178"/>
      <c r="ADK2" s="175">
        <v>0.83333333333333337</v>
      </c>
      <c r="ADL2" s="176"/>
      <c r="ADM2" s="76"/>
      <c r="ADN2" s="81">
        <v>44941</v>
      </c>
      <c r="ADO2" s="177"/>
      <c r="ADP2" s="178"/>
      <c r="ADQ2" s="175">
        <v>0.83333333333333337</v>
      </c>
      <c r="ADR2" s="176"/>
      <c r="ADS2" s="76"/>
      <c r="ADT2" s="81">
        <v>44948</v>
      </c>
      <c r="ADU2" s="177"/>
      <c r="ADV2" s="178"/>
      <c r="ADW2" s="175">
        <v>0.83333333333333337</v>
      </c>
      <c r="ADX2" s="176"/>
      <c r="ADY2" s="76"/>
      <c r="ADZ2" s="81">
        <v>44955</v>
      </c>
      <c r="AEA2" s="177"/>
      <c r="AEB2" s="178"/>
      <c r="AEC2" s="175">
        <v>0.83333333333333337</v>
      </c>
      <c r="AED2" s="176"/>
      <c r="AEE2" s="76"/>
      <c r="AEF2" s="81">
        <v>44962</v>
      </c>
      <c r="AEG2" s="177"/>
      <c r="AEH2" s="178"/>
      <c r="AEI2" s="175">
        <v>0.83333333333333337</v>
      </c>
      <c r="AEJ2" s="176"/>
      <c r="AEK2" s="76"/>
      <c r="AEL2" s="81">
        <v>44969</v>
      </c>
      <c r="AEM2" s="177"/>
      <c r="AEN2" s="178"/>
      <c r="AEO2" s="175">
        <v>0.83333333333333337</v>
      </c>
      <c r="AEP2" s="176"/>
      <c r="AEQ2" s="76"/>
      <c r="AER2" s="81">
        <v>44976</v>
      </c>
      <c r="AES2" s="177"/>
      <c r="AET2" s="178"/>
      <c r="AEU2" s="175">
        <v>0.83333333333333337</v>
      </c>
      <c r="AEV2" s="176"/>
      <c r="AEW2" s="76"/>
      <c r="AEX2" s="81">
        <v>44983</v>
      </c>
      <c r="AEY2" s="177"/>
      <c r="AEZ2" s="178"/>
      <c r="AFA2" s="175">
        <v>0.83333333333333337</v>
      </c>
      <c r="AFB2" s="176"/>
      <c r="AFC2" s="76"/>
      <c r="AFD2" s="81">
        <v>44990</v>
      </c>
      <c r="AFE2" s="177"/>
      <c r="AFF2" s="178"/>
      <c r="AFG2" s="175">
        <v>0.83333333333333337</v>
      </c>
      <c r="AFH2" s="176"/>
      <c r="AFI2" s="76"/>
      <c r="AFJ2" s="81">
        <v>44997</v>
      </c>
      <c r="AFK2" s="177"/>
      <c r="AFL2" s="178"/>
      <c r="AFM2" s="175">
        <v>0.83333333333333337</v>
      </c>
      <c r="AFN2" s="176"/>
      <c r="AFO2" s="76"/>
      <c r="AFP2" s="81">
        <v>45004</v>
      </c>
      <c r="AFQ2" s="177"/>
      <c r="AFR2" s="178"/>
      <c r="AFS2" s="175">
        <v>0.83333333333333337</v>
      </c>
      <c r="AFT2" s="176"/>
      <c r="AFU2" s="76"/>
      <c r="AFV2" s="81">
        <v>45011</v>
      </c>
      <c r="AFW2" s="177"/>
      <c r="AFX2" s="178"/>
      <c r="AFY2" s="175">
        <v>0.83333333333333337</v>
      </c>
      <c r="AFZ2" s="176"/>
      <c r="AGA2" s="76"/>
      <c r="AGB2" s="81">
        <v>45018</v>
      </c>
      <c r="AGC2" s="177"/>
      <c r="AGD2" s="178"/>
      <c r="AGE2" s="175">
        <v>0.83333333333333337</v>
      </c>
      <c r="AGF2" s="176"/>
      <c r="AGG2" s="76"/>
      <c r="AGH2" s="81">
        <v>45025</v>
      </c>
      <c r="AGI2" s="177"/>
      <c r="AGJ2" s="178"/>
      <c r="AGK2" s="175">
        <v>0.83333333333333337</v>
      </c>
      <c r="AGL2" s="176"/>
      <c r="AGM2" s="76"/>
      <c r="AGN2" s="81">
        <v>45032</v>
      </c>
      <c r="AGO2" s="177"/>
      <c r="AGP2" s="178"/>
      <c r="AGQ2" s="175">
        <v>0.83333333333333337</v>
      </c>
      <c r="AGR2" s="176"/>
      <c r="AGS2" s="76"/>
      <c r="AGT2" s="81">
        <v>45039</v>
      </c>
      <c r="AGU2" s="177"/>
      <c r="AGV2" s="178"/>
      <c r="AGW2" s="175">
        <v>0.83333333333333337</v>
      </c>
      <c r="AGX2" s="176"/>
      <c r="AGY2" s="76"/>
      <c r="AGZ2" s="81">
        <v>45045</v>
      </c>
      <c r="AHA2" s="177"/>
      <c r="AHB2" s="178"/>
      <c r="AHC2" s="175">
        <v>0.83333333333333337</v>
      </c>
      <c r="AHD2" s="176"/>
      <c r="AHE2" s="76"/>
      <c r="AHF2" s="81">
        <v>45053</v>
      </c>
      <c r="AHG2" s="177"/>
      <c r="AHH2" s="178"/>
      <c r="AHI2" s="175">
        <v>0.83333333333333337</v>
      </c>
      <c r="AHJ2" s="176"/>
      <c r="AHK2" s="76"/>
      <c r="AHL2" s="81">
        <v>45060</v>
      </c>
      <c r="AHM2" s="177"/>
      <c r="AHN2" s="178"/>
      <c r="AHO2" s="175">
        <v>0.83333333333333337</v>
      </c>
      <c r="AHP2" s="176"/>
      <c r="AHQ2" s="76"/>
      <c r="AHR2" s="81">
        <v>45066</v>
      </c>
      <c r="AHS2" s="177"/>
      <c r="AHT2" s="178"/>
      <c r="AHU2" s="175">
        <v>0.83333333333333337</v>
      </c>
      <c r="AHV2" s="176"/>
      <c r="AHW2" s="76"/>
      <c r="AHX2" s="81">
        <v>45067</v>
      </c>
      <c r="AHY2" s="177"/>
      <c r="AHZ2" s="178"/>
      <c r="AIA2" s="175">
        <v>0.83333333333333337</v>
      </c>
      <c r="AIB2" s="176"/>
      <c r="AIC2" s="76"/>
      <c r="AID2" s="81">
        <v>45081</v>
      </c>
      <c r="AIE2" s="177"/>
      <c r="AIF2" s="178"/>
      <c r="AIG2" s="175">
        <v>0.83333333333333337</v>
      </c>
      <c r="AIH2" s="176"/>
      <c r="AII2" s="76"/>
      <c r="AIJ2" s="81">
        <v>45088</v>
      </c>
      <c r="AIK2" s="177"/>
      <c r="AIL2" s="178"/>
      <c r="AIM2" s="175">
        <v>0.83333333333333337</v>
      </c>
      <c r="AIN2" s="176"/>
      <c r="AIO2" s="76"/>
      <c r="AIP2" s="81">
        <v>45095</v>
      </c>
      <c r="AIQ2" s="177"/>
      <c r="AIR2" s="178"/>
      <c r="AIS2" s="175">
        <v>0.83333333333333337</v>
      </c>
      <c r="AIT2" s="176"/>
      <c r="AIU2" s="76"/>
      <c r="AIV2" s="81">
        <v>45102</v>
      </c>
      <c r="AIW2" s="177"/>
      <c r="AIX2" s="178"/>
      <c r="AIY2" s="175">
        <v>0.83333333333333337</v>
      </c>
      <c r="AIZ2" s="176"/>
      <c r="AJA2" s="76"/>
      <c r="AJB2" s="81">
        <v>45102</v>
      </c>
      <c r="AJC2" s="177"/>
      <c r="AJD2" s="178"/>
      <c r="AJE2" s="175">
        <v>0.83333333333333337</v>
      </c>
      <c r="AJF2" s="176"/>
      <c r="AJG2" s="76"/>
      <c r="AJH2" s="81">
        <v>45116</v>
      </c>
      <c r="AJI2" s="177"/>
      <c r="AJJ2" s="178"/>
      <c r="AJK2" s="175">
        <v>0.83333333333333337</v>
      </c>
      <c r="AJL2" s="176"/>
      <c r="AJM2" s="76"/>
      <c r="AJN2" s="81">
        <v>45123</v>
      </c>
      <c r="AJO2" s="177"/>
      <c r="AJP2" s="178"/>
      <c r="AJQ2" s="175">
        <v>0.83333333333333337</v>
      </c>
      <c r="AJR2" s="176"/>
      <c r="AJS2" s="76"/>
      <c r="AJT2" s="81">
        <v>45130</v>
      </c>
      <c r="AJU2" s="177"/>
      <c r="AJV2" s="178"/>
      <c r="AJW2" s="175">
        <v>0.83333333333333337</v>
      </c>
      <c r="AJX2" s="176"/>
      <c r="AJY2" s="76"/>
      <c r="AJZ2" s="81">
        <v>45137</v>
      </c>
      <c r="AKA2" s="177"/>
      <c r="AKB2" s="178"/>
      <c r="AKC2" s="175">
        <v>0.83333333333333337</v>
      </c>
      <c r="AKD2" s="176"/>
      <c r="AKE2" s="76"/>
      <c r="AKF2" s="81">
        <v>45145</v>
      </c>
      <c r="AKG2" s="82"/>
      <c r="AKH2" s="83"/>
      <c r="AKI2" s="84">
        <v>0.83333333333333337</v>
      </c>
      <c r="AKJ2" s="85"/>
      <c r="AKK2" s="76"/>
      <c r="AKL2" s="81">
        <v>45151</v>
      </c>
      <c r="AKM2" s="82"/>
      <c r="AKN2" s="83"/>
      <c r="AKO2" s="84">
        <v>0.83333333333333337</v>
      </c>
      <c r="AKP2" s="85"/>
      <c r="AKQ2" s="76"/>
      <c r="AKR2" s="81">
        <v>45165</v>
      </c>
      <c r="AKS2" s="82"/>
      <c r="AKT2" s="83"/>
      <c r="AKU2" s="84">
        <v>0.83333333333333337</v>
      </c>
      <c r="AKV2" s="85"/>
      <c r="AKW2" s="76"/>
      <c r="AKX2" s="81">
        <v>45172</v>
      </c>
      <c r="AKY2" s="82"/>
      <c r="AKZ2" s="83"/>
      <c r="ALA2" s="84">
        <v>0.83333333333333337</v>
      </c>
      <c r="ALB2" s="85"/>
      <c r="ALC2" s="76"/>
      <c r="ALD2" s="81">
        <v>45179</v>
      </c>
      <c r="ALE2" s="82"/>
      <c r="ALF2" s="83"/>
      <c r="ALG2" s="84">
        <v>0.83333333333333337</v>
      </c>
      <c r="ALH2" s="85"/>
      <c r="ALI2" s="76"/>
      <c r="ALJ2" s="81">
        <v>45186</v>
      </c>
      <c r="ALK2" s="82"/>
      <c r="ALL2" s="83"/>
      <c r="ALM2" s="84">
        <v>0.83333333333333337</v>
      </c>
      <c r="ALN2" s="85"/>
      <c r="ALO2" s="76"/>
      <c r="ALP2" s="81">
        <v>45193</v>
      </c>
      <c r="ALQ2" s="82"/>
      <c r="ALR2" s="83"/>
      <c r="ALS2" s="84">
        <v>0.83333333333333337</v>
      </c>
      <c r="ALT2" s="85"/>
      <c r="ALU2" s="76"/>
      <c r="ALV2" s="81">
        <v>45200</v>
      </c>
      <c r="ALW2" s="82"/>
      <c r="ALX2" s="83"/>
      <c r="ALY2" s="84">
        <v>0.83333333333333337</v>
      </c>
      <c r="ALZ2" s="85"/>
      <c r="AMA2" s="76"/>
      <c r="AMB2" s="81">
        <v>45207</v>
      </c>
      <c r="AMC2" s="82"/>
      <c r="AMD2" s="83"/>
      <c r="AME2" s="84">
        <v>0.83333333333333337</v>
      </c>
      <c r="AMF2" s="85"/>
      <c r="AMG2" s="76"/>
      <c r="AMH2" s="81">
        <v>45214</v>
      </c>
      <c r="AMI2" s="82"/>
      <c r="AMJ2" s="83"/>
      <c r="AMK2" s="84">
        <v>0.83333333333333337</v>
      </c>
      <c r="AML2" s="85"/>
      <c r="AMM2" s="76"/>
      <c r="AMN2" s="81">
        <v>45221</v>
      </c>
      <c r="AMO2" s="82"/>
      <c r="AMP2" s="83"/>
      <c r="AMQ2" s="84">
        <v>0.83333333333333337</v>
      </c>
      <c r="AMR2" s="85"/>
      <c r="AMS2" s="76"/>
      <c r="AMT2" s="81">
        <v>45228</v>
      </c>
      <c r="AMU2" s="82"/>
      <c r="AMV2" s="83"/>
      <c r="AMW2" s="84">
        <v>0.83333333333333337</v>
      </c>
      <c r="AMX2" s="85"/>
      <c r="AMY2" s="76"/>
      <c r="AMZ2" s="81">
        <v>45228</v>
      </c>
      <c r="ANA2" s="82"/>
      <c r="ANB2" s="83"/>
      <c r="ANC2" s="84">
        <v>0.83333333333333337</v>
      </c>
      <c r="AND2" s="85"/>
      <c r="ANE2" s="76"/>
      <c r="ANF2" s="81">
        <v>45242</v>
      </c>
      <c r="ANG2" s="82"/>
      <c r="ANH2" s="83"/>
      <c r="ANI2" s="84">
        <v>0.83333333333333337</v>
      </c>
      <c r="ANJ2" s="85"/>
      <c r="ANK2" s="76"/>
      <c r="ANL2" s="81">
        <v>45249</v>
      </c>
      <c r="ANM2" s="82"/>
      <c r="ANN2" s="83"/>
      <c r="ANO2" s="84">
        <v>0.83333333333333337</v>
      </c>
      <c r="ANP2" s="85"/>
      <c r="ANQ2" s="76"/>
      <c r="ANR2" s="81">
        <v>45256</v>
      </c>
      <c r="ANS2" s="82"/>
      <c r="ANT2" s="83"/>
      <c r="ANU2" s="84">
        <v>0.83333333333333337</v>
      </c>
      <c r="ANV2" s="85"/>
      <c r="ANW2" s="76"/>
      <c r="ANX2" s="81">
        <v>45263</v>
      </c>
      <c r="ANY2" s="82"/>
      <c r="ANZ2" s="83"/>
      <c r="AOA2" s="84">
        <v>0.83333333333333337</v>
      </c>
      <c r="AOB2" s="85"/>
      <c r="AOC2" s="76"/>
      <c r="AOD2" s="81">
        <v>45270</v>
      </c>
      <c r="AOE2" s="82"/>
      <c r="AOF2" s="83"/>
      <c r="AOG2" s="84">
        <v>0.83333333333333337</v>
      </c>
      <c r="AOH2" s="85"/>
      <c r="AOI2" s="76"/>
      <c r="AOJ2" s="81">
        <v>45277</v>
      </c>
      <c r="AOK2" s="82"/>
      <c r="AOL2" s="83"/>
      <c r="AOM2" s="84">
        <v>0.83333333333333337</v>
      </c>
      <c r="AON2" s="85"/>
      <c r="AOO2" s="76"/>
      <c r="AOP2" s="81">
        <v>45284</v>
      </c>
      <c r="AOQ2" s="82"/>
      <c r="AOR2" s="83"/>
      <c r="AOS2" s="84">
        <v>0.83333333333333337</v>
      </c>
      <c r="AOT2" s="85"/>
      <c r="AOU2" s="76"/>
      <c r="AOV2" s="81">
        <v>45657</v>
      </c>
      <c r="AOW2" s="82"/>
      <c r="AOX2" s="83"/>
      <c r="AOY2" s="84">
        <v>0.83333333333333337</v>
      </c>
      <c r="AOZ2" s="85"/>
    </row>
    <row r="3" spans="1:1092" x14ac:dyDescent="0.25">
      <c r="A3" s="6" t="s">
        <v>51</v>
      </c>
      <c r="B3" s="2"/>
      <c r="C3" s="2" t="s">
        <v>13</v>
      </c>
      <c r="E3" s="2" t="s">
        <v>14</v>
      </c>
      <c r="F3" s="2" t="s">
        <v>15</v>
      </c>
      <c r="H3" s="2" t="s">
        <v>14</v>
      </c>
      <c r="I3" s="2" t="s">
        <v>15</v>
      </c>
      <c r="J3" s="2" t="s">
        <v>52</v>
      </c>
      <c r="K3" s="2" t="s">
        <v>17</v>
      </c>
      <c r="L3" s="2" t="s">
        <v>18</v>
      </c>
      <c r="N3" s="2" t="s">
        <v>14</v>
      </c>
      <c r="O3" s="2" t="s">
        <v>15</v>
      </c>
      <c r="P3" s="2" t="s">
        <v>52</v>
      </c>
      <c r="Q3" s="2" t="s">
        <v>17</v>
      </c>
      <c r="R3" s="2" t="s">
        <v>18</v>
      </c>
      <c r="T3" s="2" t="s">
        <v>14</v>
      </c>
      <c r="U3" s="2" t="s">
        <v>15</v>
      </c>
      <c r="V3" s="2" t="s">
        <v>52</v>
      </c>
      <c r="W3" s="2" t="s">
        <v>17</v>
      </c>
      <c r="X3" s="2" t="s">
        <v>18</v>
      </c>
      <c r="Z3" s="2" t="s">
        <v>14</v>
      </c>
      <c r="AA3" s="2" t="s">
        <v>15</v>
      </c>
      <c r="AB3" s="2" t="s">
        <v>52</v>
      </c>
      <c r="AC3" s="2" t="s">
        <v>17</v>
      </c>
      <c r="AD3" s="2" t="s">
        <v>18</v>
      </c>
      <c r="AF3" s="2" t="s">
        <v>14</v>
      </c>
      <c r="AG3" s="2" t="s">
        <v>15</v>
      </c>
      <c r="AH3" s="2" t="s">
        <v>52</v>
      </c>
      <c r="AI3" s="2" t="s">
        <v>17</v>
      </c>
      <c r="AJ3" s="2" t="s">
        <v>18</v>
      </c>
      <c r="AL3" s="2" t="s">
        <v>14</v>
      </c>
      <c r="AM3" s="2" t="s">
        <v>15</v>
      </c>
      <c r="AN3" s="2" t="s">
        <v>52</v>
      </c>
      <c r="AO3" s="2" t="s">
        <v>17</v>
      </c>
      <c r="AP3" s="2" t="s">
        <v>18</v>
      </c>
      <c r="AR3" s="2" t="s">
        <v>14</v>
      </c>
      <c r="AS3" s="2" t="s">
        <v>15</v>
      </c>
      <c r="AT3" s="2" t="s">
        <v>52</v>
      </c>
      <c r="AU3" s="2" t="s">
        <v>17</v>
      </c>
      <c r="AV3" s="2" t="s">
        <v>18</v>
      </c>
      <c r="AX3" s="2" t="s">
        <v>14</v>
      </c>
      <c r="AY3" s="2" t="s">
        <v>15</v>
      </c>
      <c r="AZ3" s="2" t="s">
        <v>52</v>
      </c>
      <c r="BA3" s="2" t="s">
        <v>17</v>
      </c>
      <c r="BB3" s="2" t="s">
        <v>18</v>
      </c>
      <c r="BD3" s="2" t="s">
        <v>14</v>
      </c>
      <c r="BE3" s="2" t="s">
        <v>15</v>
      </c>
      <c r="BF3" s="2" t="s">
        <v>52</v>
      </c>
      <c r="BG3" s="2" t="s">
        <v>17</v>
      </c>
      <c r="BH3" s="2" t="s">
        <v>18</v>
      </c>
      <c r="BJ3" s="2" t="s">
        <v>14</v>
      </c>
      <c r="BK3" s="2" t="s">
        <v>15</v>
      </c>
      <c r="BL3" s="2" t="s">
        <v>52</v>
      </c>
      <c r="BM3" s="2" t="s">
        <v>17</v>
      </c>
      <c r="BN3" s="2" t="s">
        <v>18</v>
      </c>
      <c r="BP3" s="2" t="s">
        <v>14</v>
      </c>
      <c r="BQ3" s="2" t="s">
        <v>15</v>
      </c>
      <c r="BR3" s="2" t="s">
        <v>52</v>
      </c>
      <c r="BS3" s="2" t="s">
        <v>17</v>
      </c>
      <c r="BT3" s="2" t="s">
        <v>18</v>
      </c>
      <c r="BV3" s="2" t="s">
        <v>14</v>
      </c>
      <c r="BW3" s="2" t="s">
        <v>15</v>
      </c>
      <c r="BX3" s="2" t="s">
        <v>52</v>
      </c>
      <c r="BY3" s="2" t="s">
        <v>17</v>
      </c>
      <c r="BZ3" s="2" t="s">
        <v>18</v>
      </c>
      <c r="CB3" s="2" t="s">
        <v>14</v>
      </c>
      <c r="CC3" s="2" t="s">
        <v>15</v>
      </c>
      <c r="CD3" s="2" t="s">
        <v>52</v>
      </c>
      <c r="CE3" s="2" t="s">
        <v>17</v>
      </c>
      <c r="CF3" s="2" t="s">
        <v>18</v>
      </c>
      <c r="CH3" s="2" t="s">
        <v>14</v>
      </c>
      <c r="CI3" s="2" t="s">
        <v>15</v>
      </c>
      <c r="CJ3" s="2" t="s">
        <v>52</v>
      </c>
      <c r="CK3" s="2" t="s">
        <v>17</v>
      </c>
      <c r="CL3" s="2" t="s">
        <v>18</v>
      </c>
      <c r="CN3" s="2" t="s">
        <v>14</v>
      </c>
      <c r="CO3" s="2" t="s">
        <v>15</v>
      </c>
      <c r="CP3" s="2" t="s">
        <v>52</v>
      </c>
      <c r="CQ3" s="2" t="s">
        <v>17</v>
      </c>
      <c r="CR3" s="2" t="s">
        <v>18</v>
      </c>
      <c r="CT3" s="2" t="s">
        <v>14</v>
      </c>
      <c r="CU3" s="2" t="s">
        <v>15</v>
      </c>
      <c r="CV3" s="2" t="s">
        <v>52</v>
      </c>
      <c r="CW3" s="2" t="s">
        <v>17</v>
      </c>
      <c r="CX3" s="2" t="s">
        <v>18</v>
      </c>
      <c r="CZ3" s="2" t="s">
        <v>14</v>
      </c>
      <c r="DA3" s="2" t="s">
        <v>15</v>
      </c>
      <c r="DB3" s="2" t="s">
        <v>52</v>
      </c>
      <c r="DC3" s="2" t="s">
        <v>17</v>
      </c>
      <c r="DD3" s="2" t="s">
        <v>18</v>
      </c>
      <c r="DF3" s="2" t="s">
        <v>14</v>
      </c>
      <c r="DG3" s="2" t="s">
        <v>15</v>
      </c>
      <c r="DH3" s="2" t="s">
        <v>52</v>
      </c>
      <c r="DI3" s="2" t="s">
        <v>17</v>
      </c>
      <c r="DJ3" s="2" t="s">
        <v>18</v>
      </c>
      <c r="DL3" s="2" t="s">
        <v>14</v>
      </c>
      <c r="DM3" s="2" t="s">
        <v>15</v>
      </c>
      <c r="DN3" s="2" t="s">
        <v>52</v>
      </c>
      <c r="DO3" s="2" t="s">
        <v>17</v>
      </c>
      <c r="DP3" s="2" t="s">
        <v>18</v>
      </c>
      <c r="DR3" s="2" t="s">
        <v>14</v>
      </c>
      <c r="DS3" s="2" t="s">
        <v>15</v>
      </c>
      <c r="DT3" s="2" t="s">
        <v>52</v>
      </c>
      <c r="DU3" s="2" t="s">
        <v>17</v>
      </c>
      <c r="DV3" s="2" t="s">
        <v>18</v>
      </c>
      <c r="DX3" s="2" t="s">
        <v>14</v>
      </c>
      <c r="DY3" s="2" t="s">
        <v>15</v>
      </c>
      <c r="DZ3" s="2" t="s">
        <v>52</v>
      </c>
      <c r="EA3" s="2" t="s">
        <v>17</v>
      </c>
      <c r="EB3" s="2" t="s">
        <v>18</v>
      </c>
      <c r="ED3" s="2" t="s">
        <v>14</v>
      </c>
      <c r="EE3" s="2" t="s">
        <v>15</v>
      </c>
      <c r="EF3" s="2" t="s">
        <v>52</v>
      </c>
      <c r="EG3" s="2" t="s">
        <v>17</v>
      </c>
      <c r="EH3" s="2" t="s">
        <v>18</v>
      </c>
      <c r="EJ3" s="2" t="s">
        <v>14</v>
      </c>
      <c r="EK3" s="2" t="s">
        <v>15</v>
      </c>
      <c r="EL3" s="2" t="s">
        <v>52</v>
      </c>
      <c r="EM3" s="2" t="s">
        <v>17</v>
      </c>
      <c r="EN3" s="2" t="s">
        <v>18</v>
      </c>
      <c r="EP3" s="2" t="s">
        <v>14</v>
      </c>
      <c r="EQ3" s="2" t="s">
        <v>15</v>
      </c>
      <c r="ER3" s="2" t="s">
        <v>52</v>
      </c>
      <c r="ES3" s="2" t="s">
        <v>17</v>
      </c>
      <c r="ET3" s="2" t="s">
        <v>18</v>
      </c>
      <c r="EV3" s="2" t="s">
        <v>14</v>
      </c>
      <c r="EW3" s="2" t="s">
        <v>15</v>
      </c>
      <c r="EX3" s="2" t="s">
        <v>52</v>
      </c>
      <c r="EY3" s="2" t="s">
        <v>17</v>
      </c>
      <c r="EZ3" s="2" t="s">
        <v>18</v>
      </c>
      <c r="FB3" s="2" t="s">
        <v>14</v>
      </c>
      <c r="FC3" s="2" t="s">
        <v>15</v>
      </c>
      <c r="FD3" s="2" t="s">
        <v>52</v>
      </c>
      <c r="FE3" s="2" t="s">
        <v>17</v>
      </c>
      <c r="FF3" s="2" t="s">
        <v>18</v>
      </c>
      <c r="FH3" s="2" t="s">
        <v>14</v>
      </c>
      <c r="FI3" s="2" t="s">
        <v>15</v>
      </c>
      <c r="FJ3" s="2" t="s">
        <v>52</v>
      </c>
      <c r="FK3" s="2" t="s">
        <v>17</v>
      </c>
      <c r="FL3" s="2" t="s">
        <v>18</v>
      </c>
      <c r="FN3" s="2" t="s">
        <v>14</v>
      </c>
      <c r="FO3" s="2" t="s">
        <v>15</v>
      </c>
      <c r="FP3" s="2" t="s">
        <v>52</v>
      </c>
      <c r="FQ3" s="2" t="s">
        <v>17</v>
      </c>
      <c r="FR3" s="2" t="s">
        <v>18</v>
      </c>
      <c r="FT3" s="2" t="s">
        <v>14</v>
      </c>
      <c r="FU3" s="2" t="s">
        <v>15</v>
      </c>
      <c r="FV3" s="2" t="s">
        <v>52</v>
      </c>
      <c r="FW3" s="2" t="s">
        <v>17</v>
      </c>
      <c r="FX3" s="2" t="s">
        <v>18</v>
      </c>
      <c r="FZ3" s="2" t="s">
        <v>14</v>
      </c>
      <c r="GA3" s="2" t="s">
        <v>15</v>
      </c>
      <c r="GB3" s="2" t="s">
        <v>52</v>
      </c>
      <c r="GC3" s="2" t="s">
        <v>17</v>
      </c>
      <c r="GD3" s="2" t="s">
        <v>18</v>
      </c>
      <c r="GF3" s="2" t="s">
        <v>14</v>
      </c>
      <c r="GG3" s="2" t="s">
        <v>15</v>
      </c>
      <c r="GH3" s="2" t="s">
        <v>52</v>
      </c>
      <c r="GI3" s="2" t="s">
        <v>17</v>
      </c>
      <c r="GJ3" s="2" t="s">
        <v>18</v>
      </c>
      <c r="GL3" s="2" t="s">
        <v>14</v>
      </c>
      <c r="GM3" s="2" t="s">
        <v>15</v>
      </c>
      <c r="GN3" s="2" t="s">
        <v>52</v>
      </c>
      <c r="GO3" s="2" t="s">
        <v>17</v>
      </c>
      <c r="GP3" s="2" t="s">
        <v>18</v>
      </c>
      <c r="GR3" s="2" t="s">
        <v>14</v>
      </c>
      <c r="GS3" s="2" t="s">
        <v>15</v>
      </c>
      <c r="GT3" s="2" t="s">
        <v>52</v>
      </c>
      <c r="GU3" s="2" t="s">
        <v>17</v>
      </c>
      <c r="GV3" s="2" t="s">
        <v>18</v>
      </c>
      <c r="GX3" s="2" t="s">
        <v>14</v>
      </c>
      <c r="GY3" s="2" t="s">
        <v>15</v>
      </c>
      <c r="GZ3" s="2" t="s">
        <v>52</v>
      </c>
      <c r="HA3" s="2" t="s">
        <v>17</v>
      </c>
      <c r="HB3" s="2" t="s">
        <v>18</v>
      </c>
      <c r="HD3" s="2" t="s">
        <v>14</v>
      </c>
      <c r="HE3" s="2" t="s">
        <v>15</v>
      </c>
      <c r="HF3" s="2" t="s">
        <v>52</v>
      </c>
      <c r="HG3" s="2" t="s">
        <v>17</v>
      </c>
      <c r="HH3" s="2" t="s">
        <v>18</v>
      </c>
      <c r="HJ3" s="2" t="s">
        <v>14</v>
      </c>
      <c r="HK3" s="2" t="s">
        <v>15</v>
      </c>
      <c r="HL3" s="2" t="s">
        <v>52</v>
      </c>
      <c r="HM3" s="2" t="s">
        <v>17</v>
      </c>
      <c r="HN3" s="2" t="s">
        <v>18</v>
      </c>
      <c r="HP3" s="2" t="s">
        <v>14</v>
      </c>
      <c r="HQ3" s="2" t="s">
        <v>15</v>
      </c>
      <c r="HR3" s="2" t="s">
        <v>52</v>
      </c>
      <c r="HS3" s="2" t="s">
        <v>17</v>
      </c>
      <c r="HT3" s="2" t="s">
        <v>18</v>
      </c>
      <c r="HV3" s="2" t="s">
        <v>14</v>
      </c>
      <c r="HW3" s="2" t="s">
        <v>15</v>
      </c>
      <c r="HX3" s="2" t="s">
        <v>52</v>
      </c>
      <c r="HY3" s="2" t="s">
        <v>17</v>
      </c>
      <c r="HZ3" s="2" t="s">
        <v>18</v>
      </c>
      <c r="IB3" s="2" t="s">
        <v>14</v>
      </c>
      <c r="IC3" s="2" t="s">
        <v>15</v>
      </c>
      <c r="ID3" s="2" t="s">
        <v>52</v>
      </c>
      <c r="IE3" s="2" t="s">
        <v>17</v>
      </c>
      <c r="IF3" s="2" t="s">
        <v>18</v>
      </c>
      <c r="IH3" s="2" t="s">
        <v>14</v>
      </c>
      <c r="II3" s="2" t="s">
        <v>15</v>
      </c>
      <c r="IJ3" s="2" t="s">
        <v>52</v>
      </c>
      <c r="IK3" s="2" t="s">
        <v>17</v>
      </c>
      <c r="IL3" s="2" t="s">
        <v>18</v>
      </c>
      <c r="IN3" s="2" t="s">
        <v>14</v>
      </c>
      <c r="IO3" s="2" t="s">
        <v>15</v>
      </c>
      <c r="IP3" s="2" t="s">
        <v>52</v>
      </c>
      <c r="IQ3" s="2" t="s">
        <v>17</v>
      </c>
      <c r="IR3" s="2" t="s">
        <v>18</v>
      </c>
      <c r="IT3" s="2" t="s">
        <v>14</v>
      </c>
      <c r="IU3" s="2" t="s">
        <v>15</v>
      </c>
      <c r="IV3" s="2" t="s">
        <v>52</v>
      </c>
      <c r="IW3" s="2" t="s">
        <v>17</v>
      </c>
      <c r="IX3" s="2" t="s">
        <v>18</v>
      </c>
      <c r="IZ3" s="2" t="s">
        <v>14</v>
      </c>
      <c r="JA3" s="2" t="s">
        <v>15</v>
      </c>
      <c r="JB3" s="2" t="s">
        <v>52</v>
      </c>
      <c r="JC3" s="2" t="s">
        <v>17</v>
      </c>
      <c r="JD3" s="2" t="s">
        <v>18</v>
      </c>
      <c r="JF3" s="2" t="s">
        <v>14</v>
      </c>
      <c r="JG3" s="2" t="s">
        <v>15</v>
      </c>
      <c r="JH3" s="2" t="s">
        <v>52</v>
      </c>
      <c r="JI3" s="2" t="s">
        <v>17</v>
      </c>
      <c r="JJ3" s="2" t="s">
        <v>18</v>
      </c>
      <c r="JL3" s="2" t="s">
        <v>14</v>
      </c>
      <c r="JM3" s="2" t="s">
        <v>15</v>
      </c>
      <c r="JN3" s="2" t="s">
        <v>52</v>
      </c>
      <c r="JO3" s="2" t="s">
        <v>17</v>
      </c>
      <c r="JP3" s="2" t="s">
        <v>18</v>
      </c>
      <c r="JR3" s="2" t="s">
        <v>14</v>
      </c>
      <c r="JS3" s="2" t="s">
        <v>15</v>
      </c>
      <c r="JT3" s="2" t="s">
        <v>52</v>
      </c>
      <c r="JU3" s="2" t="s">
        <v>17</v>
      </c>
      <c r="JV3" s="2" t="s">
        <v>18</v>
      </c>
      <c r="JX3" s="2" t="s">
        <v>14</v>
      </c>
      <c r="JY3" s="2" t="s">
        <v>15</v>
      </c>
      <c r="JZ3" s="2" t="s">
        <v>52</v>
      </c>
      <c r="KA3" s="2" t="s">
        <v>17</v>
      </c>
      <c r="KB3" s="2" t="s">
        <v>18</v>
      </c>
      <c r="KD3" s="2" t="s">
        <v>14</v>
      </c>
      <c r="KE3" s="2" t="s">
        <v>15</v>
      </c>
      <c r="KF3" s="2" t="s">
        <v>52</v>
      </c>
      <c r="KG3" s="2" t="s">
        <v>17</v>
      </c>
      <c r="KH3" s="2" t="s">
        <v>18</v>
      </c>
      <c r="KJ3" s="2" t="s">
        <v>14</v>
      </c>
      <c r="KK3" s="2" t="s">
        <v>15</v>
      </c>
      <c r="KL3" s="2" t="s">
        <v>52</v>
      </c>
      <c r="KM3" s="2" t="s">
        <v>17</v>
      </c>
      <c r="KN3" s="2" t="s">
        <v>18</v>
      </c>
      <c r="KP3" s="2" t="s">
        <v>14</v>
      </c>
      <c r="KQ3" s="2" t="s">
        <v>15</v>
      </c>
      <c r="KR3" s="2" t="s">
        <v>52</v>
      </c>
      <c r="KS3" s="2" t="s">
        <v>17</v>
      </c>
      <c r="KT3" s="2" t="s">
        <v>18</v>
      </c>
      <c r="KV3" s="2" t="s">
        <v>14</v>
      </c>
      <c r="KW3" s="2" t="s">
        <v>15</v>
      </c>
      <c r="KX3" s="2" t="s">
        <v>52</v>
      </c>
      <c r="KY3" s="2" t="s">
        <v>17</v>
      </c>
      <c r="KZ3" s="2" t="s">
        <v>18</v>
      </c>
      <c r="LB3" s="2" t="s">
        <v>14</v>
      </c>
      <c r="LC3" s="2" t="s">
        <v>15</v>
      </c>
      <c r="LD3" s="2" t="s">
        <v>52</v>
      </c>
      <c r="LE3" s="2" t="s">
        <v>17</v>
      </c>
      <c r="LF3" s="2" t="s">
        <v>18</v>
      </c>
      <c r="LH3" s="2" t="s">
        <v>14</v>
      </c>
      <c r="LI3" s="2" t="s">
        <v>15</v>
      </c>
      <c r="LJ3" s="2" t="s">
        <v>52</v>
      </c>
      <c r="LK3" s="2" t="s">
        <v>17</v>
      </c>
      <c r="LL3" s="2" t="s">
        <v>18</v>
      </c>
      <c r="LN3" s="2" t="s">
        <v>14</v>
      </c>
      <c r="LO3" s="2" t="s">
        <v>15</v>
      </c>
      <c r="LP3" s="2" t="s">
        <v>52</v>
      </c>
      <c r="LQ3" s="2" t="s">
        <v>17</v>
      </c>
      <c r="LR3" s="2" t="s">
        <v>18</v>
      </c>
      <c r="LT3" s="2" t="s">
        <v>14</v>
      </c>
      <c r="LU3" s="2" t="s">
        <v>15</v>
      </c>
      <c r="LV3" s="2" t="s">
        <v>52</v>
      </c>
      <c r="LW3" s="2" t="s">
        <v>17</v>
      </c>
      <c r="LX3" s="2" t="s">
        <v>18</v>
      </c>
      <c r="LZ3" s="2" t="s">
        <v>14</v>
      </c>
      <c r="MA3" s="2" t="s">
        <v>15</v>
      </c>
      <c r="MB3" s="2" t="s">
        <v>52</v>
      </c>
      <c r="MC3" s="2" t="s">
        <v>17</v>
      </c>
      <c r="MD3" s="2" t="s">
        <v>18</v>
      </c>
      <c r="MF3" s="2" t="s">
        <v>14</v>
      </c>
      <c r="MG3" s="2" t="s">
        <v>15</v>
      </c>
      <c r="MH3" s="2" t="s">
        <v>52</v>
      </c>
      <c r="MI3" s="2" t="s">
        <v>17</v>
      </c>
      <c r="MJ3" s="2" t="s">
        <v>18</v>
      </c>
      <c r="ML3" s="2" t="s">
        <v>14</v>
      </c>
      <c r="MM3" s="2" t="s">
        <v>15</v>
      </c>
      <c r="MN3" s="2" t="s">
        <v>52</v>
      </c>
      <c r="MO3" s="2" t="s">
        <v>17</v>
      </c>
      <c r="MP3" s="2" t="s">
        <v>18</v>
      </c>
      <c r="MR3" s="2" t="s">
        <v>14</v>
      </c>
      <c r="MS3" s="2" t="s">
        <v>15</v>
      </c>
      <c r="MT3" s="2" t="s">
        <v>52</v>
      </c>
      <c r="MU3" s="2" t="s">
        <v>17</v>
      </c>
      <c r="MV3" s="2" t="s">
        <v>18</v>
      </c>
      <c r="MX3" s="2" t="s">
        <v>14</v>
      </c>
      <c r="MY3" s="2" t="s">
        <v>15</v>
      </c>
      <c r="MZ3" s="2" t="s">
        <v>52</v>
      </c>
      <c r="NA3" s="2" t="s">
        <v>17</v>
      </c>
      <c r="NB3" s="2" t="s">
        <v>18</v>
      </c>
      <c r="ND3" s="2" t="s">
        <v>14</v>
      </c>
      <c r="NE3" s="2" t="s">
        <v>15</v>
      </c>
      <c r="NF3" s="2" t="s">
        <v>52</v>
      </c>
      <c r="NG3" s="2" t="s">
        <v>17</v>
      </c>
      <c r="NH3" s="2" t="s">
        <v>18</v>
      </c>
      <c r="NJ3" s="2" t="s">
        <v>14</v>
      </c>
      <c r="NK3" s="2" t="s">
        <v>15</v>
      </c>
      <c r="NL3" s="2" t="s">
        <v>52</v>
      </c>
      <c r="NM3" s="2" t="s">
        <v>17</v>
      </c>
      <c r="NN3" s="2" t="s">
        <v>18</v>
      </c>
      <c r="NP3" s="2" t="s">
        <v>14</v>
      </c>
      <c r="NQ3" s="2" t="s">
        <v>15</v>
      </c>
      <c r="NR3" s="2" t="s">
        <v>52</v>
      </c>
      <c r="NS3" s="2" t="s">
        <v>17</v>
      </c>
      <c r="NT3" s="2" t="s">
        <v>18</v>
      </c>
      <c r="NV3" s="2" t="s">
        <v>14</v>
      </c>
      <c r="NW3" s="2" t="s">
        <v>15</v>
      </c>
      <c r="NX3" s="2" t="s">
        <v>52</v>
      </c>
      <c r="NY3" s="2" t="s">
        <v>17</v>
      </c>
      <c r="NZ3" s="2" t="s">
        <v>18</v>
      </c>
      <c r="OB3" s="2" t="s">
        <v>14</v>
      </c>
      <c r="OC3" s="2" t="s">
        <v>15</v>
      </c>
      <c r="OD3" s="2" t="s">
        <v>52</v>
      </c>
      <c r="OE3" s="2" t="s">
        <v>17</v>
      </c>
      <c r="OF3" s="2" t="s">
        <v>18</v>
      </c>
      <c r="OH3" s="2" t="s">
        <v>14</v>
      </c>
      <c r="OI3" s="2" t="s">
        <v>15</v>
      </c>
      <c r="OJ3" s="2" t="s">
        <v>52</v>
      </c>
      <c r="OK3" s="2" t="s">
        <v>17</v>
      </c>
      <c r="OL3" s="2" t="s">
        <v>18</v>
      </c>
      <c r="ON3" s="2" t="s">
        <v>14</v>
      </c>
      <c r="OO3" s="2" t="s">
        <v>15</v>
      </c>
      <c r="OP3" s="2" t="s">
        <v>52</v>
      </c>
      <c r="OQ3" s="2" t="s">
        <v>17</v>
      </c>
      <c r="OR3" s="2" t="s">
        <v>18</v>
      </c>
      <c r="OT3" s="2" t="s">
        <v>14</v>
      </c>
      <c r="OU3" s="2" t="s">
        <v>15</v>
      </c>
      <c r="OV3" s="2" t="s">
        <v>52</v>
      </c>
      <c r="OW3" s="2" t="s">
        <v>17</v>
      </c>
      <c r="OX3" s="2" t="s">
        <v>18</v>
      </c>
      <c r="OZ3" s="2" t="s">
        <v>14</v>
      </c>
      <c r="PA3" s="2" t="s">
        <v>15</v>
      </c>
      <c r="PB3" s="2" t="s">
        <v>52</v>
      </c>
      <c r="PC3" s="2" t="s">
        <v>17</v>
      </c>
      <c r="PD3" s="2" t="s">
        <v>18</v>
      </c>
      <c r="PF3" s="2" t="s">
        <v>14</v>
      </c>
      <c r="PG3" s="2" t="s">
        <v>15</v>
      </c>
      <c r="PH3" s="2" t="s">
        <v>52</v>
      </c>
      <c r="PI3" s="2" t="s">
        <v>17</v>
      </c>
      <c r="PJ3" s="2" t="s">
        <v>18</v>
      </c>
      <c r="PL3" s="2" t="s">
        <v>14</v>
      </c>
      <c r="PM3" s="2" t="s">
        <v>15</v>
      </c>
      <c r="PN3" s="2" t="s">
        <v>52</v>
      </c>
      <c r="PO3" s="2" t="s">
        <v>17</v>
      </c>
      <c r="PP3" s="2" t="s">
        <v>18</v>
      </c>
      <c r="PR3" s="2" t="s">
        <v>14</v>
      </c>
      <c r="PS3" s="2" t="s">
        <v>15</v>
      </c>
      <c r="PT3" s="2" t="s">
        <v>52</v>
      </c>
      <c r="PU3" s="2" t="s">
        <v>17</v>
      </c>
      <c r="PV3" s="2" t="s">
        <v>18</v>
      </c>
      <c r="PX3" s="2" t="s">
        <v>14</v>
      </c>
      <c r="PY3" s="2" t="s">
        <v>15</v>
      </c>
      <c r="PZ3" s="2" t="s">
        <v>52</v>
      </c>
      <c r="QA3" s="2" t="s">
        <v>17</v>
      </c>
      <c r="QB3" s="2" t="s">
        <v>18</v>
      </c>
      <c r="QD3" s="2" t="s">
        <v>14</v>
      </c>
      <c r="QE3" s="2" t="s">
        <v>15</v>
      </c>
      <c r="QF3" s="2" t="s">
        <v>52</v>
      </c>
      <c r="QG3" s="2" t="s">
        <v>17</v>
      </c>
      <c r="QH3" s="2" t="s">
        <v>18</v>
      </c>
      <c r="QJ3" s="2" t="s">
        <v>14</v>
      </c>
      <c r="QK3" s="2" t="s">
        <v>15</v>
      </c>
      <c r="QL3" s="2" t="s">
        <v>52</v>
      </c>
      <c r="QM3" s="2" t="s">
        <v>17</v>
      </c>
      <c r="QN3" s="2" t="s">
        <v>18</v>
      </c>
      <c r="QP3" s="2" t="s">
        <v>14</v>
      </c>
      <c r="QQ3" s="2" t="s">
        <v>15</v>
      </c>
      <c r="QR3" s="2" t="s">
        <v>52</v>
      </c>
      <c r="QS3" s="2" t="s">
        <v>17</v>
      </c>
      <c r="QT3" s="2" t="s">
        <v>18</v>
      </c>
      <c r="QV3" s="2" t="s">
        <v>14</v>
      </c>
      <c r="QW3" s="2" t="s">
        <v>15</v>
      </c>
      <c r="QX3" s="2" t="s">
        <v>52</v>
      </c>
      <c r="QY3" s="2" t="s">
        <v>17</v>
      </c>
      <c r="QZ3" s="2" t="s">
        <v>18</v>
      </c>
      <c r="RB3" s="2" t="s">
        <v>14</v>
      </c>
      <c r="RC3" s="2" t="s">
        <v>15</v>
      </c>
      <c r="RD3" s="2" t="s">
        <v>52</v>
      </c>
      <c r="RE3" s="2" t="s">
        <v>17</v>
      </c>
      <c r="RF3" s="2" t="s">
        <v>18</v>
      </c>
      <c r="RH3" s="2" t="s">
        <v>14</v>
      </c>
      <c r="RI3" s="2" t="s">
        <v>15</v>
      </c>
      <c r="RJ3" s="2" t="s">
        <v>52</v>
      </c>
      <c r="RK3" s="2" t="s">
        <v>17</v>
      </c>
      <c r="RL3" s="2" t="s">
        <v>18</v>
      </c>
      <c r="RN3" s="2" t="s">
        <v>14</v>
      </c>
      <c r="RO3" s="2" t="s">
        <v>15</v>
      </c>
      <c r="RP3" s="2" t="s">
        <v>52</v>
      </c>
      <c r="RQ3" s="2" t="s">
        <v>17</v>
      </c>
      <c r="RR3" s="2" t="s">
        <v>18</v>
      </c>
      <c r="RT3" s="2" t="s">
        <v>14</v>
      </c>
      <c r="RU3" s="2" t="s">
        <v>15</v>
      </c>
      <c r="RV3" s="2" t="s">
        <v>52</v>
      </c>
      <c r="RW3" s="2" t="s">
        <v>17</v>
      </c>
      <c r="RX3" s="2" t="s">
        <v>18</v>
      </c>
      <c r="RZ3" s="2" t="s">
        <v>14</v>
      </c>
      <c r="SA3" s="2" t="s">
        <v>15</v>
      </c>
      <c r="SB3" s="2" t="s">
        <v>52</v>
      </c>
      <c r="SC3" s="2" t="s">
        <v>17</v>
      </c>
      <c r="SD3" s="2" t="s">
        <v>18</v>
      </c>
      <c r="SF3" s="2" t="s">
        <v>14</v>
      </c>
      <c r="SG3" s="2" t="s">
        <v>15</v>
      </c>
      <c r="SH3" s="2" t="s">
        <v>52</v>
      </c>
      <c r="SI3" s="2" t="s">
        <v>17</v>
      </c>
      <c r="SJ3" s="2" t="s">
        <v>18</v>
      </c>
      <c r="SL3" s="2" t="s">
        <v>14</v>
      </c>
      <c r="SM3" s="2" t="s">
        <v>15</v>
      </c>
      <c r="SN3" s="2" t="s">
        <v>52</v>
      </c>
      <c r="SO3" s="2" t="s">
        <v>17</v>
      </c>
      <c r="SP3" s="2" t="s">
        <v>18</v>
      </c>
      <c r="SR3" s="2" t="s">
        <v>14</v>
      </c>
      <c r="SS3" s="2" t="s">
        <v>15</v>
      </c>
      <c r="ST3" s="2" t="s">
        <v>52</v>
      </c>
      <c r="SU3" s="2" t="s">
        <v>17</v>
      </c>
      <c r="SV3" s="2" t="s">
        <v>18</v>
      </c>
      <c r="SX3" s="2" t="s">
        <v>14</v>
      </c>
      <c r="SY3" s="2" t="s">
        <v>15</v>
      </c>
      <c r="SZ3" s="2" t="s">
        <v>52</v>
      </c>
      <c r="TA3" s="2" t="s">
        <v>17</v>
      </c>
      <c r="TB3" s="2" t="s">
        <v>18</v>
      </c>
      <c r="TD3" s="2" t="s">
        <v>14</v>
      </c>
      <c r="TE3" s="2" t="s">
        <v>15</v>
      </c>
      <c r="TF3" s="2" t="s">
        <v>52</v>
      </c>
      <c r="TG3" s="2" t="s">
        <v>17</v>
      </c>
      <c r="TH3" s="2" t="s">
        <v>18</v>
      </c>
      <c r="TJ3" s="2" t="s">
        <v>14</v>
      </c>
      <c r="TK3" s="2" t="s">
        <v>15</v>
      </c>
      <c r="TL3" s="2" t="s">
        <v>52</v>
      </c>
      <c r="TM3" s="2" t="s">
        <v>17</v>
      </c>
      <c r="TN3" s="2" t="s">
        <v>18</v>
      </c>
      <c r="TP3" s="2" t="s">
        <v>14</v>
      </c>
      <c r="TQ3" s="2" t="s">
        <v>15</v>
      </c>
      <c r="TR3" s="2" t="s">
        <v>52</v>
      </c>
      <c r="TS3" s="2" t="s">
        <v>17</v>
      </c>
      <c r="TT3" s="2" t="s">
        <v>18</v>
      </c>
      <c r="TV3" s="2" t="s">
        <v>14</v>
      </c>
      <c r="TW3" s="2" t="s">
        <v>15</v>
      </c>
      <c r="TX3" s="2" t="s">
        <v>52</v>
      </c>
      <c r="TY3" s="2" t="s">
        <v>17</v>
      </c>
      <c r="TZ3" s="2" t="s">
        <v>18</v>
      </c>
      <c r="UB3" s="2" t="s">
        <v>14</v>
      </c>
      <c r="UC3" s="2" t="s">
        <v>15</v>
      </c>
      <c r="UD3" s="2" t="s">
        <v>52</v>
      </c>
      <c r="UE3" s="2" t="s">
        <v>17</v>
      </c>
      <c r="UF3" s="2" t="s">
        <v>18</v>
      </c>
      <c r="UH3" s="2" t="s">
        <v>14</v>
      </c>
      <c r="UI3" s="2" t="s">
        <v>15</v>
      </c>
      <c r="UJ3" s="2" t="s">
        <v>52</v>
      </c>
      <c r="UK3" s="2" t="s">
        <v>17</v>
      </c>
      <c r="UL3" s="2" t="s">
        <v>18</v>
      </c>
      <c r="UN3" s="2" t="s">
        <v>14</v>
      </c>
      <c r="UO3" s="2" t="s">
        <v>15</v>
      </c>
      <c r="UP3" s="2" t="s">
        <v>52</v>
      </c>
      <c r="UQ3" s="2" t="s">
        <v>17</v>
      </c>
      <c r="UR3" s="2" t="s">
        <v>18</v>
      </c>
      <c r="UT3" s="2" t="s">
        <v>14</v>
      </c>
      <c r="UU3" s="2" t="s">
        <v>15</v>
      </c>
      <c r="UV3" s="2" t="s">
        <v>52</v>
      </c>
      <c r="UW3" s="2" t="s">
        <v>17</v>
      </c>
      <c r="UX3" s="2" t="s">
        <v>18</v>
      </c>
      <c r="UZ3" s="2" t="s">
        <v>14</v>
      </c>
      <c r="VA3" s="2" t="s">
        <v>15</v>
      </c>
      <c r="VB3" s="2" t="s">
        <v>52</v>
      </c>
      <c r="VC3" s="2" t="s">
        <v>17</v>
      </c>
      <c r="VD3" s="2" t="s">
        <v>18</v>
      </c>
      <c r="VF3" s="2" t="s">
        <v>14</v>
      </c>
      <c r="VG3" s="2" t="s">
        <v>15</v>
      </c>
      <c r="VH3" s="2" t="s">
        <v>52</v>
      </c>
      <c r="VI3" s="2" t="s">
        <v>17</v>
      </c>
      <c r="VJ3" s="2" t="s">
        <v>18</v>
      </c>
      <c r="VL3" s="2" t="s">
        <v>14</v>
      </c>
      <c r="VM3" s="2" t="s">
        <v>15</v>
      </c>
      <c r="VN3" s="2" t="s">
        <v>52</v>
      </c>
      <c r="VO3" s="2" t="s">
        <v>17</v>
      </c>
      <c r="VP3" s="2" t="s">
        <v>18</v>
      </c>
      <c r="VR3" s="2" t="s">
        <v>14</v>
      </c>
      <c r="VS3" s="2" t="s">
        <v>15</v>
      </c>
      <c r="VT3" s="2" t="s">
        <v>52</v>
      </c>
      <c r="VU3" s="2" t="s">
        <v>17</v>
      </c>
      <c r="VV3" s="2" t="s">
        <v>18</v>
      </c>
      <c r="VX3" s="2" t="s">
        <v>14</v>
      </c>
      <c r="VY3" s="2" t="s">
        <v>15</v>
      </c>
      <c r="VZ3" s="2" t="s">
        <v>52</v>
      </c>
      <c r="WA3" s="2" t="s">
        <v>17</v>
      </c>
      <c r="WB3" s="2" t="s">
        <v>18</v>
      </c>
      <c r="WD3" s="2" t="s">
        <v>14</v>
      </c>
      <c r="WE3" s="2" t="s">
        <v>15</v>
      </c>
      <c r="WF3" s="2" t="s">
        <v>52</v>
      </c>
      <c r="WG3" s="2" t="s">
        <v>17</v>
      </c>
      <c r="WH3" s="2" t="s">
        <v>18</v>
      </c>
      <c r="WJ3" s="2" t="s">
        <v>14</v>
      </c>
      <c r="WK3" s="2" t="s">
        <v>15</v>
      </c>
      <c r="WL3" s="2" t="s">
        <v>52</v>
      </c>
      <c r="WM3" s="2" t="s">
        <v>17</v>
      </c>
      <c r="WN3" s="2" t="s">
        <v>18</v>
      </c>
      <c r="WP3" s="2" t="s">
        <v>14</v>
      </c>
      <c r="WQ3" s="2" t="s">
        <v>15</v>
      </c>
      <c r="WR3" s="2" t="s">
        <v>52</v>
      </c>
      <c r="WS3" s="2" t="s">
        <v>17</v>
      </c>
      <c r="WT3" s="2" t="s">
        <v>18</v>
      </c>
      <c r="WV3" s="2" t="s">
        <v>14</v>
      </c>
      <c r="WW3" s="2" t="s">
        <v>15</v>
      </c>
      <c r="WX3" s="2" t="s">
        <v>52</v>
      </c>
      <c r="WY3" s="2" t="s">
        <v>17</v>
      </c>
      <c r="WZ3" s="2" t="s">
        <v>18</v>
      </c>
      <c r="XB3" s="2" t="s">
        <v>14</v>
      </c>
      <c r="XC3" s="2" t="s">
        <v>15</v>
      </c>
      <c r="XD3" s="2" t="s">
        <v>52</v>
      </c>
      <c r="XE3" s="2" t="s">
        <v>17</v>
      </c>
      <c r="XF3" s="2" t="s">
        <v>18</v>
      </c>
      <c r="XH3" s="2" t="s">
        <v>14</v>
      </c>
      <c r="XI3" s="2" t="s">
        <v>15</v>
      </c>
      <c r="XJ3" s="2" t="s">
        <v>52</v>
      </c>
      <c r="XK3" s="2" t="s">
        <v>17</v>
      </c>
      <c r="XL3" s="2" t="s">
        <v>18</v>
      </c>
      <c r="XN3" s="2" t="s">
        <v>14</v>
      </c>
      <c r="XO3" s="2" t="s">
        <v>15</v>
      </c>
      <c r="XP3" s="2" t="s">
        <v>52</v>
      </c>
      <c r="XQ3" s="2" t="s">
        <v>17</v>
      </c>
      <c r="XR3" s="2" t="s">
        <v>18</v>
      </c>
      <c r="XT3" s="2" t="s">
        <v>14</v>
      </c>
      <c r="XU3" s="2" t="s">
        <v>15</v>
      </c>
      <c r="XV3" s="2" t="s">
        <v>52</v>
      </c>
      <c r="XW3" s="2" t="s">
        <v>17</v>
      </c>
      <c r="XX3" s="2" t="s">
        <v>18</v>
      </c>
      <c r="XZ3" s="2" t="s">
        <v>14</v>
      </c>
      <c r="YA3" s="2" t="s">
        <v>15</v>
      </c>
      <c r="YB3" s="2" t="s">
        <v>52</v>
      </c>
      <c r="YC3" s="2" t="s">
        <v>17</v>
      </c>
      <c r="YD3" s="2" t="s">
        <v>18</v>
      </c>
      <c r="YF3" s="2" t="s">
        <v>14</v>
      </c>
      <c r="YG3" s="2" t="s">
        <v>15</v>
      </c>
      <c r="YH3" s="2" t="s">
        <v>52</v>
      </c>
      <c r="YI3" s="2" t="s">
        <v>17</v>
      </c>
      <c r="YJ3" s="2" t="s">
        <v>18</v>
      </c>
      <c r="YL3" s="2" t="s">
        <v>14</v>
      </c>
      <c r="YM3" s="2" t="s">
        <v>15</v>
      </c>
      <c r="YN3" s="2" t="s">
        <v>52</v>
      </c>
      <c r="YO3" s="2" t="s">
        <v>17</v>
      </c>
      <c r="YP3" s="2" t="s">
        <v>18</v>
      </c>
      <c r="YR3" s="2" t="s">
        <v>14</v>
      </c>
      <c r="YS3" s="2" t="s">
        <v>15</v>
      </c>
      <c r="YT3" s="2" t="s">
        <v>52</v>
      </c>
      <c r="YU3" s="2" t="s">
        <v>17</v>
      </c>
      <c r="YV3" s="2" t="s">
        <v>18</v>
      </c>
      <c r="YX3" s="2" t="s">
        <v>14</v>
      </c>
      <c r="YY3" s="2" t="s">
        <v>15</v>
      </c>
      <c r="YZ3" s="2" t="s">
        <v>52</v>
      </c>
      <c r="ZA3" s="2" t="s">
        <v>17</v>
      </c>
      <c r="ZB3" s="2" t="s">
        <v>18</v>
      </c>
      <c r="ZD3" s="2" t="s">
        <v>14</v>
      </c>
      <c r="ZE3" s="2" t="s">
        <v>15</v>
      </c>
      <c r="ZF3" s="2" t="s">
        <v>52</v>
      </c>
      <c r="ZG3" s="2" t="s">
        <v>17</v>
      </c>
      <c r="ZH3" s="2" t="s">
        <v>18</v>
      </c>
      <c r="ZJ3" s="2" t="s">
        <v>14</v>
      </c>
      <c r="ZK3" s="2" t="s">
        <v>15</v>
      </c>
      <c r="ZL3" s="2" t="s">
        <v>52</v>
      </c>
      <c r="ZM3" s="2" t="s">
        <v>17</v>
      </c>
      <c r="ZN3" s="2" t="s">
        <v>18</v>
      </c>
      <c r="ZP3" s="2" t="s">
        <v>14</v>
      </c>
      <c r="ZQ3" s="2" t="s">
        <v>15</v>
      </c>
      <c r="ZR3" s="2" t="s">
        <v>52</v>
      </c>
      <c r="ZS3" s="2" t="s">
        <v>17</v>
      </c>
      <c r="ZT3" s="2" t="s">
        <v>18</v>
      </c>
      <c r="ZV3" s="2" t="s">
        <v>14</v>
      </c>
      <c r="ZW3" s="2" t="s">
        <v>15</v>
      </c>
      <c r="ZX3" s="2" t="s">
        <v>52</v>
      </c>
      <c r="ZY3" s="2" t="s">
        <v>17</v>
      </c>
      <c r="ZZ3" s="2" t="s">
        <v>18</v>
      </c>
      <c r="AAB3" s="2" t="s">
        <v>14</v>
      </c>
      <c r="AAC3" s="2" t="s">
        <v>15</v>
      </c>
      <c r="AAD3" s="2" t="s">
        <v>52</v>
      </c>
      <c r="AAE3" s="2" t="s">
        <v>17</v>
      </c>
      <c r="AAF3" s="2" t="s">
        <v>18</v>
      </c>
      <c r="AAH3" s="2" t="s">
        <v>14</v>
      </c>
      <c r="AAI3" s="2" t="s">
        <v>15</v>
      </c>
      <c r="AAJ3" s="2" t="s">
        <v>52</v>
      </c>
      <c r="AAK3" s="2" t="s">
        <v>17</v>
      </c>
      <c r="AAL3" s="2" t="s">
        <v>18</v>
      </c>
      <c r="AAN3" s="2" t="s">
        <v>14</v>
      </c>
      <c r="AAO3" s="2" t="s">
        <v>15</v>
      </c>
      <c r="AAP3" s="2" t="s">
        <v>52</v>
      </c>
      <c r="AAQ3" s="2" t="s">
        <v>17</v>
      </c>
      <c r="AAR3" s="2" t="s">
        <v>18</v>
      </c>
      <c r="AAT3" s="2" t="s">
        <v>14</v>
      </c>
      <c r="AAU3" s="2" t="s">
        <v>15</v>
      </c>
      <c r="AAV3" s="2" t="s">
        <v>52</v>
      </c>
      <c r="AAW3" s="2" t="s">
        <v>17</v>
      </c>
      <c r="AAX3" s="2" t="s">
        <v>18</v>
      </c>
      <c r="AAZ3" s="2" t="s">
        <v>14</v>
      </c>
      <c r="ABA3" s="2" t="s">
        <v>15</v>
      </c>
      <c r="ABB3" s="2" t="s">
        <v>52</v>
      </c>
      <c r="ABC3" s="2" t="s">
        <v>17</v>
      </c>
      <c r="ABD3" s="2" t="s">
        <v>18</v>
      </c>
      <c r="ABF3" s="2" t="s">
        <v>14</v>
      </c>
      <c r="ABG3" s="2" t="s">
        <v>15</v>
      </c>
      <c r="ABH3" s="2" t="s">
        <v>52</v>
      </c>
      <c r="ABI3" s="2" t="s">
        <v>17</v>
      </c>
      <c r="ABJ3" s="2" t="s">
        <v>18</v>
      </c>
      <c r="ABL3" s="2" t="s">
        <v>14</v>
      </c>
      <c r="ABM3" s="2" t="s">
        <v>15</v>
      </c>
      <c r="ABN3" s="2" t="s">
        <v>52</v>
      </c>
      <c r="ABO3" s="2" t="s">
        <v>17</v>
      </c>
      <c r="ABP3" s="2" t="s">
        <v>18</v>
      </c>
      <c r="ABR3" s="2" t="s">
        <v>14</v>
      </c>
      <c r="ABS3" s="2" t="s">
        <v>15</v>
      </c>
      <c r="ABT3" s="2" t="s">
        <v>52</v>
      </c>
      <c r="ABU3" s="2" t="s">
        <v>17</v>
      </c>
      <c r="ABV3" s="2" t="s">
        <v>18</v>
      </c>
      <c r="ABX3" s="2" t="s">
        <v>14</v>
      </c>
      <c r="ABY3" s="2" t="s">
        <v>15</v>
      </c>
      <c r="ABZ3" s="2" t="s">
        <v>52</v>
      </c>
      <c r="ACA3" s="2" t="s">
        <v>17</v>
      </c>
      <c r="ACB3" s="2" t="s">
        <v>18</v>
      </c>
      <c r="ACD3" s="2" t="s">
        <v>14</v>
      </c>
      <c r="ACE3" s="2" t="s">
        <v>15</v>
      </c>
      <c r="ACF3" s="2" t="s">
        <v>52</v>
      </c>
      <c r="ACG3" s="2" t="s">
        <v>17</v>
      </c>
      <c r="ACH3" s="2" t="s">
        <v>18</v>
      </c>
      <c r="ACJ3" s="2" t="s">
        <v>14</v>
      </c>
      <c r="ACK3" s="2" t="s">
        <v>15</v>
      </c>
      <c r="ACL3" s="2" t="s">
        <v>52</v>
      </c>
      <c r="ACM3" s="2" t="s">
        <v>17</v>
      </c>
      <c r="ACN3" s="2" t="s">
        <v>18</v>
      </c>
      <c r="ACP3" s="2" t="s">
        <v>14</v>
      </c>
      <c r="ACQ3" s="2" t="s">
        <v>15</v>
      </c>
      <c r="ACR3" s="2" t="s">
        <v>52</v>
      </c>
      <c r="ACS3" s="2" t="s">
        <v>17</v>
      </c>
      <c r="ACT3" s="2" t="s">
        <v>18</v>
      </c>
      <c r="ACV3" s="2" t="s">
        <v>14</v>
      </c>
      <c r="ACW3" s="2" t="s">
        <v>15</v>
      </c>
      <c r="ACX3" s="2" t="s">
        <v>52</v>
      </c>
      <c r="ACY3" s="2" t="s">
        <v>17</v>
      </c>
      <c r="ACZ3" s="2" t="s">
        <v>18</v>
      </c>
      <c r="ADB3" s="2" t="s">
        <v>14</v>
      </c>
      <c r="ADC3" s="2" t="s">
        <v>15</v>
      </c>
      <c r="ADD3" s="2" t="s">
        <v>52</v>
      </c>
      <c r="ADE3" s="2" t="s">
        <v>17</v>
      </c>
      <c r="ADF3" s="2" t="s">
        <v>18</v>
      </c>
      <c r="ADH3" s="2" t="s">
        <v>14</v>
      </c>
      <c r="ADI3" s="2" t="s">
        <v>15</v>
      </c>
      <c r="ADJ3" s="2" t="s">
        <v>52</v>
      </c>
      <c r="ADK3" s="2" t="s">
        <v>17</v>
      </c>
      <c r="ADL3" s="2" t="s">
        <v>18</v>
      </c>
      <c r="ADN3" s="2" t="s">
        <v>14</v>
      </c>
      <c r="ADO3" s="2" t="s">
        <v>15</v>
      </c>
      <c r="ADP3" s="2" t="s">
        <v>52</v>
      </c>
      <c r="ADQ3" s="2" t="s">
        <v>17</v>
      </c>
      <c r="ADR3" s="2" t="s">
        <v>18</v>
      </c>
      <c r="ADT3" s="2" t="s">
        <v>14</v>
      </c>
      <c r="ADU3" s="2" t="s">
        <v>15</v>
      </c>
      <c r="ADV3" s="2" t="s">
        <v>52</v>
      </c>
      <c r="ADW3" s="2" t="s">
        <v>17</v>
      </c>
      <c r="ADX3" s="2" t="s">
        <v>18</v>
      </c>
      <c r="ADZ3" s="2" t="s">
        <v>14</v>
      </c>
      <c r="AEA3" s="2" t="s">
        <v>15</v>
      </c>
      <c r="AEB3" s="2" t="s">
        <v>52</v>
      </c>
      <c r="AEC3" s="2" t="s">
        <v>17</v>
      </c>
      <c r="AED3" s="2" t="s">
        <v>18</v>
      </c>
      <c r="AEF3" s="2" t="s">
        <v>14</v>
      </c>
      <c r="AEG3" s="2" t="s">
        <v>15</v>
      </c>
      <c r="AEH3" s="2" t="s">
        <v>52</v>
      </c>
      <c r="AEI3" s="2" t="s">
        <v>17</v>
      </c>
      <c r="AEJ3" s="2" t="s">
        <v>18</v>
      </c>
      <c r="AEL3" s="2" t="s">
        <v>14</v>
      </c>
      <c r="AEM3" s="2" t="s">
        <v>15</v>
      </c>
      <c r="AEN3" s="2" t="s">
        <v>52</v>
      </c>
      <c r="AEO3" s="2" t="s">
        <v>17</v>
      </c>
      <c r="AEP3" s="2" t="s">
        <v>18</v>
      </c>
      <c r="AER3" s="2" t="s">
        <v>14</v>
      </c>
      <c r="AES3" s="2" t="s">
        <v>15</v>
      </c>
      <c r="AET3" s="2" t="s">
        <v>52</v>
      </c>
      <c r="AEU3" s="2" t="s">
        <v>17</v>
      </c>
      <c r="AEV3" s="2" t="s">
        <v>18</v>
      </c>
      <c r="AEX3" s="2" t="s">
        <v>14</v>
      </c>
      <c r="AEY3" s="2" t="s">
        <v>15</v>
      </c>
      <c r="AEZ3" s="2" t="s">
        <v>52</v>
      </c>
      <c r="AFA3" s="2" t="s">
        <v>17</v>
      </c>
      <c r="AFB3" s="2" t="s">
        <v>18</v>
      </c>
      <c r="AFD3" s="2" t="s">
        <v>14</v>
      </c>
      <c r="AFE3" s="2" t="s">
        <v>15</v>
      </c>
      <c r="AFF3" s="2" t="s">
        <v>52</v>
      </c>
      <c r="AFG3" s="2" t="s">
        <v>17</v>
      </c>
      <c r="AFH3" s="2" t="s">
        <v>18</v>
      </c>
      <c r="AFJ3" s="2" t="s">
        <v>14</v>
      </c>
      <c r="AFK3" s="2" t="s">
        <v>15</v>
      </c>
      <c r="AFL3" s="2" t="s">
        <v>52</v>
      </c>
      <c r="AFM3" s="2" t="s">
        <v>17</v>
      </c>
      <c r="AFN3" s="2" t="s">
        <v>18</v>
      </c>
      <c r="AFP3" s="2" t="s">
        <v>14</v>
      </c>
      <c r="AFQ3" s="2" t="s">
        <v>15</v>
      </c>
      <c r="AFR3" s="2" t="s">
        <v>52</v>
      </c>
      <c r="AFS3" s="2" t="s">
        <v>17</v>
      </c>
      <c r="AFT3" s="2" t="s">
        <v>18</v>
      </c>
      <c r="AFV3" s="2" t="s">
        <v>14</v>
      </c>
      <c r="AFW3" s="2" t="s">
        <v>15</v>
      </c>
      <c r="AFX3" s="2" t="s">
        <v>52</v>
      </c>
      <c r="AFY3" s="2" t="s">
        <v>17</v>
      </c>
      <c r="AFZ3" s="2" t="s">
        <v>18</v>
      </c>
      <c r="AGB3" s="2" t="s">
        <v>14</v>
      </c>
      <c r="AGC3" s="2" t="s">
        <v>15</v>
      </c>
      <c r="AGD3" s="2" t="s">
        <v>52</v>
      </c>
      <c r="AGE3" s="2" t="s">
        <v>17</v>
      </c>
      <c r="AGF3" s="2" t="s">
        <v>18</v>
      </c>
      <c r="AGH3" s="2" t="s">
        <v>14</v>
      </c>
      <c r="AGI3" s="2" t="s">
        <v>15</v>
      </c>
      <c r="AGJ3" s="2" t="s">
        <v>52</v>
      </c>
      <c r="AGK3" s="2" t="s">
        <v>17</v>
      </c>
      <c r="AGL3" s="2" t="s">
        <v>18</v>
      </c>
      <c r="AGN3" s="2" t="s">
        <v>14</v>
      </c>
      <c r="AGO3" s="2" t="s">
        <v>15</v>
      </c>
      <c r="AGP3" s="2" t="s">
        <v>52</v>
      </c>
      <c r="AGQ3" s="2" t="s">
        <v>17</v>
      </c>
      <c r="AGR3" s="2" t="s">
        <v>18</v>
      </c>
      <c r="AGT3" s="2" t="s">
        <v>14</v>
      </c>
      <c r="AGU3" s="2" t="s">
        <v>15</v>
      </c>
      <c r="AGV3" s="2" t="s">
        <v>52</v>
      </c>
      <c r="AGW3" s="2" t="s">
        <v>17</v>
      </c>
      <c r="AGX3" s="2" t="s">
        <v>18</v>
      </c>
      <c r="AGZ3" s="2" t="s">
        <v>14</v>
      </c>
      <c r="AHA3" s="2" t="s">
        <v>15</v>
      </c>
      <c r="AHB3" s="2" t="s">
        <v>52</v>
      </c>
      <c r="AHC3" s="2" t="s">
        <v>17</v>
      </c>
      <c r="AHD3" s="2" t="s">
        <v>18</v>
      </c>
      <c r="AHF3" s="2" t="s">
        <v>14</v>
      </c>
      <c r="AHG3" s="2" t="s">
        <v>15</v>
      </c>
      <c r="AHH3" s="2" t="s">
        <v>52</v>
      </c>
      <c r="AHI3" s="2" t="s">
        <v>17</v>
      </c>
      <c r="AHJ3" s="2" t="s">
        <v>18</v>
      </c>
      <c r="AHL3" s="2" t="s">
        <v>14</v>
      </c>
      <c r="AHM3" s="2" t="s">
        <v>15</v>
      </c>
      <c r="AHN3" s="2" t="s">
        <v>52</v>
      </c>
      <c r="AHO3" s="2" t="s">
        <v>17</v>
      </c>
      <c r="AHP3" s="2" t="s">
        <v>18</v>
      </c>
      <c r="AHR3" s="2" t="s">
        <v>14</v>
      </c>
      <c r="AHS3" s="2" t="s">
        <v>15</v>
      </c>
      <c r="AHT3" s="2" t="s">
        <v>52</v>
      </c>
      <c r="AHU3" s="2" t="s">
        <v>17</v>
      </c>
      <c r="AHV3" s="2" t="s">
        <v>18</v>
      </c>
      <c r="AHX3" s="2" t="s">
        <v>14</v>
      </c>
      <c r="AHY3" s="2" t="s">
        <v>15</v>
      </c>
      <c r="AHZ3" s="2" t="s">
        <v>52</v>
      </c>
      <c r="AIA3" s="2" t="s">
        <v>17</v>
      </c>
      <c r="AIB3" s="2" t="s">
        <v>18</v>
      </c>
      <c r="AID3" s="2" t="s">
        <v>14</v>
      </c>
      <c r="AIE3" s="2" t="s">
        <v>15</v>
      </c>
      <c r="AIF3" s="2" t="s">
        <v>52</v>
      </c>
      <c r="AIG3" s="2" t="s">
        <v>17</v>
      </c>
      <c r="AIH3" s="2" t="s">
        <v>18</v>
      </c>
      <c r="AIJ3" s="2" t="s">
        <v>14</v>
      </c>
      <c r="AIK3" s="2" t="s">
        <v>15</v>
      </c>
      <c r="AIL3" s="2" t="s">
        <v>52</v>
      </c>
      <c r="AIM3" s="2" t="s">
        <v>17</v>
      </c>
      <c r="AIN3" s="2" t="s">
        <v>18</v>
      </c>
      <c r="AIP3" s="2" t="s">
        <v>14</v>
      </c>
      <c r="AIQ3" s="2" t="s">
        <v>15</v>
      </c>
      <c r="AIR3" s="2" t="s">
        <v>52</v>
      </c>
      <c r="AIS3" s="2" t="s">
        <v>17</v>
      </c>
      <c r="AIT3" s="2" t="s">
        <v>18</v>
      </c>
      <c r="AIV3" s="2" t="s">
        <v>14</v>
      </c>
      <c r="AIW3" s="2" t="s">
        <v>15</v>
      </c>
      <c r="AIX3" s="2" t="s">
        <v>52</v>
      </c>
      <c r="AIY3" s="2" t="s">
        <v>17</v>
      </c>
      <c r="AIZ3" s="2" t="s">
        <v>18</v>
      </c>
      <c r="AJB3" s="2" t="s">
        <v>14</v>
      </c>
      <c r="AJC3" s="2" t="s">
        <v>15</v>
      </c>
      <c r="AJD3" s="2" t="s">
        <v>52</v>
      </c>
      <c r="AJE3" s="2" t="s">
        <v>17</v>
      </c>
      <c r="AJF3" s="2" t="s">
        <v>18</v>
      </c>
      <c r="AJH3" s="2" t="s">
        <v>14</v>
      </c>
      <c r="AJI3" s="2" t="s">
        <v>15</v>
      </c>
      <c r="AJJ3" s="2" t="s">
        <v>52</v>
      </c>
      <c r="AJK3" s="2" t="s">
        <v>17</v>
      </c>
      <c r="AJL3" s="2" t="s">
        <v>18</v>
      </c>
      <c r="AJN3" s="2" t="s">
        <v>14</v>
      </c>
      <c r="AJO3" s="2" t="s">
        <v>15</v>
      </c>
      <c r="AJP3" s="2" t="s">
        <v>52</v>
      </c>
      <c r="AJQ3" s="2" t="s">
        <v>17</v>
      </c>
      <c r="AJR3" s="2" t="s">
        <v>18</v>
      </c>
      <c r="AJT3" s="2" t="s">
        <v>14</v>
      </c>
      <c r="AJU3" s="2" t="s">
        <v>15</v>
      </c>
      <c r="AJV3" s="2" t="s">
        <v>52</v>
      </c>
      <c r="AJW3" s="2" t="s">
        <v>17</v>
      </c>
      <c r="AJX3" s="2" t="s">
        <v>18</v>
      </c>
      <c r="AJZ3" s="2" t="s">
        <v>14</v>
      </c>
      <c r="AKA3" s="2" t="s">
        <v>15</v>
      </c>
      <c r="AKB3" s="2" t="s">
        <v>52</v>
      </c>
      <c r="AKC3" s="2" t="s">
        <v>17</v>
      </c>
      <c r="AKD3" s="2" t="s">
        <v>18</v>
      </c>
      <c r="AKF3" s="2" t="s">
        <v>14</v>
      </c>
      <c r="AKG3" s="2" t="s">
        <v>15</v>
      </c>
      <c r="AKH3" s="2" t="s">
        <v>52</v>
      </c>
      <c r="AKI3" s="2" t="s">
        <v>17</v>
      </c>
      <c r="AKJ3" s="2" t="s">
        <v>18</v>
      </c>
      <c r="AKL3" s="2" t="s">
        <v>14</v>
      </c>
      <c r="AKM3" s="2" t="s">
        <v>15</v>
      </c>
      <c r="AKN3" s="2" t="s">
        <v>52</v>
      </c>
      <c r="AKO3" s="2" t="s">
        <v>17</v>
      </c>
      <c r="AKP3" s="2" t="s">
        <v>18</v>
      </c>
      <c r="AKR3" s="2" t="s">
        <v>14</v>
      </c>
      <c r="AKS3" s="2" t="s">
        <v>15</v>
      </c>
      <c r="AKT3" s="2" t="s">
        <v>52</v>
      </c>
      <c r="AKU3" s="2" t="s">
        <v>17</v>
      </c>
      <c r="AKV3" s="2" t="s">
        <v>18</v>
      </c>
      <c r="AKX3" s="2" t="s">
        <v>14</v>
      </c>
      <c r="AKY3" s="2" t="s">
        <v>15</v>
      </c>
      <c r="AKZ3" s="2" t="s">
        <v>52</v>
      </c>
      <c r="ALA3" s="2" t="s">
        <v>17</v>
      </c>
      <c r="ALB3" s="2" t="s">
        <v>18</v>
      </c>
      <c r="ALD3" s="2" t="s">
        <v>14</v>
      </c>
      <c r="ALE3" s="2" t="s">
        <v>15</v>
      </c>
      <c r="ALF3" s="2" t="s">
        <v>52</v>
      </c>
      <c r="ALG3" s="2" t="s">
        <v>17</v>
      </c>
      <c r="ALH3" s="2" t="s">
        <v>18</v>
      </c>
      <c r="ALJ3" s="2" t="s">
        <v>14</v>
      </c>
      <c r="ALK3" s="2" t="s">
        <v>15</v>
      </c>
      <c r="ALL3" s="2" t="s">
        <v>52</v>
      </c>
      <c r="ALM3" s="2" t="s">
        <v>17</v>
      </c>
      <c r="ALN3" s="2" t="s">
        <v>18</v>
      </c>
      <c r="ALP3" s="2" t="s">
        <v>14</v>
      </c>
      <c r="ALQ3" s="2" t="s">
        <v>15</v>
      </c>
      <c r="ALR3" s="2" t="s">
        <v>52</v>
      </c>
      <c r="ALS3" s="2" t="s">
        <v>17</v>
      </c>
      <c r="ALT3" s="2" t="s">
        <v>18</v>
      </c>
      <c r="ALV3" s="2" t="s">
        <v>14</v>
      </c>
      <c r="ALW3" s="2" t="s">
        <v>15</v>
      </c>
      <c r="ALX3" s="2" t="s">
        <v>52</v>
      </c>
      <c r="ALY3" s="2" t="s">
        <v>17</v>
      </c>
      <c r="ALZ3" s="2" t="s">
        <v>18</v>
      </c>
      <c r="AMB3" s="2" t="s">
        <v>14</v>
      </c>
      <c r="AMC3" s="2" t="s">
        <v>15</v>
      </c>
      <c r="AMD3" s="2" t="s">
        <v>52</v>
      </c>
      <c r="AME3" s="2" t="s">
        <v>17</v>
      </c>
      <c r="AMF3" s="2" t="s">
        <v>18</v>
      </c>
      <c r="AMH3" s="2" t="s">
        <v>14</v>
      </c>
      <c r="AMI3" s="2" t="s">
        <v>15</v>
      </c>
      <c r="AMJ3" s="2" t="s">
        <v>52</v>
      </c>
      <c r="AMK3" s="2" t="s">
        <v>17</v>
      </c>
      <c r="AML3" s="2" t="s">
        <v>18</v>
      </c>
      <c r="AMN3" s="2" t="s">
        <v>14</v>
      </c>
      <c r="AMO3" s="2" t="s">
        <v>15</v>
      </c>
      <c r="AMP3" s="2" t="s">
        <v>52</v>
      </c>
      <c r="AMQ3" s="2" t="s">
        <v>17</v>
      </c>
      <c r="AMR3" s="2" t="s">
        <v>18</v>
      </c>
      <c r="AMT3" s="2" t="s">
        <v>14</v>
      </c>
      <c r="AMU3" s="2" t="s">
        <v>15</v>
      </c>
      <c r="AMV3" s="2" t="s">
        <v>52</v>
      </c>
      <c r="AMW3" s="2" t="s">
        <v>17</v>
      </c>
      <c r="AMX3" s="2" t="s">
        <v>18</v>
      </c>
      <c r="AMZ3" s="2" t="s">
        <v>14</v>
      </c>
      <c r="ANA3" s="2" t="s">
        <v>15</v>
      </c>
      <c r="ANB3" s="2" t="s">
        <v>52</v>
      </c>
      <c r="ANC3" s="2" t="s">
        <v>17</v>
      </c>
      <c r="AND3" s="2" t="s">
        <v>18</v>
      </c>
      <c r="ANF3" s="2" t="s">
        <v>14</v>
      </c>
      <c r="ANG3" s="2" t="s">
        <v>15</v>
      </c>
      <c r="ANH3" s="2" t="s">
        <v>52</v>
      </c>
      <c r="ANI3" s="2" t="s">
        <v>17</v>
      </c>
      <c r="ANJ3" s="2" t="s">
        <v>18</v>
      </c>
      <c r="ANL3" s="2" t="s">
        <v>14</v>
      </c>
      <c r="ANM3" s="2" t="s">
        <v>15</v>
      </c>
      <c r="ANN3" s="2" t="s">
        <v>52</v>
      </c>
      <c r="ANO3" s="2" t="s">
        <v>17</v>
      </c>
      <c r="ANP3" s="2" t="s">
        <v>18</v>
      </c>
      <c r="ANR3" s="2" t="s">
        <v>14</v>
      </c>
      <c r="ANS3" s="2" t="s">
        <v>15</v>
      </c>
      <c r="ANT3" s="2" t="s">
        <v>52</v>
      </c>
      <c r="ANU3" s="2" t="s">
        <v>17</v>
      </c>
      <c r="ANV3" s="2" t="s">
        <v>18</v>
      </c>
      <c r="ANX3" s="2" t="s">
        <v>14</v>
      </c>
      <c r="ANY3" s="2" t="s">
        <v>15</v>
      </c>
      <c r="ANZ3" s="2" t="s">
        <v>52</v>
      </c>
      <c r="AOA3" s="2" t="s">
        <v>17</v>
      </c>
      <c r="AOB3" s="2" t="s">
        <v>18</v>
      </c>
      <c r="AOD3" s="2" t="s">
        <v>14</v>
      </c>
      <c r="AOE3" s="2" t="s">
        <v>15</v>
      </c>
      <c r="AOF3" s="2" t="s">
        <v>52</v>
      </c>
      <c r="AOG3" s="2" t="s">
        <v>17</v>
      </c>
      <c r="AOH3" s="2" t="s">
        <v>18</v>
      </c>
      <c r="AOJ3" s="2" t="s">
        <v>14</v>
      </c>
      <c r="AOK3" s="2" t="s">
        <v>15</v>
      </c>
      <c r="AOL3" s="2" t="s">
        <v>52</v>
      </c>
      <c r="AOM3" s="2" t="s">
        <v>17</v>
      </c>
      <c r="AON3" s="2" t="s">
        <v>18</v>
      </c>
      <c r="AOP3" s="2" t="s">
        <v>14</v>
      </c>
      <c r="AOQ3" s="2"/>
      <c r="AOR3" s="2"/>
      <c r="AOS3" s="2"/>
      <c r="AOT3" s="2"/>
      <c r="AOV3" s="2" t="s">
        <v>14</v>
      </c>
      <c r="AOW3" s="2" t="s">
        <v>15</v>
      </c>
      <c r="AOX3" s="2" t="s">
        <v>52</v>
      </c>
      <c r="AOY3" s="2" t="s">
        <v>17</v>
      </c>
      <c r="AOZ3" s="2" t="s">
        <v>18</v>
      </c>
    </row>
    <row r="4" spans="1:1092" x14ac:dyDescent="0.25">
      <c r="A4" s="3" t="s">
        <v>53</v>
      </c>
      <c r="B4" s="86">
        <f t="shared" ref="B4:B11" si="0">AVERAGEIF($3:$3,"PMIX",4:4)</f>
        <v>7.2583333333333337</v>
      </c>
      <c r="C4" s="5">
        <v>36</v>
      </c>
      <c r="E4" s="5">
        <v>21</v>
      </c>
      <c r="F4" s="5">
        <v>1</v>
      </c>
      <c r="H4" s="5">
        <v>35</v>
      </c>
      <c r="I4" s="5"/>
      <c r="J4" s="5">
        <f>(F4*24)+E4-H4</f>
        <v>10</v>
      </c>
      <c r="K4" s="5"/>
      <c r="L4" s="24">
        <f>K4-J4</f>
        <v>-10</v>
      </c>
      <c r="N4" s="5">
        <v>31</v>
      </c>
      <c r="O4" s="5">
        <v>1</v>
      </c>
      <c r="P4" s="5">
        <f>(I4*24)+H4-N4</f>
        <v>4</v>
      </c>
      <c r="Q4" s="5">
        <v>4</v>
      </c>
      <c r="R4" s="24">
        <f>Q4-P4</f>
        <v>0</v>
      </c>
      <c r="T4" s="5">
        <v>54</v>
      </c>
      <c r="U4" s="5"/>
      <c r="V4" s="5">
        <f>(O4*24)+N4-T4</f>
        <v>1</v>
      </c>
      <c r="W4" s="5">
        <v>1</v>
      </c>
      <c r="X4" s="24">
        <f>W4-V4</f>
        <v>0</v>
      </c>
      <c r="Z4" s="5">
        <v>41</v>
      </c>
      <c r="AA4" s="5"/>
      <c r="AB4" s="5">
        <f>(U4*24)+T4-Z4</f>
        <v>13</v>
      </c>
      <c r="AC4" s="5">
        <v>13</v>
      </c>
      <c r="AD4" s="24">
        <f>AC4-AB4</f>
        <v>0</v>
      </c>
      <c r="AF4" s="5">
        <v>38</v>
      </c>
      <c r="AG4" s="5"/>
      <c r="AH4" s="5">
        <f>(AA4*24)+Z4-AF4</f>
        <v>3</v>
      </c>
      <c r="AI4" s="5">
        <v>3</v>
      </c>
      <c r="AJ4" s="24">
        <f>AI4-AH4</f>
        <v>0</v>
      </c>
      <c r="AL4" s="5">
        <v>27</v>
      </c>
      <c r="AM4" s="5"/>
      <c r="AN4" s="5">
        <f>(AG4*24)+AF4-AL4</f>
        <v>11</v>
      </c>
      <c r="AO4" s="5">
        <v>12</v>
      </c>
      <c r="AP4" s="24">
        <f>AO4-AN4</f>
        <v>1</v>
      </c>
      <c r="AR4" s="5">
        <v>22</v>
      </c>
      <c r="AS4" s="5"/>
      <c r="AT4" s="5">
        <f>(AL4+AM4)-AR4</f>
        <v>5</v>
      </c>
      <c r="AU4" s="5">
        <v>5</v>
      </c>
      <c r="AV4" s="24">
        <f>AU4-AT4</f>
        <v>0</v>
      </c>
      <c r="AX4" s="5">
        <v>16</v>
      </c>
      <c r="AY4" s="5">
        <v>24</v>
      </c>
      <c r="AZ4" s="5">
        <f>(AR4+AS4)-AX4</f>
        <v>6</v>
      </c>
      <c r="BA4" s="5">
        <v>6</v>
      </c>
      <c r="BB4" s="24">
        <f>BA4-AZ4</f>
        <v>0</v>
      </c>
      <c r="BD4" s="5">
        <v>36</v>
      </c>
      <c r="BE4" s="5"/>
      <c r="BF4" s="5">
        <f>(AX4+AY4)-BD4</f>
        <v>4</v>
      </c>
      <c r="BG4" s="5">
        <v>4</v>
      </c>
      <c r="BH4" s="24">
        <f>BG4-BF4</f>
        <v>0</v>
      </c>
      <c r="BJ4" s="5">
        <v>35</v>
      </c>
      <c r="BK4" s="5"/>
      <c r="BL4" s="5">
        <f>(BD4+BE4)-BJ4</f>
        <v>1</v>
      </c>
      <c r="BM4" s="5">
        <v>1</v>
      </c>
      <c r="BN4" s="24">
        <f>BM4-BL4</f>
        <v>0</v>
      </c>
      <c r="BP4" s="5">
        <v>31</v>
      </c>
      <c r="BQ4" s="5"/>
      <c r="BR4" s="5">
        <f>(BJ4+BK4)-BP4</f>
        <v>4</v>
      </c>
      <c r="BS4" s="5">
        <v>4</v>
      </c>
      <c r="BT4" s="24">
        <f>BS4-BR4</f>
        <v>0</v>
      </c>
      <c r="BV4" s="5">
        <v>21</v>
      </c>
      <c r="BW4" s="5">
        <v>24</v>
      </c>
      <c r="BX4" s="5">
        <f>(BP4+BQ4)-BV4</f>
        <v>10</v>
      </c>
      <c r="BY4" s="5"/>
      <c r="BZ4" s="24">
        <f>BY4-BX4</f>
        <v>-10</v>
      </c>
      <c r="CB4" s="5">
        <v>43</v>
      </c>
      <c r="CC4" s="5"/>
      <c r="CD4" s="5">
        <f>(BV4+BW4)-CB4</f>
        <v>2</v>
      </c>
      <c r="CE4" s="5">
        <v>3</v>
      </c>
      <c r="CF4" s="24">
        <f>CE4-CD4</f>
        <v>1</v>
      </c>
      <c r="CH4" s="5">
        <v>41</v>
      </c>
      <c r="CI4" s="5"/>
      <c r="CJ4" s="5">
        <f>(CB4+CC4)-CH4</f>
        <v>2</v>
      </c>
      <c r="CK4" s="5">
        <v>3</v>
      </c>
      <c r="CL4" s="24">
        <f>CK4-CJ4</f>
        <v>1</v>
      </c>
      <c r="CN4" s="5">
        <v>29</v>
      </c>
      <c r="CO4" s="5"/>
      <c r="CP4" s="5">
        <f>(CH4+CI4)-CN4</f>
        <v>12</v>
      </c>
      <c r="CQ4" s="5">
        <v>9</v>
      </c>
      <c r="CR4" s="24">
        <f>CQ4-CP4</f>
        <v>-3</v>
      </c>
      <c r="CT4" s="5">
        <v>26</v>
      </c>
      <c r="CU4" s="5"/>
      <c r="CV4" s="5">
        <f>(CN4+CO4)-CT4</f>
        <v>3</v>
      </c>
      <c r="CW4" s="5">
        <v>3</v>
      </c>
      <c r="CX4" s="41">
        <f>CW4-CV4</f>
        <v>0</v>
      </c>
      <c r="CZ4" s="5">
        <v>22</v>
      </c>
      <c r="DA4" s="5"/>
      <c r="DB4" s="5">
        <f>(CT4+CU4)-CZ4</f>
        <v>4</v>
      </c>
      <c r="DC4" s="5">
        <v>4</v>
      </c>
      <c r="DD4" s="41">
        <f>DC4-DB4</f>
        <v>0</v>
      </c>
      <c r="DF4" s="5">
        <v>10</v>
      </c>
      <c r="DG4" s="5">
        <v>24</v>
      </c>
      <c r="DH4" s="5">
        <f>(CZ4+DA4)-DF4</f>
        <v>12</v>
      </c>
      <c r="DI4" s="5">
        <v>12</v>
      </c>
      <c r="DJ4" s="41">
        <f>DI4-DH4</f>
        <v>0</v>
      </c>
      <c r="DL4" s="5">
        <v>28</v>
      </c>
      <c r="DM4" s="5"/>
      <c r="DN4" s="5">
        <f>(DF4+DG4)-DL4</f>
        <v>6</v>
      </c>
      <c r="DO4" s="5">
        <v>5</v>
      </c>
      <c r="DP4" s="41">
        <f>DO4-DN4</f>
        <v>-1</v>
      </c>
      <c r="DR4" s="5">
        <v>23</v>
      </c>
      <c r="DS4" s="5">
        <v>24</v>
      </c>
      <c r="DT4" s="5">
        <f>(DL4+DM4)-DR4</f>
        <v>5</v>
      </c>
      <c r="DU4" s="5">
        <v>5</v>
      </c>
      <c r="DV4" s="41">
        <f>DU4-DT4</f>
        <v>0</v>
      </c>
      <c r="DX4" s="5">
        <v>35</v>
      </c>
      <c r="DY4" s="5"/>
      <c r="DZ4" s="5">
        <f>(DR4+DS4)-DX4</f>
        <v>12</v>
      </c>
      <c r="EA4" s="5">
        <v>12</v>
      </c>
      <c r="EB4" s="41">
        <f>EA4-DZ4</f>
        <v>0</v>
      </c>
      <c r="ED4" s="5">
        <v>28</v>
      </c>
      <c r="EE4" s="5"/>
      <c r="EF4" s="5">
        <f>(DX4+DY4)-ED4</f>
        <v>7</v>
      </c>
      <c r="EG4" s="5">
        <v>7</v>
      </c>
      <c r="EH4" s="41">
        <f>EG4-EF4</f>
        <v>0</v>
      </c>
      <c r="EJ4" s="5">
        <v>32</v>
      </c>
      <c r="EK4" s="5"/>
      <c r="EL4" s="5">
        <f>(ED4+EE4)-EJ4</f>
        <v>-4</v>
      </c>
      <c r="EM4" s="5">
        <v>1</v>
      </c>
      <c r="EN4" s="41">
        <f>EM4-EL4</f>
        <v>5</v>
      </c>
      <c r="EP4" s="5">
        <v>27</v>
      </c>
      <c r="EQ4" s="5"/>
      <c r="ER4" s="5">
        <f>(EJ4+EK4)-EP4</f>
        <v>5</v>
      </c>
      <c r="ES4" s="5">
        <v>5</v>
      </c>
      <c r="ET4" s="41">
        <f>ES4-ER4</f>
        <v>0</v>
      </c>
      <c r="EV4" s="5">
        <v>27</v>
      </c>
      <c r="EW4" s="5"/>
      <c r="EX4" s="5">
        <f>(EP4+EQ4)-EV4</f>
        <v>0</v>
      </c>
      <c r="EY4" s="5"/>
      <c r="EZ4" s="41">
        <f>EY4-EX4</f>
        <v>0</v>
      </c>
      <c r="FB4" s="5">
        <v>24</v>
      </c>
      <c r="FC4" s="5"/>
      <c r="FD4" s="5">
        <f>(EV4+EW4)-FB4</f>
        <v>3</v>
      </c>
      <c r="FE4" s="5">
        <v>2</v>
      </c>
      <c r="FF4" s="41">
        <f>FE4-FD4</f>
        <v>-1</v>
      </c>
      <c r="FH4" s="5">
        <v>9</v>
      </c>
      <c r="FI4" s="5"/>
      <c r="FJ4" s="5">
        <f>(FB4+FC4)-FH4</f>
        <v>15</v>
      </c>
      <c r="FK4" s="5">
        <v>13</v>
      </c>
      <c r="FL4" s="41">
        <f>FK4-FJ4</f>
        <v>-2</v>
      </c>
      <c r="FN4" s="5">
        <v>7</v>
      </c>
      <c r="FO4" s="5">
        <v>24</v>
      </c>
      <c r="FP4" s="5">
        <f>(FH4+FI4)-FN4</f>
        <v>2</v>
      </c>
      <c r="FQ4" s="5">
        <v>2</v>
      </c>
      <c r="FR4" s="41">
        <f>FQ4-FP4</f>
        <v>0</v>
      </c>
      <c r="FT4" s="5">
        <v>32</v>
      </c>
      <c r="FU4" s="5"/>
      <c r="FV4" s="5">
        <f>(FN4+FO4)-FT4</f>
        <v>-1</v>
      </c>
      <c r="FW4" s="5">
        <v>2</v>
      </c>
      <c r="FX4" s="41">
        <f>FW4-FV4</f>
        <v>3</v>
      </c>
      <c r="FZ4" s="5">
        <v>23</v>
      </c>
      <c r="GA4" s="5">
        <v>24</v>
      </c>
      <c r="GB4" s="5">
        <f>(FT4+FU4)-FZ4</f>
        <v>9</v>
      </c>
      <c r="GC4" s="5">
        <v>8</v>
      </c>
      <c r="GD4" s="41">
        <f>GC4-GB4</f>
        <v>-1</v>
      </c>
      <c r="GF4" s="5">
        <v>44</v>
      </c>
      <c r="GG4" s="5"/>
      <c r="GH4" s="5">
        <f>(FZ4+GA4)-GF4</f>
        <v>3</v>
      </c>
      <c r="GI4" s="5">
        <v>3</v>
      </c>
      <c r="GJ4" s="41">
        <f>GI4-GH4</f>
        <v>0</v>
      </c>
      <c r="GL4" s="5">
        <v>36</v>
      </c>
      <c r="GM4" s="5"/>
      <c r="GN4" s="5">
        <f>(GF4+GG4)-GL4</f>
        <v>8</v>
      </c>
      <c r="GO4" s="5">
        <v>8</v>
      </c>
      <c r="GP4" s="41">
        <f>GO4-GN4</f>
        <v>0</v>
      </c>
      <c r="GR4" s="5">
        <v>26</v>
      </c>
      <c r="GS4" s="5"/>
      <c r="GT4" s="5">
        <f>(GL4+GM4)-GR4</f>
        <v>10</v>
      </c>
      <c r="GU4" s="5">
        <v>10</v>
      </c>
      <c r="GV4" s="41">
        <f>GU4-GT4</f>
        <v>0</v>
      </c>
      <c r="GX4" s="5">
        <v>14</v>
      </c>
      <c r="GY4" s="5">
        <v>18</v>
      </c>
      <c r="GZ4" s="5">
        <f>(GR4+GS4)-GX4</f>
        <v>12</v>
      </c>
      <c r="HA4" s="5">
        <v>5</v>
      </c>
      <c r="HB4" s="43">
        <f>HA4-GZ4</f>
        <v>-7</v>
      </c>
      <c r="HD4" s="5">
        <v>0</v>
      </c>
      <c r="HE4" s="5">
        <v>12</v>
      </c>
      <c r="HF4" s="5">
        <f>(GX4+GY4)-HD4</f>
        <v>32</v>
      </c>
      <c r="HG4" s="5">
        <v>27</v>
      </c>
      <c r="HH4" s="43">
        <f>HG4-HF4</f>
        <v>-5</v>
      </c>
      <c r="HJ4" s="5">
        <v>8</v>
      </c>
      <c r="HK4" s="5">
        <v>48</v>
      </c>
      <c r="HL4" s="5">
        <f>(HD4+HE4)-HJ4</f>
        <v>4</v>
      </c>
      <c r="HM4" s="5">
        <v>4</v>
      </c>
      <c r="HN4" s="43">
        <f>HM4-HL4</f>
        <v>0</v>
      </c>
      <c r="HP4" s="5">
        <v>33</v>
      </c>
      <c r="HQ4" s="5"/>
      <c r="HR4" s="5">
        <f>(HJ4+HK4)-HP4</f>
        <v>23</v>
      </c>
      <c r="HS4" s="5">
        <v>23</v>
      </c>
      <c r="HT4" s="43">
        <f>HS4-HR4</f>
        <v>0</v>
      </c>
      <c r="HV4" s="5">
        <v>28</v>
      </c>
      <c r="HW4" s="5">
        <v>24</v>
      </c>
      <c r="HX4" s="5">
        <f>(HP4+HQ4)-HV4</f>
        <v>5</v>
      </c>
      <c r="HY4" s="5">
        <v>5</v>
      </c>
      <c r="HZ4" s="43">
        <f>HY4-HX4</f>
        <v>0</v>
      </c>
      <c r="IB4" s="5">
        <v>37</v>
      </c>
      <c r="IC4" s="5"/>
      <c r="ID4" s="5">
        <f>(HV4+HW4)-IB4</f>
        <v>15</v>
      </c>
      <c r="IE4" s="5">
        <v>15</v>
      </c>
      <c r="IF4" s="43">
        <f>IE4-ID4</f>
        <v>0</v>
      </c>
      <c r="IH4" s="5">
        <v>35</v>
      </c>
      <c r="II4" s="5">
        <v>24</v>
      </c>
      <c r="IJ4" s="5">
        <f>(IB4+IC4)-IH4</f>
        <v>2</v>
      </c>
      <c r="IK4" s="5">
        <v>2</v>
      </c>
      <c r="IL4" s="43">
        <f>IK4-IJ4</f>
        <v>0</v>
      </c>
      <c r="IN4" s="5">
        <v>51</v>
      </c>
      <c r="IO4" s="5"/>
      <c r="IP4" s="5">
        <f>(IH4+II4)-IN4</f>
        <v>8</v>
      </c>
      <c r="IQ4" s="5">
        <v>7</v>
      </c>
      <c r="IR4" s="41">
        <f>IQ4-IP4</f>
        <v>-1</v>
      </c>
      <c r="IT4" s="5">
        <v>50</v>
      </c>
      <c r="IU4" s="5"/>
      <c r="IV4" s="5">
        <f>(IN4+IO4)-IT4</f>
        <v>1</v>
      </c>
      <c r="IW4" s="5">
        <v>1</v>
      </c>
      <c r="IX4" s="41">
        <f>IW4-IV4</f>
        <v>0</v>
      </c>
      <c r="IZ4" s="5">
        <v>41</v>
      </c>
      <c r="JA4" s="5">
        <v>48</v>
      </c>
      <c r="JB4" s="5">
        <f>(IT4+IU4)-IZ4</f>
        <v>9</v>
      </c>
      <c r="JC4" s="5">
        <v>11</v>
      </c>
      <c r="JD4" s="41">
        <f>JC4-JB4</f>
        <v>2</v>
      </c>
      <c r="JF4" s="5">
        <v>82</v>
      </c>
      <c r="JG4" s="5"/>
      <c r="JH4" s="5">
        <f>(IZ4+JA4)-JF4</f>
        <v>7</v>
      </c>
      <c r="JI4" s="5">
        <v>7</v>
      </c>
      <c r="JJ4" s="41">
        <f>JI4-JH4</f>
        <v>0</v>
      </c>
      <c r="JL4" s="5">
        <v>73</v>
      </c>
      <c r="JM4" s="5"/>
      <c r="JN4" s="5">
        <f>(JF4+JG4)-JL4</f>
        <v>9</v>
      </c>
      <c r="JO4" s="5">
        <v>9</v>
      </c>
      <c r="JP4" s="41">
        <f>JO4-JN4</f>
        <v>0</v>
      </c>
      <c r="JR4" s="5">
        <v>66</v>
      </c>
      <c r="JS4" s="5"/>
      <c r="JT4" s="5">
        <f t="shared" ref="JT4:JT11" si="1">(JL4+JM4)-JR4</f>
        <v>7</v>
      </c>
      <c r="JU4" s="5">
        <v>7</v>
      </c>
      <c r="JV4" s="41">
        <f>JU4-JT4</f>
        <v>0</v>
      </c>
      <c r="JX4" s="5">
        <v>55</v>
      </c>
      <c r="JY4" s="5"/>
      <c r="JZ4" s="5">
        <f t="shared" ref="JZ4:JZ11" si="2">(JR4+JS4)-JX4</f>
        <v>11</v>
      </c>
      <c r="KA4" s="5">
        <v>11</v>
      </c>
      <c r="KB4" s="41">
        <f>KA4-JZ4</f>
        <v>0</v>
      </c>
      <c r="KD4" s="5">
        <v>48</v>
      </c>
      <c r="KE4" s="5">
        <v>24</v>
      </c>
      <c r="KF4" s="5">
        <f t="shared" ref="KF4:KF11" si="3">(JX4+JY4)-KD4</f>
        <v>7</v>
      </c>
      <c r="KG4" s="5">
        <v>7</v>
      </c>
      <c r="KH4" s="41">
        <f>KG4-KF4</f>
        <v>0</v>
      </c>
      <c r="KJ4" s="5">
        <v>54</v>
      </c>
      <c r="KK4" s="5"/>
      <c r="KL4" s="5">
        <f t="shared" ref="KL4:KL11" si="4">(KD4+KE4)-KJ4</f>
        <v>18</v>
      </c>
      <c r="KM4" s="5">
        <v>3</v>
      </c>
      <c r="KN4" s="41">
        <f>KM4-KL4</f>
        <v>-15</v>
      </c>
      <c r="KP4" s="5">
        <v>44</v>
      </c>
      <c r="KQ4" s="5"/>
      <c r="KR4" s="5">
        <f t="shared" ref="KR4:KR11" si="5">(KJ4+KK4)-KP4</f>
        <v>10</v>
      </c>
      <c r="KS4" s="5">
        <v>9</v>
      </c>
      <c r="KT4" s="41">
        <f>KS4-KR4</f>
        <v>-1</v>
      </c>
      <c r="KV4" s="5">
        <v>37</v>
      </c>
      <c r="KW4" s="5"/>
      <c r="KX4" s="5">
        <f t="shared" ref="KX4:KX11" si="6">(KP4+KQ4)-KV4</f>
        <v>7</v>
      </c>
      <c r="KY4" s="5">
        <v>7</v>
      </c>
      <c r="KZ4" s="41">
        <f>KY4-KX4</f>
        <v>0</v>
      </c>
      <c r="LB4" s="5">
        <v>28</v>
      </c>
      <c r="LC4" s="5">
        <v>24</v>
      </c>
      <c r="LD4" s="5">
        <f t="shared" ref="LD4:LD11" si="7">(KV4+KW4)-LB4</f>
        <v>9</v>
      </c>
      <c r="LE4" s="5">
        <v>8</v>
      </c>
      <c r="LF4" s="41">
        <f>LE4-LD4</f>
        <v>-1</v>
      </c>
      <c r="LH4" s="5">
        <v>44</v>
      </c>
      <c r="LI4" s="5"/>
      <c r="LJ4" s="5">
        <f t="shared" ref="LJ4:LJ11" si="8">(LB4+LC4)-LH4</f>
        <v>8</v>
      </c>
      <c r="LK4" s="5">
        <v>6</v>
      </c>
      <c r="LL4" s="41">
        <f>LK4-LJ4</f>
        <v>-2</v>
      </c>
      <c r="LN4" s="5">
        <v>39</v>
      </c>
      <c r="LO4" s="5"/>
      <c r="LP4" s="5">
        <f t="shared" ref="LP4:LP11" si="9">(LH4+LI4)-LN4</f>
        <v>5</v>
      </c>
      <c r="LQ4" s="5">
        <v>6</v>
      </c>
      <c r="LR4" s="41">
        <f>LQ4-LP4</f>
        <v>1</v>
      </c>
      <c r="LT4" s="5">
        <v>18</v>
      </c>
      <c r="LU4" s="5"/>
      <c r="LV4" s="5">
        <f t="shared" ref="LV4:LV11" si="10">(LN4+LO4)-LT4</f>
        <v>21</v>
      </c>
      <c r="LW4" s="5">
        <v>20</v>
      </c>
      <c r="LX4" s="41">
        <f>LW4-LV4</f>
        <v>-1</v>
      </c>
      <c r="LZ4" s="5">
        <v>14</v>
      </c>
      <c r="MA4" s="5">
        <v>24</v>
      </c>
      <c r="MB4" s="5">
        <f t="shared" ref="MB4:MB11" si="11">(LT4+LU4)-LZ4</f>
        <v>4</v>
      </c>
      <c r="MC4" s="5">
        <v>5</v>
      </c>
      <c r="MD4" s="41">
        <f>MC4-MB4</f>
        <v>1</v>
      </c>
      <c r="MF4" s="5">
        <v>33</v>
      </c>
      <c r="MG4" s="5"/>
      <c r="MH4" s="5">
        <f t="shared" ref="MH4:MH11" si="12">(LZ4+MA4)-MF4</f>
        <v>5</v>
      </c>
      <c r="MI4" s="5"/>
      <c r="MJ4" s="41">
        <f>MI4-MH4</f>
        <v>-5</v>
      </c>
      <c r="ML4" s="5">
        <v>29</v>
      </c>
      <c r="MM4" s="5"/>
      <c r="MN4" s="5">
        <f t="shared" ref="MN4:MN11" si="13">(MF4+MG4)-ML4</f>
        <v>4</v>
      </c>
      <c r="MO4" s="5">
        <v>4</v>
      </c>
      <c r="MP4" s="41">
        <f>MO4-MN4</f>
        <v>0</v>
      </c>
      <c r="MR4" s="5">
        <v>22</v>
      </c>
      <c r="MS4" s="5"/>
      <c r="MT4" s="5">
        <f t="shared" ref="MT4:MT11" si="14">(ML4+MM4)-MR4</f>
        <v>7</v>
      </c>
      <c r="MU4" s="5"/>
      <c r="MV4" s="41">
        <f>MU4-MT4</f>
        <v>-7</v>
      </c>
      <c r="MX4" s="5">
        <v>20</v>
      </c>
      <c r="MY4" s="5">
        <v>24</v>
      </c>
      <c r="MZ4" s="5">
        <f t="shared" ref="MZ4:MZ11" si="15">(MR4+MS4)-MX4</f>
        <v>2</v>
      </c>
      <c r="NA4" s="5">
        <v>2</v>
      </c>
      <c r="NB4" s="41">
        <f>NA4-MZ4</f>
        <v>0</v>
      </c>
      <c r="ND4" s="5">
        <v>36</v>
      </c>
      <c r="NE4" s="5"/>
      <c r="NF4" s="5">
        <f t="shared" ref="NF4:NF11" si="16">(MX4+MY4)-ND4</f>
        <v>8</v>
      </c>
      <c r="NG4" s="5"/>
      <c r="NH4" s="41">
        <f>NG4-NF4</f>
        <v>-8</v>
      </c>
      <c r="NJ4" s="5">
        <v>24</v>
      </c>
      <c r="NK4" s="5"/>
      <c r="NL4" s="5">
        <f t="shared" ref="NL4:NL11" si="17">(ND4+NE4)-NJ4</f>
        <v>12</v>
      </c>
      <c r="NM4" s="5">
        <v>9</v>
      </c>
      <c r="NN4" s="41">
        <f>NM4-NL4</f>
        <v>-3</v>
      </c>
      <c r="NP4" s="5">
        <v>15</v>
      </c>
      <c r="NQ4" s="5">
        <v>48</v>
      </c>
      <c r="NR4" s="5">
        <f t="shared" ref="NR4:NR11" si="18">(NJ4+NK4)-NP4</f>
        <v>9</v>
      </c>
      <c r="NS4" s="5">
        <v>9</v>
      </c>
      <c r="NT4" s="41">
        <f>NS4-NR4</f>
        <v>0</v>
      </c>
      <c r="NV4" s="5">
        <v>50</v>
      </c>
      <c r="NW4" s="5"/>
      <c r="NX4" s="5">
        <f t="shared" ref="NX4:NX11" si="19">(NP4+NQ4)-NV4</f>
        <v>13</v>
      </c>
      <c r="NY4" s="5">
        <v>10</v>
      </c>
      <c r="NZ4" s="41">
        <f>NY4-NX4</f>
        <v>-3</v>
      </c>
      <c r="OB4" s="5">
        <v>45</v>
      </c>
      <c r="OC4" s="5"/>
      <c r="OD4" s="5">
        <f t="shared" ref="OD4:OD11" si="20">(NV4+NW4)-OB4</f>
        <v>5</v>
      </c>
      <c r="OE4" s="5"/>
      <c r="OF4" s="41">
        <f>OE4-OD4</f>
        <v>-5</v>
      </c>
      <c r="OH4" s="5">
        <v>12</v>
      </c>
      <c r="OI4" s="5">
        <v>72</v>
      </c>
      <c r="OJ4" s="5">
        <f t="shared" ref="OJ4:OJ11" si="21">(OB4+OC4)-OH4</f>
        <v>33</v>
      </c>
      <c r="OK4" s="5">
        <v>26</v>
      </c>
      <c r="OL4" s="41">
        <f>OK4-OJ4</f>
        <v>-7</v>
      </c>
      <c r="ON4" s="5">
        <v>78</v>
      </c>
      <c r="OO4" s="5">
        <v>-24</v>
      </c>
      <c r="OP4" s="5">
        <f t="shared" ref="OP4:OP11" si="22">(OH4+OI4)-ON4</f>
        <v>6</v>
      </c>
      <c r="OQ4" s="5"/>
      <c r="OR4" s="41">
        <f>OQ4-OP4</f>
        <v>-6</v>
      </c>
      <c r="OT4" s="5">
        <v>51</v>
      </c>
      <c r="OU4" s="5">
        <v>24</v>
      </c>
      <c r="OV4" s="5">
        <f t="shared" ref="OV4:OV11" si="23">(ON4+OO4)-OT4</f>
        <v>3</v>
      </c>
      <c r="OW4" s="5">
        <v>3</v>
      </c>
      <c r="OX4" s="41">
        <f>OW4-OV4</f>
        <v>0</v>
      </c>
      <c r="OZ4" s="5">
        <v>71</v>
      </c>
      <c r="PA4" s="5"/>
      <c r="PB4" s="5">
        <f t="shared" ref="PB4:PB11" si="24">(OT4+OU4)-OZ4</f>
        <v>4</v>
      </c>
      <c r="PC4" s="5">
        <v>10</v>
      </c>
      <c r="PD4" s="41">
        <f>PC4-PB4</f>
        <v>6</v>
      </c>
      <c r="PF4" s="5">
        <v>44</v>
      </c>
      <c r="PG4" s="5">
        <v>24</v>
      </c>
      <c r="PH4" s="5">
        <f t="shared" ref="PH4:PH11" si="25">(OZ4+PA4)-PF4</f>
        <v>27</v>
      </c>
      <c r="PI4" s="5">
        <v>21</v>
      </c>
      <c r="PJ4" s="41">
        <f>PI4-PH4</f>
        <v>-6</v>
      </c>
      <c r="PL4" s="5">
        <v>61</v>
      </c>
      <c r="PM4" s="5"/>
      <c r="PN4" s="5">
        <f t="shared" ref="PN4:PN11" si="26">(PF4+PG4)-PL4</f>
        <v>7</v>
      </c>
      <c r="PO4" s="5"/>
      <c r="PP4" s="41">
        <f>PO4-PN4</f>
        <v>-7</v>
      </c>
      <c r="PR4" s="5">
        <v>49</v>
      </c>
      <c r="PS4" s="5"/>
      <c r="PT4" s="5">
        <f t="shared" ref="PT4:PT11" si="27">(PL4+PM4)-PR4</f>
        <v>12</v>
      </c>
      <c r="PU4" s="5">
        <v>12</v>
      </c>
      <c r="PV4" s="41">
        <f>PU4-PT4</f>
        <v>0</v>
      </c>
      <c r="PX4" s="5">
        <v>29</v>
      </c>
      <c r="PY4" s="5"/>
      <c r="PZ4" s="5">
        <f t="shared" ref="PZ4:PZ11" si="28">(PR4+PS4)-PX4</f>
        <v>20</v>
      </c>
      <c r="QA4" s="5">
        <v>14</v>
      </c>
      <c r="QB4" s="41">
        <f>QA4-PZ4</f>
        <v>-6</v>
      </c>
      <c r="QD4" s="5">
        <v>22</v>
      </c>
      <c r="QE4" s="5">
        <v>24</v>
      </c>
      <c r="QF4" s="5">
        <f t="shared" ref="QF4:QF11" si="29">(PX4+PY4)-QD4</f>
        <v>7</v>
      </c>
      <c r="QG4" s="5">
        <v>6</v>
      </c>
      <c r="QH4" s="41">
        <f>QG4-QF4</f>
        <v>-1</v>
      </c>
      <c r="QJ4" s="5">
        <v>44</v>
      </c>
      <c r="QK4" s="5"/>
      <c r="QL4" s="5">
        <f t="shared" ref="QL4:QL11" si="30">(QD4+QE4)-QJ4</f>
        <v>2</v>
      </c>
      <c r="QM4" s="5"/>
      <c r="QN4" s="41">
        <f>QM4-QL4</f>
        <v>-2</v>
      </c>
      <c r="QP4" s="5">
        <v>42</v>
      </c>
      <c r="QQ4" s="5"/>
      <c r="QR4" s="5">
        <f t="shared" ref="QR4:QR11" si="31">(QJ4+QK4)-QP4</f>
        <v>2</v>
      </c>
      <c r="QS4" s="5">
        <v>2</v>
      </c>
      <c r="QT4" s="41">
        <f>QS4-QR4</f>
        <v>0</v>
      </c>
      <c r="QV4" s="5">
        <v>34</v>
      </c>
      <c r="QW4" s="5"/>
      <c r="QX4" s="5">
        <f t="shared" ref="QX4:QX11" si="32">(QP4+QQ4)-QV4</f>
        <v>8</v>
      </c>
      <c r="QY4" s="5">
        <v>9</v>
      </c>
      <c r="QZ4" s="41">
        <f>QY4-QX4</f>
        <v>1</v>
      </c>
      <c r="RB4" s="5">
        <v>22</v>
      </c>
      <c r="RC4" s="5"/>
      <c r="RD4" s="5">
        <f t="shared" ref="RD4:RD11" si="33">(QV4+QW4)-RB4</f>
        <v>12</v>
      </c>
      <c r="RE4" s="5"/>
      <c r="RF4" s="41">
        <f>RE4-RD4</f>
        <v>-12</v>
      </c>
      <c r="RH4" s="5">
        <v>11</v>
      </c>
      <c r="RI4" s="5"/>
      <c r="RJ4" s="5">
        <f t="shared" ref="RJ4:RJ11" si="34">(RB4+RC4)-RH4</f>
        <v>11</v>
      </c>
      <c r="RK4" s="5"/>
      <c r="RL4" s="41">
        <f>RK4-RJ4</f>
        <v>-11</v>
      </c>
      <c r="RN4" s="5">
        <v>8</v>
      </c>
      <c r="RO4" s="5">
        <v>48</v>
      </c>
      <c r="RP4" s="5">
        <f t="shared" ref="RP4:RP11" si="35">(RH4+RI4)-RN4</f>
        <v>3</v>
      </c>
      <c r="RQ4" s="5">
        <v>4</v>
      </c>
      <c r="RR4" s="41">
        <f>RQ4-RP4</f>
        <v>1</v>
      </c>
      <c r="RT4" s="5">
        <v>47</v>
      </c>
      <c r="RU4" s="5"/>
      <c r="RV4" s="5">
        <f t="shared" ref="RV4:RV11" si="36">(RN4+RO4)-RT4</f>
        <v>9</v>
      </c>
      <c r="RW4" s="5">
        <v>4</v>
      </c>
      <c r="RX4" s="41">
        <f>RW4-RV4</f>
        <v>-5</v>
      </c>
      <c r="RZ4" s="5">
        <v>47</v>
      </c>
      <c r="SA4" s="5"/>
      <c r="SB4" s="5">
        <f t="shared" ref="SB4:SB11" si="37">(RT4+RU4)-RZ4</f>
        <v>0</v>
      </c>
      <c r="SC4" s="5">
        <v>4</v>
      </c>
      <c r="SD4" s="41">
        <f>SC4-SB4</f>
        <v>4</v>
      </c>
      <c r="SF4" s="5">
        <v>47</v>
      </c>
      <c r="SG4" s="5"/>
      <c r="SH4" s="5">
        <f t="shared" ref="SH4:SH11" si="38">(RZ4+SA4)-SF4</f>
        <v>0</v>
      </c>
      <c r="SI4" s="5">
        <v>0</v>
      </c>
      <c r="SJ4" s="41">
        <f>SI4-SH4</f>
        <v>0</v>
      </c>
      <c r="SL4" s="5">
        <v>46</v>
      </c>
      <c r="SM4" s="5"/>
      <c r="SN4" s="5">
        <f t="shared" ref="SN4:SN11" si="39">(SF4+SG4)-SL4</f>
        <v>1</v>
      </c>
      <c r="SO4" s="5">
        <v>1</v>
      </c>
      <c r="SP4" s="41">
        <f>SO4-SN4</f>
        <v>0</v>
      </c>
      <c r="SR4" s="5">
        <v>36</v>
      </c>
      <c r="SS4" s="5"/>
      <c r="ST4" s="5">
        <f t="shared" ref="ST4:ST11" si="40">(SL4+SM4)-SR4</f>
        <v>10</v>
      </c>
      <c r="SU4" s="5">
        <v>9</v>
      </c>
      <c r="SV4" s="41">
        <f>SU4-ST4</f>
        <v>-1</v>
      </c>
      <c r="SX4" s="5">
        <v>36</v>
      </c>
      <c r="SY4" s="5"/>
      <c r="SZ4" s="5">
        <f t="shared" ref="SZ4:SZ11" si="41">(SR4+SS4)-SX4</f>
        <v>0</v>
      </c>
      <c r="TA4" s="5">
        <v>0</v>
      </c>
      <c r="TB4" s="41">
        <f>TA4-SZ4</f>
        <v>0</v>
      </c>
      <c r="TD4" s="5">
        <v>24</v>
      </c>
      <c r="TE4" s="5"/>
      <c r="TF4" s="5">
        <f t="shared" ref="TF4:TF11" si="42">(SX4+SY4)-TD4</f>
        <v>12</v>
      </c>
      <c r="TG4" s="5">
        <v>12</v>
      </c>
      <c r="TH4" s="41">
        <f>TG4-TF4</f>
        <v>0</v>
      </c>
      <c r="TJ4" s="5">
        <v>11</v>
      </c>
      <c r="TK4" s="5">
        <v>24</v>
      </c>
      <c r="TL4" s="5">
        <f t="shared" ref="TL4:TL11" si="43">(TD4+TE4)-TJ4</f>
        <v>13</v>
      </c>
      <c r="TM4" s="5">
        <v>10</v>
      </c>
      <c r="TN4" s="41">
        <f>TM4-TL4</f>
        <v>-3</v>
      </c>
      <c r="TP4" s="5">
        <v>26</v>
      </c>
      <c r="TQ4" s="5"/>
      <c r="TR4" s="5">
        <f t="shared" ref="TR4:TR11" si="44">(TJ4+TK4)-TP4</f>
        <v>9</v>
      </c>
      <c r="TS4" s="5"/>
      <c r="TT4" s="41">
        <f>TS4-TR4</f>
        <v>-9</v>
      </c>
      <c r="TV4" s="5">
        <v>16</v>
      </c>
      <c r="TW4" s="5">
        <v>24</v>
      </c>
      <c r="TX4" s="5">
        <f t="shared" ref="TX4:TX11" si="45">(TP4+TQ4)-TV4</f>
        <v>10</v>
      </c>
      <c r="TY4" s="5">
        <v>10</v>
      </c>
      <c r="TZ4" s="41">
        <f>TY4-TX4</f>
        <v>0</v>
      </c>
      <c r="UB4" s="5">
        <v>30</v>
      </c>
      <c r="UC4" s="5"/>
      <c r="UD4" s="5">
        <f t="shared" ref="UD4:UD11" si="46">(TV4+TW4)-UB4</f>
        <v>10</v>
      </c>
      <c r="UE4" s="5"/>
      <c r="UF4" s="41">
        <f>UE4-UD4</f>
        <v>-10</v>
      </c>
      <c r="UH4" s="5">
        <v>21</v>
      </c>
      <c r="UI4" s="5">
        <v>24</v>
      </c>
      <c r="UJ4" s="5">
        <f t="shared" ref="UJ4:UJ11" si="47">(UB4+UC4)-UH4</f>
        <v>9</v>
      </c>
      <c r="UK4" s="5">
        <v>8</v>
      </c>
      <c r="UL4" s="41">
        <f>UK4-UJ4</f>
        <v>-1</v>
      </c>
      <c r="UN4" s="5">
        <v>40</v>
      </c>
      <c r="UO4" s="5"/>
      <c r="UP4" s="5">
        <f t="shared" ref="UP4:UP11" si="48">(UH4+UI4)-UN4</f>
        <v>5</v>
      </c>
      <c r="UQ4" s="5">
        <v>6</v>
      </c>
      <c r="UR4" s="41">
        <f>UQ4-UP4</f>
        <v>1</v>
      </c>
      <c r="UT4" s="5">
        <v>32</v>
      </c>
      <c r="UU4" s="5">
        <v>24</v>
      </c>
      <c r="UV4" s="5">
        <f t="shared" ref="UV4:UV11" si="49">(UN4+UO4)-UT4</f>
        <v>8</v>
      </c>
      <c r="UW4" s="5">
        <v>8</v>
      </c>
      <c r="UX4" s="41">
        <f>UW4-UV4</f>
        <v>0</v>
      </c>
      <c r="UZ4" s="5">
        <v>44</v>
      </c>
      <c r="VA4" s="5"/>
      <c r="VB4" s="5">
        <f t="shared" ref="VB4:VB11" si="50">(UT4+UU4)-UZ4</f>
        <v>12</v>
      </c>
      <c r="VC4" s="5">
        <v>15</v>
      </c>
      <c r="VD4" s="41">
        <f>VC4-VB4</f>
        <v>3</v>
      </c>
      <c r="VF4" s="5">
        <v>33</v>
      </c>
      <c r="VG4" s="5">
        <v>24</v>
      </c>
      <c r="VH4" s="5">
        <f t="shared" ref="VH4:VH11" si="51">(UZ4+VA4)-VF4</f>
        <v>11</v>
      </c>
      <c r="VI4" s="5">
        <v>8</v>
      </c>
      <c r="VJ4" s="41">
        <f>VI4-VH4</f>
        <v>-3</v>
      </c>
      <c r="VL4" s="5">
        <v>29</v>
      </c>
      <c r="VM4" s="5"/>
      <c r="VN4" s="5">
        <f t="shared" ref="VN4:VN11" si="52">(VF4+VG4)-VL4</f>
        <v>28</v>
      </c>
      <c r="VO4" s="5"/>
      <c r="VP4" s="41">
        <f>VO4-VN4</f>
        <v>-28</v>
      </c>
      <c r="VR4" s="5">
        <v>23</v>
      </c>
      <c r="VS4" s="5"/>
      <c r="VT4" s="5">
        <f t="shared" ref="VT4:VT11" si="53">(VL4+VM4)-VR4</f>
        <v>6</v>
      </c>
      <c r="VU4" s="5"/>
      <c r="VV4" s="41">
        <f>VU4-VT4</f>
        <v>-6</v>
      </c>
      <c r="VX4" s="5">
        <v>16</v>
      </c>
      <c r="VY4" s="5"/>
      <c r="VZ4" s="5">
        <f t="shared" ref="VZ4:VZ11" si="54">(VR4+VS4)-VX4</f>
        <v>7</v>
      </c>
      <c r="WA4" s="5"/>
      <c r="WB4" s="41">
        <f>WA4-VZ4</f>
        <v>-7</v>
      </c>
      <c r="WD4" s="5">
        <v>15</v>
      </c>
      <c r="WE4" s="5">
        <v>24</v>
      </c>
      <c r="WF4" s="5">
        <f t="shared" ref="WF4:WF11" si="55">(VX4+VY4)-WD4</f>
        <v>1</v>
      </c>
      <c r="WG4" s="5"/>
      <c r="WH4" s="41">
        <f>WG4-WF4</f>
        <v>-1</v>
      </c>
      <c r="WJ4" s="5">
        <v>27</v>
      </c>
      <c r="WK4" s="5"/>
      <c r="WL4" s="5">
        <f t="shared" ref="WL4:WL11" si="56">(WD4+WE4)-WJ4</f>
        <v>12</v>
      </c>
      <c r="WM4" s="5">
        <v>12</v>
      </c>
      <c r="WN4" s="41">
        <f>WM4-WL4</f>
        <v>0</v>
      </c>
      <c r="WP4" s="5">
        <v>17</v>
      </c>
      <c r="WQ4" s="5">
        <v>24</v>
      </c>
      <c r="WR4" s="5">
        <f t="shared" ref="WR4:WR11" si="57">(WJ4+WK4)-WP4</f>
        <v>10</v>
      </c>
      <c r="WS4" s="5">
        <v>10</v>
      </c>
      <c r="WT4" s="41">
        <f>WS4-WR4</f>
        <v>0</v>
      </c>
      <c r="WV4" s="5">
        <v>30</v>
      </c>
      <c r="WW4" s="5"/>
      <c r="WX4" s="5">
        <f t="shared" ref="WX4:WX11" si="58">(WP4+WQ4)-WV4</f>
        <v>11</v>
      </c>
      <c r="WY4" s="5">
        <v>14</v>
      </c>
      <c r="WZ4" s="41">
        <f>WY4-WX4</f>
        <v>3</v>
      </c>
      <c r="XB4" s="5">
        <v>22</v>
      </c>
      <c r="XC4" s="5">
        <v>24</v>
      </c>
      <c r="XD4" s="5">
        <f t="shared" ref="XD4:XD11" si="59">(WV4+WW4)-XB4</f>
        <v>8</v>
      </c>
      <c r="XE4" s="5">
        <v>6</v>
      </c>
      <c r="XF4" s="41">
        <f>XE4-XD4</f>
        <v>-2</v>
      </c>
      <c r="XH4" s="5">
        <v>27</v>
      </c>
      <c r="XI4" s="5"/>
      <c r="XJ4" s="5">
        <f t="shared" ref="XJ4:XJ11" si="60">(XB4+XC4)-XH4</f>
        <v>19</v>
      </c>
      <c r="XK4" s="5">
        <v>16</v>
      </c>
      <c r="XL4" s="41">
        <f>XK4-XJ4</f>
        <v>-3</v>
      </c>
      <c r="XN4" s="5">
        <v>23</v>
      </c>
      <c r="XO4" s="5">
        <v>24</v>
      </c>
      <c r="XP4" s="5">
        <f t="shared" ref="XP4:XP11" si="61">(XH4+XI4)-XN4</f>
        <v>4</v>
      </c>
      <c r="XQ4" s="5">
        <v>3</v>
      </c>
      <c r="XR4" s="41">
        <f>XQ4-XP4</f>
        <v>-1</v>
      </c>
      <c r="XT4" s="5">
        <v>37</v>
      </c>
      <c r="XU4" s="5"/>
      <c r="XV4" s="5">
        <f t="shared" ref="XV4:XV11" si="62">(XN4+XO4)-XT4</f>
        <v>10</v>
      </c>
      <c r="XW4" s="5">
        <v>11</v>
      </c>
      <c r="XX4" s="41">
        <f>XW4-XV4</f>
        <v>1</v>
      </c>
      <c r="XZ4" s="5">
        <v>26</v>
      </c>
      <c r="YA4" s="5">
        <v>24</v>
      </c>
      <c r="YB4" s="5">
        <f t="shared" ref="YB4:YB11" si="63">(XT4+XU4)-XZ4</f>
        <v>11</v>
      </c>
      <c r="YC4" s="5">
        <v>9</v>
      </c>
      <c r="YD4" s="41">
        <f>YC4-YB4</f>
        <v>-2</v>
      </c>
      <c r="YF4" s="5">
        <v>47</v>
      </c>
      <c r="YG4" s="5"/>
      <c r="YH4" s="5">
        <f t="shared" ref="YH4:YH11" si="64">(XZ4+YA4)-YF4</f>
        <v>3</v>
      </c>
      <c r="YI4" s="5"/>
      <c r="YJ4" s="41">
        <f>YI4-YH4</f>
        <v>-3</v>
      </c>
      <c r="YL4" s="5">
        <v>45</v>
      </c>
      <c r="YM4" s="5"/>
      <c r="YN4" s="5">
        <f t="shared" ref="YN4:YN11" si="65">(YF4+YG4)-YL4</f>
        <v>2</v>
      </c>
      <c r="YO4" s="5"/>
      <c r="YP4" s="41">
        <f>YO4-YN4</f>
        <v>-2</v>
      </c>
      <c r="YR4" s="5">
        <v>40</v>
      </c>
      <c r="YS4" s="5"/>
      <c r="YT4" s="5">
        <f t="shared" ref="YT4:YT11" si="66">(YL4+YM4)-YR4</f>
        <v>5</v>
      </c>
      <c r="YU4" s="5"/>
      <c r="YV4" s="41">
        <f>YU4-YT4</f>
        <v>-5</v>
      </c>
      <c r="YX4" s="5">
        <v>28</v>
      </c>
      <c r="YY4" s="5"/>
      <c r="YZ4" s="5">
        <f t="shared" ref="YZ4:YZ11" si="67">(YR4+YS4)-YX4</f>
        <v>12</v>
      </c>
      <c r="ZA4" s="5">
        <v>11</v>
      </c>
      <c r="ZB4" s="41">
        <f>ZA4-YZ4</f>
        <v>-1</v>
      </c>
      <c r="ZD4" s="5">
        <v>20</v>
      </c>
      <c r="ZE4" s="5"/>
      <c r="ZF4" s="5">
        <f t="shared" ref="ZF4:ZF11" si="68">(YX4+YY4)-ZD4</f>
        <v>8</v>
      </c>
      <c r="ZG4" s="5">
        <v>8</v>
      </c>
      <c r="ZH4" s="41">
        <f>ZG4-ZF4</f>
        <v>0</v>
      </c>
      <c r="ZJ4" s="5">
        <v>18</v>
      </c>
      <c r="ZK4" s="5"/>
      <c r="ZL4" s="5">
        <f t="shared" ref="ZL4:ZL11" si="69">(ZD4+ZE4)-ZJ4</f>
        <v>2</v>
      </c>
      <c r="ZM4" s="5"/>
      <c r="ZN4" s="41">
        <f>ZM4-ZL4</f>
        <v>-2</v>
      </c>
      <c r="ZP4" s="5">
        <v>13</v>
      </c>
      <c r="ZQ4" s="5">
        <v>24</v>
      </c>
      <c r="ZR4" s="5">
        <f t="shared" ref="ZR4:ZR11" si="70">(ZJ4+ZK4)-ZP4</f>
        <v>5</v>
      </c>
      <c r="ZS4" s="5">
        <v>5</v>
      </c>
      <c r="ZT4" s="41">
        <f>ZS4-ZR4</f>
        <v>0</v>
      </c>
      <c r="ZV4" s="5">
        <v>35</v>
      </c>
      <c r="ZW4" s="5"/>
      <c r="ZX4" s="5">
        <f t="shared" ref="ZX4:ZX11" si="71">(ZP4+ZQ4)-ZV4</f>
        <v>2</v>
      </c>
      <c r="ZY4" s="5">
        <v>2</v>
      </c>
      <c r="ZZ4" s="41">
        <f>ZY4-ZX4</f>
        <v>0</v>
      </c>
      <c r="AAB4" s="5">
        <v>30</v>
      </c>
      <c r="AAC4" s="5"/>
      <c r="AAD4" s="5">
        <f t="shared" ref="AAD4:AAD11" si="72">(ZV4+ZW4)-AAB4</f>
        <v>5</v>
      </c>
      <c r="AAE4" s="5"/>
      <c r="AAF4" s="41">
        <f>AAE4-AAD4</f>
        <v>-5</v>
      </c>
      <c r="AAH4" s="5">
        <v>23</v>
      </c>
      <c r="AAI4" s="5">
        <v>24</v>
      </c>
      <c r="AAJ4" s="5">
        <f t="shared" ref="AAJ4:AAJ11" si="73">(AAB4+AAC4)-AAH4</f>
        <v>7</v>
      </c>
      <c r="AAK4" s="5">
        <v>8</v>
      </c>
      <c r="AAL4" s="41">
        <f>AAK4-AAJ4</f>
        <v>1</v>
      </c>
      <c r="AAN4" s="5">
        <v>37</v>
      </c>
      <c r="AAO4" s="5"/>
      <c r="AAP4" s="5">
        <f t="shared" ref="AAP4:AAP11" si="74">(AAH4+AAI4)-AAN4</f>
        <v>10</v>
      </c>
      <c r="AAQ4" s="5">
        <v>10</v>
      </c>
      <c r="AAR4" s="41">
        <f>AAQ4-AAP4</f>
        <v>0</v>
      </c>
      <c r="AAT4" s="5">
        <v>32</v>
      </c>
      <c r="AAU4" s="5"/>
      <c r="AAV4" s="5">
        <f t="shared" ref="AAV4:AAV11" si="75">(AAN4+AAO4)-AAT4</f>
        <v>5</v>
      </c>
      <c r="AAW4" s="5">
        <v>5</v>
      </c>
      <c r="AAX4" s="41">
        <f>AAW4-AAV4</f>
        <v>0</v>
      </c>
      <c r="AAZ4" s="5">
        <v>30</v>
      </c>
      <c r="ABA4" s="5"/>
      <c r="ABB4" s="5">
        <f t="shared" ref="ABB4:ABB11" si="76">(AAT4+AAU4)-AAZ4</f>
        <v>2</v>
      </c>
      <c r="ABC4" s="5">
        <v>2</v>
      </c>
      <c r="ABD4" s="41">
        <f>ABC4-ABB4</f>
        <v>0</v>
      </c>
      <c r="ABF4" s="5">
        <v>21</v>
      </c>
      <c r="ABG4" s="5">
        <v>24</v>
      </c>
      <c r="ABH4" s="5">
        <f t="shared" ref="ABH4:ABH11" si="77">(AAZ4+ABA4)-ABF4</f>
        <v>9</v>
      </c>
      <c r="ABI4" s="5">
        <v>9</v>
      </c>
      <c r="ABJ4" s="41">
        <f>ABI4-ABH4</f>
        <v>0</v>
      </c>
      <c r="ABL4" s="5">
        <v>41</v>
      </c>
      <c r="ABM4" s="5"/>
      <c r="ABN4" s="5">
        <f t="shared" ref="ABN4:ABN11" si="78">(ABF4+ABG4)-ABL4</f>
        <v>4</v>
      </c>
      <c r="ABO4" s="5">
        <v>2</v>
      </c>
      <c r="ABP4" s="41">
        <f>ABO4-ABN4</f>
        <v>-2</v>
      </c>
      <c r="ABR4" s="5">
        <v>33</v>
      </c>
      <c r="ABS4" s="5"/>
      <c r="ABT4" s="5">
        <f t="shared" ref="ABT4:ABT11" si="79">(ABL4+ABM4)-ABR4</f>
        <v>8</v>
      </c>
      <c r="ABU4" s="5">
        <v>8</v>
      </c>
      <c r="ABV4" s="41">
        <f>ABU4-ABT4</f>
        <v>0</v>
      </c>
      <c r="ABX4" s="5">
        <v>28</v>
      </c>
      <c r="ABY4" s="5"/>
      <c r="ABZ4" s="5">
        <f t="shared" ref="ABZ4:ABZ11" si="80">(ABR4+ABS4)-ABX4</f>
        <v>5</v>
      </c>
      <c r="ACA4" s="5">
        <v>5</v>
      </c>
      <c r="ACB4" s="41">
        <f>ACA4-ABZ4</f>
        <v>0</v>
      </c>
      <c r="ACD4" s="5">
        <v>19</v>
      </c>
      <c r="ACE4" s="5"/>
      <c r="ACF4" s="5">
        <f t="shared" ref="ACF4:ACF11" si="81">(ABX4+ABY4)-ACD4</f>
        <v>9</v>
      </c>
      <c r="ACG4" s="5">
        <v>10</v>
      </c>
      <c r="ACH4" s="41">
        <f>ACG4-ACF4</f>
        <v>1</v>
      </c>
      <c r="ACJ4" s="5">
        <v>10</v>
      </c>
      <c r="ACK4" s="5">
        <v>24</v>
      </c>
      <c r="ACL4" s="5">
        <f t="shared" ref="ACL4:ACL11" si="82">(ACD4+ACE4)-ACJ4</f>
        <v>9</v>
      </c>
      <c r="ACM4" s="5">
        <v>6</v>
      </c>
      <c r="ACN4" s="41">
        <f>ACM4-ACL4</f>
        <v>-3</v>
      </c>
      <c r="ACP4" s="5">
        <v>33</v>
      </c>
      <c r="ACQ4" s="5"/>
      <c r="ACR4" s="5">
        <f t="shared" ref="ACR4:ACR11" si="83">(ACJ4+ACK4)-ACP4</f>
        <v>1</v>
      </c>
      <c r="ACS4" s="5">
        <v>1</v>
      </c>
      <c r="ACT4" s="41">
        <f>ACS4-ACR4</f>
        <v>0</v>
      </c>
      <c r="ACV4" s="5">
        <v>24</v>
      </c>
      <c r="ACW4" s="5"/>
      <c r="ACX4" s="5">
        <f t="shared" ref="ACX4:ACX11" si="84">(ACP4+ACQ4)-ACV4</f>
        <v>9</v>
      </c>
      <c r="ACY4" s="5">
        <v>9</v>
      </c>
      <c r="ACZ4" s="41">
        <f>ACY4-ACX4</f>
        <v>0</v>
      </c>
      <c r="ADB4" s="5">
        <v>15</v>
      </c>
      <c r="ADC4" s="5"/>
      <c r="ADD4" s="5">
        <f t="shared" ref="ADD4:ADD11" si="85">(ACV4+ACW4)-ADB4</f>
        <v>9</v>
      </c>
      <c r="ADE4" s="5">
        <v>9</v>
      </c>
      <c r="ADF4" s="41">
        <f>ADE4-ADD4</f>
        <v>0</v>
      </c>
      <c r="ADH4" s="5">
        <v>4</v>
      </c>
      <c r="ADI4" s="5">
        <v>48</v>
      </c>
      <c r="ADJ4" s="5">
        <f t="shared" ref="ADJ4:ADJ11" si="86">(ADB4+ADC4)-ADH4</f>
        <v>11</v>
      </c>
      <c r="ADK4" s="5">
        <v>4</v>
      </c>
      <c r="ADL4" s="41">
        <f>ADK4-ADJ4</f>
        <v>-7</v>
      </c>
      <c r="ADN4" s="5">
        <v>42</v>
      </c>
      <c r="ADO4" s="5"/>
      <c r="ADP4" s="5">
        <f t="shared" ref="ADP4:ADP11" si="87">(ADH4+ADI4)-ADN4</f>
        <v>10</v>
      </c>
      <c r="ADQ4" s="5"/>
      <c r="ADR4" s="41">
        <f>ADQ4-ADP4</f>
        <v>-10</v>
      </c>
      <c r="ADT4" s="5">
        <v>31</v>
      </c>
      <c r="ADU4" s="5"/>
      <c r="ADV4" s="5">
        <f t="shared" ref="ADV4:ADV11" si="88">(ADN4+ADO4)-ADT4</f>
        <v>11</v>
      </c>
      <c r="ADW4" s="5">
        <v>9</v>
      </c>
      <c r="ADX4" s="41">
        <f>ADW4-ADV4</f>
        <v>-2</v>
      </c>
      <c r="ADZ4" s="5">
        <v>24</v>
      </c>
      <c r="AEA4" s="5"/>
      <c r="AEB4" s="5">
        <f t="shared" ref="AEB4:AEB11" si="89">(ADT4+ADU4)-ADZ4</f>
        <v>7</v>
      </c>
      <c r="AEC4" s="5">
        <v>8</v>
      </c>
      <c r="AED4" s="41">
        <f>AEC4-AEB4</f>
        <v>1</v>
      </c>
      <c r="AEF4" s="5">
        <v>19</v>
      </c>
      <c r="AEG4" s="5">
        <v>24</v>
      </c>
      <c r="AEH4" s="5">
        <f t="shared" ref="AEH4:AEH11" si="90">(ADZ4+AEA4)-AEF4</f>
        <v>5</v>
      </c>
      <c r="AEI4" s="5">
        <v>5</v>
      </c>
      <c r="AEJ4" s="41">
        <f>AEI4-AEH4</f>
        <v>0</v>
      </c>
      <c r="AEL4" s="5">
        <v>32</v>
      </c>
      <c r="AEM4" s="5"/>
      <c r="AEN4" s="5">
        <f t="shared" ref="AEN4:AEN11" si="91">(AEF4+AEG4)-AEL4</f>
        <v>11</v>
      </c>
      <c r="AEO4" s="5">
        <v>5</v>
      </c>
      <c r="AEP4" s="41">
        <f>AEO4-AEN4</f>
        <v>-6</v>
      </c>
      <c r="AER4" s="5">
        <v>33</v>
      </c>
      <c r="AES4" s="5"/>
      <c r="AET4" s="5">
        <f t="shared" ref="AET4:AET11" si="92">(AEL4+AEM4)-AER4</f>
        <v>-1</v>
      </c>
      <c r="AEU4" s="5"/>
      <c r="AEV4" s="41">
        <f>AEU4-AET4</f>
        <v>1</v>
      </c>
      <c r="AEX4" s="5">
        <v>32</v>
      </c>
      <c r="AEY4" s="5"/>
      <c r="AEZ4" s="5">
        <f t="shared" ref="AEZ4:AEZ11" si="93">(AER4+AES4)-AEX4</f>
        <v>1</v>
      </c>
      <c r="AFA4" s="5">
        <v>2</v>
      </c>
      <c r="AFB4" s="41">
        <f>AFA4-AEZ4</f>
        <v>1</v>
      </c>
      <c r="AFD4" s="5">
        <v>26</v>
      </c>
      <c r="AFE4" s="5">
        <v>24</v>
      </c>
      <c r="AFF4" s="5">
        <f t="shared" ref="AFF4:AFF11" si="94">(AEX4+AEY4)-AFD4</f>
        <v>6</v>
      </c>
      <c r="AFG4" s="5">
        <v>8</v>
      </c>
      <c r="AFH4" s="41">
        <f>AFG4-AFF4</f>
        <v>2</v>
      </c>
      <c r="AFJ4" s="5">
        <v>43</v>
      </c>
      <c r="AFK4" s="5"/>
      <c r="AFL4" s="5">
        <f t="shared" ref="AFL4:AFL11" si="95">(AFD4+AFE4)-AFJ4</f>
        <v>7</v>
      </c>
      <c r="AFM4" s="5">
        <v>6</v>
      </c>
      <c r="AFN4" s="41">
        <f>AFM4-AFL4</f>
        <v>-1</v>
      </c>
      <c r="AFP4" s="5">
        <v>36</v>
      </c>
      <c r="AFQ4" s="5"/>
      <c r="AFR4" s="5">
        <f t="shared" ref="AFR4:AFR11" si="96">(AFJ4+AFK4)-AFP4</f>
        <v>7</v>
      </c>
      <c r="AFS4" s="5">
        <v>7</v>
      </c>
      <c r="AFT4" s="41">
        <f>AFS4-AFR4</f>
        <v>0</v>
      </c>
      <c r="AFV4" s="5">
        <v>30</v>
      </c>
      <c r="AFW4" s="5"/>
      <c r="AFX4" s="5">
        <f t="shared" ref="AFX4:AFX11" si="97">(AFP4+AFQ4)-AFV4</f>
        <v>6</v>
      </c>
      <c r="AFY4" s="5"/>
      <c r="AFZ4" s="41">
        <f>AFY4-AFX4</f>
        <v>-6</v>
      </c>
      <c r="AGB4" s="5">
        <v>28</v>
      </c>
      <c r="AGC4" s="5"/>
      <c r="AGD4" s="5">
        <f t="shared" ref="AGD4:AGD11" si="98">(AFV4+AFW4)-AGB4</f>
        <v>2</v>
      </c>
      <c r="AGE4" s="5">
        <v>1</v>
      </c>
      <c r="AGF4" s="41">
        <f>AGE4-AGD4</f>
        <v>-1</v>
      </c>
      <c r="AGH4" s="5">
        <v>14</v>
      </c>
      <c r="AGI4" s="5"/>
      <c r="AGJ4" s="5">
        <f t="shared" ref="AGJ4:AGJ11" si="99">(AGB4+AGC4)-AGH4</f>
        <v>14</v>
      </c>
      <c r="AGK4" s="5"/>
      <c r="AGL4" s="41">
        <f>AGK4-AGJ4</f>
        <v>-14</v>
      </c>
      <c r="AGN4" s="5">
        <v>12</v>
      </c>
      <c r="AGO4" s="5">
        <v>48</v>
      </c>
      <c r="AGP4" s="5">
        <f t="shared" ref="AGP4:AGP11" si="100">(AGH4+AGI4)-AGN4</f>
        <v>2</v>
      </c>
      <c r="AGQ4" s="5"/>
      <c r="AGR4" s="41">
        <f>AGQ4-AGP4</f>
        <v>-2</v>
      </c>
      <c r="AGT4" s="5">
        <v>52</v>
      </c>
      <c r="AGU4" s="5"/>
      <c r="AGV4" s="5">
        <f t="shared" ref="AGV4:AGV11" si="101">(AGN4+AGO4)-AGT4</f>
        <v>8</v>
      </c>
      <c r="AGW4" s="5"/>
      <c r="AGX4" s="41">
        <f>AGW4-AGV4</f>
        <v>-8</v>
      </c>
      <c r="AGZ4" s="5">
        <v>48</v>
      </c>
      <c r="AHA4" s="5">
        <v>24</v>
      </c>
      <c r="AHB4" s="5">
        <f t="shared" ref="AHB4:AHB11" si="102">(AGT4+AGU4)-AGZ4</f>
        <v>4</v>
      </c>
      <c r="AHC4" s="5"/>
      <c r="AHD4" s="41">
        <f>AHC4-AHB4</f>
        <v>-4</v>
      </c>
      <c r="AHF4" s="5">
        <v>59</v>
      </c>
      <c r="AHG4" s="5"/>
      <c r="AHH4" s="5">
        <f t="shared" ref="AHH4:AHH11" si="103">(AGZ4+AHA4)-AHF4</f>
        <v>13</v>
      </c>
      <c r="AHI4" s="5"/>
      <c r="AHJ4" s="41">
        <f>AHI4-AHH4</f>
        <v>-13</v>
      </c>
      <c r="AHL4" s="5">
        <v>56</v>
      </c>
      <c r="AHM4" s="5"/>
      <c r="AHN4" s="5">
        <f t="shared" ref="AHN4:AHN11" si="104">(AHF4+AHG4)-AHL4</f>
        <v>3</v>
      </c>
      <c r="AHO4" s="5"/>
      <c r="AHP4" s="41">
        <f>AHO4-AHN4</f>
        <v>-3</v>
      </c>
      <c r="AHR4" s="5">
        <v>49</v>
      </c>
      <c r="AHS4" s="5"/>
      <c r="AHT4" s="5">
        <f t="shared" ref="AHT4:AHT11" si="105">(AHL4+AHM4)-AHR4</f>
        <v>7</v>
      </c>
      <c r="AHU4" s="5"/>
      <c r="AHV4" s="41">
        <f>AHU4-AHT4</f>
        <v>-7</v>
      </c>
      <c r="AHX4" s="5">
        <v>43</v>
      </c>
      <c r="AHY4" s="5"/>
      <c r="AHZ4" s="5">
        <f t="shared" ref="AHZ4:AHZ11" si="106">(AHR4+AHS4)-AHX4</f>
        <v>6</v>
      </c>
      <c r="AIA4" s="5">
        <v>6</v>
      </c>
      <c r="AIB4" s="41">
        <f>AIA4-AHZ4</f>
        <v>0</v>
      </c>
      <c r="AID4" s="5">
        <v>38</v>
      </c>
      <c r="AIE4" s="5"/>
      <c r="AIF4" s="5">
        <f t="shared" ref="AIF4:AIF11" si="107">(AHX4+AHY4)-AID4</f>
        <v>5</v>
      </c>
      <c r="AIG4" s="5">
        <v>5</v>
      </c>
      <c r="AIH4" s="41">
        <f>AIG4-AIF4</f>
        <v>0</v>
      </c>
      <c r="AIJ4" s="5">
        <v>36</v>
      </c>
      <c r="AIK4" s="5"/>
      <c r="AIL4" s="5">
        <f t="shared" ref="AIL4:AIL11" si="108">(AID4+AIE4)-AIJ4</f>
        <v>2</v>
      </c>
      <c r="AIM4" s="5">
        <v>3</v>
      </c>
      <c r="AIN4" s="41">
        <f>AIM4-AIL4</f>
        <v>1</v>
      </c>
      <c r="AIP4" s="5">
        <v>31</v>
      </c>
      <c r="AIQ4" s="5"/>
      <c r="AIR4" s="5">
        <f t="shared" ref="AIR4:AIR11" si="109">(AIJ4+AIK4)-AIP4</f>
        <v>5</v>
      </c>
      <c r="AIS4" s="5"/>
      <c r="AIT4" s="41">
        <f>AIS4-AIR4</f>
        <v>-5</v>
      </c>
      <c r="AIV4" s="5">
        <v>30</v>
      </c>
      <c r="AIW4" s="5"/>
      <c r="AIX4" s="5">
        <f t="shared" ref="AIX4:AIX11" si="110">(AIP4+AIQ4)-AIV4</f>
        <v>1</v>
      </c>
      <c r="AIY4" s="5"/>
      <c r="AIZ4" s="41">
        <f>AIY4-AIX4</f>
        <v>-1</v>
      </c>
      <c r="AJB4" s="5">
        <v>20</v>
      </c>
      <c r="AJC4" s="5"/>
      <c r="AJD4" s="5">
        <f t="shared" ref="AJD4:AJD11" si="111">(AIV4+AIW4)-AJB4</f>
        <v>10</v>
      </c>
      <c r="AJE4" s="5"/>
      <c r="AJF4" s="41">
        <f>AJE4-AJD4</f>
        <v>-10</v>
      </c>
      <c r="AJH4" s="5">
        <v>20</v>
      </c>
      <c r="AJI4" s="5">
        <v>24</v>
      </c>
      <c r="AJJ4" s="5">
        <f t="shared" ref="AJJ4:AJJ11" si="112">(AJB4+AJC4)-AJH4</f>
        <v>0</v>
      </c>
      <c r="AJK4" s="5"/>
      <c r="AJL4" s="41">
        <f>AJK4-AJJ4</f>
        <v>0</v>
      </c>
      <c r="AJN4" s="5">
        <v>41</v>
      </c>
      <c r="AJO4" s="5"/>
      <c r="AJP4" s="5">
        <f t="shared" ref="AJP4:AJP11" si="113">(AJH4+AJI4)-AJN4</f>
        <v>3</v>
      </c>
      <c r="AJQ4" s="5"/>
      <c r="AJR4" s="41">
        <f>AJQ4-AJP4</f>
        <v>-3</v>
      </c>
      <c r="AJT4" s="5">
        <v>11</v>
      </c>
      <c r="AJU4" s="5">
        <v>24</v>
      </c>
      <c r="AJV4" s="5">
        <f t="shared" ref="AJV4:AJV11" si="114">(AJN4+AJO4)-AJT4</f>
        <v>30</v>
      </c>
      <c r="AJW4" s="5"/>
      <c r="AJX4" s="41">
        <f>AJW4-AJV4</f>
        <v>-30</v>
      </c>
      <c r="AJZ4" s="5">
        <v>53</v>
      </c>
      <c r="AKA4" s="5"/>
      <c r="AKB4" s="5">
        <f t="shared" ref="AKB4:AKB11" si="115">(AJT4+AJU4)-AJZ4</f>
        <v>-18</v>
      </c>
      <c r="AKC4" s="5"/>
      <c r="AKD4" s="41">
        <f>AKC4-AKB4</f>
        <v>18</v>
      </c>
      <c r="AKF4" s="5">
        <v>50</v>
      </c>
      <c r="AKG4" s="5"/>
      <c r="AKH4" s="5">
        <f t="shared" ref="AKH4:AKH11" si="116">(AJZ4+AKA4)-AKF4</f>
        <v>3</v>
      </c>
      <c r="AKI4" s="5"/>
      <c r="AKJ4" s="41">
        <f>AKI4-AKH4</f>
        <v>-3</v>
      </c>
      <c r="AKL4" s="5">
        <v>43</v>
      </c>
      <c r="AKM4" s="5"/>
      <c r="AKN4" s="5">
        <f t="shared" ref="AKN4:AKN13" si="117">(AKF4+AKG4)-AKL4</f>
        <v>7</v>
      </c>
      <c r="AKO4" s="5"/>
      <c r="AKP4" s="41">
        <f>AKO4-AKN4</f>
        <v>-7</v>
      </c>
      <c r="AKR4" s="5">
        <v>40</v>
      </c>
      <c r="AKS4" s="5"/>
      <c r="AKT4" s="5">
        <f t="shared" ref="AKT4:AKT11" si="118">(AKL4+AKM4)-AKR4</f>
        <v>3</v>
      </c>
      <c r="AKU4" s="5"/>
      <c r="AKV4" s="41">
        <f>AKU4-AKT4</f>
        <v>-3</v>
      </c>
      <c r="AKX4" s="5">
        <v>30</v>
      </c>
      <c r="AKY4" s="5"/>
      <c r="AKZ4" s="5">
        <f t="shared" ref="AKZ4:AKZ11" si="119">(AKR4+AKS4)-AKX4</f>
        <v>10</v>
      </c>
      <c r="ALA4" s="5"/>
      <c r="ALB4" s="41">
        <f>ALA4-AKZ4</f>
        <v>-10</v>
      </c>
      <c r="ALD4" s="5">
        <v>21</v>
      </c>
      <c r="ALE4" s="5">
        <v>24</v>
      </c>
      <c r="ALF4" s="5">
        <f t="shared" ref="ALF4:ALF11" si="120">(AKX4+AKY4)-ALD4</f>
        <v>9</v>
      </c>
      <c r="ALG4" s="5"/>
      <c r="ALH4" s="41">
        <f>ALG4-ALF4</f>
        <v>-9</v>
      </c>
      <c r="ALJ4" s="5">
        <v>42</v>
      </c>
      <c r="ALK4" s="5"/>
      <c r="ALL4" s="5">
        <f t="shared" ref="ALL4:ALL11" si="121">(ALD4+ALE4)-ALJ4</f>
        <v>3</v>
      </c>
      <c r="ALM4" s="5"/>
      <c r="ALN4" s="41">
        <f>ALM4-ALL4</f>
        <v>-3</v>
      </c>
      <c r="ALP4" s="5">
        <v>44</v>
      </c>
      <c r="ALQ4" s="5"/>
      <c r="ALR4" s="5">
        <f t="shared" ref="ALR4:ALR11" si="122">(ALJ4+ALK4)-ALP4</f>
        <v>-2</v>
      </c>
      <c r="ALS4" s="5"/>
      <c r="ALT4" s="41">
        <f>ALS4-ALR4</f>
        <v>2</v>
      </c>
      <c r="ALV4" s="5">
        <v>35</v>
      </c>
      <c r="ALW4" s="5"/>
      <c r="ALX4" s="5">
        <f t="shared" ref="ALX4:ALX11" si="123">(ALP4+ALQ4)-ALV4</f>
        <v>9</v>
      </c>
      <c r="ALY4" s="5"/>
      <c r="ALZ4" s="41">
        <f>ALY4-ALX4</f>
        <v>-9</v>
      </c>
      <c r="AMB4" s="5">
        <v>28</v>
      </c>
      <c r="AMC4" s="5"/>
      <c r="AMD4" s="5">
        <f t="shared" ref="AMD4:AMD11" si="124">(ALV4+ALW4)-AMB4</f>
        <v>7</v>
      </c>
      <c r="AME4" s="5"/>
      <c r="AMF4" s="41">
        <f>AME4-AMD4</f>
        <v>-7</v>
      </c>
      <c r="AMH4" s="5">
        <v>24</v>
      </c>
      <c r="AMI4" s="5"/>
      <c r="AMJ4" s="5">
        <f t="shared" ref="AMJ4:AMJ11" si="125">(AMB4+AMC4)-AMH4</f>
        <v>4</v>
      </c>
      <c r="AMK4" s="5"/>
      <c r="AML4" s="41">
        <f>AMK4-AMJ4</f>
        <v>-4</v>
      </c>
      <c r="AMN4" s="5">
        <v>17</v>
      </c>
      <c r="AMO4" s="5"/>
      <c r="AMP4" s="5">
        <f t="shared" ref="AMP4:AMP11" si="126">(AMH4+AMI4)-AMN4</f>
        <v>7</v>
      </c>
      <c r="AMQ4" s="5"/>
      <c r="AMR4" s="41">
        <f>AMQ4-AMP4</f>
        <v>-7</v>
      </c>
      <c r="AMT4" s="5">
        <v>14</v>
      </c>
      <c r="AMU4" s="5"/>
      <c r="AMV4" s="5">
        <f t="shared" ref="AMV4:AMV11" si="127">(AMN4+AMO4)-AMT4</f>
        <v>3</v>
      </c>
      <c r="AMW4" s="5"/>
      <c r="AMX4" s="41">
        <f>AMW4-AMV4</f>
        <v>-3</v>
      </c>
      <c r="AMZ4" s="5">
        <v>8</v>
      </c>
      <c r="ANA4" s="5">
        <v>48</v>
      </c>
      <c r="ANB4" s="5">
        <f t="shared" ref="ANB4:ANB11" si="128">(AMT4+AMU4)-AMZ4</f>
        <v>6</v>
      </c>
      <c r="ANC4" s="5"/>
      <c r="AND4" s="41">
        <f>ANC4-ANB4</f>
        <v>-6</v>
      </c>
      <c r="ANF4" s="5">
        <v>50</v>
      </c>
      <c r="ANG4" s="5"/>
      <c r="ANH4" s="5">
        <f t="shared" ref="ANH4:ANH11" si="129">(AMZ4+ANA4)-ANF4</f>
        <v>6</v>
      </c>
      <c r="ANI4" s="5"/>
      <c r="ANJ4" s="41">
        <f>ANI4-ANH4</f>
        <v>-6</v>
      </c>
      <c r="ANL4" s="5">
        <v>46</v>
      </c>
      <c r="ANM4" s="5"/>
      <c r="ANN4" s="5">
        <f t="shared" ref="ANN4:ANN11" si="130">(ANF4+ANG4)-ANL4</f>
        <v>4</v>
      </c>
      <c r="ANO4" s="5"/>
      <c r="ANP4" s="41">
        <f>ANO4-ANN4</f>
        <v>-4</v>
      </c>
      <c r="ANR4" s="5">
        <v>42</v>
      </c>
      <c r="ANS4" s="5"/>
      <c r="ANT4" s="5">
        <f t="shared" ref="ANT4:ANT11" si="131">(ANL4+ANM4)-ANR4</f>
        <v>4</v>
      </c>
      <c r="ANU4" s="5"/>
      <c r="ANV4" s="41">
        <f>ANU4-ANT4</f>
        <v>-4</v>
      </c>
      <c r="ANX4" s="5">
        <v>39</v>
      </c>
      <c r="ANY4" s="5"/>
      <c r="ANZ4" s="5">
        <f t="shared" ref="ANZ4:ANZ11" si="132">(ANR4+ANS4)-ANX4</f>
        <v>3</v>
      </c>
      <c r="AOA4" s="5"/>
      <c r="AOB4" s="41">
        <f>AOA4-ANZ4</f>
        <v>-3</v>
      </c>
      <c r="AOD4" s="5">
        <v>39</v>
      </c>
      <c r="AOE4" s="5"/>
      <c r="AOF4" s="5">
        <f t="shared" ref="AOF4:AOF11" si="133">(ANX4+ANY4)-AOD4</f>
        <v>0</v>
      </c>
      <c r="AOG4" s="5"/>
      <c r="AOH4" s="41">
        <f>AOG4-AOF4</f>
        <v>0</v>
      </c>
      <c r="AOJ4" s="5">
        <v>36</v>
      </c>
      <c r="AOK4" s="5"/>
      <c r="AOL4" s="5">
        <f t="shared" ref="AOL4:AOL11" si="134">(AOD4+AOE4)-AOJ4</f>
        <v>3</v>
      </c>
      <c r="AOM4" s="5"/>
      <c r="AON4" s="41">
        <f>AOM4-AOL4</f>
        <v>-3</v>
      </c>
      <c r="AOP4" s="5">
        <v>26</v>
      </c>
      <c r="AOQ4" s="5"/>
      <c r="AOR4" s="5"/>
      <c r="AOS4" s="5"/>
      <c r="AOT4" s="41"/>
      <c r="AOV4" s="5">
        <v>23</v>
      </c>
      <c r="AOW4" s="5"/>
      <c r="AOX4" s="5">
        <f t="shared" ref="AOX4:AOX11" si="135">(AOP4+AOQ4)-AOV4</f>
        <v>3</v>
      </c>
      <c r="AOY4" s="5"/>
      <c r="AOZ4" s="41">
        <f>AOY4-AOX4</f>
        <v>-3</v>
      </c>
    </row>
    <row r="5" spans="1:1092" x14ac:dyDescent="0.25">
      <c r="A5" s="3" t="s">
        <v>54</v>
      </c>
      <c r="B5" s="86">
        <f t="shared" si="0"/>
        <v>2.8773584905660377</v>
      </c>
      <c r="C5" s="5">
        <v>24</v>
      </c>
      <c r="E5" s="5">
        <v>7</v>
      </c>
      <c r="F5" s="5">
        <v>1</v>
      </c>
      <c r="H5" s="5">
        <v>28</v>
      </c>
      <c r="I5" s="5"/>
      <c r="J5" s="5">
        <f t="shared" ref="J5:J12" si="136">(F5*24)+E5-H5</f>
        <v>3</v>
      </c>
      <c r="K5" s="5"/>
      <c r="L5" s="24">
        <f t="shared" ref="L5:L12" si="137">K5-J5</f>
        <v>-3</v>
      </c>
      <c r="N5" s="5">
        <v>25</v>
      </c>
      <c r="O5" s="5"/>
      <c r="P5" s="5">
        <f t="shared" ref="P5:P12" si="138">(I5*24)+H5-N5</f>
        <v>3</v>
      </c>
      <c r="Q5" s="5">
        <v>3</v>
      </c>
      <c r="R5" s="24">
        <f t="shared" ref="R5:R12" si="139">Q5-P5</f>
        <v>0</v>
      </c>
      <c r="T5" s="5">
        <v>25</v>
      </c>
      <c r="U5" s="5"/>
      <c r="V5" s="5">
        <f t="shared" ref="V5:V11" si="140">(O5*24)+N5-T5</f>
        <v>0</v>
      </c>
      <c r="W5" s="5"/>
      <c r="X5" s="24">
        <f t="shared" ref="X5:X11" si="141">W5-V5</f>
        <v>0</v>
      </c>
      <c r="Z5" s="5">
        <v>23</v>
      </c>
      <c r="AA5" s="5"/>
      <c r="AB5" s="5">
        <f t="shared" ref="AB5:AB11" si="142">(U5*24)+T5-Z5</f>
        <v>2</v>
      </c>
      <c r="AC5" s="5">
        <v>1</v>
      </c>
      <c r="AD5" s="24">
        <f t="shared" ref="AD5:AD11" si="143">AC5-AB5</f>
        <v>-1</v>
      </c>
      <c r="AF5" s="5">
        <v>23</v>
      </c>
      <c r="AG5" s="5"/>
      <c r="AH5" s="5">
        <f t="shared" ref="AH5:AH11" si="144">(AA5*24)+Z5-AF5</f>
        <v>0</v>
      </c>
      <c r="AI5" s="5"/>
      <c r="AJ5" s="24">
        <f t="shared" ref="AJ5:AJ11" si="145">AI5-AH5</f>
        <v>0</v>
      </c>
      <c r="AL5" s="5">
        <v>22</v>
      </c>
      <c r="AM5" s="5"/>
      <c r="AN5" s="5">
        <f t="shared" ref="AN5:AN7" si="146">(AG5*24)+AF5-AL5</f>
        <v>1</v>
      </c>
      <c r="AO5" s="5">
        <v>1</v>
      </c>
      <c r="AP5" s="24">
        <f t="shared" ref="AP5:AP7" si="147">AO5-AN5</f>
        <v>0</v>
      </c>
      <c r="AR5" s="5">
        <v>21</v>
      </c>
      <c r="AS5" s="5"/>
      <c r="AT5" s="5">
        <f t="shared" ref="AT5:AT12" si="148">(AL5+AM5)-AR5</f>
        <v>1</v>
      </c>
      <c r="AU5" s="5">
        <v>1</v>
      </c>
      <c r="AV5" s="24">
        <f t="shared" ref="AV5:AV7" si="149">AU5-AT5</f>
        <v>0</v>
      </c>
      <c r="AX5" s="5">
        <v>21</v>
      </c>
      <c r="AY5" s="5"/>
      <c r="AZ5" s="5">
        <f t="shared" ref="AZ5:AZ12" si="150">(AR5+AS5)-AX5</f>
        <v>0</v>
      </c>
      <c r="BA5" s="5"/>
      <c r="BB5" s="24">
        <f t="shared" ref="BB5:BB7" si="151">BA5-AZ5</f>
        <v>0</v>
      </c>
      <c r="BD5" s="5">
        <v>20</v>
      </c>
      <c r="BE5" s="5"/>
      <c r="BF5" s="5">
        <f t="shared" ref="BF5:BF12" si="152">(AX5+AY5)-BD5</f>
        <v>1</v>
      </c>
      <c r="BG5" s="5">
        <v>1</v>
      </c>
      <c r="BH5" s="24">
        <f t="shared" ref="BH5:BH7" si="153">BG5-BF5</f>
        <v>0</v>
      </c>
      <c r="BJ5" s="5">
        <v>12</v>
      </c>
      <c r="BK5" s="5"/>
      <c r="BL5" s="5">
        <f t="shared" ref="BL5:BL12" si="154">(BD5+BE5)-BJ5</f>
        <v>8</v>
      </c>
      <c r="BM5" s="5"/>
      <c r="BN5" s="24">
        <f t="shared" ref="BN5:BN7" si="155">BM5-BL5</f>
        <v>-8</v>
      </c>
      <c r="BP5" s="5">
        <v>19</v>
      </c>
      <c r="BQ5" s="5"/>
      <c r="BR5" s="5">
        <f t="shared" ref="BR5:BR12" si="156">(BJ5+BK5)-BP5</f>
        <v>-7</v>
      </c>
      <c r="BS5" s="5">
        <v>1</v>
      </c>
      <c r="BT5" s="24">
        <f t="shared" ref="BT5:BT7" si="157">BS5-BR5</f>
        <v>8</v>
      </c>
      <c r="BV5" s="5">
        <v>16</v>
      </c>
      <c r="BW5" s="5">
        <v>24</v>
      </c>
      <c r="BX5" s="5">
        <f t="shared" ref="BX5:BX11" si="158">(BP5+BQ5)-BV5</f>
        <v>3</v>
      </c>
      <c r="BY5" s="5"/>
      <c r="BZ5" s="24">
        <f t="shared" ref="BZ5:BZ7" si="159">BY5-BX5</f>
        <v>-3</v>
      </c>
      <c r="CB5" s="5">
        <v>34</v>
      </c>
      <c r="CC5" s="5"/>
      <c r="CD5" s="5">
        <f t="shared" ref="CD5:CD11" si="160">(BV5+BW5)-CB5</f>
        <v>6</v>
      </c>
      <c r="CE5" s="5">
        <v>6</v>
      </c>
      <c r="CF5" s="24">
        <f t="shared" ref="CF5:CF7" si="161">CE5-CD5</f>
        <v>0</v>
      </c>
      <c r="CH5" s="5">
        <v>33</v>
      </c>
      <c r="CI5" s="5"/>
      <c r="CJ5" s="5">
        <f t="shared" ref="CJ5:CJ11" si="162">(CB5+CC5)-CH5</f>
        <v>1</v>
      </c>
      <c r="CK5" s="5">
        <v>1</v>
      </c>
      <c r="CL5" s="24">
        <f t="shared" ref="CL5:CL7" si="163">CK5-CJ5</f>
        <v>0</v>
      </c>
      <c r="CN5" s="5">
        <v>38</v>
      </c>
      <c r="CO5" s="5"/>
      <c r="CP5" s="5">
        <f t="shared" ref="CP5:CP11" si="164">(CH5+CI5)-CN5</f>
        <v>-5</v>
      </c>
      <c r="CQ5" s="5">
        <v>3</v>
      </c>
      <c r="CR5" s="24">
        <f t="shared" ref="CR5:CR7" si="165">CQ5-CP5</f>
        <v>8</v>
      </c>
      <c r="CT5" s="5">
        <v>31</v>
      </c>
      <c r="CU5" s="5"/>
      <c r="CV5" s="5">
        <f t="shared" ref="CV5:CV11" si="166">(CN5+CO5)-CT5</f>
        <v>7</v>
      </c>
      <c r="CW5" s="5">
        <v>1</v>
      </c>
      <c r="CX5" s="41">
        <f t="shared" ref="CX5:CX7" si="167">CW5-CV5</f>
        <v>-6</v>
      </c>
      <c r="CZ5" s="5">
        <v>29</v>
      </c>
      <c r="DA5" s="5"/>
      <c r="DB5" s="5">
        <f t="shared" ref="DB5:DB11" si="168">(CT5+CU5)-CZ5</f>
        <v>2</v>
      </c>
      <c r="DC5" s="5">
        <v>2</v>
      </c>
      <c r="DD5" s="41">
        <f t="shared" ref="DD5:DD7" si="169">DC5-DB5</f>
        <v>0</v>
      </c>
      <c r="DF5" s="5">
        <v>27</v>
      </c>
      <c r="DG5" s="5"/>
      <c r="DH5" s="5">
        <f t="shared" ref="DH5:DH11" si="170">(CZ5+DA5)-DF5</f>
        <v>2</v>
      </c>
      <c r="DI5" s="5">
        <v>2</v>
      </c>
      <c r="DJ5" s="41">
        <f t="shared" ref="DJ5:DJ7" si="171">DI5-DH5</f>
        <v>0</v>
      </c>
      <c r="DL5" s="5">
        <v>26</v>
      </c>
      <c r="DM5" s="5"/>
      <c r="DN5" s="5">
        <f t="shared" ref="DN5:DN11" si="172">(DF5+DG5)-DL5</f>
        <v>1</v>
      </c>
      <c r="DO5" s="5">
        <v>1</v>
      </c>
      <c r="DP5" s="41">
        <f t="shared" ref="DP5:DP7" si="173">DO5-DN5</f>
        <v>0</v>
      </c>
      <c r="DR5" s="5">
        <v>26</v>
      </c>
      <c r="DS5" s="5"/>
      <c r="DT5" s="5">
        <f t="shared" ref="DT5:DT11" si="174">(DL5+DM5)-DR5</f>
        <v>0</v>
      </c>
      <c r="DU5" s="5">
        <v>0</v>
      </c>
      <c r="DV5" s="41">
        <f t="shared" ref="DV5:DV7" si="175">DU5-DT5</f>
        <v>0</v>
      </c>
      <c r="DX5" s="5">
        <v>26</v>
      </c>
      <c r="DY5" s="5"/>
      <c r="DZ5" s="5">
        <f t="shared" ref="DZ5:DZ11" si="176">(DR5+DS5)-DX5</f>
        <v>0</v>
      </c>
      <c r="EA5" s="5"/>
      <c r="EB5" s="41">
        <f t="shared" ref="EB5:EB7" si="177">EA5-DZ5</f>
        <v>0</v>
      </c>
      <c r="ED5" s="5">
        <v>25</v>
      </c>
      <c r="EE5" s="5"/>
      <c r="EF5" s="5">
        <f t="shared" ref="EF5:EF11" si="178">(DX5+DY5)-ED5</f>
        <v>1</v>
      </c>
      <c r="EG5" s="5">
        <v>1</v>
      </c>
      <c r="EH5" s="41">
        <f t="shared" ref="EH5:EH7" si="179">EG5-EF5</f>
        <v>0</v>
      </c>
      <c r="EJ5" s="5">
        <v>23</v>
      </c>
      <c r="EK5" s="5"/>
      <c r="EL5" s="5">
        <f t="shared" ref="EL5:EL11" si="180">(ED5+EE5)-EJ5</f>
        <v>2</v>
      </c>
      <c r="EM5" s="5">
        <v>2</v>
      </c>
      <c r="EN5" s="41">
        <f t="shared" ref="EN5:EN7" si="181">EM5-EL5</f>
        <v>0</v>
      </c>
      <c r="EP5" s="5">
        <v>21</v>
      </c>
      <c r="EQ5" s="5"/>
      <c r="ER5" s="5">
        <f t="shared" ref="ER5:ER11" si="182">(EJ5+EK5)-EP5</f>
        <v>2</v>
      </c>
      <c r="ES5" s="5">
        <v>2</v>
      </c>
      <c r="ET5" s="41">
        <f t="shared" ref="ET5:ET7" si="183">ES5-ER5</f>
        <v>0</v>
      </c>
      <c r="EV5" s="5">
        <v>20</v>
      </c>
      <c r="EW5" s="5"/>
      <c r="EX5" s="5">
        <f t="shared" ref="EX5:EX11" si="184">(EP5+EQ5)-EV5</f>
        <v>1</v>
      </c>
      <c r="EY5" s="5">
        <v>1</v>
      </c>
      <c r="EZ5" s="41">
        <f t="shared" ref="EZ5:EZ7" si="185">EY5-EX5</f>
        <v>0</v>
      </c>
      <c r="FB5" s="5">
        <v>20</v>
      </c>
      <c r="FC5" s="5"/>
      <c r="FD5" s="5">
        <f t="shared" ref="FD5:FD11" si="186">(EV5+EW5)-FB5</f>
        <v>0</v>
      </c>
      <c r="FE5" s="5"/>
      <c r="FF5" s="41">
        <f t="shared" ref="FF5:FF7" si="187">FE5-FD5</f>
        <v>0</v>
      </c>
      <c r="FH5" s="5">
        <v>20</v>
      </c>
      <c r="FI5" s="5"/>
      <c r="FJ5" s="5">
        <f t="shared" ref="FJ5:FJ11" si="188">(FB5+FC5)-FH5</f>
        <v>0</v>
      </c>
      <c r="FK5" s="5">
        <v>1</v>
      </c>
      <c r="FL5" s="41">
        <f t="shared" ref="FL5:FL7" si="189">FK5-FJ5</f>
        <v>1</v>
      </c>
      <c r="FN5" s="5">
        <v>19</v>
      </c>
      <c r="FO5" s="5"/>
      <c r="FP5" s="5">
        <f t="shared" ref="FP5:FP11" si="190">(FH5+FI5)-FN5</f>
        <v>1</v>
      </c>
      <c r="FQ5" s="5">
        <v>1</v>
      </c>
      <c r="FR5" s="41">
        <f t="shared" ref="FR5:FR7" si="191">FQ5-FP5</f>
        <v>0</v>
      </c>
      <c r="FT5" s="5">
        <v>17</v>
      </c>
      <c r="FU5" s="5"/>
      <c r="FV5" s="5">
        <f t="shared" ref="FV5:FV11" si="192">(FN5+FO5)-FT5</f>
        <v>2</v>
      </c>
      <c r="FW5" s="5">
        <v>2</v>
      </c>
      <c r="FX5" s="41">
        <f t="shared" ref="FX5:FX7" si="193">FW5-FV5</f>
        <v>0</v>
      </c>
      <c r="FZ5" s="5">
        <v>16</v>
      </c>
      <c r="GA5" s="5"/>
      <c r="GB5" s="5">
        <f t="shared" ref="GB5:GB11" si="194">(FT5+FU5)-FZ5</f>
        <v>1</v>
      </c>
      <c r="GC5" s="5">
        <v>3</v>
      </c>
      <c r="GD5" s="41">
        <f t="shared" ref="GD5:GD7" si="195">GC5-GB5</f>
        <v>2</v>
      </c>
      <c r="GF5" s="5">
        <v>13</v>
      </c>
      <c r="GG5" s="5"/>
      <c r="GH5" s="5">
        <f t="shared" ref="GH5:GH11" si="196">(FZ5+GA5)-GF5</f>
        <v>3</v>
      </c>
      <c r="GI5" s="5">
        <v>3</v>
      </c>
      <c r="GJ5" s="41">
        <f t="shared" ref="GJ5:GJ7" si="197">GI5-GH5</f>
        <v>0</v>
      </c>
      <c r="GL5" s="5">
        <v>9</v>
      </c>
      <c r="GM5" s="5">
        <v>18</v>
      </c>
      <c r="GN5" s="5">
        <f t="shared" ref="GN5:GN11" si="198">(GF5+GG5)-GL5</f>
        <v>4</v>
      </c>
      <c r="GO5" s="5">
        <v>4</v>
      </c>
      <c r="GP5" s="41">
        <f t="shared" ref="GP5:GP7" si="199">GO5-GN5</f>
        <v>0</v>
      </c>
      <c r="GR5" s="5">
        <v>24</v>
      </c>
      <c r="GS5" s="5"/>
      <c r="GT5" s="5">
        <f t="shared" ref="GT5:GT11" si="200">(GL5+GM5)-GR5</f>
        <v>3</v>
      </c>
      <c r="GU5" s="5">
        <v>3</v>
      </c>
      <c r="GV5" s="41">
        <f t="shared" ref="GV5:GV7" si="201">GU5-GT5</f>
        <v>0</v>
      </c>
      <c r="GX5" s="5">
        <v>24</v>
      </c>
      <c r="GY5" s="5"/>
      <c r="GZ5" s="5">
        <f t="shared" ref="GZ5:GZ11" si="202">(GR5+GS5)-GX5</f>
        <v>0</v>
      </c>
      <c r="HA5" s="5"/>
      <c r="HB5" s="41">
        <f t="shared" ref="HB5:HB7" si="203">HA5-GZ5</f>
        <v>0</v>
      </c>
      <c r="HD5" s="5">
        <v>23</v>
      </c>
      <c r="HE5" s="5"/>
      <c r="HF5" s="5">
        <f t="shared" ref="HF5:HF11" si="204">(GX5+GY5)-HD5</f>
        <v>1</v>
      </c>
      <c r="HG5" s="5">
        <v>1</v>
      </c>
      <c r="HH5" s="41">
        <f t="shared" ref="HH5:HH7" si="205">HG5-HF5</f>
        <v>0</v>
      </c>
      <c r="HJ5" s="5">
        <v>22</v>
      </c>
      <c r="HK5" s="5"/>
      <c r="HL5" s="5">
        <f t="shared" ref="HL5:HL11" si="206">(HD5+HE5)-HJ5</f>
        <v>1</v>
      </c>
      <c r="HM5" s="5">
        <v>1</v>
      </c>
      <c r="HN5" s="41">
        <f t="shared" ref="HN5:HN7" si="207">HM5-HL5</f>
        <v>0</v>
      </c>
      <c r="HP5" s="5">
        <v>19</v>
      </c>
      <c r="HQ5" s="5"/>
      <c r="HR5" s="5">
        <f t="shared" ref="HR5:HR11" si="208">(HJ5+HK5)-HP5</f>
        <v>3</v>
      </c>
      <c r="HS5" s="5">
        <v>3</v>
      </c>
      <c r="HT5" s="41">
        <f t="shared" ref="HT5:HT7" si="209">HS5-HR5</f>
        <v>0</v>
      </c>
      <c r="HV5" s="5">
        <v>16</v>
      </c>
      <c r="HW5" s="5"/>
      <c r="HX5" s="5">
        <f t="shared" ref="HX5:HX11" si="210">(HP5+HQ5)-HV5</f>
        <v>3</v>
      </c>
      <c r="HY5" s="5">
        <v>4</v>
      </c>
      <c r="HZ5" s="41">
        <f t="shared" ref="HZ5:HZ7" si="211">HY5-HX5</f>
        <v>1</v>
      </c>
      <c r="IB5" s="5">
        <v>10</v>
      </c>
      <c r="IC5" s="5"/>
      <c r="ID5" s="5">
        <f t="shared" ref="ID5:ID11" si="212">(HV5+HW5)-IB5</f>
        <v>6</v>
      </c>
      <c r="IE5" s="5">
        <v>3</v>
      </c>
      <c r="IF5" s="41">
        <f t="shared" ref="IF5:IF7" si="213">IE5-ID5</f>
        <v>-3</v>
      </c>
      <c r="IH5" s="5">
        <v>10</v>
      </c>
      <c r="II5" s="5">
        <v>24</v>
      </c>
      <c r="IJ5" s="5">
        <f t="shared" ref="IJ5:IJ11" si="214">(IB5+IC5)-IH5</f>
        <v>0</v>
      </c>
      <c r="IK5" s="5"/>
      <c r="IL5" s="41">
        <f t="shared" ref="IL5:IL7" si="215">IK5-IJ5</f>
        <v>0</v>
      </c>
      <c r="IN5" s="5">
        <v>33</v>
      </c>
      <c r="IO5" s="5"/>
      <c r="IP5" s="5">
        <f t="shared" ref="IP5:IP11" si="216">(IH5+II5)-IN5</f>
        <v>1</v>
      </c>
      <c r="IQ5" s="5">
        <v>1</v>
      </c>
      <c r="IR5" s="41">
        <f t="shared" ref="IR5:IR7" si="217">IQ5-IP5</f>
        <v>0</v>
      </c>
      <c r="IT5" s="5">
        <v>33</v>
      </c>
      <c r="IU5" s="5"/>
      <c r="IV5" s="5">
        <f t="shared" ref="IV5:IV11" si="218">(IN5+IO5)-IT5</f>
        <v>0</v>
      </c>
      <c r="IW5" s="5"/>
      <c r="IX5" s="41">
        <f t="shared" ref="IX5:IX7" si="219">IW5-IV5</f>
        <v>0</v>
      </c>
      <c r="IZ5" s="5">
        <v>28</v>
      </c>
      <c r="JA5" s="5"/>
      <c r="JB5" s="5">
        <f t="shared" ref="JB5:JB11" si="220">(IT5+IU5)-IZ5</f>
        <v>5</v>
      </c>
      <c r="JC5" s="5">
        <v>5</v>
      </c>
      <c r="JD5" s="41">
        <f t="shared" ref="JD5:JD7" si="221">JC5-JB5</f>
        <v>0</v>
      </c>
      <c r="JF5" s="5">
        <v>20</v>
      </c>
      <c r="JG5" s="5"/>
      <c r="JH5" s="5">
        <f t="shared" ref="JH5:JH11" si="222">(IZ5+JA5)-JF5</f>
        <v>8</v>
      </c>
      <c r="JI5" s="5">
        <v>8</v>
      </c>
      <c r="JJ5" s="41">
        <f t="shared" ref="JJ5:JJ7" si="223">JI5-JH5</f>
        <v>0</v>
      </c>
      <c r="JL5" s="5">
        <v>18</v>
      </c>
      <c r="JM5" s="5"/>
      <c r="JN5" s="5">
        <f t="shared" ref="JN5:JN11" si="224">(JF5+JG5)-JL5</f>
        <v>2</v>
      </c>
      <c r="JO5" s="5">
        <v>2</v>
      </c>
      <c r="JP5" s="41">
        <f t="shared" ref="JP5:JP7" si="225">JO5-JN5</f>
        <v>0</v>
      </c>
      <c r="JR5" s="5">
        <v>5</v>
      </c>
      <c r="JS5" s="5">
        <v>24</v>
      </c>
      <c r="JT5" s="5">
        <f t="shared" si="1"/>
        <v>13</v>
      </c>
      <c r="JU5" s="5">
        <v>10</v>
      </c>
      <c r="JV5" s="41">
        <f t="shared" ref="JV5:JV7" si="226">JU5-JT5</f>
        <v>-3</v>
      </c>
      <c r="JX5" s="5">
        <v>18</v>
      </c>
      <c r="JY5" s="5"/>
      <c r="JZ5" s="5">
        <f t="shared" si="2"/>
        <v>11</v>
      </c>
      <c r="KA5" s="5">
        <v>11</v>
      </c>
      <c r="KB5" s="41">
        <f t="shared" ref="KB5:KB7" si="227">KA5-JZ5</f>
        <v>0</v>
      </c>
      <c r="KD5" s="5">
        <v>13</v>
      </c>
      <c r="KE5" s="5">
        <v>24</v>
      </c>
      <c r="KF5" s="5">
        <f t="shared" si="3"/>
        <v>5</v>
      </c>
      <c r="KG5" s="5">
        <v>6</v>
      </c>
      <c r="KH5" s="41">
        <f t="shared" ref="KH5:KH7" si="228">KG5-KF5</f>
        <v>1</v>
      </c>
      <c r="KJ5" s="5">
        <v>32</v>
      </c>
      <c r="KK5" s="5"/>
      <c r="KL5" s="5">
        <f t="shared" si="4"/>
        <v>5</v>
      </c>
      <c r="KM5" s="5">
        <v>7</v>
      </c>
      <c r="KN5" s="41">
        <f t="shared" ref="KN5:KN7" si="229">KM5-KL5</f>
        <v>2</v>
      </c>
      <c r="KP5" s="5">
        <v>31</v>
      </c>
      <c r="KQ5" s="5"/>
      <c r="KR5" s="5">
        <f t="shared" si="5"/>
        <v>1</v>
      </c>
      <c r="KS5" s="5">
        <v>1</v>
      </c>
      <c r="KT5" s="41">
        <f t="shared" ref="KT5:KT7" si="230">KS5-KR5</f>
        <v>0</v>
      </c>
      <c r="KV5" s="5">
        <v>31</v>
      </c>
      <c r="KW5" s="5"/>
      <c r="KX5" s="5">
        <f t="shared" si="6"/>
        <v>0</v>
      </c>
      <c r="KY5" s="5"/>
      <c r="KZ5" s="41">
        <f t="shared" ref="KZ5:KZ7" si="231">KY5-KX5</f>
        <v>0</v>
      </c>
      <c r="LB5" s="5">
        <v>28</v>
      </c>
      <c r="LC5" s="5"/>
      <c r="LD5" s="5">
        <f t="shared" si="7"/>
        <v>3</v>
      </c>
      <c r="LE5" s="5">
        <v>3</v>
      </c>
      <c r="LF5" s="41">
        <f t="shared" ref="LF5:LF7" si="232">LE5-LD5</f>
        <v>0</v>
      </c>
      <c r="LH5" s="5">
        <v>26</v>
      </c>
      <c r="LI5" s="5"/>
      <c r="LJ5" s="5">
        <f t="shared" si="8"/>
        <v>2</v>
      </c>
      <c r="LK5" s="5">
        <v>5</v>
      </c>
      <c r="LL5" s="41">
        <f t="shared" ref="LL5:LL7" si="233">LK5-LJ5</f>
        <v>3</v>
      </c>
      <c r="LN5" s="5">
        <v>23</v>
      </c>
      <c r="LO5" s="5"/>
      <c r="LP5" s="5">
        <f t="shared" si="9"/>
        <v>3</v>
      </c>
      <c r="LQ5" s="5"/>
      <c r="LR5" s="41">
        <f t="shared" ref="LR5:LR7" si="234">LQ5-LP5</f>
        <v>-3</v>
      </c>
      <c r="LT5" s="5">
        <v>20</v>
      </c>
      <c r="LU5" s="5"/>
      <c r="LV5" s="5">
        <f t="shared" si="10"/>
        <v>3</v>
      </c>
      <c r="LW5" s="5">
        <v>2</v>
      </c>
      <c r="LX5" s="41">
        <f t="shared" ref="LX5:LX7" si="235">LW5-LV5</f>
        <v>-1</v>
      </c>
      <c r="LZ5" s="5">
        <v>17</v>
      </c>
      <c r="MA5" s="5"/>
      <c r="MB5" s="5">
        <f t="shared" si="11"/>
        <v>3</v>
      </c>
      <c r="MC5" s="5">
        <v>2</v>
      </c>
      <c r="MD5" s="41">
        <f t="shared" ref="MD5:MD7" si="236">MC5-MB5</f>
        <v>-1</v>
      </c>
      <c r="MF5" s="5">
        <v>16</v>
      </c>
      <c r="MG5" s="5"/>
      <c r="MH5" s="5">
        <f t="shared" si="12"/>
        <v>1</v>
      </c>
      <c r="MI5" s="5"/>
      <c r="MJ5" s="41">
        <f t="shared" ref="MJ5:MJ7" si="237">MI5-MH5</f>
        <v>-1</v>
      </c>
      <c r="ML5" s="5">
        <v>13</v>
      </c>
      <c r="MM5" s="5">
        <v>18</v>
      </c>
      <c r="MN5" s="5">
        <f t="shared" si="13"/>
        <v>3</v>
      </c>
      <c r="MO5" s="5">
        <v>3</v>
      </c>
      <c r="MP5" s="41">
        <f t="shared" ref="MP5:MP7" si="238">MO5-MN5</f>
        <v>0</v>
      </c>
      <c r="MR5" s="5">
        <v>30</v>
      </c>
      <c r="MS5" s="5"/>
      <c r="MT5" s="5">
        <f t="shared" si="14"/>
        <v>1</v>
      </c>
      <c r="MU5" s="5"/>
      <c r="MV5" s="41">
        <f t="shared" ref="MV5:MV7" si="239">MU5-MT5</f>
        <v>-1</v>
      </c>
      <c r="MX5" s="5">
        <v>28</v>
      </c>
      <c r="MY5" s="5"/>
      <c r="MZ5" s="5">
        <f t="shared" si="15"/>
        <v>2</v>
      </c>
      <c r="NA5" s="5">
        <v>2</v>
      </c>
      <c r="NB5" s="41">
        <f t="shared" ref="NB5:NB7" si="240">NA5-MZ5</f>
        <v>0</v>
      </c>
      <c r="ND5" s="5">
        <v>25</v>
      </c>
      <c r="NE5" s="5"/>
      <c r="NF5" s="5">
        <f t="shared" si="16"/>
        <v>3</v>
      </c>
      <c r="NG5" s="5"/>
      <c r="NH5" s="41">
        <f t="shared" ref="NH5:NH7" si="241">NG5-NF5</f>
        <v>-3</v>
      </c>
      <c r="NJ5" s="5">
        <v>25</v>
      </c>
      <c r="NK5" s="5"/>
      <c r="NL5" s="5">
        <f t="shared" si="17"/>
        <v>0</v>
      </c>
      <c r="NM5" s="5"/>
      <c r="NN5" s="41">
        <f t="shared" ref="NN5:NN7" si="242">NM5-NL5</f>
        <v>0</v>
      </c>
      <c r="NP5" s="5">
        <v>21</v>
      </c>
      <c r="NQ5" s="5">
        <v>24</v>
      </c>
      <c r="NR5" s="5">
        <f t="shared" si="18"/>
        <v>4</v>
      </c>
      <c r="NS5" s="5">
        <v>3</v>
      </c>
      <c r="NT5" s="41">
        <f t="shared" ref="NT5:NT7" si="243">NS5-NR5</f>
        <v>-1</v>
      </c>
      <c r="NV5" s="5">
        <v>44</v>
      </c>
      <c r="NW5" s="5"/>
      <c r="NX5" s="5">
        <f t="shared" si="19"/>
        <v>1</v>
      </c>
      <c r="NY5" s="5">
        <v>1</v>
      </c>
      <c r="NZ5" s="41">
        <f t="shared" ref="NZ5:NZ7" si="244">NY5-NX5</f>
        <v>0</v>
      </c>
      <c r="OB5" s="5">
        <v>39</v>
      </c>
      <c r="OC5" s="5"/>
      <c r="OD5" s="5">
        <f t="shared" si="20"/>
        <v>5</v>
      </c>
      <c r="OE5" s="5"/>
      <c r="OF5" s="41">
        <f t="shared" ref="OF5:OF7" si="245">OE5-OD5</f>
        <v>-5</v>
      </c>
      <c r="OH5" s="5">
        <v>32</v>
      </c>
      <c r="OI5" s="5"/>
      <c r="OJ5" s="5">
        <f t="shared" si="21"/>
        <v>7</v>
      </c>
      <c r="OK5" s="5">
        <v>6</v>
      </c>
      <c r="OL5" s="41">
        <f t="shared" ref="OL5:OL7" si="246">OK5-OJ5</f>
        <v>-1</v>
      </c>
      <c r="ON5" s="5">
        <v>30</v>
      </c>
      <c r="OO5" s="5">
        <v>-12</v>
      </c>
      <c r="OP5" s="5">
        <f t="shared" si="22"/>
        <v>2</v>
      </c>
      <c r="OQ5" s="5"/>
      <c r="OR5" s="41">
        <f t="shared" ref="OR5:OR7" si="247">OQ5-OP5</f>
        <v>-2</v>
      </c>
      <c r="OT5" s="5">
        <v>14</v>
      </c>
      <c r="OU5" s="5">
        <v>24</v>
      </c>
      <c r="OV5" s="5">
        <f t="shared" si="23"/>
        <v>4</v>
      </c>
      <c r="OW5" s="5">
        <v>4</v>
      </c>
      <c r="OX5" s="41">
        <f t="shared" ref="OX5:OX7" si="248">OW5-OV5</f>
        <v>0</v>
      </c>
      <c r="OZ5" s="5">
        <v>45</v>
      </c>
      <c r="PA5" s="5"/>
      <c r="PB5" s="5">
        <f t="shared" si="24"/>
        <v>-7</v>
      </c>
      <c r="PC5" s="5">
        <v>5</v>
      </c>
      <c r="PD5" s="41">
        <f t="shared" ref="PD5:PD7" si="249">PC5-PB5</f>
        <v>12</v>
      </c>
      <c r="PF5" s="5">
        <v>44</v>
      </c>
      <c r="PG5" s="5"/>
      <c r="PH5" s="5">
        <f t="shared" si="25"/>
        <v>1</v>
      </c>
      <c r="PI5" s="5">
        <v>1</v>
      </c>
      <c r="PJ5" s="41">
        <f t="shared" ref="PJ5:PJ7" si="250">PI5-PH5</f>
        <v>0</v>
      </c>
      <c r="PL5" s="5">
        <v>42</v>
      </c>
      <c r="PM5" s="5"/>
      <c r="PN5" s="5">
        <f t="shared" si="26"/>
        <v>2</v>
      </c>
      <c r="PO5" s="5"/>
      <c r="PP5" s="41">
        <f t="shared" ref="PP5:PP7" si="251">PO5-PN5</f>
        <v>-2</v>
      </c>
      <c r="PR5" s="5">
        <v>27</v>
      </c>
      <c r="PS5" s="5"/>
      <c r="PT5" s="5">
        <f t="shared" si="27"/>
        <v>15</v>
      </c>
      <c r="PU5" s="5">
        <v>2</v>
      </c>
      <c r="PV5" s="41">
        <f t="shared" ref="PV5:PV7" si="252">PU5-PT5</f>
        <v>-13</v>
      </c>
      <c r="PX5" s="5">
        <v>36</v>
      </c>
      <c r="PY5" s="5"/>
      <c r="PZ5" s="5">
        <f t="shared" si="28"/>
        <v>-9</v>
      </c>
      <c r="QA5" s="5">
        <v>3</v>
      </c>
      <c r="QB5" s="41">
        <f t="shared" ref="QB5:QB7" si="253">QA5-PZ5</f>
        <v>12</v>
      </c>
      <c r="QD5" s="5">
        <v>35</v>
      </c>
      <c r="QE5" s="5"/>
      <c r="QF5" s="5">
        <f t="shared" si="29"/>
        <v>1</v>
      </c>
      <c r="QG5" s="5">
        <v>1</v>
      </c>
      <c r="QH5" s="41">
        <f t="shared" ref="QH5:QH7" si="254">QG5-QF5</f>
        <v>0</v>
      </c>
      <c r="QJ5" s="5">
        <v>28</v>
      </c>
      <c r="QK5" s="5"/>
      <c r="QL5" s="5">
        <f t="shared" si="30"/>
        <v>7</v>
      </c>
      <c r="QM5" s="5"/>
      <c r="QN5" s="41">
        <f t="shared" ref="QN5:QN7" si="255">QM5-QL5</f>
        <v>-7</v>
      </c>
      <c r="QP5" s="5">
        <v>25</v>
      </c>
      <c r="QQ5" s="5"/>
      <c r="QR5" s="5">
        <f t="shared" si="31"/>
        <v>3</v>
      </c>
      <c r="QS5" s="5">
        <v>3</v>
      </c>
      <c r="QT5" s="41">
        <f t="shared" ref="QT5:QT7" si="256">QS5-QR5</f>
        <v>0</v>
      </c>
      <c r="QV5" s="5">
        <v>29</v>
      </c>
      <c r="QW5" s="5"/>
      <c r="QX5" s="5">
        <f t="shared" si="32"/>
        <v>-4</v>
      </c>
      <c r="QY5" s="5">
        <v>2</v>
      </c>
      <c r="QZ5" s="41">
        <f t="shared" ref="QZ5:QZ7" si="257">QY5-QX5</f>
        <v>6</v>
      </c>
      <c r="RB5" s="5">
        <v>8</v>
      </c>
      <c r="RC5" s="5"/>
      <c r="RD5" s="5">
        <f t="shared" si="33"/>
        <v>21</v>
      </c>
      <c r="RE5" s="5"/>
      <c r="RF5" s="41">
        <f t="shared" ref="RF5:RF7" si="258">RE5-RD5</f>
        <v>-21</v>
      </c>
      <c r="RH5" s="5">
        <v>0</v>
      </c>
      <c r="RI5" s="5">
        <v>24</v>
      </c>
      <c r="RJ5" s="5">
        <f t="shared" si="34"/>
        <v>8</v>
      </c>
      <c r="RK5" s="5"/>
      <c r="RL5" s="41">
        <f t="shared" ref="RL5:RL7" si="259">RK5-RJ5</f>
        <v>-8</v>
      </c>
      <c r="RN5" s="5">
        <v>23</v>
      </c>
      <c r="RO5" s="5"/>
      <c r="RP5" s="5">
        <f t="shared" si="35"/>
        <v>1</v>
      </c>
      <c r="RQ5" s="5">
        <v>1</v>
      </c>
      <c r="RR5" s="41">
        <f t="shared" ref="RR5:RR7" si="260">RQ5-RP5</f>
        <v>0</v>
      </c>
      <c r="RT5" s="5">
        <v>16</v>
      </c>
      <c r="RU5" s="5"/>
      <c r="RV5" s="5">
        <f t="shared" si="36"/>
        <v>7</v>
      </c>
      <c r="RW5" s="5">
        <v>6</v>
      </c>
      <c r="RX5" s="41">
        <f t="shared" ref="RX5:RX7" si="261">RW5-RV5</f>
        <v>-1</v>
      </c>
      <c r="RZ5" s="5">
        <v>16</v>
      </c>
      <c r="SA5" s="5"/>
      <c r="SB5" s="5">
        <f t="shared" si="37"/>
        <v>0</v>
      </c>
      <c r="SC5" s="5"/>
      <c r="SD5" s="41">
        <f t="shared" ref="SD5:SD7" si="262">SC5-SB5</f>
        <v>0</v>
      </c>
      <c r="SF5" s="5">
        <v>11</v>
      </c>
      <c r="SG5" s="5"/>
      <c r="SH5" s="5">
        <f t="shared" si="38"/>
        <v>5</v>
      </c>
      <c r="SI5" s="5">
        <v>5</v>
      </c>
      <c r="SJ5" s="41">
        <f t="shared" ref="SJ5:SJ7" si="263">SI5-SH5</f>
        <v>0</v>
      </c>
      <c r="SL5" s="5">
        <v>8</v>
      </c>
      <c r="SM5" s="5">
        <v>24</v>
      </c>
      <c r="SN5" s="5">
        <f t="shared" si="39"/>
        <v>3</v>
      </c>
      <c r="SO5" s="5">
        <v>3</v>
      </c>
      <c r="SP5" s="41">
        <f t="shared" ref="SP5:SP7" si="264">SO5-SN5</f>
        <v>0</v>
      </c>
      <c r="SR5" s="5">
        <v>30</v>
      </c>
      <c r="SS5" s="5"/>
      <c r="ST5" s="5">
        <f t="shared" si="40"/>
        <v>2</v>
      </c>
      <c r="SU5" s="5">
        <v>2</v>
      </c>
      <c r="SV5" s="41">
        <f t="shared" ref="SV5:SV7" si="265">SU5-ST5</f>
        <v>0</v>
      </c>
      <c r="SX5" s="5">
        <v>26</v>
      </c>
      <c r="SY5" s="5"/>
      <c r="SZ5" s="5">
        <f t="shared" si="41"/>
        <v>4</v>
      </c>
      <c r="TA5" s="5">
        <v>4</v>
      </c>
      <c r="TB5" s="41">
        <f t="shared" ref="TB5:TB7" si="266">TA5-SZ5</f>
        <v>0</v>
      </c>
      <c r="TD5" s="5">
        <v>23</v>
      </c>
      <c r="TE5" s="5"/>
      <c r="TF5" s="5">
        <f t="shared" si="42"/>
        <v>3</v>
      </c>
      <c r="TG5" s="5">
        <v>1</v>
      </c>
      <c r="TH5" s="41">
        <f t="shared" ref="TH5:TH7" si="267">TG5-TF5</f>
        <v>-2</v>
      </c>
      <c r="TJ5" s="5">
        <v>18</v>
      </c>
      <c r="TK5" s="5"/>
      <c r="TL5" s="5">
        <f t="shared" si="43"/>
        <v>5</v>
      </c>
      <c r="TM5" s="5">
        <v>6</v>
      </c>
      <c r="TN5" s="41">
        <f t="shared" ref="TN5:TN7" si="268">TM5-TL5</f>
        <v>1</v>
      </c>
      <c r="TP5" s="5">
        <v>15</v>
      </c>
      <c r="TQ5" s="5"/>
      <c r="TR5" s="5">
        <f t="shared" si="44"/>
        <v>3</v>
      </c>
      <c r="TS5" s="5"/>
      <c r="TT5" s="41">
        <f t="shared" ref="TT5:TT7" si="269">TS5-TR5</f>
        <v>-3</v>
      </c>
      <c r="TV5" s="5">
        <v>13</v>
      </c>
      <c r="TW5" s="5"/>
      <c r="TX5" s="5">
        <f t="shared" si="45"/>
        <v>2</v>
      </c>
      <c r="TY5" s="5">
        <v>1</v>
      </c>
      <c r="TZ5" s="41">
        <f t="shared" ref="TZ5:TZ7" si="270">TY5-TX5</f>
        <v>-1</v>
      </c>
      <c r="UB5" s="5">
        <v>11</v>
      </c>
      <c r="UC5" s="5"/>
      <c r="UD5" s="5">
        <f t="shared" si="46"/>
        <v>2</v>
      </c>
      <c r="UE5" s="5"/>
      <c r="UF5" s="41">
        <f t="shared" ref="UF5:UF7" si="271">UE5-UD5</f>
        <v>-2</v>
      </c>
      <c r="UH5" s="5">
        <v>6</v>
      </c>
      <c r="UI5" s="5">
        <v>24</v>
      </c>
      <c r="UJ5" s="5">
        <f t="shared" si="47"/>
        <v>5</v>
      </c>
      <c r="UK5" s="5">
        <v>0</v>
      </c>
      <c r="UL5" s="41">
        <f t="shared" ref="UL5:UL7" si="272">UK5-UJ5</f>
        <v>-5</v>
      </c>
      <c r="UN5" s="5">
        <v>33</v>
      </c>
      <c r="UO5" s="5"/>
      <c r="UP5" s="5">
        <f t="shared" si="48"/>
        <v>-3</v>
      </c>
      <c r="UQ5" s="5">
        <v>1</v>
      </c>
      <c r="UR5" s="41">
        <f t="shared" ref="UR5:UR7" si="273">UQ5-UP5</f>
        <v>4</v>
      </c>
      <c r="UT5" s="5">
        <v>31</v>
      </c>
      <c r="UU5" s="5"/>
      <c r="UV5" s="5">
        <f t="shared" si="49"/>
        <v>2</v>
      </c>
      <c r="UW5" s="5">
        <v>2</v>
      </c>
      <c r="UX5" s="41">
        <f t="shared" ref="UX5:UX7" si="274">UW5-UV5</f>
        <v>0</v>
      </c>
      <c r="UZ5" s="5">
        <v>30</v>
      </c>
      <c r="VA5" s="5"/>
      <c r="VB5" s="5">
        <f t="shared" si="50"/>
        <v>1</v>
      </c>
      <c r="VC5" s="5">
        <v>0</v>
      </c>
      <c r="VD5" s="41">
        <f t="shared" ref="VD5:VD7" si="275">VC5-VB5</f>
        <v>-1</v>
      </c>
      <c r="VF5" s="5">
        <v>25</v>
      </c>
      <c r="VG5" s="5"/>
      <c r="VH5" s="5">
        <f t="shared" si="51"/>
        <v>5</v>
      </c>
      <c r="VI5" s="5">
        <v>6</v>
      </c>
      <c r="VJ5" s="41">
        <f t="shared" ref="VJ5:VJ7" si="276">VI5-VH5</f>
        <v>1</v>
      </c>
      <c r="VL5" s="5">
        <v>19</v>
      </c>
      <c r="VM5" s="5"/>
      <c r="VN5" s="5">
        <f t="shared" si="52"/>
        <v>6</v>
      </c>
      <c r="VO5" s="5"/>
      <c r="VP5" s="41">
        <f t="shared" ref="VP5:VP7" si="277">VO5-VN5</f>
        <v>-6</v>
      </c>
      <c r="VR5" s="5">
        <v>17</v>
      </c>
      <c r="VS5" s="5"/>
      <c r="VT5" s="5">
        <f t="shared" si="53"/>
        <v>2</v>
      </c>
      <c r="VU5" s="5"/>
      <c r="VV5" s="41">
        <f t="shared" ref="VV5:VV7" si="278">VU5-VT5</f>
        <v>-2</v>
      </c>
      <c r="VX5" s="5">
        <v>11</v>
      </c>
      <c r="VY5" s="5"/>
      <c r="VZ5" s="5">
        <f t="shared" si="54"/>
        <v>6</v>
      </c>
      <c r="WA5" s="5"/>
      <c r="WB5" s="41">
        <f t="shared" ref="WB5:WB7" si="279">WA5-VZ5</f>
        <v>-6</v>
      </c>
      <c r="WD5" s="5">
        <v>10</v>
      </c>
      <c r="WE5" s="5">
        <v>24</v>
      </c>
      <c r="WF5" s="5">
        <f t="shared" si="55"/>
        <v>1</v>
      </c>
      <c r="WG5" s="5"/>
      <c r="WH5" s="41">
        <f t="shared" ref="WH5:WH7" si="280">WG5-WF5</f>
        <v>-1</v>
      </c>
      <c r="WJ5" s="5">
        <v>28</v>
      </c>
      <c r="WK5" s="5"/>
      <c r="WL5" s="5">
        <f t="shared" si="56"/>
        <v>6</v>
      </c>
      <c r="WM5" s="5">
        <v>4</v>
      </c>
      <c r="WN5" s="41">
        <f t="shared" ref="WN5:WN7" si="281">WM5-WL5</f>
        <v>-2</v>
      </c>
      <c r="WP5" s="5">
        <v>23</v>
      </c>
      <c r="WQ5" s="5"/>
      <c r="WR5" s="5">
        <f t="shared" si="57"/>
        <v>5</v>
      </c>
      <c r="WS5" s="5">
        <v>3</v>
      </c>
      <c r="WT5" s="41">
        <f t="shared" ref="WT5:WT7" si="282">WS5-WR5</f>
        <v>-2</v>
      </c>
      <c r="WV5" s="5">
        <v>18</v>
      </c>
      <c r="WW5" s="5"/>
      <c r="WX5" s="5">
        <f t="shared" si="58"/>
        <v>5</v>
      </c>
      <c r="WY5" s="5">
        <v>5</v>
      </c>
      <c r="WZ5" s="41">
        <f t="shared" ref="WZ5:WZ7" si="283">WY5-WX5</f>
        <v>0</v>
      </c>
      <c r="XB5" s="5">
        <v>17</v>
      </c>
      <c r="XC5" s="5">
        <v>24</v>
      </c>
      <c r="XD5" s="5">
        <f t="shared" si="59"/>
        <v>1</v>
      </c>
      <c r="XE5" s="5">
        <v>1</v>
      </c>
      <c r="XF5" s="41">
        <f t="shared" ref="XF5:XF7" si="284">XE5-XD5</f>
        <v>0</v>
      </c>
      <c r="XH5" s="5">
        <v>39</v>
      </c>
      <c r="XI5" s="5"/>
      <c r="XJ5" s="5">
        <f t="shared" si="60"/>
        <v>2</v>
      </c>
      <c r="XK5" s="5">
        <v>2</v>
      </c>
      <c r="XL5" s="41">
        <f t="shared" ref="XL5:XL7" si="285">XK5-XJ5</f>
        <v>0</v>
      </c>
      <c r="XN5" s="5">
        <v>36</v>
      </c>
      <c r="XO5" s="5"/>
      <c r="XP5" s="5">
        <f t="shared" si="61"/>
        <v>3</v>
      </c>
      <c r="XQ5" s="5">
        <v>4</v>
      </c>
      <c r="XR5" s="41">
        <f t="shared" ref="XR5:XR7" si="286">XQ5-XP5</f>
        <v>1</v>
      </c>
      <c r="XT5" s="5">
        <v>33</v>
      </c>
      <c r="XU5" s="5"/>
      <c r="XV5" s="5">
        <f t="shared" si="62"/>
        <v>3</v>
      </c>
      <c r="XW5" s="5">
        <v>4</v>
      </c>
      <c r="XX5" s="41">
        <f t="shared" ref="XX5:XX7" si="287">XW5-XV5</f>
        <v>1</v>
      </c>
      <c r="XZ5" s="5">
        <v>33</v>
      </c>
      <c r="YA5" s="5"/>
      <c r="YB5" s="5">
        <f t="shared" si="63"/>
        <v>0</v>
      </c>
      <c r="YC5" s="5">
        <v>0</v>
      </c>
      <c r="YD5" s="41">
        <f t="shared" ref="YD5:YD7" si="288">YC5-YB5</f>
        <v>0</v>
      </c>
      <c r="YF5" s="5">
        <v>29</v>
      </c>
      <c r="YG5" s="5"/>
      <c r="YH5" s="5">
        <f t="shared" si="64"/>
        <v>4</v>
      </c>
      <c r="YI5" s="5"/>
      <c r="YJ5" s="41">
        <f t="shared" ref="YJ5:YJ7" si="289">YI5-YH5</f>
        <v>-4</v>
      </c>
      <c r="YL5" s="5">
        <v>28</v>
      </c>
      <c r="YM5" s="5"/>
      <c r="YN5" s="5">
        <f t="shared" si="65"/>
        <v>1</v>
      </c>
      <c r="YO5" s="5"/>
      <c r="YP5" s="41">
        <f t="shared" ref="YP5:YP7" si="290">YO5-YN5</f>
        <v>-1</v>
      </c>
      <c r="YR5" s="5">
        <v>23</v>
      </c>
      <c r="YS5" s="5"/>
      <c r="YT5" s="5">
        <f t="shared" si="66"/>
        <v>5</v>
      </c>
      <c r="YU5" s="5"/>
      <c r="YV5" s="41">
        <f t="shared" ref="YV5:YV7" si="291">YU5-YT5</f>
        <v>-5</v>
      </c>
      <c r="YX5" s="5">
        <v>20</v>
      </c>
      <c r="YY5" s="5"/>
      <c r="YZ5" s="5">
        <f t="shared" si="67"/>
        <v>3</v>
      </c>
      <c r="ZA5" s="5">
        <v>1</v>
      </c>
      <c r="ZB5" s="41">
        <f t="shared" ref="ZB5:ZB7" si="292">ZA5-YZ5</f>
        <v>-2</v>
      </c>
      <c r="ZD5" s="5">
        <v>20</v>
      </c>
      <c r="ZE5" s="5"/>
      <c r="ZF5" s="5">
        <f t="shared" si="68"/>
        <v>0</v>
      </c>
      <c r="ZG5" s="5">
        <v>0</v>
      </c>
      <c r="ZH5" s="41">
        <f t="shared" ref="ZH5:ZH7" si="293">ZG5-ZF5</f>
        <v>0</v>
      </c>
      <c r="ZJ5" s="5">
        <v>19</v>
      </c>
      <c r="ZK5" s="5"/>
      <c r="ZL5" s="5">
        <f t="shared" si="69"/>
        <v>1</v>
      </c>
      <c r="ZM5" s="5"/>
      <c r="ZN5" s="41">
        <f t="shared" ref="ZN5:ZN7" si="294">ZM5-ZL5</f>
        <v>-1</v>
      </c>
      <c r="ZP5" s="5">
        <v>11</v>
      </c>
      <c r="ZQ5" s="5">
        <v>24</v>
      </c>
      <c r="ZR5" s="5">
        <f t="shared" si="70"/>
        <v>8</v>
      </c>
      <c r="ZS5" s="5">
        <v>9</v>
      </c>
      <c r="ZT5" s="41">
        <f t="shared" ref="ZT5:ZT7" si="295">ZS5-ZR5</f>
        <v>1</v>
      </c>
      <c r="ZV5" s="5">
        <v>33</v>
      </c>
      <c r="ZW5" s="5"/>
      <c r="ZX5" s="5">
        <f t="shared" si="71"/>
        <v>2</v>
      </c>
      <c r="ZY5" s="5">
        <v>1</v>
      </c>
      <c r="ZZ5" s="41">
        <f t="shared" ref="ZZ5:ZZ7" si="296">ZY5-ZX5</f>
        <v>-1</v>
      </c>
      <c r="AAB5" s="5">
        <v>32</v>
      </c>
      <c r="AAC5" s="5"/>
      <c r="AAD5" s="5">
        <f t="shared" si="72"/>
        <v>1</v>
      </c>
      <c r="AAE5" s="5"/>
      <c r="AAF5" s="41">
        <f t="shared" ref="AAF5:AAF7" si="297">AAE5-AAD5</f>
        <v>-1</v>
      </c>
      <c r="AAH5" s="5">
        <v>32</v>
      </c>
      <c r="AAI5" s="5"/>
      <c r="AAJ5" s="5">
        <f t="shared" si="73"/>
        <v>0</v>
      </c>
      <c r="AAK5" s="5">
        <v>0</v>
      </c>
      <c r="AAL5" s="41">
        <f t="shared" ref="AAL5:AAL7" si="298">AAK5-AAJ5</f>
        <v>0</v>
      </c>
      <c r="AAN5" s="5">
        <v>32</v>
      </c>
      <c r="AAO5" s="5"/>
      <c r="AAP5" s="5">
        <f t="shared" si="74"/>
        <v>0</v>
      </c>
      <c r="AAQ5" s="5">
        <v>0</v>
      </c>
      <c r="AAR5" s="41">
        <f t="shared" ref="AAR5:AAR7" si="299">AAQ5-AAP5</f>
        <v>0</v>
      </c>
      <c r="AAT5" s="5">
        <v>29</v>
      </c>
      <c r="AAU5" s="5"/>
      <c r="AAV5" s="5">
        <f t="shared" si="75"/>
        <v>3</v>
      </c>
      <c r="AAW5" s="5">
        <v>1</v>
      </c>
      <c r="AAX5" s="41">
        <f t="shared" ref="AAX5:AAX7" si="300">AAW5-AAV5</f>
        <v>-2</v>
      </c>
      <c r="AAZ5" s="5">
        <v>29</v>
      </c>
      <c r="ABA5" s="5"/>
      <c r="ABB5" s="5">
        <f t="shared" si="76"/>
        <v>0</v>
      </c>
      <c r="ABC5" s="5">
        <v>0</v>
      </c>
      <c r="ABD5" s="41">
        <f t="shared" ref="ABD5:ABD7" si="301">ABC5-ABB5</f>
        <v>0</v>
      </c>
      <c r="ABF5" s="5">
        <v>28</v>
      </c>
      <c r="ABG5" s="5"/>
      <c r="ABH5" s="5">
        <f t="shared" si="77"/>
        <v>1</v>
      </c>
      <c r="ABI5" s="5">
        <v>1</v>
      </c>
      <c r="ABJ5" s="41">
        <f t="shared" ref="ABJ5:ABJ7" si="302">ABI5-ABH5</f>
        <v>0</v>
      </c>
      <c r="ABL5" s="5">
        <v>25</v>
      </c>
      <c r="ABM5" s="5"/>
      <c r="ABN5" s="5">
        <f t="shared" si="78"/>
        <v>3</v>
      </c>
      <c r="ABO5" s="5">
        <v>2</v>
      </c>
      <c r="ABP5" s="41">
        <f t="shared" ref="ABP5:ABP7" si="303">ABO5-ABN5</f>
        <v>-1</v>
      </c>
      <c r="ABR5" s="5">
        <v>12</v>
      </c>
      <c r="ABS5" s="5"/>
      <c r="ABT5" s="5">
        <f t="shared" si="79"/>
        <v>13</v>
      </c>
      <c r="ABU5" s="5">
        <v>0</v>
      </c>
      <c r="ABV5" s="41">
        <f t="shared" ref="ABV5:ABV7" si="304">ABU5-ABT5</f>
        <v>-13</v>
      </c>
      <c r="ABX5" s="5">
        <v>6</v>
      </c>
      <c r="ABY5" s="5"/>
      <c r="ABZ5" s="5">
        <f t="shared" si="80"/>
        <v>6</v>
      </c>
      <c r="ACA5" s="5">
        <v>3</v>
      </c>
      <c r="ACB5" s="41">
        <f t="shared" ref="ACB5:ACB7" si="305">ACA5-ABZ5</f>
        <v>-3</v>
      </c>
      <c r="ACD5" s="5">
        <v>6</v>
      </c>
      <c r="ACE5" s="5"/>
      <c r="ACF5" s="5">
        <f t="shared" si="81"/>
        <v>0</v>
      </c>
      <c r="ACG5" s="5">
        <v>0</v>
      </c>
      <c r="ACH5" s="41">
        <f t="shared" ref="ACH5:ACH7" si="306">ACG5-ACF5</f>
        <v>0</v>
      </c>
      <c r="ACJ5" s="5">
        <v>3</v>
      </c>
      <c r="ACK5" s="5">
        <v>24</v>
      </c>
      <c r="ACL5" s="5">
        <f t="shared" si="82"/>
        <v>3</v>
      </c>
      <c r="ACM5" s="5">
        <v>4</v>
      </c>
      <c r="ACN5" s="41">
        <f t="shared" ref="ACN5:ACN7" si="307">ACM5-ACL5</f>
        <v>1</v>
      </c>
      <c r="ACP5" s="5">
        <v>26</v>
      </c>
      <c r="ACQ5" s="5"/>
      <c r="ACR5" s="5">
        <f t="shared" si="83"/>
        <v>1</v>
      </c>
      <c r="ACS5" s="5">
        <v>2</v>
      </c>
      <c r="ACT5" s="41">
        <f t="shared" ref="ACT5:ACT7" si="308">ACS5-ACR5</f>
        <v>1</v>
      </c>
      <c r="ACV5" s="5">
        <v>21</v>
      </c>
      <c r="ACW5" s="5"/>
      <c r="ACX5" s="5">
        <f t="shared" si="84"/>
        <v>5</v>
      </c>
      <c r="ACY5" s="5">
        <v>4</v>
      </c>
      <c r="ACZ5" s="41">
        <f t="shared" ref="ACZ5:ACZ7" si="309">ACY5-ACX5</f>
        <v>-1</v>
      </c>
      <c r="ADB5" s="5">
        <v>17</v>
      </c>
      <c r="ADC5" s="5"/>
      <c r="ADD5" s="5">
        <f t="shared" si="85"/>
        <v>4</v>
      </c>
      <c r="ADE5" s="5">
        <v>5</v>
      </c>
      <c r="ADF5" s="41">
        <f t="shared" ref="ADF5:ADF7" si="310">ADE5-ADD5</f>
        <v>1</v>
      </c>
      <c r="ADH5" s="5">
        <v>17</v>
      </c>
      <c r="ADI5" s="5"/>
      <c r="ADJ5" s="5">
        <f t="shared" si="86"/>
        <v>0</v>
      </c>
      <c r="ADK5" s="5">
        <v>5</v>
      </c>
      <c r="ADL5" s="41">
        <f t="shared" ref="ADL5:ADL7" si="311">ADK5-ADJ5</f>
        <v>5</v>
      </c>
      <c r="ADN5" s="5">
        <v>16</v>
      </c>
      <c r="ADO5" s="5"/>
      <c r="ADP5" s="5">
        <f t="shared" si="87"/>
        <v>1</v>
      </c>
      <c r="ADQ5" s="5"/>
      <c r="ADR5" s="41">
        <f t="shared" ref="ADR5:ADR7" si="312">ADQ5-ADP5</f>
        <v>-1</v>
      </c>
      <c r="ADT5" s="5">
        <v>12</v>
      </c>
      <c r="ADU5" s="5">
        <v>24</v>
      </c>
      <c r="ADV5" s="5">
        <f t="shared" si="88"/>
        <v>4</v>
      </c>
      <c r="ADW5" s="5">
        <v>5</v>
      </c>
      <c r="ADX5" s="41">
        <f t="shared" ref="ADX5:ADX7" si="313">ADW5-ADV5</f>
        <v>1</v>
      </c>
      <c r="ADZ5" s="5">
        <v>36</v>
      </c>
      <c r="AEA5" s="5"/>
      <c r="AEB5" s="5">
        <f t="shared" si="89"/>
        <v>0</v>
      </c>
      <c r="AEC5" s="5">
        <v>0</v>
      </c>
      <c r="AED5" s="41">
        <f t="shared" ref="AED5:AED7" si="314">AEC5-AEB5</f>
        <v>0</v>
      </c>
      <c r="AEF5" s="5">
        <v>35</v>
      </c>
      <c r="AEG5" s="5"/>
      <c r="AEH5" s="5">
        <f t="shared" si="90"/>
        <v>1</v>
      </c>
      <c r="AEI5" s="5">
        <v>2</v>
      </c>
      <c r="AEJ5" s="41">
        <f t="shared" ref="AEJ5:AEJ7" si="315">AEI5-AEH5</f>
        <v>1</v>
      </c>
      <c r="AEL5" s="5">
        <v>33</v>
      </c>
      <c r="AEM5" s="5"/>
      <c r="AEN5" s="5">
        <f t="shared" si="91"/>
        <v>2</v>
      </c>
      <c r="AEO5" s="5">
        <v>7</v>
      </c>
      <c r="AEP5" s="41">
        <f t="shared" ref="AEP5:AEP7" si="316">AEO5-AEN5</f>
        <v>5</v>
      </c>
      <c r="AER5" s="5">
        <v>24</v>
      </c>
      <c r="AES5" s="5"/>
      <c r="AET5" s="5">
        <f t="shared" si="92"/>
        <v>9</v>
      </c>
      <c r="AEU5" s="5"/>
      <c r="AEV5" s="41">
        <f t="shared" ref="AEV5:AEV7" si="317">AEU5-AET5</f>
        <v>-9</v>
      </c>
      <c r="AEX5" s="5">
        <v>19</v>
      </c>
      <c r="AEY5" s="5"/>
      <c r="AEZ5" s="5">
        <f t="shared" si="93"/>
        <v>5</v>
      </c>
      <c r="AFA5" s="5">
        <v>11</v>
      </c>
      <c r="AFB5" s="41">
        <f t="shared" ref="AFB5:AFB7" si="318">AFA5-AEZ5</f>
        <v>6</v>
      </c>
      <c r="AFD5" s="5">
        <v>12</v>
      </c>
      <c r="AFE5" s="5">
        <v>24</v>
      </c>
      <c r="AFF5" s="5">
        <f t="shared" si="94"/>
        <v>7</v>
      </c>
      <c r="AFG5" s="5">
        <v>8</v>
      </c>
      <c r="AFH5" s="41">
        <f t="shared" ref="AFH5:AFH7" si="319">AFG5-AFF5</f>
        <v>1</v>
      </c>
      <c r="AFJ5" s="5">
        <v>31</v>
      </c>
      <c r="AFK5" s="5"/>
      <c r="AFL5" s="5">
        <f t="shared" si="95"/>
        <v>5</v>
      </c>
      <c r="AFM5" s="5">
        <v>4</v>
      </c>
      <c r="AFN5" s="41">
        <f t="shared" ref="AFN5:AFN7" si="320">AFM5-AFL5</f>
        <v>-1</v>
      </c>
      <c r="AFP5" s="5">
        <v>28</v>
      </c>
      <c r="AFQ5" s="5"/>
      <c r="AFR5" s="5">
        <f t="shared" si="96"/>
        <v>3</v>
      </c>
      <c r="AFS5" s="5">
        <v>2</v>
      </c>
      <c r="AFT5" s="41">
        <f t="shared" ref="AFT5:AFT7" si="321">AFS5-AFR5</f>
        <v>-1</v>
      </c>
      <c r="AFV5" s="5">
        <v>27</v>
      </c>
      <c r="AFW5" s="5"/>
      <c r="AFX5" s="5">
        <f t="shared" si="97"/>
        <v>1</v>
      </c>
      <c r="AFY5" s="5"/>
      <c r="AFZ5" s="41">
        <f t="shared" ref="AFZ5:AFZ7" si="322">AFY5-AFX5</f>
        <v>-1</v>
      </c>
      <c r="AGB5" s="5">
        <v>23</v>
      </c>
      <c r="AGC5" s="5"/>
      <c r="AGD5" s="5">
        <f t="shared" si="98"/>
        <v>4</v>
      </c>
      <c r="AGE5" s="5">
        <v>5</v>
      </c>
      <c r="AGF5" s="41">
        <f t="shared" ref="AGF5:AGF7" si="323">AGE5-AGD5</f>
        <v>1</v>
      </c>
      <c r="AGH5" s="5">
        <v>23</v>
      </c>
      <c r="AGI5" s="5"/>
      <c r="AGJ5" s="5">
        <f t="shared" si="99"/>
        <v>0</v>
      </c>
      <c r="AGK5" s="5"/>
      <c r="AGL5" s="41">
        <f t="shared" ref="AGL5:AGL7" si="324">AGK5-AGJ5</f>
        <v>0</v>
      </c>
      <c r="AGN5" s="5">
        <v>18</v>
      </c>
      <c r="AGO5" s="5"/>
      <c r="AGP5" s="5">
        <f t="shared" si="100"/>
        <v>5</v>
      </c>
      <c r="AGQ5" s="5"/>
      <c r="AGR5" s="41">
        <f t="shared" ref="AGR5:AGR7" si="325">AGQ5-AGP5</f>
        <v>-5</v>
      </c>
      <c r="AGT5" s="5">
        <v>16</v>
      </c>
      <c r="AGU5" s="5"/>
      <c r="AGV5" s="5">
        <f t="shared" si="101"/>
        <v>2</v>
      </c>
      <c r="AGW5" s="5"/>
      <c r="AGX5" s="41">
        <f t="shared" ref="AGX5:AGX7" si="326">AGW5-AGV5</f>
        <v>-2</v>
      </c>
      <c r="AGZ5" s="5">
        <v>11</v>
      </c>
      <c r="AHA5" s="5">
        <v>24</v>
      </c>
      <c r="AHB5" s="5">
        <f t="shared" si="102"/>
        <v>5</v>
      </c>
      <c r="AHC5" s="5"/>
      <c r="AHD5" s="41">
        <f t="shared" ref="AHD5:AHD7" si="327">AHC5-AHB5</f>
        <v>-5</v>
      </c>
      <c r="AHF5" s="5">
        <v>24</v>
      </c>
      <c r="AHG5" s="5"/>
      <c r="AHH5" s="5">
        <f t="shared" si="103"/>
        <v>11</v>
      </c>
      <c r="AHI5" s="5"/>
      <c r="AHJ5" s="41">
        <f t="shared" ref="AHJ5:AHJ7" si="328">AHI5-AHH5</f>
        <v>-11</v>
      </c>
      <c r="AHL5" s="5">
        <v>19</v>
      </c>
      <c r="AHM5" s="5"/>
      <c r="AHN5" s="5">
        <f t="shared" si="104"/>
        <v>5</v>
      </c>
      <c r="AHO5" s="5"/>
      <c r="AHP5" s="41">
        <f t="shared" ref="AHP5:AHP7" si="329">AHO5-AHN5</f>
        <v>-5</v>
      </c>
      <c r="AHR5" s="5">
        <v>19</v>
      </c>
      <c r="AHS5" s="5"/>
      <c r="AHT5" s="5">
        <f t="shared" si="105"/>
        <v>0</v>
      </c>
      <c r="AHU5" s="5"/>
      <c r="AHV5" s="41">
        <f t="shared" ref="AHV5:AHV7" si="330">AHU5-AHT5</f>
        <v>0</v>
      </c>
      <c r="AHX5" s="5">
        <v>14</v>
      </c>
      <c r="AHY5" s="5"/>
      <c r="AHZ5" s="5">
        <f t="shared" si="106"/>
        <v>5</v>
      </c>
      <c r="AIA5" s="5">
        <v>4</v>
      </c>
      <c r="AIB5" s="41">
        <f t="shared" ref="AIB5:AIB7" si="331">AIA5-AHZ5</f>
        <v>-1</v>
      </c>
      <c r="AID5" s="5">
        <v>14</v>
      </c>
      <c r="AIE5" s="5"/>
      <c r="AIF5" s="5">
        <f t="shared" si="107"/>
        <v>0</v>
      </c>
      <c r="AIG5" s="5"/>
      <c r="AIH5" s="41">
        <f t="shared" ref="AIH5:AIH7" si="332">AIG5-AIF5</f>
        <v>0</v>
      </c>
      <c r="AIJ5" s="5">
        <v>14</v>
      </c>
      <c r="AIK5" s="5">
        <v>24</v>
      </c>
      <c r="AIL5" s="5">
        <f t="shared" si="108"/>
        <v>0</v>
      </c>
      <c r="AIM5" s="5"/>
      <c r="AIN5" s="41">
        <f t="shared" ref="AIN5:AIN7" si="333">AIM5-AIL5</f>
        <v>0</v>
      </c>
      <c r="AIP5" s="5">
        <v>35</v>
      </c>
      <c r="AIQ5" s="5"/>
      <c r="AIR5" s="5">
        <f t="shared" si="109"/>
        <v>3</v>
      </c>
      <c r="AIS5" s="5"/>
      <c r="AIT5" s="41">
        <f t="shared" ref="AIT5:AIT7" si="334">AIS5-AIR5</f>
        <v>-3</v>
      </c>
      <c r="AIV5" s="5">
        <v>31</v>
      </c>
      <c r="AIW5" s="5"/>
      <c r="AIX5" s="5">
        <f t="shared" si="110"/>
        <v>4</v>
      </c>
      <c r="AIY5" s="5"/>
      <c r="AIZ5" s="41">
        <f t="shared" ref="AIZ5:AIZ7" si="335">AIY5-AIX5</f>
        <v>-4</v>
      </c>
      <c r="AJB5" s="5">
        <v>28</v>
      </c>
      <c r="AJC5" s="5"/>
      <c r="AJD5" s="5">
        <f t="shared" si="111"/>
        <v>3</v>
      </c>
      <c r="AJE5" s="5"/>
      <c r="AJF5" s="41">
        <f t="shared" ref="AJF5:AJF7" si="336">AJE5-AJD5</f>
        <v>-3</v>
      </c>
      <c r="AJH5" s="5">
        <v>26</v>
      </c>
      <c r="AJI5" s="5"/>
      <c r="AJJ5" s="5">
        <f t="shared" si="112"/>
        <v>2</v>
      </c>
      <c r="AJK5" s="5"/>
      <c r="AJL5" s="41">
        <f t="shared" ref="AJL5:AJL7" si="337">AJK5-AJJ5</f>
        <v>-2</v>
      </c>
      <c r="AJN5" s="5">
        <v>28</v>
      </c>
      <c r="AJO5" s="5"/>
      <c r="AJP5" s="5">
        <f t="shared" si="113"/>
        <v>-2</v>
      </c>
      <c r="AJQ5" s="5"/>
      <c r="AJR5" s="41">
        <f t="shared" ref="AJR5:AJR7" si="338">AJQ5-AJP5</f>
        <v>2</v>
      </c>
      <c r="AJT5" s="5">
        <v>20</v>
      </c>
      <c r="AJU5" s="5"/>
      <c r="AJV5" s="5">
        <f t="shared" si="114"/>
        <v>8</v>
      </c>
      <c r="AJW5" s="5"/>
      <c r="AJX5" s="41">
        <f t="shared" ref="AJX5:AJX7" si="339">AJW5-AJV5</f>
        <v>-8</v>
      </c>
      <c r="AJZ5" s="5">
        <v>19</v>
      </c>
      <c r="AKA5" s="5"/>
      <c r="AKB5" s="5">
        <f t="shared" si="115"/>
        <v>1</v>
      </c>
      <c r="AKC5" s="5"/>
      <c r="AKD5" s="41">
        <f t="shared" ref="AKD5:AKD7" si="340">AKC5-AKB5</f>
        <v>-1</v>
      </c>
      <c r="AKF5" s="5">
        <v>18</v>
      </c>
      <c r="AKG5" s="5"/>
      <c r="AKH5" s="5">
        <f t="shared" si="116"/>
        <v>1</v>
      </c>
      <c r="AKI5" s="5"/>
      <c r="AKJ5" s="41">
        <f t="shared" ref="AKJ5:AKJ7" si="341">AKI5-AKH5</f>
        <v>-1</v>
      </c>
      <c r="AKL5" s="5">
        <v>15</v>
      </c>
      <c r="AKM5" s="5"/>
      <c r="AKN5" s="5">
        <f t="shared" si="117"/>
        <v>3</v>
      </c>
      <c r="AKO5" s="5"/>
      <c r="AKP5" s="41">
        <f t="shared" ref="AKP5:AKP7" si="342">AKO5-AKN5</f>
        <v>-3</v>
      </c>
      <c r="AKR5" s="5">
        <v>13</v>
      </c>
      <c r="AKS5" s="5"/>
      <c r="AKT5" s="5">
        <f t="shared" si="118"/>
        <v>2</v>
      </c>
      <c r="AKU5" s="5"/>
      <c r="AKV5" s="41">
        <f t="shared" ref="AKV5:AKV7" si="343">AKU5-AKT5</f>
        <v>-2</v>
      </c>
      <c r="AKX5" s="5">
        <v>12</v>
      </c>
      <c r="AKY5" s="5"/>
      <c r="AKZ5" s="5">
        <f t="shared" si="119"/>
        <v>1</v>
      </c>
      <c r="ALA5" s="5"/>
      <c r="ALB5" s="41">
        <f t="shared" ref="ALB5:ALB7" si="344">ALA5-AKZ5</f>
        <v>-1</v>
      </c>
      <c r="ALD5" s="5">
        <v>11</v>
      </c>
      <c r="ALE5" s="5"/>
      <c r="ALF5" s="5">
        <f t="shared" si="120"/>
        <v>1</v>
      </c>
      <c r="ALG5" s="5"/>
      <c r="ALH5" s="41">
        <f t="shared" ref="ALH5:ALH7" si="345">ALG5-ALF5</f>
        <v>-1</v>
      </c>
      <c r="ALJ5" s="5">
        <v>5</v>
      </c>
      <c r="ALK5" s="5"/>
      <c r="ALL5" s="5">
        <f t="shared" si="121"/>
        <v>6</v>
      </c>
      <c r="ALM5" s="5"/>
      <c r="ALN5" s="41">
        <f t="shared" ref="ALN5:ALN7" si="346">ALM5-ALL5</f>
        <v>-6</v>
      </c>
      <c r="ALP5" s="5">
        <v>5</v>
      </c>
      <c r="ALQ5" s="5"/>
      <c r="ALR5" s="5">
        <f t="shared" si="122"/>
        <v>0</v>
      </c>
      <c r="ALS5" s="5"/>
      <c r="ALT5" s="41">
        <f t="shared" ref="ALT5:ALT7" si="347">ALS5-ALR5</f>
        <v>0</v>
      </c>
      <c r="ALV5" s="5">
        <v>3</v>
      </c>
      <c r="ALW5" s="5">
        <v>24</v>
      </c>
      <c r="ALX5" s="5">
        <f t="shared" si="123"/>
        <v>2</v>
      </c>
      <c r="ALY5" s="5"/>
      <c r="ALZ5" s="41">
        <f t="shared" ref="ALZ5:ALZ7" si="348">ALY5-ALX5</f>
        <v>-2</v>
      </c>
      <c r="AMB5" s="5">
        <v>24</v>
      </c>
      <c r="AMC5" s="5"/>
      <c r="AMD5" s="5">
        <f t="shared" si="124"/>
        <v>3</v>
      </c>
      <c r="AME5" s="5"/>
      <c r="AMF5" s="41">
        <f t="shared" ref="AMF5:AMF7" si="349">AME5-AMD5</f>
        <v>-3</v>
      </c>
      <c r="AMH5" s="5">
        <v>24</v>
      </c>
      <c r="AMI5" s="5"/>
      <c r="AMJ5" s="5">
        <f t="shared" si="125"/>
        <v>0</v>
      </c>
      <c r="AMK5" s="5"/>
      <c r="AML5" s="41">
        <f t="shared" ref="AML5:AML7" si="350">AMK5-AMJ5</f>
        <v>0</v>
      </c>
      <c r="AMN5" s="5">
        <v>22</v>
      </c>
      <c r="AMO5" s="5"/>
      <c r="AMP5" s="5">
        <f t="shared" si="126"/>
        <v>2</v>
      </c>
      <c r="AMQ5" s="5"/>
      <c r="AMR5" s="41">
        <f t="shared" ref="AMR5:AMR7" si="351">AMQ5-AMP5</f>
        <v>-2</v>
      </c>
      <c r="AMT5" s="5">
        <v>18</v>
      </c>
      <c r="AMU5" s="5"/>
      <c r="AMV5" s="5">
        <f t="shared" si="127"/>
        <v>4</v>
      </c>
      <c r="AMW5" s="5"/>
      <c r="AMX5" s="41">
        <f t="shared" ref="AMX5:AMX7" si="352">AMW5-AMV5</f>
        <v>-4</v>
      </c>
      <c r="AMZ5" s="5">
        <v>16</v>
      </c>
      <c r="ANA5" s="5"/>
      <c r="ANB5" s="5">
        <f t="shared" si="128"/>
        <v>2</v>
      </c>
      <c r="ANC5" s="5"/>
      <c r="AND5" s="41">
        <f t="shared" ref="AND5:AND7" si="353">ANC5-ANB5</f>
        <v>-2</v>
      </c>
      <c r="ANF5" s="5">
        <v>16</v>
      </c>
      <c r="ANG5" s="5"/>
      <c r="ANH5" s="5">
        <f t="shared" si="129"/>
        <v>0</v>
      </c>
      <c r="ANI5" s="5"/>
      <c r="ANJ5" s="41">
        <f t="shared" ref="ANJ5:ANJ7" si="354">ANI5-ANH5</f>
        <v>0</v>
      </c>
      <c r="ANL5" s="5">
        <v>16</v>
      </c>
      <c r="ANM5" s="5"/>
      <c r="ANN5" s="5">
        <f t="shared" si="130"/>
        <v>0</v>
      </c>
      <c r="ANO5" s="5"/>
      <c r="ANP5" s="41">
        <f t="shared" ref="ANP5:ANP7" si="355">ANO5-ANN5</f>
        <v>0</v>
      </c>
      <c r="ANR5" s="5">
        <v>15</v>
      </c>
      <c r="ANS5" s="5"/>
      <c r="ANT5" s="5">
        <f t="shared" si="131"/>
        <v>1</v>
      </c>
      <c r="ANU5" s="5"/>
      <c r="ANV5" s="41">
        <f t="shared" ref="ANV5:ANV7" si="356">ANU5-ANT5</f>
        <v>-1</v>
      </c>
      <c r="ANX5" s="5">
        <v>11</v>
      </c>
      <c r="ANY5" s="5"/>
      <c r="ANZ5" s="5">
        <f t="shared" si="132"/>
        <v>4</v>
      </c>
      <c r="AOA5" s="5"/>
      <c r="AOB5" s="41">
        <f t="shared" ref="AOB5:AOB7" si="357">AOA5-ANZ5</f>
        <v>-4</v>
      </c>
      <c r="AOD5" s="5">
        <v>6</v>
      </c>
      <c r="AOE5" s="5">
        <v>24</v>
      </c>
      <c r="AOF5" s="5">
        <f t="shared" si="133"/>
        <v>5</v>
      </c>
      <c r="AOG5" s="5"/>
      <c r="AOH5" s="41">
        <f t="shared" ref="AOH5:AOH7" si="358">AOG5-AOF5</f>
        <v>-5</v>
      </c>
      <c r="AOJ5" s="5">
        <v>27</v>
      </c>
      <c r="AOK5" s="5"/>
      <c r="AOL5" s="5">
        <f t="shared" si="134"/>
        <v>3</v>
      </c>
      <c r="AOM5" s="5"/>
      <c r="AON5" s="41">
        <f t="shared" ref="AON5:AON7" si="359">AOM5-AOL5</f>
        <v>-3</v>
      </c>
      <c r="AOP5" s="5">
        <v>20</v>
      </c>
      <c r="AOQ5" s="5"/>
      <c r="AOR5" s="5"/>
      <c r="AOS5" s="5"/>
      <c r="AOT5" s="41"/>
      <c r="AOV5" s="5">
        <v>20</v>
      </c>
      <c r="AOW5" s="5"/>
      <c r="AOX5" s="5">
        <f t="shared" si="135"/>
        <v>0</v>
      </c>
      <c r="AOY5" s="5"/>
      <c r="AOZ5" s="41">
        <f t="shared" ref="AOZ5:AOZ7" si="360">AOY5-AOX5</f>
        <v>0</v>
      </c>
    </row>
    <row r="6" spans="1:1092" x14ac:dyDescent="0.25">
      <c r="A6" s="3" t="s">
        <v>55</v>
      </c>
      <c r="B6" s="86">
        <f t="shared" si="0"/>
        <v>3.6851851851851851</v>
      </c>
      <c r="C6" s="5">
        <v>24</v>
      </c>
      <c r="E6" s="5">
        <v>8</v>
      </c>
      <c r="F6" s="5"/>
      <c r="H6" s="5">
        <v>7</v>
      </c>
      <c r="I6" s="5"/>
      <c r="J6" s="5">
        <f t="shared" si="136"/>
        <v>1</v>
      </c>
      <c r="K6" s="5"/>
      <c r="L6" s="24">
        <f t="shared" si="137"/>
        <v>-1</v>
      </c>
      <c r="N6" s="5">
        <v>3</v>
      </c>
      <c r="O6" s="5">
        <v>1</v>
      </c>
      <c r="P6" s="5">
        <f t="shared" si="138"/>
        <v>4</v>
      </c>
      <c r="Q6" s="5">
        <v>4</v>
      </c>
      <c r="R6" s="24">
        <f t="shared" si="139"/>
        <v>0</v>
      </c>
      <c r="T6" s="5">
        <v>24</v>
      </c>
      <c r="U6" s="5"/>
      <c r="V6" s="5">
        <f t="shared" si="140"/>
        <v>3</v>
      </c>
      <c r="W6" s="5">
        <v>3</v>
      </c>
      <c r="X6" s="24">
        <f t="shared" si="141"/>
        <v>0</v>
      </c>
      <c r="Z6" s="5">
        <v>24</v>
      </c>
      <c r="AA6" s="5"/>
      <c r="AB6" s="5">
        <f t="shared" si="142"/>
        <v>0</v>
      </c>
      <c r="AC6" s="5"/>
      <c r="AD6" s="24">
        <f t="shared" si="143"/>
        <v>0</v>
      </c>
      <c r="AF6" s="5">
        <v>22</v>
      </c>
      <c r="AG6" s="5"/>
      <c r="AH6" s="5">
        <f t="shared" si="144"/>
        <v>2</v>
      </c>
      <c r="AI6" s="5">
        <v>2</v>
      </c>
      <c r="AJ6" s="24">
        <f t="shared" si="145"/>
        <v>0</v>
      </c>
      <c r="AL6" s="5">
        <v>19</v>
      </c>
      <c r="AM6" s="5"/>
      <c r="AN6" s="5">
        <f t="shared" si="146"/>
        <v>3</v>
      </c>
      <c r="AO6" s="5">
        <v>3</v>
      </c>
      <c r="AP6" s="24">
        <f t="shared" si="147"/>
        <v>0</v>
      </c>
      <c r="AR6" s="5">
        <v>12</v>
      </c>
      <c r="AS6" s="5"/>
      <c r="AT6" s="5">
        <f t="shared" si="148"/>
        <v>7</v>
      </c>
      <c r="AU6" s="5">
        <v>7</v>
      </c>
      <c r="AV6" s="24">
        <f t="shared" si="149"/>
        <v>0</v>
      </c>
      <c r="AX6" s="5">
        <v>12</v>
      </c>
      <c r="AY6" s="5">
        <v>24</v>
      </c>
      <c r="AZ6" s="5">
        <f t="shared" si="150"/>
        <v>0</v>
      </c>
      <c r="BA6" s="5"/>
      <c r="BB6" s="24">
        <f t="shared" si="151"/>
        <v>0</v>
      </c>
      <c r="BD6" s="5">
        <v>33</v>
      </c>
      <c r="BE6" s="5"/>
      <c r="BF6" s="5">
        <f t="shared" si="152"/>
        <v>3</v>
      </c>
      <c r="BG6" s="5">
        <v>3</v>
      </c>
      <c r="BH6" s="24">
        <f t="shared" si="153"/>
        <v>0</v>
      </c>
      <c r="BJ6" s="5">
        <v>31</v>
      </c>
      <c r="BK6" s="5"/>
      <c r="BL6" s="5">
        <f t="shared" si="154"/>
        <v>2</v>
      </c>
      <c r="BM6" s="5">
        <v>1</v>
      </c>
      <c r="BN6" s="24">
        <f t="shared" si="155"/>
        <v>-1</v>
      </c>
      <c r="BP6" s="5">
        <v>25</v>
      </c>
      <c r="BQ6" s="5"/>
      <c r="BR6" s="5">
        <f t="shared" si="156"/>
        <v>6</v>
      </c>
      <c r="BS6" s="5">
        <v>6</v>
      </c>
      <c r="BT6" s="24">
        <f t="shared" si="157"/>
        <v>0</v>
      </c>
      <c r="BV6" s="5">
        <v>25</v>
      </c>
      <c r="BW6" s="5"/>
      <c r="BX6" s="5">
        <f t="shared" si="158"/>
        <v>0</v>
      </c>
      <c r="BY6" s="5"/>
      <c r="BZ6" s="24">
        <f t="shared" si="159"/>
        <v>0</v>
      </c>
      <c r="CB6" s="5">
        <v>24</v>
      </c>
      <c r="CC6" s="5"/>
      <c r="CD6" s="5">
        <f t="shared" si="160"/>
        <v>1</v>
      </c>
      <c r="CE6" s="5">
        <v>2</v>
      </c>
      <c r="CF6" s="24">
        <f t="shared" si="161"/>
        <v>1</v>
      </c>
      <c r="CH6" s="5">
        <v>19</v>
      </c>
      <c r="CI6" s="5"/>
      <c r="CJ6" s="5">
        <f t="shared" si="162"/>
        <v>5</v>
      </c>
      <c r="CK6" s="5">
        <v>5</v>
      </c>
      <c r="CL6" s="24">
        <f t="shared" si="163"/>
        <v>0</v>
      </c>
      <c r="CN6" s="5">
        <v>13</v>
      </c>
      <c r="CO6" s="5"/>
      <c r="CP6" s="5">
        <f t="shared" si="164"/>
        <v>6</v>
      </c>
      <c r="CQ6" s="5">
        <v>6</v>
      </c>
      <c r="CR6" s="24">
        <f t="shared" si="165"/>
        <v>0</v>
      </c>
      <c r="CT6" s="5">
        <v>10</v>
      </c>
      <c r="CU6" s="5">
        <v>24</v>
      </c>
      <c r="CV6" s="5">
        <f t="shared" si="166"/>
        <v>3</v>
      </c>
      <c r="CW6" s="5">
        <v>3</v>
      </c>
      <c r="CX6" s="41">
        <f t="shared" si="167"/>
        <v>0</v>
      </c>
      <c r="CZ6" s="5">
        <v>31</v>
      </c>
      <c r="DA6" s="5"/>
      <c r="DB6" s="5">
        <f t="shared" si="168"/>
        <v>3</v>
      </c>
      <c r="DC6" s="5">
        <v>3</v>
      </c>
      <c r="DD6" s="41">
        <f t="shared" si="169"/>
        <v>0</v>
      </c>
      <c r="DF6" s="5">
        <v>29</v>
      </c>
      <c r="DG6" s="5"/>
      <c r="DH6" s="5">
        <f t="shared" si="170"/>
        <v>2</v>
      </c>
      <c r="DI6" s="5">
        <v>2</v>
      </c>
      <c r="DJ6" s="41">
        <f t="shared" si="171"/>
        <v>0</v>
      </c>
      <c r="DL6" s="5">
        <v>23</v>
      </c>
      <c r="DM6" s="5"/>
      <c r="DN6" s="5">
        <f t="shared" si="172"/>
        <v>6</v>
      </c>
      <c r="DO6" s="5">
        <v>6</v>
      </c>
      <c r="DP6" s="41">
        <f t="shared" si="173"/>
        <v>0</v>
      </c>
      <c r="DR6" s="5">
        <v>23</v>
      </c>
      <c r="DS6" s="5"/>
      <c r="DT6" s="5">
        <f t="shared" si="174"/>
        <v>0</v>
      </c>
      <c r="DU6" s="5">
        <v>0</v>
      </c>
      <c r="DV6" s="41">
        <f t="shared" si="175"/>
        <v>0</v>
      </c>
      <c r="DX6" s="5">
        <v>21</v>
      </c>
      <c r="DY6" s="5"/>
      <c r="DZ6" s="5">
        <f t="shared" si="176"/>
        <v>2</v>
      </c>
      <c r="EA6" s="5">
        <v>2</v>
      </c>
      <c r="EB6" s="41">
        <f t="shared" si="177"/>
        <v>0</v>
      </c>
      <c r="ED6" s="5">
        <v>17</v>
      </c>
      <c r="EE6" s="5"/>
      <c r="EF6" s="5">
        <f t="shared" si="178"/>
        <v>4</v>
      </c>
      <c r="EG6" s="5">
        <v>2</v>
      </c>
      <c r="EH6" s="41">
        <f t="shared" si="179"/>
        <v>-2</v>
      </c>
      <c r="EJ6" s="5">
        <v>12</v>
      </c>
      <c r="EK6" s="5"/>
      <c r="EL6" s="5">
        <f t="shared" si="180"/>
        <v>5</v>
      </c>
      <c r="EM6" s="5">
        <v>5</v>
      </c>
      <c r="EN6" s="41">
        <f t="shared" si="181"/>
        <v>0</v>
      </c>
      <c r="EP6" s="5">
        <v>9</v>
      </c>
      <c r="EQ6" s="5">
        <v>24</v>
      </c>
      <c r="ER6" s="5">
        <f t="shared" si="182"/>
        <v>3</v>
      </c>
      <c r="ES6" s="5">
        <v>3</v>
      </c>
      <c r="ET6" s="41">
        <f t="shared" si="183"/>
        <v>0</v>
      </c>
      <c r="EV6" s="5">
        <v>32</v>
      </c>
      <c r="EW6" s="5"/>
      <c r="EX6" s="5">
        <f t="shared" si="184"/>
        <v>1</v>
      </c>
      <c r="EY6" s="5">
        <v>2</v>
      </c>
      <c r="EZ6" s="41">
        <f t="shared" si="185"/>
        <v>1</v>
      </c>
      <c r="FB6" s="5">
        <v>29</v>
      </c>
      <c r="FC6" s="5"/>
      <c r="FD6" s="5">
        <f t="shared" si="186"/>
        <v>3</v>
      </c>
      <c r="FE6" s="5">
        <v>2</v>
      </c>
      <c r="FF6" s="41">
        <f t="shared" si="187"/>
        <v>-1</v>
      </c>
      <c r="FH6" s="5">
        <v>26</v>
      </c>
      <c r="FI6" s="5"/>
      <c r="FJ6" s="5">
        <f t="shared" si="188"/>
        <v>3</v>
      </c>
      <c r="FK6" s="5">
        <v>4</v>
      </c>
      <c r="FL6" s="41">
        <f t="shared" si="189"/>
        <v>1</v>
      </c>
      <c r="FN6" s="5">
        <v>24</v>
      </c>
      <c r="FO6" s="5"/>
      <c r="FP6" s="5">
        <f t="shared" si="190"/>
        <v>2</v>
      </c>
      <c r="FQ6" s="5">
        <v>2</v>
      </c>
      <c r="FR6" s="41">
        <f t="shared" si="191"/>
        <v>0</v>
      </c>
      <c r="FT6" s="5">
        <v>19</v>
      </c>
      <c r="FU6" s="5"/>
      <c r="FV6" s="5">
        <f t="shared" si="192"/>
        <v>5</v>
      </c>
      <c r="FW6" s="5">
        <v>5</v>
      </c>
      <c r="FX6" s="41">
        <f t="shared" si="193"/>
        <v>0</v>
      </c>
      <c r="FZ6" s="5">
        <v>12</v>
      </c>
      <c r="GA6" s="5">
        <v>24</v>
      </c>
      <c r="GB6" s="5">
        <f t="shared" si="194"/>
        <v>7</v>
      </c>
      <c r="GC6" s="5">
        <v>7</v>
      </c>
      <c r="GD6" s="41">
        <f t="shared" si="195"/>
        <v>0</v>
      </c>
      <c r="GF6" s="5">
        <v>26</v>
      </c>
      <c r="GG6" s="5"/>
      <c r="GH6" s="5">
        <f t="shared" si="196"/>
        <v>10</v>
      </c>
      <c r="GI6" s="5">
        <v>10</v>
      </c>
      <c r="GJ6" s="41">
        <f t="shared" si="197"/>
        <v>0</v>
      </c>
      <c r="GL6" s="5">
        <v>21</v>
      </c>
      <c r="GM6" s="5"/>
      <c r="GN6" s="5">
        <f t="shared" si="198"/>
        <v>5</v>
      </c>
      <c r="GO6" s="5">
        <v>3</v>
      </c>
      <c r="GP6" s="41">
        <f t="shared" si="199"/>
        <v>-2</v>
      </c>
      <c r="GR6" s="5">
        <v>16</v>
      </c>
      <c r="GS6" s="5"/>
      <c r="GT6" s="5">
        <f t="shared" si="200"/>
        <v>5</v>
      </c>
      <c r="GU6" s="5">
        <v>5</v>
      </c>
      <c r="GV6" s="41">
        <f t="shared" si="201"/>
        <v>0</v>
      </c>
      <c r="GX6" s="5">
        <v>15</v>
      </c>
      <c r="GY6" s="5"/>
      <c r="GZ6" s="5">
        <f t="shared" si="202"/>
        <v>1</v>
      </c>
      <c r="HA6" s="5">
        <v>2</v>
      </c>
      <c r="HB6" s="41">
        <f t="shared" si="203"/>
        <v>1</v>
      </c>
      <c r="HD6" s="5">
        <v>11</v>
      </c>
      <c r="HE6" s="5"/>
      <c r="HF6" s="5">
        <f t="shared" si="204"/>
        <v>4</v>
      </c>
      <c r="HG6" s="5">
        <v>4</v>
      </c>
      <c r="HH6" s="41">
        <f t="shared" si="205"/>
        <v>0</v>
      </c>
      <c r="HJ6" s="5">
        <v>0</v>
      </c>
      <c r="HK6" s="5">
        <v>24</v>
      </c>
      <c r="HL6" s="5">
        <f t="shared" si="206"/>
        <v>11</v>
      </c>
      <c r="HM6" s="5">
        <v>11</v>
      </c>
      <c r="HN6" s="41">
        <f t="shared" si="207"/>
        <v>0</v>
      </c>
      <c r="HP6" s="5">
        <v>24</v>
      </c>
      <c r="HQ6" s="5"/>
      <c r="HR6" s="5">
        <f t="shared" si="208"/>
        <v>0</v>
      </c>
      <c r="HS6" s="5"/>
      <c r="HT6" s="41">
        <f t="shared" si="209"/>
        <v>0</v>
      </c>
      <c r="HV6" s="5">
        <v>21</v>
      </c>
      <c r="HW6" s="5"/>
      <c r="HX6" s="5">
        <f t="shared" si="210"/>
        <v>3</v>
      </c>
      <c r="HY6" s="5">
        <v>3</v>
      </c>
      <c r="HZ6" s="41">
        <f t="shared" si="211"/>
        <v>0</v>
      </c>
      <c r="IB6" s="5">
        <v>19</v>
      </c>
      <c r="IC6" s="5"/>
      <c r="ID6" s="5">
        <f t="shared" si="212"/>
        <v>2</v>
      </c>
      <c r="IE6" s="5">
        <v>2</v>
      </c>
      <c r="IF6" s="41">
        <f t="shared" si="213"/>
        <v>0</v>
      </c>
      <c r="IH6" s="5">
        <v>16</v>
      </c>
      <c r="II6" s="5">
        <v>24</v>
      </c>
      <c r="IJ6" s="5">
        <f t="shared" si="214"/>
        <v>3</v>
      </c>
      <c r="IK6" s="5">
        <v>3</v>
      </c>
      <c r="IL6" s="41">
        <f t="shared" si="215"/>
        <v>0</v>
      </c>
      <c r="IN6" s="5">
        <v>34</v>
      </c>
      <c r="IO6" s="5"/>
      <c r="IP6" s="5">
        <f t="shared" si="216"/>
        <v>6</v>
      </c>
      <c r="IQ6" s="5">
        <v>6</v>
      </c>
      <c r="IR6" s="41">
        <f t="shared" si="217"/>
        <v>0</v>
      </c>
      <c r="IT6" s="5">
        <v>31</v>
      </c>
      <c r="IU6" s="5"/>
      <c r="IV6" s="5">
        <f t="shared" si="218"/>
        <v>3</v>
      </c>
      <c r="IW6" s="5">
        <v>3</v>
      </c>
      <c r="IX6" s="41">
        <f t="shared" si="219"/>
        <v>0</v>
      </c>
      <c r="IZ6" s="5">
        <v>25</v>
      </c>
      <c r="JA6" s="5"/>
      <c r="JB6" s="5">
        <f t="shared" si="220"/>
        <v>6</v>
      </c>
      <c r="JC6" s="5">
        <v>6</v>
      </c>
      <c r="JD6" s="41">
        <f t="shared" si="221"/>
        <v>0</v>
      </c>
      <c r="JF6" s="5">
        <v>23</v>
      </c>
      <c r="JG6" s="5"/>
      <c r="JH6" s="5">
        <f t="shared" si="222"/>
        <v>2</v>
      </c>
      <c r="JI6" s="5">
        <v>2</v>
      </c>
      <c r="JJ6" s="41">
        <f t="shared" si="223"/>
        <v>0</v>
      </c>
      <c r="JL6" s="5">
        <v>18</v>
      </c>
      <c r="JM6" s="5"/>
      <c r="JN6" s="5">
        <f t="shared" si="224"/>
        <v>5</v>
      </c>
      <c r="JO6" s="5">
        <v>5</v>
      </c>
      <c r="JP6" s="41">
        <f t="shared" si="225"/>
        <v>0</v>
      </c>
      <c r="JR6" s="5">
        <v>13</v>
      </c>
      <c r="JS6" s="5"/>
      <c r="JT6" s="5">
        <f t="shared" si="1"/>
        <v>5</v>
      </c>
      <c r="JU6" s="5">
        <v>3</v>
      </c>
      <c r="JV6" s="41">
        <f t="shared" si="226"/>
        <v>-2</v>
      </c>
      <c r="JX6" s="5">
        <v>0</v>
      </c>
      <c r="JY6" s="5"/>
      <c r="JZ6" s="5">
        <f t="shared" si="2"/>
        <v>13</v>
      </c>
      <c r="KA6" s="5">
        <v>14</v>
      </c>
      <c r="KB6" s="41">
        <f t="shared" si="227"/>
        <v>1</v>
      </c>
      <c r="KD6" s="5">
        <v>0</v>
      </c>
      <c r="KE6" s="5">
        <v>24</v>
      </c>
      <c r="KF6" s="5">
        <f t="shared" si="3"/>
        <v>0</v>
      </c>
      <c r="KG6" s="5">
        <v>1</v>
      </c>
      <c r="KH6" s="41">
        <f t="shared" si="228"/>
        <v>1</v>
      </c>
      <c r="KJ6" s="5">
        <v>0</v>
      </c>
      <c r="KK6" s="5"/>
      <c r="KL6" s="5">
        <f t="shared" si="4"/>
        <v>24</v>
      </c>
      <c r="KM6" s="5"/>
      <c r="KN6" s="41">
        <f t="shared" si="229"/>
        <v>-24</v>
      </c>
      <c r="KP6" s="5">
        <v>0</v>
      </c>
      <c r="KQ6" s="5"/>
      <c r="KR6" s="5">
        <f t="shared" si="5"/>
        <v>0</v>
      </c>
      <c r="KS6" s="5"/>
      <c r="KT6" s="41">
        <f t="shared" si="230"/>
        <v>0</v>
      </c>
      <c r="KV6" s="5">
        <v>0</v>
      </c>
      <c r="KW6" s="5"/>
      <c r="KX6" s="5">
        <f t="shared" si="6"/>
        <v>0</v>
      </c>
      <c r="KY6" s="5">
        <v>1</v>
      </c>
      <c r="KZ6" s="41">
        <f t="shared" si="231"/>
        <v>1</v>
      </c>
      <c r="LB6" s="5">
        <v>0</v>
      </c>
      <c r="LC6" s="5"/>
      <c r="LD6" s="5">
        <f t="shared" si="7"/>
        <v>0</v>
      </c>
      <c r="LE6" s="5"/>
      <c r="LF6" s="41">
        <f t="shared" si="232"/>
        <v>0</v>
      </c>
      <c r="LH6" s="5">
        <v>0</v>
      </c>
      <c r="LI6" s="5"/>
      <c r="LJ6" s="5">
        <f t="shared" si="8"/>
        <v>0</v>
      </c>
      <c r="LK6" s="5"/>
      <c r="LL6" s="41">
        <f t="shared" si="233"/>
        <v>0</v>
      </c>
      <c r="LN6" s="5">
        <v>0</v>
      </c>
      <c r="LO6" s="5">
        <v>24</v>
      </c>
      <c r="LP6" s="5">
        <f t="shared" si="9"/>
        <v>0</v>
      </c>
      <c r="LQ6" s="5"/>
      <c r="LR6" s="41">
        <f t="shared" si="234"/>
        <v>0</v>
      </c>
      <c r="LT6" s="5">
        <v>19</v>
      </c>
      <c r="LU6" s="5"/>
      <c r="LV6" s="5">
        <f t="shared" si="10"/>
        <v>5</v>
      </c>
      <c r="LW6" s="5">
        <v>5</v>
      </c>
      <c r="LX6" s="41">
        <f t="shared" si="235"/>
        <v>0</v>
      </c>
      <c r="LZ6" s="5">
        <v>16</v>
      </c>
      <c r="MA6" s="5"/>
      <c r="MB6" s="5">
        <f t="shared" si="11"/>
        <v>3</v>
      </c>
      <c r="MC6" s="5">
        <v>2</v>
      </c>
      <c r="MD6" s="41">
        <f t="shared" si="236"/>
        <v>-1</v>
      </c>
      <c r="MF6" s="5">
        <v>15</v>
      </c>
      <c r="MG6" s="5"/>
      <c r="MH6" s="5">
        <f t="shared" si="12"/>
        <v>1</v>
      </c>
      <c r="MI6" s="5"/>
      <c r="MJ6" s="41">
        <f t="shared" si="237"/>
        <v>-1</v>
      </c>
      <c r="ML6" s="5">
        <v>12</v>
      </c>
      <c r="MM6" s="5">
        <v>24</v>
      </c>
      <c r="MN6" s="5">
        <f t="shared" si="13"/>
        <v>3</v>
      </c>
      <c r="MO6" s="5">
        <v>3</v>
      </c>
      <c r="MP6" s="41">
        <f t="shared" si="238"/>
        <v>0</v>
      </c>
      <c r="MR6" s="5">
        <v>36</v>
      </c>
      <c r="MS6" s="5"/>
      <c r="MT6" s="5">
        <f t="shared" si="14"/>
        <v>0</v>
      </c>
      <c r="MU6" s="5"/>
      <c r="MV6" s="41">
        <f t="shared" si="239"/>
        <v>0</v>
      </c>
      <c r="MX6" s="5">
        <v>34</v>
      </c>
      <c r="MY6" s="5"/>
      <c r="MZ6" s="5">
        <f t="shared" si="15"/>
        <v>2</v>
      </c>
      <c r="NA6" s="5">
        <v>2</v>
      </c>
      <c r="NB6" s="41">
        <f t="shared" si="240"/>
        <v>0</v>
      </c>
      <c r="ND6" s="5">
        <v>32</v>
      </c>
      <c r="NE6" s="5"/>
      <c r="NF6" s="5">
        <f t="shared" si="16"/>
        <v>2</v>
      </c>
      <c r="NG6" s="5"/>
      <c r="NH6" s="41">
        <f t="shared" si="241"/>
        <v>-2</v>
      </c>
      <c r="NJ6" s="5">
        <v>31</v>
      </c>
      <c r="NK6" s="5"/>
      <c r="NL6" s="5">
        <f t="shared" si="17"/>
        <v>1</v>
      </c>
      <c r="NM6" s="5">
        <v>1</v>
      </c>
      <c r="NN6" s="41">
        <f t="shared" si="242"/>
        <v>0</v>
      </c>
      <c r="NP6" s="5">
        <v>28</v>
      </c>
      <c r="NQ6" s="5"/>
      <c r="NR6" s="5">
        <f t="shared" si="18"/>
        <v>3</v>
      </c>
      <c r="NS6" s="5">
        <v>3</v>
      </c>
      <c r="NT6" s="41">
        <f t="shared" si="243"/>
        <v>0</v>
      </c>
      <c r="NV6" s="5">
        <v>20</v>
      </c>
      <c r="NW6" s="5"/>
      <c r="NX6" s="5">
        <f t="shared" si="19"/>
        <v>8</v>
      </c>
      <c r="NY6" s="5">
        <v>8</v>
      </c>
      <c r="NZ6" s="41">
        <f t="shared" si="244"/>
        <v>0</v>
      </c>
      <c r="OB6" s="5">
        <v>17</v>
      </c>
      <c r="OC6" s="5"/>
      <c r="OD6" s="5">
        <f t="shared" si="20"/>
        <v>3</v>
      </c>
      <c r="OE6" s="5"/>
      <c r="OF6" s="41">
        <f t="shared" si="245"/>
        <v>-3</v>
      </c>
      <c r="OH6" s="5">
        <v>15</v>
      </c>
      <c r="OI6" s="5"/>
      <c r="OJ6" s="5">
        <f t="shared" si="21"/>
        <v>2</v>
      </c>
      <c r="OK6" s="5">
        <v>2</v>
      </c>
      <c r="OL6" s="41">
        <f t="shared" si="246"/>
        <v>0</v>
      </c>
      <c r="ON6" s="5">
        <v>15</v>
      </c>
      <c r="OO6" s="5"/>
      <c r="OP6" s="5">
        <f t="shared" si="22"/>
        <v>0</v>
      </c>
      <c r="OQ6" s="5"/>
      <c r="OR6" s="41">
        <f t="shared" si="247"/>
        <v>0</v>
      </c>
      <c r="OT6" s="5">
        <v>15</v>
      </c>
      <c r="OU6" s="5"/>
      <c r="OV6" s="5">
        <f t="shared" si="23"/>
        <v>0</v>
      </c>
      <c r="OW6" s="5"/>
      <c r="OX6" s="41">
        <f t="shared" si="248"/>
        <v>0</v>
      </c>
      <c r="OZ6" s="5">
        <v>9</v>
      </c>
      <c r="PA6" s="5">
        <v>12</v>
      </c>
      <c r="PB6" s="5">
        <f t="shared" si="24"/>
        <v>6</v>
      </c>
      <c r="PC6" s="5">
        <v>6</v>
      </c>
      <c r="PD6" s="41">
        <f t="shared" si="249"/>
        <v>0</v>
      </c>
      <c r="PF6" s="5">
        <v>20</v>
      </c>
      <c r="PG6" s="5"/>
      <c r="PH6" s="5">
        <f t="shared" si="25"/>
        <v>1</v>
      </c>
      <c r="PI6" s="5">
        <v>1</v>
      </c>
      <c r="PJ6" s="41">
        <f t="shared" si="250"/>
        <v>0</v>
      </c>
      <c r="PL6" s="5">
        <v>16</v>
      </c>
      <c r="PM6" s="5"/>
      <c r="PN6" s="5">
        <f t="shared" si="26"/>
        <v>4</v>
      </c>
      <c r="PO6" s="5"/>
      <c r="PP6" s="41">
        <f t="shared" si="251"/>
        <v>-4</v>
      </c>
      <c r="PR6" s="5">
        <v>7</v>
      </c>
      <c r="PS6" s="5">
        <v>24</v>
      </c>
      <c r="PT6" s="5">
        <f t="shared" si="27"/>
        <v>9</v>
      </c>
      <c r="PU6" s="5">
        <v>9</v>
      </c>
      <c r="PV6" s="41">
        <f t="shared" si="252"/>
        <v>0</v>
      </c>
      <c r="PX6" s="5">
        <v>31</v>
      </c>
      <c r="PY6" s="5"/>
      <c r="PZ6" s="5">
        <f t="shared" si="28"/>
        <v>0</v>
      </c>
      <c r="QA6" s="5"/>
      <c r="QB6" s="41">
        <f t="shared" si="253"/>
        <v>0</v>
      </c>
      <c r="QD6" s="5">
        <v>30</v>
      </c>
      <c r="QE6" s="5"/>
      <c r="QF6" s="5">
        <f t="shared" si="29"/>
        <v>1</v>
      </c>
      <c r="QG6" s="5">
        <v>1</v>
      </c>
      <c r="QH6" s="41">
        <f t="shared" si="254"/>
        <v>0</v>
      </c>
      <c r="QJ6" s="5">
        <v>28</v>
      </c>
      <c r="QK6" s="5"/>
      <c r="QL6" s="5">
        <f t="shared" si="30"/>
        <v>2</v>
      </c>
      <c r="QM6" s="5"/>
      <c r="QN6" s="41">
        <f t="shared" si="255"/>
        <v>-2</v>
      </c>
      <c r="QP6" s="5">
        <v>26</v>
      </c>
      <c r="QQ6" s="5"/>
      <c r="QR6" s="5">
        <f t="shared" si="31"/>
        <v>2</v>
      </c>
      <c r="QS6" s="5">
        <v>2</v>
      </c>
      <c r="QT6" s="41">
        <f t="shared" si="256"/>
        <v>0</v>
      </c>
      <c r="QV6" s="5">
        <v>2</v>
      </c>
      <c r="QW6" s="5"/>
      <c r="QX6" s="5">
        <f t="shared" si="32"/>
        <v>24</v>
      </c>
      <c r="QY6" s="5">
        <v>3</v>
      </c>
      <c r="QZ6" s="41">
        <f t="shared" si="257"/>
        <v>-21</v>
      </c>
      <c r="RB6" s="5">
        <v>0</v>
      </c>
      <c r="RC6" s="5"/>
      <c r="RD6" s="5">
        <f t="shared" si="33"/>
        <v>2</v>
      </c>
      <c r="RE6" s="5"/>
      <c r="RF6" s="41">
        <f t="shared" si="258"/>
        <v>-2</v>
      </c>
      <c r="RH6" s="5">
        <v>0</v>
      </c>
      <c r="RI6" s="5">
        <v>24</v>
      </c>
      <c r="RJ6" s="5">
        <f t="shared" si="34"/>
        <v>0</v>
      </c>
      <c r="RK6" s="5"/>
      <c r="RL6" s="41">
        <f t="shared" si="259"/>
        <v>0</v>
      </c>
      <c r="RN6" s="5">
        <v>24</v>
      </c>
      <c r="RO6" s="5"/>
      <c r="RP6" s="5">
        <f t="shared" si="35"/>
        <v>0</v>
      </c>
      <c r="RQ6" s="5"/>
      <c r="RR6" s="41">
        <f t="shared" si="260"/>
        <v>0</v>
      </c>
      <c r="RT6" s="5">
        <v>21</v>
      </c>
      <c r="RU6" s="5"/>
      <c r="RV6" s="5">
        <f t="shared" si="36"/>
        <v>3</v>
      </c>
      <c r="RW6" s="5">
        <v>3</v>
      </c>
      <c r="RX6" s="41">
        <f t="shared" si="261"/>
        <v>0</v>
      </c>
      <c r="RZ6" s="5">
        <v>19</v>
      </c>
      <c r="SA6" s="5"/>
      <c r="SB6" s="5">
        <f t="shared" si="37"/>
        <v>2</v>
      </c>
      <c r="SC6" s="5">
        <v>2</v>
      </c>
      <c r="SD6" s="41">
        <f t="shared" si="262"/>
        <v>0</v>
      </c>
      <c r="SF6" s="5">
        <v>13</v>
      </c>
      <c r="SG6" s="5"/>
      <c r="SH6" s="5">
        <f t="shared" si="38"/>
        <v>6</v>
      </c>
      <c r="SI6" s="5">
        <v>6</v>
      </c>
      <c r="SJ6" s="41">
        <f t="shared" si="263"/>
        <v>0</v>
      </c>
      <c r="SL6" s="5">
        <v>7</v>
      </c>
      <c r="SM6" s="5">
        <v>0</v>
      </c>
      <c r="SN6" s="5">
        <f t="shared" si="39"/>
        <v>6</v>
      </c>
      <c r="SO6" s="5">
        <v>6</v>
      </c>
      <c r="SP6" s="41">
        <f t="shared" si="264"/>
        <v>0</v>
      </c>
      <c r="SR6" s="5">
        <v>6</v>
      </c>
      <c r="SS6" s="5">
        <v>48</v>
      </c>
      <c r="ST6" s="5">
        <f t="shared" si="40"/>
        <v>1</v>
      </c>
      <c r="SU6" s="5">
        <v>0</v>
      </c>
      <c r="SV6" s="41">
        <f t="shared" si="265"/>
        <v>-1</v>
      </c>
      <c r="SX6" s="5">
        <v>54</v>
      </c>
      <c r="SY6" s="5"/>
      <c r="SZ6" s="5">
        <f t="shared" si="41"/>
        <v>0</v>
      </c>
      <c r="TA6" s="5">
        <v>0</v>
      </c>
      <c r="TB6" s="41">
        <f t="shared" si="266"/>
        <v>0</v>
      </c>
      <c r="TD6" s="5">
        <v>24</v>
      </c>
      <c r="TE6" s="5"/>
      <c r="TF6" s="5">
        <f t="shared" si="42"/>
        <v>30</v>
      </c>
      <c r="TG6" s="5">
        <v>5</v>
      </c>
      <c r="TH6" s="41">
        <f t="shared" si="267"/>
        <v>-25</v>
      </c>
      <c r="TJ6" s="5">
        <v>22</v>
      </c>
      <c r="TK6" s="5"/>
      <c r="TL6" s="5">
        <f t="shared" si="43"/>
        <v>2</v>
      </c>
      <c r="TM6" s="5">
        <v>2</v>
      </c>
      <c r="TN6" s="41">
        <f t="shared" si="268"/>
        <v>0</v>
      </c>
      <c r="TP6" s="5">
        <v>13</v>
      </c>
      <c r="TQ6" s="5"/>
      <c r="TR6" s="5">
        <f t="shared" si="44"/>
        <v>9</v>
      </c>
      <c r="TS6" s="5"/>
      <c r="TT6" s="41">
        <f t="shared" si="269"/>
        <v>-9</v>
      </c>
      <c r="TV6" s="5">
        <v>12</v>
      </c>
      <c r="TW6" s="5"/>
      <c r="TX6" s="5">
        <f t="shared" si="45"/>
        <v>1</v>
      </c>
      <c r="TY6" s="5">
        <v>1</v>
      </c>
      <c r="TZ6" s="41">
        <f t="shared" si="270"/>
        <v>0</v>
      </c>
      <c r="UB6" s="5">
        <v>12</v>
      </c>
      <c r="UC6" s="5"/>
      <c r="UD6" s="5">
        <f t="shared" si="46"/>
        <v>0</v>
      </c>
      <c r="UE6" s="5"/>
      <c r="UF6" s="41">
        <f t="shared" si="271"/>
        <v>0</v>
      </c>
      <c r="UH6" s="5">
        <v>12</v>
      </c>
      <c r="UI6" s="5"/>
      <c r="UJ6" s="5">
        <f t="shared" si="47"/>
        <v>0</v>
      </c>
      <c r="UK6" s="5">
        <v>0</v>
      </c>
      <c r="UL6" s="41">
        <f t="shared" si="272"/>
        <v>0</v>
      </c>
      <c r="UN6" s="5">
        <v>5</v>
      </c>
      <c r="UO6" s="5"/>
      <c r="UP6" s="5">
        <f t="shared" si="48"/>
        <v>7</v>
      </c>
      <c r="UQ6" s="5">
        <v>5</v>
      </c>
      <c r="UR6" s="41">
        <f t="shared" si="273"/>
        <v>-2</v>
      </c>
      <c r="UT6" s="5">
        <v>4</v>
      </c>
      <c r="UU6" s="5">
        <v>24</v>
      </c>
      <c r="UV6" s="5">
        <f t="shared" si="49"/>
        <v>1</v>
      </c>
      <c r="UW6" s="5">
        <v>1</v>
      </c>
      <c r="UX6" s="41">
        <f t="shared" si="274"/>
        <v>0</v>
      </c>
      <c r="UZ6" s="5">
        <v>24</v>
      </c>
      <c r="VA6" s="5"/>
      <c r="VB6" s="5">
        <f t="shared" si="50"/>
        <v>4</v>
      </c>
      <c r="VC6" s="5">
        <v>3</v>
      </c>
      <c r="VD6" s="41">
        <f t="shared" si="275"/>
        <v>-1</v>
      </c>
      <c r="VF6" s="5">
        <v>22</v>
      </c>
      <c r="VG6" s="5">
        <v>24</v>
      </c>
      <c r="VH6" s="5">
        <f t="shared" si="51"/>
        <v>2</v>
      </c>
      <c r="VI6" s="5">
        <v>5</v>
      </c>
      <c r="VJ6" s="41">
        <f t="shared" si="276"/>
        <v>3</v>
      </c>
      <c r="VL6" s="5">
        <v>45</v>
      </c>
      <c r="VM6" s="5"/>
      <c r="VN6" s="5">
        <f t="shared" si="52"/>
        <v>1</v>
      </c>
      <c r="VO6" s="5"/>
      <c r="VP6" s="41">
        <f t="shared" si="277"/>
        <v>-1</v>
      </c>
      <c r="VR6" s="5">
        <v>31</v>
      </c>
      <c r="VS6" s="5"/>
      <c r="VT6" s="5">
        <f t="shared" si="53"/>
        <v>14</v>
      </c>
      <c r="VU6" s="5"/>
      <c r="VV6" s="41">
        <f t="shared" si="278"/>
        <v>-14</v>
      </c>
      <c r="VX6" s="5">
        <v>25</v>
      </c>
      <c r="VY6" s="5"/>
      <c r="VZ6" s="5">
        <f t="shared" si="54"/>
        <v>6</v>
      </c>
      <c r="WA6" s="5"/>
      <c r="WB6" s="41">
        <f t="shared" si="279"/>
        <v>-6</v>
      </c>
      <c r="WD6" s="5">
        <v>23</v>
      </c>
      <c r="WE6" s="5"/>
      <c r="WF6" s="5">
        <f t="shared" si="55"/>
        <v>2</v>
      </c>
      <c r="WG6" s="5"/>
      <c r="WH6" s="41">
        <f t="shared" si="280"/>
        <v>-2</v>
      </c>
      <c r="WJ6" s="5">
        <v>12</v>
      </c>
      <c r="WK6" s="5"/>
      <c r="WL6" s="5">
        <f t="shared" si="56"/>
        <v>11</v>
      </c>
      <c r="WM6" s="5">
        <v>3</v>
      </c>
      <c r="WN6" s="41">
        <f t="shared" si="281"/>
        <v>-8</v>
      </c>
      <c r="WP6" s="5">
        <v>4</v>
      </c>
      <c r="WQ6" s="5">
        <v>24</v>
      </c>
      <c r="WR6" s="5">
        <f t="shared" si="57"/>
        <v>8</v>
      </c>
      <c r="WS6" s="5">
        <v>6</v>
      </c>
      <c r="WT6" s="41">
        <f t="shared" si="282"/>
        <v>-2</v>
      </c>
      <c r="WV6" s="5">
        <v>22</v>
      </c>
      <c r="WW6" s="5"/>
      <c r="WX6" s="5">
        <f t="shared" si="58"/>
        <v>6</v>
      </c>
      <c r="WY6" s="5">
        <v>7</v>
      </c>
      <c r="WZ6" s="41">
        <f t="shared" si="283"/>
        <v>1</v>
      </c>
      <c r="XB6" s="5">
        <v>18</v>
      </c>
      <c r="XC6" s="5">
        <v>24</v>
      </c>
      <c r="XD6" s="5">
        <f t="shared" si="59"/>
        <v>4</v>
      </c>
      <c r="XE6" s="5">
        <v>4</v>
      </c>
      <c r="XF6" s="41">
        <f t="shared" si="284"/>
        <v>0</v>
      </c>
      <c r="XH6" s="5">
        <v>37</v>
      </c>
      <c r="XI6" s="5"/>
      <c r="XJ6" s="5">
        <f t="shared" si="60"/>
        <v>5</v>
      </c>
      <c r="XK6" s="5">
        <v>5</v>
      </c>
      <c r="XL6" s="41">
        <f t="shared" si="285"/>
        <v>0</v>
      </c>
      <c r="XN6" s="5">
        <v>33</v>
      </c>
      <c r="XO6" s="5"/>
      <c r="XP6" s="5">
        <f t="shared" si="61"/>
        <v>4</v>
      </c>
      <c r="XQ6" s="5">
        <v>4</v>
      </c>
      <c r="XR6" s="41">
        <f t="shared" si="286"/>
        <v>0</v>
      </c>
      <c r="XT6" s="5">
        <v>27</v>
      </c>
      <c r="XU6" s="5"/>
      <c r="XV6" s="5">
        <f t="shared" si="62"/>
        <v>6</v>
      </c>
      <c r="XW6" s="5">
        <v>4</v>
      </c>
      <c r="XX6" s="41">
        <f t="shared" si="287"/>
        <v>-2</v>
      </c>
      <c r="XZ6" s="5">
        <v>20</v>
      </c>
      <c r="YA6" s="5">
        <v>24</v>
      </c>
      <c r="YB6" s="5">
        <f t="shared" si="63"/>
        <v>7</v>
      </c>
      <c r="YC6" s="5">
        <v>7</v>
      </c>
      <c r="YD6" s="41">
        <f t="shared" si="288"/>
        <v>0</v>
      </c>
      <c r="YF6" s="5">
        <v>38</v>
      </c>
      <c r="YG6" s="5"/>
      <c r="YH6" s="5">
        <f t="shared" si="64"/>
        <v>6</v>
      </c>
      <c r="YI6" s="5"/>
      <c r="YJ6" s="41">
        <f t="shared" si="289"/>
        <v>-6</v>
      </c>
      <c r="YL6" s="5">
        <v>30</v>
      </c>
      <c r="YM6" s="5"/>
      <c r="YN6" s="5">
        <f t="shared" si="65"/>
        <v>8</v>
      </c>
      <c r="YO6" s="5"/>
      <c r="YP6" s="41">
        <f t="shared" si="290"/>
        <v>-8</v>
      </c>
      <c r="YR6" s="5">
        <v>22</v>
      </c>
      <c r="YS6" s="5"/>
      <c r="YT6" s="5">
        <f t="shared" si="66"/>
        <v>8</v>
      </c>
      <c r="YU6" s="5"/>
      <c r="YV6" s="41">
        <f t="shared" si="291"/>
        <v>-8</v>
      </c>
      <c r="YX6" s="5">
        <v>10</v>
      </c>
      <c r="YY6" s="5">
        <v>24</v>
      </c>
      <c r="YZ6" s="5">
        <f t="shared" si="67"/>
        <v>12</v>
      </c>
      <c r="ZA6" s="5">
        <v>10</v>
      </c>
      <c r="ZB6" s="41">
        <f t="shared" si="292"/>
        <v>-2</v>
      </c>
      <c r="ZD6" s="5">
        <v>30</v>
      </c>
      <c r="ZE6" s="5"/>
      <c r="ZF6" s="5">
        <f t="shared" si="68"/>
        <v>4</v>
      </c>
      <c r="ZG6" s="5">
        <v>4</v>
      </c>
      <c r="ZH6" s="41">
        <f t="shared" si="293"/>
        <v>0</v>
      </c>
      <c r="ZJ6" s="5">
        <v>30</v>
      </c>
      <c r="ZK6" s="5"/>
      <c r="ZL6" s="5">
        <f t="shared" si="69"/>
        <v>0</v>
      </c>
      <c r="ZM6" s="5"/>
      <c r="ZN6" s="41">
        <f t="shared" si="294"/>
        <v>0</v>
      </c>
      <c r="ZP6" s="5">
        <v>28</v>
      </c>
      <c r="ZQ6" s="5"/>
      <c r="ZR6" s="5">
        <f t="shared" si="70"/>
        <v>2</v>
      </c>
      <c r="ZS6" s="5">
        <v>2</v>
      </c>
      <c r="ZT6" s="41">
        <f t="shared" si="295"/>
        <v>0</v>
      </c>
      <c r="ZV6" s="5">
        <v>26</v>
      </c>
      <c r="ZW6" s="5"/>
      <c r="ZX6" s="5">
        <f t="shared" si="71"/>
        <v>2</v>
      </c>
      <c r="ZY6" s="5">
        <v>2</v>
      </c>
      <c r="ZZ6" s="41">
        <f t="shared" si="296"/>
        <v>0</v>
      </c>
      <c r="AAB6" s="5">
        <v>24</v>
      </c>
      <c r="AAC6" s="5"/>
      <c r="AAD6" s="5">
        <f t="shared" si="72"/>
        <v>2</v>
      </c>
      <c r="AAE6" s="5"/>
      <c r="AAF6" s="41">
        <f t="shared" si="297"/>
        <v>-2</v>
      </c>
      <c r="AAH6" s="5">
        <v>18</v>
      </c>
      <c r="AAI6" s="5"/>
      <c r="AAJ6" s="5">
        <f t="shared" si="73"/>
        <v>6</v>
      </c>
      <c r="AAK6" s="5">
        <v>5</v>
      </c>
      <c r="AAL6" s="41">
        <f t="shared" si="298"/>
        <v>-1</v>
      </c>
      <c r="AAN6" s="5">
        <v>14</v>
      </c>
      <c r="AAO6" s="5"/>
      <c r="AAP6" s="5">
        <f t="shared" si="74"/>
        <v>4</v>
      </c>
      <c r="AAQ6" s="5">
        <v>3</v>
      </c>
      <c r="AAR6" s="41">
        <f t="shared" si="299"/>
        <v>-1</v>
      </c>
      <c r="AAT6" s="5">
        <v>7</v>
      </c>
      <c r="AAU6" s="5"/>
      <c r="AAV6" s="5">
        <f t="shared" si="75"/>
        <v>7</v>
      </c>
      <c r="AAW6" s="5">
        <v>7</v>
      </c>
      <c r="AAX6" s="41">
        <f t="shared" si="300"/>
        <v>0</v>
      </c>
      <c r="AAZ6" s="5">
        <v>5</v>
      </c>
      <c r="ABA6" s="5">
        <v>24</v>
      </c>
      <c r="ABB6" s="5">
        <f t="shared" si="76"/>
        <v>2</v>
      </c>
      <c r="ABC6" s="5">
        <v>2</v>
      </c>
      <c r="ABD6" s="41">
        <f t="shared" si="301"/>
        <v>0</v>
      </c>
      <c r="ABF6" s="5">
        <v>28</v>
      </c>
      <c r="ABG6" s="5"/>
      <c r="ABH6" s="5">
        <f t="shared" si="77"/>
        <v>1</v>
      </c>
      <c r="ABI6" s="5">
        <v>1</v>
      </c>
      <c r="ABJ6" s="41">
        <f t="shared" si="302"/>
        <v>0</v>
      </c>
      <c r="ABL6" s="5">
        <v>21</v>
      </c>
      <c r="ABM6" s="5"/>
      <c r="ABN6" s="5">
        <f t="shared" si="78"/>
        <v>7</v>
      </c>
      <c r="ABO6" s="5">
        <v>7</v>
      </c>
      <c r="ABP6" s="41">
        <f t="shared" si="303"/>
        <v>0</v>
      </c>
      <c r="ABR6" s="5">
        <v>14</v>
      </c>
      <c r="ABS6" s="5"/>
      <c r="ABT6" s="5">
        <f t="shared" si="79"/>
        <v>7</v>
      </c>
      <c r="ABU6" s="5">
        <v>6</v>
      </c>
      <c r="ABV6" s="41">
        <f t="shared" si="304"/>
        <v>-1</v>
      </c>
      <c r="ABX6" s="5">
        <v>12</v>
      </c>
      <c r="ABY6" s="5"/>
      <c r="ABZ6" s="5">
        <f t="shared" si="80"/>
        <v>2</v>
      </c>
      <c r="ACA6" s="5">
        <v>3</v>
      </c>
      <c r="ACB6" s="41">
        <f t="shared" si="305"/>
        <v>1</v>
      </c>
      <c r="ACD6" s="5">
        <v>6</v>
      </c>
      <c r="ACE6" s="5">
        <v>24</v>
      </c>
      <c r="ACF6" s="5">
        <f t="shared" si="81"/>
        <v>6</v>
      </c>
      <c r="ACG6" s="5">
        <v>6</v>
      </c>
      <c r="ACH6" s="41">
        <f t="shared" si="306"/>
        <v>0</v>
      </c>
      <c r="ACJ6" s="5">
        <v>27</v>
      </c>
      <c r="ACK6" s="5"/>
      <c r="ACL6" s="5">
        <f t="shared" si="82"/>
        <v>3</v>
      </c>
      <c r="ACM6" s="5">
        <v>2</v>
      </c>
      <c r="ACN6" s="41">
        <f t="shared" si="307"/>
        <v>-1</v>
      </c>
      <c r="ACP6" s="5">
        <v>29</v>
      </c>
      <c r="ACQ6" s="5"/>
      <c r="ACR6" s="5">
        <f t="shared" si="83"/>
        <v>-2</v>
      </c>
      <c r="ACS6" s="5">
        <v>2</v>
      </c>
      <c r="ACT6" s="41">
        <f t="shared" si="308"/>
        <v>4</v>
      </c>
      <c r="ACV6" s="5">
        <v>20</v>
      </c>
      <c r="ACW6" s="5"/>
      <c r="ACX6" s="5">
        <f t="shared" si="84"/>
        <v>9</v>
      </c>
      <c r="ACY6" s="5">
        <v>4</v>
      </c>
      <c r="ACZ6" s="41">
        <f t="shared" si="309"/>
        <v>-5</v>
      </c>
      <c r="ADB6" s="5">
        <v>15</v>
      </c>
      <c r="ADC6" s="5"/>
      <c r="ADD6" s="5">
        <f t="shared" si="85"/>
        <v>5</v>
      </c>
      <c r="ADE6" s="5">
        <v>2</v>
      </c>
      <c r="ADF6" s="41">
        <f t="shared" si="310"/>
        <v>-3</v>
      </c>
      <c r="ADH6" s="5">
        <v>13</v>
      </c>
      <c r="ADI6" s="5"/>
      <c r="ADJ6" s="5">
        <f t="shared" si="86"/>
        <v>2</v>
      </c>
      <c r="ADK6" s="5">
        <v>2</v>
      </c>
      <c r="ADL6" s="41">
        <f t="shared" si="311"/>
        <v>0</v>
      </c>
      <c r="ADN6" s="5">
        <v>11</v>
      </c>
      <c r="ADO6" s="5">
        <v>24</v>
      </c>
      <c r="ADP6" s="5">
        <f t="shared" si="87"/>
        <v>2</v>
      </c>
      <c r="ADQ6" s="5"/>
      <c r="ADR6" s="41">
        <f t="shared" si="312"/>
        <v>-2</v>
      </c>
      <c r="ADT6" s="5">
        <v>6</v>
      </c>
      <c r="ADU6" s="5">
        <v>24</v>
      </c>
      <c r="ADV6" s="5">
        <f t="shared" si="88"/>
        <v>29</v>
      </c>
      <c r="ADW6" s="5">
        <v>5</v>
      </c>
      <c r="ADX6" s="41">
        <f t="shared" si="313"/>
        <v>-24</v>
      </c>
      <c r="ADZ6" s="5">
        <v>29</v>
      </c>
      <c r="AEA6" s="5"/>
      <c r="AEB6" s="5">
        <f t="shared" si="89"/>
        <v>1</v>
      </c>
      <c r="AEC6" s="5">
        <v>0</v>
      </c>
      <c r="AED6" s="41">
        <f t="shared" si="314"/>
        <v>-1</v>
      </c>
      <c r="AEF6" s="5">
        <v>28</v>
      </c>
      <c r="AEG6" s="5"/>
      <c r="AEH6" s="5">
        <f t="shared" si="90"/>
        <v>1</v>
      </c>
      <c r="AEI6" s="5">
        <v>1</v>
      </c>
      <c r="AEJ6" s="41">
        <f t="shared" si="315"/>
        <v>0</v>
      </c>
      <c r="AEL6" s="5">
        <v>24</v>
      </c>
      <c r="AEM6" s="5"/>
      <c r="AEN6" s="5">
        <f t="shared" si="91"/>
        <v>4</v>
      </c>
      <c r="AEO6" s="5">
        <v>4</v>
      </c>
      <c r="AEP6" s="41">
        <f t="shared" si="316"/>
        <v>0</v>
      </c>
      <c r="AER6" s="5">
        <v>14</v>
      </c>
      <c r="AES6" s="5"/>
      <c r="AET6" s="5">
        <f t="shared" si="92"/>
        <v>10</v>
      </c>
      <c r="AEU6" s="5"/>
      <c r="AEV6" s="41">
        <f t="shared" si="317"/>
        <v>-10</v>
      </c>
      <c r="AEX6" s="5">
        <v>13</v>
      </c>
      <c r="AEY6" s="5">
        <v>24</v>
      </c>
      <c r="AEZ6" s="5">
        <f t="shared" si="93"/>
        <v>1</v>
      </c>
      <c r="AFA6" s="5">
        <v>1</v>
      </c>
      <c r="AFB6" s="41">
        <f t="shared" si="318"/>
        <v>0</v>
      </c>
      <c r="AFD6" s="5">
        <v>35</v>
      </c>
      <c r="AFE6" s="5"/>
      <c r="AFF6" s="5">
        <f t="shared" si="94"/>
        <v>2</v>
      </c>
      <c r="AFG6" s="5">
        <v>2</v>
      </c>
      <c r="AFH6" s="41">
        <f t="shared" si="319"/>
        <v>0</v>
      </c>
      <c r="AFJ6" s="5">
        <v>27</v>
      </c>
      <c r="AFK6" s="5"/>
      <c r="AFL6" s="5">
        <f t="shared" si="95"/>
        <v>8</v>
      </c>
      <c r="AFM6" s="5">
        <v>9</v>
      </c>
      <c r="AFN6" s="41">
        <f t="shared" si="320"/>
        <v>1</v>
      </c>
      <c r="AFP6" s="5">
        <v>24</v>
      </c>
      <c r="AFQ6" s="5"/>
      <c r="AFR6" s="5">
        <f t="shared" si="96"/>
        <v>3</v>
      </c>
      <c r="AFS6" s="5">
        <v>1</v>
      </c>
      <c r="AFT6" s="41">
        <f t="shared" si="321"/>
        <v>-2</v>
      </c>
      <c r="AFV6" s="5">
        <v>23</v>
      </c>
      <c r="AFW6" s="5"/>
      <c r="AFX6" s="5">
        <f t="shared" si="97"/>
        <v>1</v>
      </c>
      <c r="AFY6" s="5"/>
      <c r="AFZ6" s="41">
        <f t="shared" si="322"/>
        <v>-1</v>
      </c>
      <c r="AGB6" s="5">
        <v>23</v>
      </c>
      <c r="AGC6" s="5"/>
      <c r="AGD6" s="5">
        <f t="shared" si="98"/>
        <v>0</v>
      </c>
      <c r="AGE6" s="5">
        <v>0</v>
      </c>
      <c r="AGF6" s="41">
        <f t="shared" si="323"/>
        <v>0</v>
      </c>
      <c r="AGH6" s="5">
        <v>21</v>
      </c>
      <c r="AGI6" s="5"/>
      <c r="AGJ6" s="5">
        <f t="shared" si="99"/>
        <v>2</v>
      </c>
      <c r="AGK6" s="5"/>
      <c r="AGL6" s="41">
        <f t="shared" si="324"/>
        <v>-2</v>
      </c>
      <c r="AGN6" s="5">
        <v>18</v>
      </c>
      <c r="AGO6" s="5"/>
      <c r="AGP6" s="5">
        <f t="shared" si="100"/>
        <v>3</v>
      </c>
      <c r="AGQ6" s="5"/>
      <c r="AGR6" s="41">
        <f t="shared" si="325"/>
        <v>-3</v>
      </c>
      <c r="AGT6" s="5">
        <v>16</v>
      </c>
      <c r="AGU6" s="5"/>
      <c r="AGV6" s="5">
        <f t="shared" si="101"/>
        <v>2</v>
      </c>
      <c r="AGW6" s="5"/>
      <c r="AGX6" s="41">
        <f t="shared" si="326"/>
        <v>-2</v>
      </c>
      <c r="AGZ6" s="5">
        <v>12</v>
      </c>
      <c r="AHA6" s="5">
        <v>24</v>
      </c>
      <c r="AHB6" s="5">
        <f t="shared" si="102"/>
        <v>4</v>
      </c>
      <c r="AHC6" s="5"/>
      <c r="AHD6" s="41">
        <f t="shared" si="327"/>
        <v>-4</v>
      </c>
      <c r="AHF6" s="5">
        <v>42</v>
      </c>
      <c r="AHG6" s="5"/>
      <c r="AHH6" s="5">
        <f t="shared" si="103"/>
        <v>-6</v>
      </c>
      <c r="AHI6" s="5"/>
      <c r="AHJ6" s="41">
        <f t="shared" si="328"/>
        <v>6</v>
      </c>
      <c r="AHL6" s="5">
        <v>31</v>
      </c>
      <c r="AHM6" s="5"/>
      <c r="AHN6" s="5">
        <f t="shared" si="104"/>
        <v>11</v>
      </c>
      <c r="AHO6" s="5"/>
      <c r="AHP6" s="41">
        <f t="shared" si="329"/>
        <v>-11</v>
      </c>
      <c r="AHR6" s="5">
        <v>30</v>
      </c>
      <c r="AHS6" s="5"/>
      <c r="AHT6" s="5">
        <f t="shared" si="105"/>
        <v>1</v>
      </c>
      <c r="AHU6" s="5"/>
      <c r="AHV6" s="41">
        <f t="shared" si="330"/>
        <v>-1</v>
      </c>
      <c r="AHX6" s="5">
        <v>34</v>
      </c>
      <c r="AHY6" s="5"/>
      <c r="AHZ6" s="5">
        <f t="shared" si="106"/>
        <v>-4</v>
      </c>
      <c r="AIA6" s="5"/>
      <c r="AIB6" s="41">
        <f t="shared" si="331"/>
        <v>4</v>
      </c>
      <c r="AID6" s="5">
        <v>27</v>
      </c>
      <c r="AIE6" s="5"/>
      <c r="AIF6" s="5">
        <f t="shared" si="107"/>
        <v>7</v>
      </c>
      <c r="AIG6" s="5"/>
      <c r="AIH6" s="41">
        <f t="shared" si="332"/>
        <v>-7</v>
      </c>
      <c r="AIJ6" s="5">
        <v>23</v>
      </c>
      <c r="AIK6" s="5"/>
      <c r="AIL6" s="5">
        <f t="shared" si="108"/>
        <v>4</v>
      </c>
      <c r="AIM6" s="5">
        <v>4</v>
      </c>
      <c r="AIN6" s="41">
        <f t="shared" si="333"/>
        <v>0</v>
      </c>
      <c r="AIP6" s="5">
        <v>22</v>
      </c>
      <c r="AIQ6" s="5"/>
      <c r="AIR6" s="5">
        <f t="shared" si="109"/>
        <v>1</v>
      </c>
      <c r="AIS6" s="5"/>
      <c r="AIT6" s="41">
        <f t="shared" si="334"/>
        <v>-1</v>
      </c>
      <c r="AIV6" s="5">
        <v>21</v>
      </c>
      <c r="AIW6" s="5"/>
      <c r="AIX6" s="5">
        <f t="shared" si="110"/>
        <v>1</v>
      </c>
      <c r="AIY6" s="5"/>
      <c r="AIZ6" s="41">
        <f t="shared" si="335"/>
        <v>-1</v>
      </c>
      <c r="AJB6" s="5">
        <v>12</v>
      </c>
      <c r="AJC6" s="5"/>
      <c r="AJD6" s="5">
        <f t="shared" si="111"/>
        <v>9</v>
      </c>
      <c r="AJE6" s="5"/>
      <c r="AJF6" s="41">
        <f t="shared" si="336"/>
        <v>-9</v>
      </c>
      <c r="AJH6" s="5">
        <v>18</v>
      </c>
      <c r="AJI6" s="5"/>
      <c r="AJJ6" s="5">
        <f t="shared" si="112"/>
        <v>-6</v>
      </c>
      <c r="AJK6" s="5"/>
      <c r="AJL6" s="41">
        <f t="shared" si="337"/>
        <v>6</v>
      </c>
      <c r="AJN6" s="5">
        <v>15</v>
      </c>
      <c r="AJO6" s="5"/>
      <c r="AJP6" s="5">
        <f t="shared" si="113"/>
        <v>3</v>
      </c>
      <c r="AJQ6" s="5"/>
      <c r="AJR6" s="41">
        <f t="shared" si="338"/>
        <v>-3</v>
      </c>
      <c r="AJT6" s="5">
        <v>11</v>
      </c>
      <c r="AJU6" s="5">
        <v>24</v>
      </c>
      <c r="AJV6" s="5">
        <f t="shared" si="114"/>
        <v>4</v>
      </c>
      <c r="AJW6" s="5"/>
      <c r="AJX6" s="41">
        <f t="shared" si="339"/>
        <v>-4</v>
      </c>
      <c r="AJZ6" s="5">
        <v>29</v>
      </c>
      <c r="AKA6" s="5"/>
      <c r="AKB6" s="5">
        <f t="shared" si="115"/>
        <v>6</v>
      </c>
      <c r="AKC6" s="5"/>
      <c r="AKD6" s="41">
        <f t="shared" si="340"/>
        <v>-6</v>
      </c>
      <c r="AKF6" s="5">
        <v>29</v>
      </c>
      <c r="AKG6" s="5"/>
      <c r="AKH6" s="5">
        <f t="shared" si="116"/>
        <v>0</v>
      </c>
      <c r="AKI6" s="5"/>
      <c r="AKJ6" s="41">
        <f t="shared" si="341"/>
        <v>0</v>
      </c>
      <c r="AKL6" s="5">
        <v>28</v>
      </c>
      <c r="AKM6" s="5"/>
      <c r="AKN6" s="5">
        <f t="shared" si="117"/>
        <v>1</v>
      </c>
      <c r="AKO6" s="5"/>
      <c r="AKP6" s="41">
        <f t="shared" si="342"/>
        <v>-1</v>
      </c>
      <c r="AKR6" s="5">
        <v>26</v>
      </c>
      <c r="AKS6" s="5"/>
      <c r="AKT6" s="5">
        <f t="shared" si="118"/>
        <v>2</v>
      </c>
      <c r="AKU6" s="5"/>
      <c r="AKV6" s="41">
        <f t="shared" si="343"/>
        <v>-2</v>
      </c>
      <c r="AKX6" s="5">
        <v>25</v>
      </c>
      <c r="AKY6" s="5"/>
      <c r="AKZ6" s="5">
        <f t="shared" si="119"/>
        <v>1</v>
      </c>
      <c r="ALA6" s="5"/>
      <c r="ALB6" s="41">
        <f t="shared" si="344"/>
        <v>-1</v>
      </c>
      <c r="ALD6" s="5">
        <v>26</v>
      </c>
      <c r="ALE6" s="5"/>
      <c r="ALF6" s="5">
        <f t="shared" si="120"/>
        <v>-1</v>
      </c>
      <c r="ALG6" s="5"/>
      <c r="ALH6" s="41">
        <f t="shared" si="345"/>
        <v>1</v>
      </c>
      <c r="ALJ6" s="5">
        <v>23</v>
      </c>
      <c r="ALK6" s="5"/>
      <c r="ALL6" s="5">
        <f t="shared" si="121"/>
        <v>3</v>
      </c>
      <c r="ALM6" s="5"/>
      <c r="ALN6" s="41">
        <f t="shared" si="346"/>
        <v>-3</v>
      </c>
      <c r="ALP6" s="5">
        <v>20</v>
      </c>
      <c r="ALQ6" s="5"/>
      <c r="ALR6" s="5">
        <f t="shared" si="122"/>
        <v>3</v>
      </c>
      <c r="ALS6" s="5"/>
      <c r="ALT6" s="41">
        <f t="shared" si="347"/>
        <v>-3</v>
      </c>
      <c r="ALV6" s="5">
        <v>15</v>
      </c>
      <c r="ALW6" s="5"/>
      <c r="ALX6" s="5">
        <f t="shared" si="123"/>
        <v>5</v>
      </c>
      <c r="ALY6" s="5"/>
      <c r="ALZ6" s="41">
        <f t="shared" si="348"/>
        <v>-5</v>
      </c>
      <c r="AMB6" s="5">
        <v>15</v>
      </c>
      <c r="AMC6" s="5"/>
      <c r="AMD6" s="5">
        <f t="shared" si="124"/>
        <v>0</v>
      </c>
      <c r="AME6" s="5"/>
      <c r="AMF6" s="41">
        <f t="shared" si="349"/>
        <v>0</v>
      </c>
      <c r="AMH6" s="5">
        <v>12</v>
      </c>
      <c r="AMI6" s="5"/>
      <c r="AMJ6" s="5">
        <f t="shared" si="125"/>
        <v>3</v>
      </c>
      <c r="AMK6" s="5"/>
      <c r="AML6" s="41">
        <f t="shared" si="350"/>
        <v>-3</v>
      </c>
      <c r="AMN6" s="5">
        <v>10</v>
      </c>
      <c r="AMO6" s="5"/>
      <c r="AMP6" s="5">
        <f t="shared" si="126"/>
        <v>2</v>
      </c>
      <c r="AMQ6" s="5"/>
      <c r="AMR6" s="41">
        <f t="shared" si="351"/>
        <v>-2</v>
      </c>
      <c r="AMT6" s="5">
        <v>4</v>
      </c>
      <c r="AMU6" s="5"/>
      <c r="AMV6" s="5">
        <f t="shared" si="127"/>
        <v>6</v>
      </c>
      <c r="AMW6" s="5"/>
      <c r="AMX6" s="41">
        <f t="shared" si="352"/>
        <v>-6</v>
      </c>
      <c r="AMZ6" s="5">
        <v>4</v>
      </c>
      <c r="ANA6" s="5">
        <v>24</v>
      </c>
      <c r="ANB6" s="5">
        <f t="shared" si="128"/>
        <v>0</v>
      </c>
      <c r="ANC6" s="5"/>
      <c r="AND6" s="41">
        <f t="shared" si="353"/>
        <v>0</v>
      </c>
      <c r="ANF6" s="5">
        <v>28</v>
      </c>
      <c r="ANG6" s="5"/>
      <c r="ANH6" s="5">
        <f t="shared" si="129"/>
        <v>0</v>
      </c>
      <c r="ANI6" s="5"/>
      <c r="ANJ6" s="41">
        <f t="shared" si="354"/>
        <v>0</v>
      </c>
      <c r="ANL6" s="5">
        <v>27</v>
      </c>
      <c r="ANM6" s="5"/>
      <c r="ANN6" s="5">
        <f t="shared" si="130"/>
        <v>1</v>
      </c>
      <c r="ANO6" s="5"/>
      <c r="ANP6" s="41">
        <f t="shared" si="355"/>
        <v>-1</v>
      </c>
      <c r="ANR6" s="5">
        <v>27</v>
      </c>
      <c r="ANS6" s="5"/>
      <c r="ANT6" s="5">
        <f t="shared" si="131"/>
        <v>0</v>
      </c>
      <c r="ANU6" s="5"/>
      <c r="ANV6" s="41">
        <f t="shared" si="356"/>
        <v>0</v>
      </c>
      <c r="ANX6" s="5">
        <v>19</v>
      </c>
      <c r="ANY6" s="5"/>
      <c r="ANZ6" s="5">
        <f t="shared" si="132"/>
        <v>8</v>
      </c>
      <c r="AOA6" s="5"/>
      <c r="AOB6" s="41">
        <f t="shared" si="357"/>
        <v>-8</v>
      </c>
      <c r="AOD6" s="5">
        <v>17</v>
      </c>
      <c r="AOE6" s="5"/>
      <c r="AOF6" s="5">
        <f t="shared" si="133"/>
        <v>2</v>
      </c>
      <c r="AOG6" s="5"/>
      <c r="AOH6" s="41">
        <f t="shared" si="358"/>
        <v>-2</v>
      </c>
      <c r="AOJ6" s="5">
        <v>14</v>
      </c>
      <c r="AOK6" s="5"/>
      <c r="AOL6" s="5">
        <f t="shared" si="134"/>
        <v>3</v>
      </c>
      <c r="AOM6" s="5"/>
      <c r="AON6" s="41">
        <f t="shared" si="359"/>
        <v>-3</v>
      </c>
      <c r="AOP6" s="5">
        <v>11</v>
      </c>
      <c r="AOQ6" s="5"/>
      <c r="AOR6" s="5"/>
      <c r="AOS6" s="5"/>
      <c r="AOT6" s="41"/>
      <c r="AOV6" s="5">
        <v>4</v>
      </c>
      <c r="AOW6" s="5"/>
      <c r="AOX6" s="5">
        <f t="shared" si="135"/>
        <v>7</v>
      </c>
      <c r="AOY6" s="5"/>
      <c r="AOZ6" s="41">
        <f t="shared" si="360"/>
        <v>-7</v>
      </c>
    </row>
    <row r="7" spans="1:1092" x14ac:dyDescent="0.25">
      <c r="A7" s="3" t="s">
        <v>56</v>
      </c>
      <c r="B7" s="86">
        <f t="shared" si="0"/>
        <v>0.69230769230769229</v>
      </c>
      <c r="C7" s="5">
        <v>12</v>
      </c>
      <c r="E7" s="5">
        <v>25</v>
      </c>
      <c r="F7" s="5"/>
      <c r="H7" s="5">
        <v>25</v>
      </c>
      <c r="I7" s="5"/>
      <c r="J7" s="5">
        <f t="shared" si="136"/>
        <v>0</v>
      </c>
      <c r="K7" s="5"/>
      <c r="L7" s="24">
        <f t="shared" si="137"/>
        <v>0</v>
      </c>
      <c r="N7" s="5">
        <v>25</v>
      </c>
      <c r="O7" s="5"/>
      <c r="P7" s="5">
        <f t="shared" si="138"/>
        <v>0</v>
      </c>
      <c r="Q7" s="5"/>
      <c r="R7" s="24">
        <f t="shared" si="139"/>
        <v>0</v>
      </c>
      <c r="T7" s="5">
        <v>25</v>
      </c>
      <c r="U7" s="5"/>
      <c r="V7" s="5">
        <f t="shared" si="140"/>
        <v>0</v>
      </c>
      <c r="W7" s="5"/>
      <c r="X7" s="24">
        <f t="shared" si="141"/>
        <v>0</v>
      </c>
      <c r="Z7" s="5">
        <v>25</v>
      </c>
      <c r="AA7" s="5"/>
      <c r="AB7" s="5">
        <f t="shared" si="142"/>
        <v>0</v>
      </c>
      <c r="AC7" s="5"/>
      <c r="AD7" s="24">
        <f t="shared" si="143"/>
        <v>0</v>
      </c>
      <c r="AF7" s="5">
        <v>25</v>
      </c>
      <c r="AG7" s="5"/>
      <c r="AH7" s="5">
        <f t="shared" si="144"/>
        <v>0</v>
      </c>
      <c r="AI7" s="5"/>
      <c r="AJ7" s="24">
        <f t="shared" si="145"/>
        <v>0</v>
      </c>
      <c r="AL7" s="5">
        <v>24</v>
      </c>
      <c r="AM7" s="5"/>
      <c r="AN7" s="5">
        <f t="shared" si="146"/>
        <v>1</v>
      </c>
      <c r="AO7" s="5">
        <v>1</v>
      </c>
      <c r="AP7" s="24">
        <f t="shared" si="147"/>
        <v>0</v>
      </c>
      <c r="AR7" s="5">
        <v>24</v>
      </c>
      <c r="AS7" s="5"/>
      <c r="AT7" s="5">
        <f t="shared" si="148"/>
        <v>0</v>
      </c>
      <c r="AU7" s="5"/>
      <c r="AV7" s="24">
        <f t="shared" si="149"/>
        <v>0</v>
      </c>
      <c r="AX7" s="5">
        <v>24</v>
      </c>
      <c r="AY7" s="5"/>
      <c r="AZ7" s="5">
        <f t="shared" si="150"/>
        <v>0</v>
      </c>
      <c r="BA7" s="5"/>
      <c r="BB7" s="24">
        <f t="shared" si="151"/>
        <v>0</v>
      </c>
      <c r="BD7" s="5">
        <v>23</v>
      </c>
      <c r="BE7" s="5"/>
      <c r="BF7" s="5">
        <f t="shared" si="152"/>
        <v>1</v>
      </c>
      <c r="BG7" s="5">
        <v>1</v>
      </c>
      <c r="BH7" s="24">
        <f t="shared" si="153"/>
        <v>0</v>
      </c>
      <c r="BJ7" s="5">
        <v>18</v>
      </c>
      <c r="BK7" s="5"/>
      <c r="BL7" s="5">
        <f t="shared" si="154"/>
        <v>5</v>
      </c>
      <c r="BM7" s="5">
        <v>4</v>
      </c>
      <c r="BN7" s="24">
        <f t="shared" si="155"/>
        <v>-1</v>
      </c>
      <c r="BP7" s="5">
        <v>18</v>
      </c>
      <c r="BQ7" s="5"/>
      <c r="BR7" s="5">
        <f t="shared" si="156"/>
        <v>0</v>
      </c>
      <c r="BS7" s="5"/>
      <c r="BT7" s="24">
        <f t="shared" si="157"/>
        <v>0</v>
      </c>
      <c r="BV7" s="5">
        <v>16</v>
      </c>
      <c r="BW7" s="5"/>
      <c r="BX7" s="5">
        <f t="shared" si="158"/>
        <v>2</v>
      </c>
      <c r="BY7" s="5"/>
      <c r="BZ7" s="24">
        <f t="shared" si="159"/>
        <v>-2</v>
      </c>
      <c r="CB7" s="5">
        <v>15</v>
      </c>
      <c r="CC7" s="5"/>
      <c r="CD7" s="5">
        <f t="shared" si="160"/>
        <v>1</v>
      </c>
      <c r="CE7" s="5">
        <v>0</v>
      </c>
      <c r="CF7" s="24">
        <f t="shared" si="161"/>
        <v>-1</v>
      </c>
      <c r="CH7" s="5">
        <v>16</v>
      </c>
      <c r="CI7" s="5"/>
      <c r="CJ7" s="5">
        <f t="shared" si="162"/>
        <v>-1</v>
      </c>
      <c r="CK7" s="5">
        <v>0</v>
      </c>
      <c r="CL7" s="24">
        <f t="shared" si="163"/>
        <v>1</v>
      </c>
      <c r="CN7" s="5">
        <v>16</v>
      </c>
      <c r="CO7" s="37"/>
      <c r="CP7" s="5">
        <f t="shared" si="164"/>
        <v>0</v>
      </c>
      <c r="CQ7" s="5">
        <v>0</v>
      </c>
      <c r="CR7" s="24">
        <f t="shared" si="165"/>
        <v>0</v>
      </c>
      <c r="CT7" s="5">
        <v>16</v>
      </c>
      <c r="CU7" s="37"/>
      <c r="CV7" s="5">
        <f t="shared" si="166"/>
        <v>0</v>
      </c>
      <c r="CW7" s="5">
        <v>0</v>
      </c>
      <c r="CX7" s="41">
        <f t="shared" si="167"/>
        <v>0</v>
      </c>
      <c r="CZ7" s="5">
        <v>16</v>
      </c>
      <c r="DA7" s="37"/>
      <c r="DB7" s="5">
        <f t="shared" si="168"/>
        <v>0</v>
      </c>
      <c r="DC7" s="5">
        <v>0</v>
      </c>
      <c r="DD7" s="41">
        <f t="shared" si="169"/>
        <v>0</v>
      </c>
      <c r="DF7" s="5">
        <v>12</v>
      </c>
      <c r="DG7" s="37"/>
      <c r="DH7" s="5">
        <f t="shared" si="170"/>
        <v>4</v>
      </c>
      <c r="DI7" s="5">
        <v>2</v>
      </c>
      <c r="DJ7" s="41">
        <f t="shared" si="171"/>
        <v>-2</v>
      </c>
      <c r="DL7" s="5">
        <v>12</v>
      </c>
      <c r="DM7" s="37"/>
      <c r="DN7" s="5">
        <f t="shared" si="172"/>
        <v>0</v>
      </c>
      <c r="DO7" s="5">
        <v>0</v>
      </c>
      <c r="DP7" s="41">
        <f t="shared" si="173"/>
        <v>0</v>
      </c>
      <c r="DR7" s="5">
        <v>12</v>
      </c>
      <c r="DS7" s="37"/>
      <c r="DT7" s="5">
        <f t="shared" si="174"/>
        <v>0</v>
      </c>
      <c r="DU7" s="5">
        <v>0</v>
      </c>
      <c r="DV7" s="41">
        <f t="shared" si="175"/>
        <v>0</v>
      </c>
      <c r="DX7" s="5">
        <v>12</v>
      </c>
      <c r="DY7" s="37"/>
      <c r="DZ7" s="5">
        <f t="shared" si="176"/>
        <v>0</v>
      </c>
      <c r="EA7" s="5"/>
      <c r="EB7" s="41">
        <f t="shared" si="177"/>
        <v>0</v>
      </c>
      <c r="ED7" s="5">
        <v>12</v>
      </c>
      <c r="EE7" s="37"/>
      <c r="EF7" s="5">
        <f t="shared" si="178"/>
        <v>0</v>
      </c>
      <c r="EG7" s="5">
        <v>0</v>
      </c>
      <c r="EH7" s="41">
        <f t="shared" si="179"/>
        <v>0</v>
      </c>
      <c r="EJ7" s="5">
        <v>11</v>
      </c>
      <c r="EK7" s="37"/>
      <c r="EL7" s="5">
        <f t="shared" si="180"/>
        <v>1</v>
      </c>
      <c r="EM7" s="5">
        <v>1</v>
      </c>
      <c r="EN7" s="41">
        <f t="shared" si="181"/>
        <v>0</v>
      </c>
      <c r="EP7" s="5">
        <v>10</v>
      </c>
      <c r="EQ7" s="37"/>
      <c r="ER7" s="5">
        <f t="shared" si="182"/>
        <v>1</v>
      </c>
      <c r="ES7" s="5">
        <v>0</v>
      </c>
      <c r="ET7" s="41">
        <f t="shared" si="183"/>
        <v>-1</v>
      </c>
      <c r="EV7" s="5">
        <v>9</v>
      </c>
      <c r="EW7" s="37"/>
      <c r="EX7" s="5">
        <f t="shared" si="184"/>
        <v>1</v>
      </c>
      <c r="EY7" s="5"/>
      <c r="EZ7" s="41">
        <f t="shared" si="185"/>
        <v>-1</v>
      </c>
      <c r="FB7" s="5">
        <v>9</v>
      </c>
      <c r="FC7" s="37"/>
      <c r="FD7" s="5">
        <f t="shared" si="186"/>
        <v>0</v>
      </c>
      <c r="FE7" s="5"/>
      <c r="FF7" s="41">
        <f t="shared" si="187"/>
        <v>0</v>
      </c>
      <c r="FH7" s="5">
        <v>8</v>
      </c>
      <c r="FI7" s="37"/>
      <c r="FJ7" s="5">
        <f t="shared" si="188"/>
        <v>1</v>
      </c>
      <c r="FK7" s="5"/>
      <c r="FL7" s="41">
        <f t="shared" si="189"/>
        <v>-1</v>
      </c>
      <c r="FN7" s="5">
        <v>9</v>
      </c>
      <c r="FO7" s="37"/>
      <c r="FP7" s="5">
        <f t="shared" si="190"/>
        <v>-1</v>
      </c>
      <c r="FQ7" s="5">
        <v>1</v>
      </c>
      <c r="FR7" s="41">
        <f t="shared" si="191"/>
        <v>2</v>
      </c>
      <c r="FT7" s="5">
        <v>8</v>
      </c>
      <c r="FU7" s="37"/>
      <c r="FV7" s="5">
        <f t="shared" si="192"/>
        <v>1</v>
      </c>
      <c r="FW7" s="5"/>
      <c r="FX7" s="41">
        <f t="shared" si="193"/>
        <v>-1</v>
      </c>
      <c r="FZ7" s="5">
        <v>8</v>
      </c>
      <c r="GA7" s="37"/>
      <c r="GB7" s="5">
        <f t="shared" si="194"/>
        <v>0</v>
      </c>
      <c r="GC7" s="5"/>
      <c r="GD7" s="41">
        <f t="shared" si="195"/>
        <v>0</v>
      </c>
      <c r="GF7" s="5">
        <v>7</v>
      </c>
      <c r="GG7" s="37"/>
      <c r="GH7" s="5">
        <f t="shared" si="196"/>
        <v>1</v>
      </c>
      <c r="GI7" s="5"/>
      <c r="GJ7" s="41">
        <f t="shared" si="197"/>
        <v>-1</v>
      </c>
      <c r="GL7" s="5">
        <v>7</v>
      </c>
      <c r="GM7" s="37"/>
      <c r="GN7" s="5">
        <f t="shared" si="198"/>
        <v>0</v>
      </c>
      <c r="GO7" s="5"/>
      <c r="GP7" s="41">
        <f t="shared" si="199"/>
        <v>0</v>
      </c>
      <c r="GR7" s="5">
        <v>6</v>
      </c>
      <c r="GS7" s="37"/>
      <c r="GT7" s="5">
        <f t="shared" si="200"/>
        <v>1</v>
      </c>
      <c r="GU7" s="5">
        <v>0</v>
      </c>
      <c r="GV7" s="41">
        <f t="shared" si="201"/>
        <v>-1</v>
      </c>
      <c r="GX7" s="5">
        <v>5</v>
      </c>
      <c r="GY7" s="37"/>
      <c r="GZ7" s="5">
        <f t="shared" si="202"/>
        <v>1</v>
      </c>
      <c r="HA7" s="5"/>
      <c r="HB7" s="41">
        <f t="shared" si="203"/>
        <v>-1</v>
      </c>
      <c r="HD7" s="5">
        <v>5</v>
      </c>
      <c r="HE7" s="37"/>
      <c r="HF7" s="5">
        <f t="shared" si="204"/>
        <v>0</v>
      </c>
      <c r="HG7" s="5"/>
      <c r="HH7" s="41">
        <f t="shared" si="205"/>
        <v>0</v>
      </c>
      <c r="HJ7" s="5">
        <v>6</v>
      </c>
      <c r="HK7" s="37"/>
      <c r="HL7" s="5">
        <f t="shared" si="206"/>
        <v>-1</v>
      </c>
      <c r="HM7" s="5">
        <v>0</v>
      </c>
      <c r="HN7" s="41">
        <f t="shared" si="207"/>
        <v>1</v>
      </c>
      <c r="HP7" s="5">
        <v>3</v>
      </c>
      <c r="HQ7" s="37"/>
      <c r="HR7" s="5">
        <f t="shared" si="208"/>
        <v>3</v>
      </c>
      <c r="HS7" s="5">
        <v>3</v>
      </c>
      <c r="HT7" s="41">
        <f t="shared" si="209"/>
        <v>0</v>
      </c>
      <c r="HV7" s="5">
        <v>1</v>
      </c>
      <c r="HW7" s="37">
        <v>24</v>
      </c>
      <c r="HX7" s="5">
        <f t="shared" si="210"/>
        <v>2</v>
      </c>
      <c r="HY7" s="5">
        <v>2</v>
      </c>
      <c r="HZ7" s="41">
        <f t="shared" si="211"/>
        <v>0</v>
      </c>
      <c r="IB7" s="5">
        <v>25</v>
      </c>
      <c r="IC7" s="37"/>
      <c r="ID7" s="5">
        <f t="shared" si="212"/>
        <v>0</v>
      </c>
      <c r="IE7" s="5"/>
      <c r="IF7" s="41">
        <f t="shared" si="213"/>
        <v>0</v>
      </c>
      <c r="IH7" s="5">
        <v>23</v>
      </c>
      <c r="II7" s="37"/>
      <c r="IJ7" s="5">
        <f t="shared" si="214"/>
        <v>2</v>
      </c>
      <c r="IK7" s="5">
        <v>2</v>
      </c>
      <c r="IL7" s="41">
        <f t="shared" si="215"/>
        <v>0</v>
      </c>
      <c r="IN7" s="5">
        <v>22</v>
      </c>
      <c r="IO7" s="37"/>
      <c r="IP7" s="5">
        <f t="shared" si="216"/>
        <v>1</v>
      </c>
      <c r="IQ7" s="5">
        <v>2</v>
      </c>
      <c r="IR7" s="41">
        <f t="shared" si="217"/>
        <v>1</v>
      </c>
      <c r="IT7" s="5">
        <v>19</v>
      </c>
      <c r="IU7" s="37"/>
      <c r="IV7" s="5">
        <f t="shared" si="218"/>
        <v>3</v>
      </c>
      <c r="IW7" s="5">
        <v>5</v>
      </c>
      <c r="IX7" s="41">
        <f t="shared" si="219"/>
        <v>2</v>
      </c>
      <c r="IZ7" s="5">
        <v>18</v>
      </c>
      <c r="JA7" s="37"/>
      <c r="JB7" s="5">
        <f t="shared" si="220"/>
        <v>1</v>
      </c>
      <c r="JC7" s="5"/>
      <c r="JD7" s="41">
        <f t="shared" si="221"/>
        <v>-1</v>
      </c>
      <c r="JF7" s="5">
        <v>18</v>
      </c>
      <c r="JG7" s="37"/>
      <c r="JH7" s="5">
        <f t="shared" si="222"/>
        <v>0</v>
      </c>
      <c r="JI7" s="5"/>
      <c r="JJ7" s="41">
        <f t="shared" si="223"/>
        <v>0</v>
      </c>
      <c r="JL7" s="5">
        <v>18</v>
      </c>
      <c r="JM7" s="37"/>
      <c r="JN7" s="5">
        <f t="shared" si="224"/>
        <v>0</v>
      </c>
      <c r="JO7" s="5"/>
      <c r="JP7" s="41">
        <f t="shared" si="225"/>
        <v>0</v>
      </c>
      <c r="JR7" s="5">
        <v>17</v>
      </c>
      <c r="JS7" s="37"/>
      <c r="JT7" s="5">
        <f t="shared" si="1"/>
        <v>1</v>
      </c>
      <c r="JU7" s="5">
        <v>1</v>
      </c>
      <c r="JV7" s="41">
        <f t="shared" si="226"/>
        <v>0</v>
      </c>
      <c r="JX7" s="5">
        <v>17</v>
      </c>
      <c r="JY7" s="37"/>
      <c r="JZ7" s="5">
        <f t="shared" si="2"/>
        <v>0</v>
      </c>
      <c r="KA7" s="5"/>
      <c r="KB7" s="41">
        <f t="shared" si="227"/>
        <v>0</v>
      </c>
      <c r="KD7" s="5">
        <v>16</v>
      </c>
      <c r="KE7" s="37"/>
      <c r="KF7" s="5">
        <f t="shared" si="3"/>
        <v>1</v>
      </c>
      <c r="KG7" s="5">
        <v>1</v>
      </c>
      <c r="KH7" s="41">
        <f t="shared" si="228"/>
        <v>0</v>
      </c>
      <c r="KJ7" s="5">
        <v>14</v>
      </c>
      <c r="KK7" s="37"/>
      <c r="KL7" s="5">
        <f t="shared" si="4"/>
        <v>2</v>
      </c>
      <c r="KM7" s="5">
        <v>1</v>
      </c>
      <c r="KN7" s="41">
        <f t="shared" si="229"/>
        <v>-1</v>
      </c>
      <c r="KP7" s="5">
        <v>14</v>
      </c>
      <c r="KQ7" s="37"/>
      <c r="KR7" s="5">
        <f t="shared" si="5"/>
        <v>0</v>
      </c>
      <c r="KS7" s="5"/>
      <c r="KT7" s="41">
        <f t="shared" si="230"/>
        <v>0</v>
      </c>
      <c r="KV7" s="5">
        <v>14</v>
      </c>
      <c r="KW7" s="37"/>
      <c r="KX7" s="5">
        <f t="shared" si="6"/>
        <v>0</v>
      </c>
      <c r="KY7" s="5"/>
      <c r="KZ7" s="41">
        <f t="shared" si="231"/>
        <v>0</v>
      </c>
      <c r="LB7" s="5">
        <v>14</v>
      </c>
      <c r="LC7" s="37"/>
      <c r="LD7" s="5">
        <f t="shared" si="7"/>
        <v>0</v>
      </c>
      <c r="LE7" s="5"/>
      <c r="LF7" s="41">
        <f t="shared" si="232"/>
        <v>0</v>
      </c>
      <c r="LH7" s="5">
        <v>8</v>
      </c>
      <c r="LI7" s="37"/>
      <c r="LJ7" s="5">
        <f t="shared" si="8"/>
        <v>6</v>
      </c>
      <c r="LK7" s="5">
        <v>6</v>
      </c>
      <c r="LL7" s="41">
        <f t="shared" si="233"/>
        <v>0</v>
      </c>
      <c r="LN7" s="5">
        <v>6</v>
      </c>
      <c r="LO7" s="5"/>
      <c r="LP7" s="5">
        <f t="shared" si="9"/>
        <v>2</v>
      </c>
      <c r="LQ7" s="5">
        <v>2</v>
      </c>
      <c r="LR7" s="41">
        <f t="shared" si="234"/>
        <v>0</v>
      </c>
      <c r="LT7" s="5">
        <v>0</v>
      </c>
      <c r="LU7" s="5"/>
      <c r="LV7" s="5">
        <f t="shared" si="10"/>
        <v>6</v>
      </c>
      <c r="LW7" s="5">
        <v>4</v>
      </c>
      <c r="LX7" s="41">
        <f t="shared" si="235"/>
        <v>-2</v>
      </c>
      <c r="LZ7" s="5">
        <v>0</v>
      </c>
      <c r="MA7" s="5"/>
      <c r="MB7" s="5">
        <f t="shared" si="11"/>
        <v>0</v>
      </c>
      <c r="MC7" s="5"/>
      <c r="MD7" s="41">
        <f t="shared" si="236"/>
        <v>0</v>
      </c>
      <c r="MF7" s="5">
        <v>0</v>
      </c>
      <c r="MG7" s="5"/>
      <c r="MH7" s="5">
        <f t="shared" si="12"/>
        <v>0</v>
      </c>
      <c r="MI7" s="5"/>
      <c r="MJ7" s="41">
        <f t="shared" si="237"/>
        <v>0</v>
      </c>
      <c r="ML7" s="5">
        <v>0</v>
      </c>
      <c r="MM7" s="5"/>
      <c r="MN7" s="5">
        <f t="shared" si="13"/>
        <v>0</v>
      </c>
      <c r="MO7" s="5"/>
      <c r="MP7" s="41">
        <f t="shared" si="238"/>
        <v>0</v>
      </c>
      <c r="MR7" s="5">
        <v>0</v>
      </c>
      <c r="MS7" s="5"/>
      <c r="MT7" s="5">
        <f t="shared" si="14"/>
        <v>0</v>
      </c>
      <c r="MU7" s="5"/>
      <c r="MV7" s="41">
        <f t="shared" si="239"/>
        <v>0</v>
      </c>
      <c r="MX7" s="5">
        <v>0</v>
      </c>
      <c r="MY7" s="5"/>
      <c r="MZ7" s="5">
        <f t="shared" si="15"/>
        <v>0</v>
      </c>
      <c r="NA7" s="5"/>
      <c r="NB7" s="41">
        <f t="shared" si="240"/>
        <v>0</v>
      </c>
      <c r="ND7" s="5">
        <v>0</v>
      </c>
      <c r="NE7" s="5"/>
      <c r="NF7" s="5">
        <f t="shared" si="16"/>
        <v>0</v>
      </c>
      <c r="NG7" s="5"/>
      <c r="NH7" s="41">
        <f t="shared" si="241"/>
        <v>0</v>
      </c>
      <c r="NJ7" s="5">
        <v>0</v>
      </c>
      <c r="NK7" s="5"/>
      <c r="NL7" s="5">
        <f t="shared" si="17"/>
        <v>0</v>
      </c>
      <c r="NM7" s="5"/>
      <c r="NN7" s="41">
        <f t="shared" si="242"/>
        <v>0</v>
      </c>
      <c r="NP7" s="5">
        <v>0</v>
      </c>
      <c r="NQ7" s="5">
        <v>24</v>
      </c>
      <c r="NR7" s="5">
        <f t="shared" si="18"/>
        <v>0</v>
      </c>
      <c r="NS7" s="5"/>
      <c r="NT7" s="41">
        <f t="shared" si="243"/>
        <v>0</v>
      </c>
      <c r="NV7" s="5">
        <v>23</v>
      </c>
      <c r="NW7" s="5"/>
      <c r="NX7" s="5">
        <f t="shared" si="19"/>
        <v>1</v>
      </c>
      <c r="NY7" s="5"/>
      <c r="NZ7" s="41">
        <f t="shared" si="244"/>
        <v>-1</v>
      </c>
      <c r="OB7" s="5">
        <v>23</v>
      </c>
      <c r="OC7" s="5"/>
      <c r="OD7" s="5">
        <f t="shared" si="20"/>
        <v>0</v>
      </c>
      <c r="OE7" s="5"/>
      <c r="OF7" s="41">
        <f t="shared" si="245"/>
        <v>0</v>
      </c>
      <c r="OH7" s="5">
        <v>23</v>
      </c>
      <c r="OI7" s="5"/>
      <c r="OJ7" s="5">
        <f t="shared" si="21"/>
        <v>0</v>
      </c>
      <c r="OK7" s="5"/>
      <c r="OL7" s="41">
        <f t="shared" si="246"/>
        <v>0</v>
      </c>
      <c r="ON7" s="5">
        <v>0</v>
      </c>
      <c r="OO7" s="5"/>
      <c r="OP7" s="5">
        <f t="shared" si="22"/>
        <v>23</v>
      </c>
      <c r="OQ7" s="5"/>
      <c r="OR7" s="41">
        <f t="shared" si="247"/>
        <v>-23</v>
      </c>
      <c r="OT7" s="5">
        <v>0</v>
      </c>
      <c r="OU7" s="5">
        <v>24</v>
      </c>
      <c r="OV7" s="5">
        <f t="shared" si="23"/>
        <v>0</v>
      </c>
      <c r="OW7" s="5"/>
      <c r="OX7" s="41">
        <f t="shared" si="248"/>
        <v>0</v>
      </c>
      <c r="OZ7" s="5">
        <v>42</v>
      </c>
      <c r="PA7" s="5"/>
      <c r="PB7" s="5">
        <f t="shared" si="24"/>
        <v>-18</v>
      </c>
      <c r="PC7" s="5"/>
      <c r="PD7" s="41">
        <f t="shared" si="249"/>
        <v>18</v>
      </c>
      <c r="PF7" s="5">
        <v>18</v>
      </c>
      <c r="PG7" s="5"/>
      <c r="PH7" s="5">
        <f t="shared" si="25"/>
        <v>24</v>
      </c>
      <c r="PI7" s="5"/>
      <c r="PJ7" s="41">
        <f t="shared" si="250"/>
        <v>-24</v>
      </c>
      <c r="PL7" s="5">
        <v>30</v>
      </c>
      <c r="PM7" s="5"/>
      <c r="PN7" s="5">
        <f t="shared" si="26"/>
        <v>-12</v>
      </c>
      <c r="PO7" s="5"/>
      <c r="PP7" s="41">
        <f t="shared" si="251"/>
        <v>12</v>
      </c>
      <c r="PR7" s="5">
        <v>41</v>
      </c>
      <c r="PS7" s="5"/>
      <c r="PT7" s="5">
        <f t="shared" si="27"/>
        <v>-11</v>
      </c>
      <c r="PU7" s="5"/>
      <c r="PV7" s="41">
        <f t="shared" si="252"/>
        <v>11</v>
      </c>
      <c r="PX7" s="5">
        <v>40</v>
      </c>
      <c r="PY7" s="5"/>
      <c r="PZ7" s="5">
        <f t="shared" si="28"/>
        <v>1</v>
      </c>
      <c r="QA7" s="5"/>
      <c r="QB7" s="41">
        <f t="shared" si="253"/>
        <v>-1</v>
      </c>
      <c r="QD7" s="5">
        <v>40</v>
      </c>
      <c r="QE7" s="5"/>
      <c r="QF7" s="5">
        <f t="shared" si="29"/>
        <v>0</v>
      </c>
      <c r="QG7" s="5"/>
      <c r="QH7" s="41">
        <f t="shared" si="254"/>
        <v>0</v>
      </c>
      <c r="QJ7" s="5">
        <v>34</v>
      </c>
      <c r="QK7" s="5"/>
      <c r="QL7" s="5">
        <f t="shared" si="30"/>
        <v>6</v>
      </c>
      <c r="QM7" s="5"/>
      <c r="QN7" s="41">
        <f t="shared" si="255"/>
        <v>-6</v>
      </c>
      <c r="QP7" s="5">
        <v>34</v>
      </c>
      <c r="QQ7" s="5"/>
      <c r="QR7" s="5">
        <f t="shared" si="31"/>
        <v>0</v>
      </c>
      <c r="QS7" s="5">
        <v>0</v>
      </c>
      <c r="QT7" s="41">
        <f t="shared" si="256"/>
        <v>0</v>
      </c>
      <c r="QV7" s="5">
        <v>35</v>
      </c>
      <c r="QW7" s="5"/>
      <c r="QX7" s="5">
        <f t="shared" si="32"/>
        <v>-1</v>
      </c>
      <c r="QY7" s="5"/>
      <c r="QZ7" s="41">
        <f t="shared" si="257"/>
        <v>1</v>
      </c>
      <c r="RB7" s="5">
        <v>34</v>
      </c>
      <c r="RC7" s="5"/>
      <c r="RD7" s="5">
        <f t="shared" si="33"/>
        <v>1</v>
      </c>
      <c r="RE7" s="5"/>
      <c r="RF7" s="41">
        <f t="shared" si="258"/>
        <v>-1</v>
      </c>
      <c r="RH7" s="5">
        <v>32</v>
      </c>
      <c r="RI7" s="5"/>
      <c r="RJ7" s="5">
        <f t="shared" si="34"/>
        <v>2</v>
      </c>
      <c r="RK7" s="5"/>
      <c r="RL7" s="41">
        <f t="shared" si="259"/>
        <v>-2</v>
      </c>
      <c r="RN7" s="5">
        <v>31</v>
      </c>
      <c r="RO7" s="5"/>
      <c r="RP7" s="5">
        <f t="shared" si="35"/>
        <v>1</v>
      </c>
      <c r="RQ7" s="5">
        <v>1</v>
      </c>
      <c r="RR7" s="41">
        <f t="shared" si="260"/>
        <v>0</v>
      </c>
      <c r="RT7" s="5">
        <v>31</v>
      </c>
      <c r="RU7" s="5"/>
      <c r="RV7" s="5">
        <f t="shared" si="36"/>
        <v>0</v>
      </c>
      <c r="RW7" s="5">
        <v>0</v>
      </c>
      <c r="RX7" s="41">
        <f t="shared" si="261"/>
        <v>0</v>
      </c>
      <c r="RZ7" s="5">
        <v>30</v>
      </c>
      <c r="SA7" s="5"/>
      <c r="SB7" s="5">
        <f t="shared" si="37"/>
        <v>1</v>
      </c>
      <c r="SC7" s="5"/>
      <c r="SD7" s="41">
        <f t="shared" si="262"/>
        <v>-1</v>
      </c>
      <c r="SF7" s="5">
        <v>28</v>
      </c>
      <c r="SG7" s="5"/>
      <c r="SH7" s="5">
        <f t="shared" si="38"/>
        <v>2</v>
      </c>
      <c r="SI7" s="5">
        <v>2</v>
      </c>
      <c r="SJ7" s="41">
        <f t="shared" si="263"/>
        <v>0</v>
      </c>
      <c r="SL7" s="5">
        <v>28</v>
      </c>
      <c r="SM7" s="5"/>
      <c r="SN7" s="5">
        <f t="shared" si="39"/>
        <v>0</v>
      </c>
      <c r="SO7" s="5">
        <v>0</v>
      </c>
      <c r="SP7" s="41">
        <f t="shared" si="264"/>
        <v>0</v>
      </c>
      <c r="SR7" s="5">
        <v>28</v>
      </c>
      <c r="SS7" s="5"/>
      <c r="ST7" s="5">
        <f t="shared" si="40"/>
        <v>0</v>
      </c>
      <c r="SU7" s="5">
        <v>0</v>
      </c>
      <c r="SV7" s="41">
        <f t="shared" si="265"/>
        <v>0</v>
      </c>
      <c r="SX7" s="5">
        <v>28</v>
      </c>
      <c r="SY7" s="5"/>
      <c r="SZ7" s="5">
        <f t="shared" si="41"/>
        <v>0</v>
      </c>
      <c r="TA7" s="5">
        <v>0</v>
      </c>
      <c r="TB7" s="41">
        <f t="shared" si="266"/>
        <v>0</v>
      </c>
      <c r="TD7" s="5">
        <v>27</v>
      </c>
      <c r="TE7" s="5"/>
      <c r="TF7" s="5">
        <f t="shared" si="42"/>
        <v>1</v>
      </c>
      <c r="TG7" s="5">
        <v>1</v>
      </c>
      <c r="TH7" s="41">
        <f t="shared" si="267"/>
        <v>0</v>
      </c>
      <c r="TJ7" s="5">
        <v>27</v>
      </c>
      <c r="TK7" s="5"/>
      <c r="TL7" s="5">
        <f t="shared" si="43"/>
        <v>0</v>
      </c>
      <c r="TM7" s="5">
        <v>0</v>
      </c>
      <c r="TN7" s="41">
        <f t="shared" si="268"/>
        <v>0</v>
      </c>
      <c r="TP7" s="5">
        <v>26</v>
      </c>
      <c r="TQ7" s="5"/>
      <c r="TR7" s="5">
        <f t="shared" si="44"/>
        <v>1</v>
      </c>
      <c r="TS7" s="5"/>
      <c r="TT7" s="41">
        <f t="shared" si="269"/>
        <v>-1</v>
      </c>
      <c r="TV7" s="5">
        <v>26</v>
      </c>
      <c r="TW7" s="5"/>
      <c r="TX7" s="5">
        <f t="shared" si="45"/>
        <v>0</v>
      </c>
      <c r="TY7" s="5">
        <v>0</v>
      </c>
      <c r="TZ7" s="41">
        <f t="shared" si="270"/>
        <v>0</v>
      </c>
      <c r="UB7" s="5">
        <v>26</v>
      </c>
      <c r="UC7" s="5"/>
      <c r="UD7" s="5">
        <f t="shared" si="46"/>
        <v>0</v>
      </c>
      <c r="UE7" s="5"/>
      <c r="UF7" s="41">
        <f t="shared" si="271"/>
        <v>0</v>
      </c>
      <c r="UH7" s="5">
        <v>26</v>
      </c>
      <c r="UI7" s="5"/>
      <c r="UJ7" s="5">
        <f t="shared" si="47"/>
        <v>0</v>
      </c>
      <c r="UK7" s="5">
        <v>0</v>
      </c>
      <c r="UL7" s="41">
        <f t="shared" si="272"/>
        <v>0</v>
      </c>
      <c r="UN7" s="5">
        <v>26</v>
      </c>
      <c r="UO7" s="5"/>
      <c r="UP7" s="5">
        <f t="shared" si="48"/>
        <v>0</v>
      </c>
      <c r="UQ7" s="5">
        <v>0</v>
      </c>
      <c r="UR7" s="41">
        <f t="shared" si="273"/>
        <v>0</v>
      </c>
      <c r="UT7" s="5">
        <v>23</v>
      </c>
      <c r="UU7" s="5"/>
      <c r="UV7" s="5">
        <f t="shared" si="49"/>
        <v>3</v>
      </c>
      <c r="UW7" s="5">
        <v>0</v>
      </c>
      <c r="UX7" s="41">
        <f t="shared" si="274"/>
        <v>-3</v>
      </c>
      <c r="UZ7" s="5">
        <v>22</v>
      </c>
      <c r="VA7" s="5"/>
      <c r="VB7" s="5">
        <f t="shared" si="50"/>
        <v>1</v>
      </c>
      <c r="VC7" s="5">
        <v>0</v>
      </c>
      <c r="VD7" s="41">
        <f t="shared" si="275"/>
        <v>-1</v>
      </c>
      <c r="VF7" s="5">
        <v>22</v>
      </c>
      <c r="VG7" s="5"/>
      <c r="VH7" s="5">
        <f t="shared" si="51"/>
        <v>0</v>
      </c>
      <c r="VI7" s="5">
        <v>1</v>
      </c>
      <c r="VJ7" s="41">
        <f t="shared" si="276"/>
        <v>1</v>
      </c>
      <c r="VL7" s="5">
        <v>22</v>
      </c>
      <c r="VM7" s="5"/>
      <c r="VN7" s="5">
        <f t="shared" si="52"/>
        <v>0</v>
      </c>
      <c r="VO7" s="5"/>
      <c r="VP7" s="41">
        <f t="shared" si="277"/>
        <v>0</v>
      </c>
      <c r="VR7" s="5">
        <v>21</v>
      </c>
      <c r="VS7" s="5"/>
      <c r="VT7" s="5">
        <f t="shared" si="53"/>
        <v>1</v>
      </c>
      <c r="VU7" s="5"/>
      <c r="VV7" s="41">
        <f t="shared" si="278"/>
        <v>-1</v>
      </c>
      <c r="VX7" s="5">
        <v>20</v>
      </c>
      <c r="VY7" s="5"/>
      <c r="VZ7" s="5">
        <f t="shared" si="54"/>
        <v>1</v>
      </c>
      <c r="WA7" s="5"/>
      <c r="WB7" s="41">
        <f t="shared" si="279"/>
        <v>-1</v>
      </c>
      <c r="WD7" s="5">
        <v>20</v>
      </c>
      <c r="WE7" s="5"/>
      <c r="WF7" s="5">
        <f t="shared" si="55"/>
        <v>0</v>
      </c>
      <c r="WG7" s="5"/>
      <c r="WH7" s="41">
        <f t="shared" si="280"/>
        <v>0</v>
      </c>
      <c r="WJ7" s="5">
        <v>20</v>
      </c>
      <c r="WK7" s="5"/>
      <c r="WL7" s="5">
        <f t="shared" si="56"/>
        <v>0</v>
      </c>
      <c r="WM7" s="5">
        <v>0</v>
      </c>
      <c r="WN7" s="41">
        <f t="shared" si="281"/>
        <v>0</v>
      </c>
      <c r="WP7" s="5">
        <v>18</v>
      </c>
      <c r="WQ7" s="5"/>
      <c r="WR7" s="5">
        <f t="shared" si="57"/>
        <v>2</v>
      </c>
      <c r="WS7" s="5">
        <v>2</v>
      </c>
      <c r="WT7" s="41">
        <f t="shared" si="282"/>
        <v>0</v>
      </c>
      <c r="WV7" s="5">
        <v>18</v>
      </c>
      <c r="WW7" s="5"/>
      <c r="WX7" s="5">
        <f t="shared" si="58"/>
        <v>0</v>
      </c>
      <c r="WY7" s="5">
        <v>0</v>
      </c>
      <c r="WZ7" s="41">
        <f t="shared" si="283"/>
        <v>0</v>
      </c>
      <c r="XB7" s="5">
        <v>18</v>
      </c>
      <c r="XC7" s="5"/>
      <c r="XD7" s="5">
        <f t="shared" si="59"/>
        <v>0</v>
      </c>
      <c r="XE7" s="5">
        <v>0</v>
      </c>
      <c r="XF7" s="41">
        <f t="shared" si="284"/>
        <v>0</v>
      </c>
      <c r="XH7" s="5">
        <v>18</v>
      </c>
      <c r="XI7" s="5"/>
      <c r="XJ7" s="5">
        <f t="shared" si="60"/>
        <v>0</v>
      </c>
      <c r="XK7" s="5">
        <v>0</v>
      </c>
      <c r="XL7" s="41">
        <f t="shared" si="285"/>
        <v>0</v>
      </c>
      <c r="XN7" s="5">
        <v>18</v>
      </c>
      <c r="XO7" s="5"/>
      <c r="XP7" s="5">
        <f t="shared" si="61"/>
        <v>0</v>
      </c>
      <c r="XQ7" s="5">
        <v>0</v>
      </c>
      <c r="XR7" s="41">
        <f t="shared" si="286"/>
        <v>0</v>
      </c>
      <c r="XT7" s="5">
        <v>18</v>
      </c>
      <c r="XU7" s="5"/>
      <c r="XV7" s="5">
        <f t="shared" si="62"/>
        <v>0</v>
      </c>
      <c r="XW7" s="5">
        <v>0</v>
      </c>
      <c r="XX7" s="41">
        <f t="shared" si="287"/>
        <v>0</v>
      </c>
      <c r="XZ7" s="5">
        <v>12</v>
      </c>
      <c r="YA7" s="5"/>
      <c r="YB7" s="5">
        <f t="shared" si="63"/>
        <v>6</v>
      </c>
      <c r="YC7" s="5">
        <v>0</v>
      </c>
      <c r="YD7" s="41">
        <f t="shared" si="288"/>
        <v>-6</v>
      </c>
      <c r="YF7" s="5">
        <v>12</v>
      </c>
      <c r="YG7" s="5"/>
      <c r="YH7" s="5">
        <f t="shared" si="64"/>
        <v>0</v>
      </c>
      <c r="YI7" s="5"/>
      <c r="YJ7" s="41">
        <f t="shared" si="289"/>
        <v>0</v>
      </c>
      <c r="YL7" s="5">
        <v>12</v>
      </c>
      <c r="YM7" s="5"/>
      <c r="YN7" s="5">
        <f t="shared" si="65"/>
        <v>0</v>
      </c>
      <c r="YO7" s="5"/>
      <c r="YP7" s="41">
        <f t="shared" si="290"/>
        <v>0</v>
      </c>
      <c r="YR7" s="5">
        <v>11</v>
      </c>
      <c r="YS7" s="5"/>
      <c r="YT7" s="5">
        <f t="shared" si="66"/>
        <v>1</v>
      </c>
      <c r="YU7" s="5"/>
      <c r="YV7" s="41">
        <f t="shared" si="291"/>
        <v>-1</v>
      </c>
      <c r="YX7" s="5">
        <v>10</v>
      </c>
      <c r="YY7" s="5"/>
      <c r="YZ7" s="5">
        <f t="shared" si="67"/>
        <v>1</v>
      </c>
      <c r="ZA7" s="5">
        <v>0</v>
      </c>
      <c r="ZB7" s="41">
        <f t="shared" si="292"/>
        <v>-1</v>
      </c>
      <c r="ZD7" s="5">
        <v>10</v>
      </c>
      <c r="ZE7" s="5"/>
      <c r="ZF7" s="5">
        <f t="shared" si="68"/>
        <v>0</v>
      </c>
      <c r="ZG7" s="5">
        <v>0</v>
      </c>
      <c r="ZH7" s="41">
        <f t="shared" si="293"/>
        <v>0</v>
      </c>
      <c r="ZJ7" s="5">
        <v>9</v>
      </c>
      <c r="ZK7" s="5"/>
      <c r="ZL7" s="5">
        <f t="shared" si="69"/>
        <v>1</v>
      </c>
      <c r="ZM7" s="5"/>
      <c r="ZN7" s="41">
        <f t="shared" si="294"/>
        <v>-1</v>
      </c>
      <c r="ZP7" s="5">
        <v>9</v>
      </c>
      <c r="ZQ7" s="5"/>
      <c r="ZR7" s="5">
        <f t="shared" si="70"/>
        <v>0</v>
      </c>
      <c r="ZS7" s="5">
        <v>0</v>
      </c>
      <c r="ZT7" s="41">
        <f t="shared" si="295"/>
        <v>0</v>
      </c>
      <c r="ZV7" s="5">
        <v>9</v>
      </c>
      <c r="ZW7" s="5"/>
      <c r="ZX7" s="5">
        <f t="shared" si="71"/>
        <v>0</v>
      </c>
      <c r="ZY7" s="5">
        <v>0</v>
      </c>
      <c r="ZZ7" s="41">
        <f t="shared" si="296"/>
        <v>0</v>
      </c>
      <c r="AAB7" s="5">
        <v>9</v>
      </c>
      <c r="AAC7" s="5"/>
      <c r="AAD7" s="5">
        <f t="shared" si="72"/>
        <v>0</v>
      </c>
      <c r="AAE7" s="5"/>
      <c r="AAF7" s="41">
        <f t="shared" si="297"/>
        <v>0</v>
      </c>
      <c r="AAH7" s="5">
        <v>9</v>
      </c>
      <c r="AAI7" s="5"/>
      <c r="AAJ7" s="5">
        <f t="shared" si="73"/>
        <v>0</v>
      </c>
      <c r="AAK7" s="5">
        <v>0</v>
      </c>
      <c r="AAL7" s="41">
        <f t="shared" si="298"/>
        <v>0</v>
      </c>
      <c r="AAN7" s="5">
        <v>6</v>
      </c>
      <c r="AAO7" s="5"/>
      <c r="AAP7" s="5">
        <f t="shared" si="74"/>
        <v>3</v>
      </c>
      <c r="AAQ7" s="5">
        <v>1</v>
      </c>
      <c r="AAR7" s="41">
        <f t="shared" si="299"/>
        <v>-2</v>
      </c>
      <c r="AAT7" s="5">
        <v>6</v>
      </c>
      <c r="AAU7" s="5"/>
      <c r="AAV7" s="5">
        <f t="shared" si="75"/>
        <v>0</v>
      </c>
      <c r="AAW7" s="5">
        <v>0</v>
      </c>
      <c r="AAX7" s="41">
        <f t="shared" si="300"/>
        <v>0</v>
      </c>
      <c r="AAZ7" s="5">
        <v>5</v>
      </c>
      <c r="ABA7" s="5"/>
      <c r="ABB7" s="5">
        <f t="shared" si="76"/>
        <v>1</v>
      </c>
      <c r="ABC7" s="5">
        <v>0</v>
      </c>
      <c r="ABD7" s="41">
        <f t="shared" si="301"/>
        <v>-1</v>
      </c>
      <c r="ABF7" s="5">
        <v>5</v>
      </c>
      <c r="ABG7" s="5"/>
      <c r="ABH7" s="5">
        <f t="shared" si="77"/>
        <v>0</v>
      </c>
      <c r="ABI7" s="5">
        <v>0</v>
      </c>
      <c r="ABJ7" s="41">
        <f t="shared" si="302"/>
        <v>0</v>
      </c>
      <c r="ABL7" s="5">
        <v>5</v>
      </c>
      <c r="ABM7" s="5"/>
      <c r="ABN7" s="5">
        <f t="shared" si="78"/>
        <v>0</v>
      </c>
      <c r="ABO7" s="5">
        <v>0</v>
      </c>
      <c r="ABP7" s="41">
        <f t="shared" si="303"/>
        <v>0</v>
      </c>
      <c r="ABR7" s="5">
        <v>5</v>
      </c>
      <c r="ABS7" s="5"/>
      <c r="ABT7" s="5">
        <f t="shared" si="79"/>
        <v>0</v>
      </c>
      <c r="ABU7" s="5">
        <v>0</v>
      </c>
      <c r="ABV7" s="41">
        <f t="shared" si="304"/>
        <v>0</v>
      </c>
      <c r="ABX7" s="5">
        <v>3</v>
      </c>
      <c r="ABY7" s="5">
        <v>12</v>
      </c>
      <c r="ABZ7" s="5">
        <f t="shared" si="80"/>
        <v>2</v>
      </c>
      <c r="ACA7" s="5">
        <v>2</v>
      </c>
      <c r="ACB7" s="41">
        <f t="shared" si="305"/>
        <v>0</v>
      </c>
      <c r="ACD7" s="5">
        <v>12</v>
      </c>
      <c r="ACE7" s="5"/>
      <c r="ACF7" s="5">
        <f t="shared" si="81"/>
        <v>3</v>
      </c>
      <c r="ACG7" s="5">
        <v>3</v>
      </c>
      <c r="ACH7" s="41">
        <f t="shared" si="306"/>
        <v>0</v>
      </c>
      <c r="ACJ7" s="5">
        <v>13</v>
      </c>
      <c r="ACK7" s="5"/>
      <c r="ACL7" s="5">
        <f t="shared" si="82"/>
        <v>-1</v>
      </c>
      <c r="ACM7" s="5">
        <v>0</v>
      </c>
      <c r="ACN7" s="41">
        <f t="shared" si="307"/>
        <v>1</v>
      </c>
      <c r="ACP7" s="5">
        <v>11</v>
      </c>
      <c r="ACQ7" s="5"/>
      <c r="ACR7" s="5">
        <f t="shared" si="83"/>
        <v>2</v>
      </c>
      <c r="ACS7" s="5">
        <v>0</v>
      </c>
      <c r="ACT7" s="41">
        <f t="shared" si="308"/>
        <v>-2</v>
      </c>
      <c r="ACV7" s="5">
        <v>11</v>
      </c>
      <c r="ACW7" s="5"/>
      <c r="ACX7" s="5">
        <f t="shared" si="84"/>
        <v>0</v>
      </c>
      <c r="ACY7" s="5">
        <v>0</v>
      </c>
      <c r="ACZ7" s="41">
        <f t="shared" si="309"/>
        <v>0</v>
      </c>
      <c r="ADB7" s="5">
        <v>3</v>
      </c>
      <c r="ADC7" s="5"/>
      <c r="ADD7" s="5">
        <f t="shared" si="85"/>
        <v>8</v>
      </c>
      <c r="ADE7" s="5">
        <v>0</v>
      </c>
      <c r="ADF7" s="41">
        <f t="shared" si="310"/>
        <v>-8</v>
      </c>
      <c r="ADH7" s="5">
        <v>11</v>
      </c>
      <c r="ADI7" s="5"/>
      <c r="ADJ7" s="5">
        <f t="shared" si="86"/>
        <v>-8</v>
      </c>
      <c r="ADK7" s="5">
        <v>0</v>
      </c>
      <c r="ADL7" s="41">
        <f t="shared" si="311"/>
        <v>8</v>
      </c>
      <c r="ADN7" s="5">
        <v>10</v>
      </c>
      <c r="ADO7" s="5"/>
      <c r="ADP7" s="5">
        <f t="shared" si="87"/>
        <v>1</v>
      </c>
      <c r="ADQ7" s="5"/>
      <c r="ADR7" s="41">
        <f t="shared" si="312"/>
        <v>-1</v>
      </c>
      <c r="ADT7" s="5">
        <v>8</v>
      </c>
      <c r="ADU7" s="5"/>
      <c r="ADV7" s="5">
        <f t="shared" si="88"/>
        <v>2</v>
      </c>
      <c r="ADW7" s="5">
        <v>1</v>
      </c>
      <c r="ADX7" s="41">
        <f t="shared" si="313"/>
        <v>-1</v>
      </c>
      <c r="ADZ7" s="5">
        <v>8</v>
      </c>
      <c r="AEA7" s="5"/>
      <c r="AEB7" s="5">
        <f t="shared" si="89"/>
        <v>0</v>
      </c>
      <c r="AEC7" s="5">
        <v>0</v>
      </c>
      <c r="AED7" s="41">
        <f t="shared" si="314"/>
        <v>0</v>
      </c>
      <c r="AEF7" s="5">
        <v>8</v>
      </c>
      <c r="AEG7" s="5"/>
      <c r="AEH7" s="5">
        <f t="shared" si="90"/>
        <v>0</v>
      </c>
      <c r="AEI7" s="5">
        <v>0</v>
      </c>
      <c r="AEJ7" s="41">
        <f t="shared" si="315"/>
        <v>0</v>
      </c>
      <c r="AEL7" s="5">
        <v>7</v>
      </c>
      <c r="AEM7" s="5"/>
      <c r="AEN7" s="5">
        <f t="shared" si="91"/>
        <v>1</v>
      </c>
      <c r="AEO7" s="5">
        <v>1</v>
      </c>
      <c r="AEP7" s="41">
        <f t="shared" si="316"/>
        <v>0</v>
      </c>
      <c r="AER7" s="5">
        <v>7</v>
      </c>
      <c r="AES7" s="5"/>
      <c r="AET7" s="5">
        <f t="shared" si="92"/>
        <v>0</v>
      </c>
      <c r="AEU7" s="5"/>
      <c r="AEV7" s="41">
        <f t="shared" si="317"/>
        <v>0</v>
      </c>
      <c r="AEX7" s="5">
        <v>6</v>
      </c>
      <c r="AEY7" s="5"/>
      <c r="AEZ7" s="5">
        <f t="shared" si="93"/>
        <v>1</v>
      </c>
      <c r="AFA7" s="5">
        <v>0</v>
      </c>
      <c r="AFB7" s="41">
        <f t="shared" si="318"/>
        <v>-1</v>
      </c>
      <c r="AFD7" s="5">
        <v>7</v>
      </c>
      <c r="AFE7" s="5"/>
      <c r="AFF7" s="5">
        <f t="shared" si="94"/>
        <v>-1</v>
      </c>
      <c r="AFG7" s="5">
        <v>0</v>
      </c>
      <c r="AFH7" s="41">
        <f t="shared" si="319"/>
        <v>1</v>
      </c>
      <c r="AFJ7" s="5">
        <v>0</v>
      </c>
      <c r="AFK7" s="5"/>
      <c r="AFL7" s="5">
        <f t="shared" si="95"/>
        <v>7</v>
      </c>
      <c r="AFM7" s="5">
        <v>0</v>
      </c>
      <c r="AFN7" s="41">
        <f t="shared" si="320"/>
        <v>-7</v>
      </c>
      <c r="AFP7" s="5">
        <v>7</v>
      </c>
      <c r="AFQ7" s="5"/>
      <c r="AFR7" s="5">
        <f t="shared" si="96"/>
        <v>-7</v>
      </c>
      <c r="AFS7" s="5">
        <v>0</v>
      </c>
      <c r="AFT7" s="41">
        <f t="shared" si="321"/>
        <v>7</v>
      </c>
      <c r="AFV7" s="5">
        <v>0</v>
      </c>
      <c r="AFW7" s="5"/>
      <c r="AFX7" s="5">
        <f t="shared" si="97"/>
        <v>7</v>
      </c>
      <c r="AFY7" s="5"/>
      <c r="AFZ7" s="41">
        <f t="shared" si="322"/>
        <v>-7</v>
      </c>
      <c r="AGB7" s="5">
        <v>7</v>
      </c>
      <c r="AGC7" s="5"/>
      <c r="AGD7" s="5">
        <f t="shared" si="98"/>
        <v>-7</v>
      </c>
      <c r="AGE7" s="5">
        <v>0</v>
      </c>
      <c r="AGF7" s="41">
        <f t="shared" si="323"/>
        <v>7</v>
      </c>
      <c r="AGH7" s="5">
        <v>0</v>
      </c>
      <c r="AGI7" s="5"/>
      <c r="AGJ7" s="5">
        <f t="shared" si="99"/>
        <v>7</v>
      </c>
      <c r="AGK7" s="5"/>
      <c r="AGL7" s="41">
        <f t="shared" si="324"/>
        <v>-7</v>
      </c>
      <c r="AGN7" s="5">
        <v>7</v>
      </c>
      <c r="AGO7" s="5">
        <v>18</v>
      </c>
      <c r="AGP7" s="5">
        <f t="shared" si="100"/>
        <v>-7</v>
      </c>
      <c r="AGQ7" s="5"/>
      <c r="AGR7" s="41">
        <f t="shared" si="325"/>
        <v>7</v>
      </c>
      <c r="AGT7" s="5">
        <v>24</v>
      </c>
      <c r="AGU7" s="5"/>
      <c r="AGV7" s="5">
        <f t="shared" si="101"/>
        <v>1</v>
      </c>
      <c r="AGW7" s="5"/>
      <c r="AGX7" s="41">
        <f t="shared" si="326"/>
        <v>-1</v>
      </c>
      <c r="AGZ7" s="5">
        <v>12</v>
      </c>
      <c r="AHA7" s="5">
        <v>18</v>
      </c>
      <c r="AHB7" s="5">
        <f t="shared" si="102"/>
        <v>12</v>
      </c>
      <c r="AHC7" s="5"/>
      <c r="AHD7" s="41">
        <f t="shared" si="327"/>
        <v>-12</v>
      </c>
      <c r="AHF7" s="5">
        <v>52</v>
      </c>
      <c r="AHG7" s="5"/>
      <c r="AHH7" s="5">
        <f t="shared" si="103"/>
        <v>-22</v>
      </c>
      <c r="AHI7" s="5"/>
      <c r="AHJ7" s="41">
        <f t="shared" si="328"/>
        <v>22</v>
      </c>
      <c r="AHL7" s="5">
        <v>40</v>
      </c>
      <c r="AHM7" s="5"/>
      <c r="AHN7" s="5">
        <f t="shared" si="104"/>
        <v>12</v>
      </c>
      <c r="AHO7" s="5"/>
      <c r="AHP7" s="41">
        <f t="shared" si="329"/>
        <v>-12</v>
      </c>
      <c r="AHR7" s="5">
        <v>40</v>
      </c>
      <c r="AHS7" s="5"/>
      <c r="AHT7" s="5">
        <f t="shared" si="105"/>
        <v>0</v>
      </c>
      <c r="AHU7" s="5"/>
      <c r="AHV7" s="41">
        <f t="shared" si="330"/>
        <v>0</v>
      </c>
      <c r="AHX7" s="5">
        <v>40</v>
      </c>
      <c r="AHY7" s="5"/>
      <c r="AHZ7" s="5">
        <f t="shared" si="106"/>
        <v>0</v>
      </c>
      <c r="AIA7" s="5"/>
      <c r="AIB7" s="41">
        <f t="shared" si="331"/>
        <v>0</v>
      </c>
      <c r="AID7" s="5">
        <v>39</v>
      </c>
      <c r="AIE7" s="5"/>
      <c r="AIF7" s="5">
        <f t="shared" si="107"/>
        <v>1</v>
      </c>
      <c r="AIG7" s="5"/>
      <c r="AIH7" s="41">
        <f t="shared" si="332"/>
        <v>-1</v>
      </c>
      <c r="AIJ7" s="5">
        <v>39</v>
      </c>
      <c r="AIK7" s="5"/>
      <c r="AIL7" s="5">
        <f t="shared" si="108"/>
        <v>0</v>
      </c>
      <c r="AIM7" s="5"/>
      <c r="AIN7" s="41">
        <f t="shared" si="333"/>
        <v>0</v>
      </c>
      <c r="AIP7" s="5">
        <v>39</v>
      </c>
      <c r="AIQ7" s="5"/>
      <c r="AIR7" s="5">
        <f t="shared" si="109"/>
        <v>0</v>
      </c>
      <c r="AIS7" s="5"/>
      <c r="AIT7" s="41">
        <f t="shared" si="334"/>
        <v>0</v>
      </c>
      <c r="AIV7" s="5">
        <v>38</v>
      </c>
      <c r="AIW7" s="5"/>
      <c r="AIX7" s="5">
        <f t="shared" si="110"/>
        <v>1</v>
      </c>
      <c r="AIY7" s="5"/>
      <c r="AIZ7" s="41">
        <f t="shared" si="335"/>
        <v>-1</v>
      </c>
      <c r="AJB7" s="5">
        <v>39</v>
      </c>
      <c r="AJC7" s="5"/>
      <c r="AJD7" s="5">
        <f t="shared" si="111"/>
        <v>-1</v>
      </c>
      <c r="AJE7" s="5"/>
      <c r="AJF7" s="41">
        <f t="shared" si="336"/>
        <v>1</v>
      </c>
      <c r="AJH7" s="5">
        <v>39</v>
      </c>
      <c r="AJI7" s="5"/>
      <c r="AJJ7" s="5">
        <f t="shared" si="112"/>
        <v>0</v>
      </c>
      <c r="AJK7" s="5"/>
      <c r="AJL7" s="41">
        <f t="shared" si="337"/>
        <v>0</v>
      </c>
      <c r="AJN7" s="5">
        <v>37</v>
      </c>
      <c r="AJO7" s="5"/>
      <c r="AJP7" s="5">
        <f t="shared" si="113"/>
        <v>2</v>
      </c>
      <c r="AJQ7" s="5"/>
      <c r="AJR7" s="41">
        <f t="shared" si="338"/>
        <v>-2</v>
      </c>
      <c r="AJT7" s="5">
        <v>38</v>
      </c>
      <c r="AJU7" s="5"/>
      <c r="AJV7" s="5">
        <f t="shared" si="114"/>
        <v>-1</v>
      </c>
      <c r="AJW7" s="5"/>
      <c r="AJX7" s="41">
        <f t="shared" si="339"/>
        <v>1</v>
      </c>
      <c r="AJZ7" s="5">
        <v>36</v>
      </c>
      <c r="AKA7" s="5"/>
      <c r="AKB7" s="5">
        <f t="shared" si="115"/>
        <v>2</v>
      </c>
      <c r="AKC7" s="5"/>
      <c r="AKD7" s="41">
        <f t="shared" si="340"/>
        <v>-2</v>
      </c>
      <c r="AKF7" s="5">
        <v>36</v>
      </c>
      <c r="AKG7" s="5"/>
      <c r="AKH7" s="5">
        <f t="shared" si="116"/>
        <v>0</v>
      </c>
      <c r="AKI7" s="5"/>
      <c r="AKJ7" s="41">
        <f t="shared" si="341"/>
        <v>0</v>
      </c>
      <c r="AKL7" s="5">
        <v>36</v>
      </c>
      <c r="AKM7" s="5"/>
      <c r="AKN7" s="5">
        <f t="shared" si="117"/>
        <v>0</v>
      </c>
      <c r="AKO7" s="5"/>
      <c r="AKP7" s="41">
        <f t="shared" si="342"/>
        <v>0</v>
      </c>
      <c r="AKR7" s="5">
        <v>36</v>
      </c>
      <c r="AKS7" s="5"/>
      <c r="AKT7" s="5">
        <f t="shared" si="118"/>
        <v>0</v>
      </c>
      <c r="AKU7" s="5"/>
      <c r="AKV7" s="41">
        <f t="shared" si="343"/>
        <v>0</v>
      </c>
      <c r="AKX7" s="5">
        <v>37</v>
      </c>
      <c r="AKY7" s="5"/>
      <c r="AKZ7" s="5">
        <f t="shared" si="119"/>
        <v>-1</v>
      </c>
      <c r="ALA7" s="5"/>
      <c r="ALB7" s="41">
        <f t="shared" si="344"/>
        <v>1</v>
      </c>
      <c r="ALD7" s="5">
        <v>35</v>
      </c>
      <c r="ALE7" s="5"/>
      <c r="ALF7" s="5">
        <f t="shared" si="120"/>
        <v>2</v>
      </c>
      <c r="ALG7" s="5"/>
      <c r="ALH7" s="41">
        <f t="shared" si="345"/>
        <v>-2</v>
      </c>
      <c r="ALJ7" s="5">
        <v>29</v>
      </c>
      <c r="ALK7" s="5"/>
      <c r="ALL7" s="5">
        <f t="shared" si="121"/>
        <v>6</v>
      </c>
      <c r="ALM7" s="5"/>
      <c r="ALN7" s="41">
        <f t="shared" si="346"/>
        <v>-6</v>
      </c>
      <c r="ALP7" s="5">
        <v>28</v>
      </c>
      <c r="ALQ7" s="5"/>
      <c r="ALR7" s="5">
        <f t="shared" si="122"/>
        <v>1</v>
      </c>
      <c r="ALS7" s="5"/>
      <c r="ALT7" s="41">
        <f t="shared" si="347"/>
        <v>-1</v>
      </c>
      <c r="ALV7" s="5">
        <v>28</v>
      </c>
      <c r="ALW7" s="5"/>
      <c r="ALX7" s="5">
        <f t="shared" si="123"/>
        <v>0</v>
      </c>
      <c r="ALY7" s="5"/>
      <c r="ALZ7" s="41">
        <f t="shared" si="348"/>
        <v>0</v>
      </c>
      <c r="AMB7" s="5">
        <v>9</v>
      </c>
      <c r="AMC7" s="5"/>
      <c r="AMD7" s="5">
        <f t="shared" si="124"/>
        <v>19</v>
      </c>
      <c r="AME7" s="5"/>
      <c r="AMF7" s="41">
        <f t="shared" si="349"/>
        <v>-19</v>
      </c>
      <c r="AMH7" s="5">
        <v>26</v>
      </c>
      <c r="AMI7" s="5"/>
      <c r="AMJ7" s="5">
        <f t="shared" si="125"/>
        <v>-17</v>
      </c>
      <c r="AMK7" s="5"/>
      <c r="AML7" s="41">
        <f t="shared" si="350"/>
        <v>17</v>
      </c>
      <c r="AMN7" s="5">
        <v>24</v>
      </c>
      <c r="AMO7" s="5"/>
      <c r="AMP7" s="5">
        <f t="shared" si="126"/>
        <v>2</v>
      </c>
      <c r="AMQ7" s="5"/>
      <c r="AMR7" s="41">
        <f t="shared" si="351"/>
        <v>-2</v>
      </c>
      <c r="AMT7" s="5">
        <v>24</v>
      </c>
      <c r="AMU7" s="5"/>
      <c r="AMV7" s="5">
        <f t="shared" si="127"/>
        <v>0</v>
      </c>
      <c r="AMW7" s="5"/>
      <c r="AMX7" s="41">
        <f t="shared" si="352"/>
        <v>0</v>
      </c>
      <c r="AMZ7" s="5">
        <v>21</v>
      </c>
      <c r="ANA7" s="5"/>
      <c r="ANB7" s="5">
        <f t="shared" si="128"/>
        <v>3</v>
      </c>
      <c r="ANC7" s="5"/>
      <c r="AND7" s="41">
        <f t="shared" si="353"/>
        <v>-3</v>
      </c>
      <c r="ANF7" s="5">
        <v>20</v>
      </c>
      <c r="ANG7" s="5"/>
      <c r="ANH7" s="5">
        <f t="shared" si="129"/>
        <v>1</v>
      </c>
      <c r="ANI7" s="5"/>
      <c r="ANJ7" s="41">
        <f t="shared" si="354"/>
        <v>-1</v>
      </c>
      <c r="ANL7" s="5">
        <v>20</v>
      </c>
      <c r="ANM7" s="5"/>
      <c r="ANN7" s="5">
        <f t="shared" si="130"/>
        <v>0</v>
      </c>
      <c r="ANO7" s="5"/>
      <c r="ANP7" s="41">
        <f t="shared" si="355"/>
        <v>0</v>
      </c>
      <c r="ANR7" s="5">
        <v>20</v>
      </c>
      <c r="ANS7" s="5"/>
      <c r="ANT7" s="5">
        <f t="shared" si="131"/>
        <v>0</v>
      </c>
      <c r="ANU7" s="5"/>
      <c r="ANV7" s="41">
        <f t="shared" si="356"/>
        <v>0</v>
      </c>
      <c r="ANX7" s="5">
        <v>17</v>
      </c>
      <c r="ANY7" s="5"/>
      <c r="ANZ7" s="5">
        <f t="shared" si="132"/>
        <v>3</v>
      </c>
      <c r="AOA7" s="5"/>
      <c r="AOB7" s="41">
        <f t="shared" si="357"/>
        <v>-3</v>
      </c>
      <c r="AOD7" s="5">
        <v>20</v>
      </c>
      <c r="AOE7" s="5"/>
      <c r="AOF7" s="5">
        <f t="shared" si="133"/>
        <v>-3</v>
      </c>
      <c r="AOG7" s="5"/>
      <c r="AOH7" s="41">
        <f t="shared" si="358"/>
        <v>3</v>
      </c>
      <c r="AOJ7" s="5">
        <v>19</v>
      </c>
      <c r="AOK7" s="5"/>
      <c r="AOL7" s="5">
        <f t="shared" si="134"/>
        <v>1</v>
      </c>
      <c r="AOM7" s="5"/>
      <c r="AON7" s="41">
        <f t="shared" si="359"/>
        <v>-1</v>
      </c>
      <c r="AOP7" s="5">
        <v>18</v>
      </c>
      <c r="AOQ7" s="5"/>
      <c r="AOR7" s="5"/>
      <c r="AOS7" s="5"/>
      <c r="AOT7" s="41"/>
      <c r="AOV7" s="5">
        <v>18</v>
      </c>
      <c r="AOW7" s="5"/>
      <c r="AOX7" s="5">
        <f t="shared" si="135"/>
        <v>0</v>
      </c>
      <c r="AOY7" s="5"/>
      <c r="AOZ7" s="41">
        <f t="shared" si="360"/>
        <v>0</v>
      </c>
    </row>
    <row r="8" spans="1:1092" x14ac:dyDescent="0.25">
      <c r="A8" s="3" t="s">
        <v>57</v>
      </c>
      <c r="B8" s="86">
        <f t="shared" si="0"/>
        <v>1</v>
      </c>
      <c r="C8" s="5">
        <v>12</v>
      </c>
      <c r="E8" s="5">
        <v>23</v>
      </c>
      <c r="F8" s="5"/>
      <c r="H8" s="5">
        <v>23</v>
      </c>
      <c r="I8" s="5"/>
      <c r="J8" s="5">
        <f t="shared" si="136"/>
        <v>0</v>
      </c>
      <c r="K8" s="5"/>
      <c r="L8" s="24">
        <f t="shared" si="137"/>
        <v>0</v>
      </c>
      <c r="N8" s="5">
        <v>23</v>
      </c>
      <c r="O8" s="5"/>
      <c r="P8" s="5">
        <f>(I8*24)+H8-N8</f>
        <v>0</v>
      </c>
      <c r="Q8" s="5"/>
      <c r="R8" s="24">
        <f>Q8-P8</f>
        <v>0</v>
      </c>
      <c r="T8" s="5">
        <v>23</v>
      </c>
      <c r="U8" s="5"/>
      <c r="V8" s="5">
        <f>(O8*24)+N8-T8</f>
        <v>0</v>
      </c>
      <c r="W8" s="5"/>
      <c r="X8" s="24">
        <f>W8-V8</f>
        <v>0</v>
      </c>
      <c r="Z8" s="5">
        <v>23</v>
      </c>
      <c r="AA8" s="5"/>
      <c r="AB8" s="5">
        <f>(U8*24)+T8-Z8</f>
        <v>0</v>
      </c>
      <c r="AC8" s="5"/>
      <c r="AD8" s="24">
        <f>AC8-AB8</f>
        <v>0</v>
      </c>
      <c r="AF8" s="5">
        <v>23</v>
      </c>
      <c r="AG8" s="5"/>
      <c r="AH8" s="5">
        <f>(AA8*24)+Z8-AF8</f>
        <v>0</v>
      </c>
      <c r="AI8" s="5"/>
      <c r="AJ8" s="24">
        <f>AI8-AH8</f>
        <v>0</v>
      </c>
      <c r="AL8" s="5">
        <v>23</v>
      </c>
      <c r="AM8" s="5"/>
      <c r="AN8" s="5">
        <f>(AG8*24)+AF8-AL8</f>
        <v>0</v>
      </c>
      <c r="AO8" s="5"/>
      <c r="AP8" s="24">
        <f>AO8-AN8</f>
        <v>0</v>
      </c>
      <c r="AR8" s="5">
        <v>21</v>
      </c>
      <c r="AS8" s="5"/>
      <c r="AT8" s="5">
        <f t="shared" si="148"/>
        <v>2</v>
      </c>
      <c r="AU8" s="5">
        <v>2</v>
      </c>
      <c r="AV8" s="24">
        <f>AU8-AT8</f>
        <v>0</v>
      </c>
      <c r="AX8" s="5">
        <v>21</v>
      </c>
      <c r="AY8" s="5"/>
      <c r="AZ8" s="5">
        <f t="shared" si="150"/>
        <v>0</v>
      </c>
      <c r="BA8" s="5"/>
      <c r="BB8" s="24">
        <f>BA8-AZ8</f>
        <v>0</v>
      </c>
      <c r="BD8" s="5">
        <v>21</v>
      </c>
      <c r="BE8" s="5"/>
      <c r="BF8" s="5">
        <f t="shared" si="152"/>
        <v>0</v>
      </c>
      <c r="BG8" s="5"/>
      <c r="BH8" s="24">
        <f>BG8-BF8</f>
        <v>0</v>
      </c>
      <c r="BJ8" s="5">
        <v>21</v>
      </c>
      <c r="BK8" s="5"/>
      <c r="BL8" s="5">
        <f t="shared" si="154"/>
        <v>0</v>
      </c>
      <c r="BM8" s="5"/>
      <c r="BN8" s="24">
        <f>BM8-BL8</f>
        <v>0</v>
      </c>
      <c r="BP8" s="5">
        <v>21</v>
      </c>
      <c r="BQ8" s="5"/>
      <c r="BR8" s="5">
        <f t="shared" si="156"/>
        <v>0</v>
      </c>
      <c r="BS8" s="5"/>
      <c r="BT8" s="24">
        <f>BS8-BR8</f>
        <v>0</v>
      </c>
      <c r="BV8" s="5">
        <v>21</v>
      </c>
      <c r="BW8" s="5"/>
      <c r="BX8" s="5">
        <f t="shared" si="158"/>
        <v>0</v>
      </c>
      <c r="BY8" s="5"/>
      <c r="BZ8" s="24">
        <f>BY8-BX8</f>
        <v>0</v>
      </c>
      <c r="CB8" s="5">
        <v>21</v>
      </c>
      <c r="CC8" s="5"/>
      <c r="CD8" s="5">
        <f t="shared" si="160"/>
        <v>0</v>
      </c>
      <c r="CE8" s="5">
        <v>0</v>
      </c>
      <c r="CF8" s="24">
        <f>CE8-CD8</f>
        <v>0</v>
      </c>
      <c r="CH8" s="5">
        <v>19</v>
      </c>
      <c r="CI8" s="5"/>
      <c r="CJ8" s="5">
        <f t="shared" si="162"/>
        <v>2</v>
      </c>
      <c r="CK8" s="5">
        <v>0</v>
      </c>
      <c r="CL8" s="24">
        <f>CK8-CJ8</f>
        <v>-2</v>
      </c>
      <c r="CN8" s="5">
        <v>21</v>
      </c>
      <c r="CO8" s="37"/>
      <c r="CP8" s="5">
        <f t="shared" si="164"/>
        <v>-2</v>
      </c>
      <c r="CQ8" s="5">
        <v>0</v>
      </c>
      <c r="CR8" s="24">
        <f>CQ8-CP8</f>
        <v>2</v>
      </c>
      <c r="CT8" s="5">
        <v>21</v>
      </c>
      <c r="CU8" s="37"/>
      <c r="CV8" s="5">
        <f t="shared" si="166"/>
        <v>0</v>
      </c>
      <c r="CW8" s="5">
        <v>0</v>
      </c>
      <c r="CX8" s="41">
        <f>CW8-CV8</f>
        <v>0</v>
      </c>
      <c r="CZ8" s="5">
        <v>20</v>
      </c>
      <c r="DA8" s="37"/>
      <c r="DB8" s="5">
        <f t="shared" si="168"/>
        <v>1</v>
      </c>
      <c r="DC8" s="5">
        <v>1</v>
      </c>
      <c r="DD8" s="41">
        <f>DC8-DB8</f>
        <v>0</v>
      </c>
      <c r="DF8" s="5">
        <v>20</v>
      </c>
      <c r="DG8" s="37"/>
      <c r="DH8" s="5">
        <f t="shared" si="170"/>
        <v>0</v>
      </c>
      <c r="DI8" s="5"/>
      <c r="DJ8" s="41">
        <f>DI8-DH8</f>
        <v>0</v>
      </c>
      <c r="DL8" s="5">
        <v>17</v>
      </c>
      <c r="DM8" s="37"/>
      <c r="DN8" s="5">
        <f t="shared" si="172"/>
        <v>3</v>
      </c>
      <c r="DO8" s="5">
        <v>3</v>
      </c>
      <c r="DP8" s="41">
        <f>DO8-DN8</f>
        <v>0</v>
      </c>
      <c r="DR8" s="5">
        <v>15</v>
      </c>
      <c r="DS8" s="37"/>
      <c r="DT8" s="5">
        <f t="shared" si="174"/>
        <v>2</v>
      </c>
      <c r="DU8" s="5">
        <v>2</v>
      </c>
      <c r="DV8" s="41">
        <f>DU8-DT8</f>
        <v>0</v>
      </c>
      <c r="DX8" s="5">
        <v>15</v>
      </c>
      <c r="DY8" s="37"/>
      <c r="DZ8" s="5">
        <f t="shared" si="176"/>
        <v>0</v>
      </c>
      <c r="EA8" s="5"/>
      <c r="EB8" s="41">
        <f>EA8-DZ8</f>
        <v>0</v>
      </c>
      <c r="ED8" s="5">
        <v>15</v>
      </c>
      <c r="EE8" s="37"/>
      <c r="EF8" s="5">
        <f t="shared" si="178"/>
        <v>0</v>
      </c>
      <c r="EG8" s="5">
        <v>0</v>
      </c>
      <c r="EH8" s="41">
        <f>EG8-EF8</f>
        <v>0</v>
      </c>
      <c r="EJ8" s="5">
        <v>15</v>
      </c>
      <c r="EK8" s="37"/>
      <c r="EL8" s="5">
        <f t="shared" si="180"/>
        <v>0</v>
      </c>
      <c r="EM8" s="5">
        <v>0</v>
      </c>
      <c r="EN8" s="41">
        <f>EM8-EL8</f>
        <v>0</v>
      </c>
      <c r="EP8" s="5">
        <v>13</v>
      </c>
      <c r="EQ8" s="37"/>
      <c r="ER8" s="5">
        <f t="shared" si="182"/>
        <v>2</v>
      </c>
      <c r="ES8" s="5">
        <v>2</v>
      </c>
      <c r="ET8" s="41">
        <f>ES8-ER8</f>
        <v>0</v>
      </c>
      <c r="EV8" s="5">
        <v>14</v>
      </c>
      <c r="EW8" s="37"/>
      <c r="EX8" s="5">
        <f t="shared" si="184"/>
        <v>-1</v>
      </c>
      <c r="EY8" s="5"/>
      <c r="EZ8" s="41">
        <f>EY8-EX8</f>
        <v>1</v>
      </c>
      <c r="FB8" s="5">
        <v>14</v>
      </c>
      <c r="FC8" s="37"/>
      <c r="FD8" s="5">
        <f t="shared" si="186"/>
        <v>0</v>
      </c>
      <c r="FE8" s="5"/>
      <c r="FF8" s="41">
        <f>FE8-FD8</f>
        <v>0</v>
      </c>
      <c r="FH8" s="5">
        <v>14</v>
      </c>
      <c r="FI8" s="37"/>
      <c r="FJ8" s="5">
        <f t="shared" si="188"/>
        <v>0</v>
      </c>
      <c r="FK8" s="5"/>
      <c r="FL8" s="41">
        <f>FK8-FJ8</f>
        <v>0</v>
      </c>
      <c r="FN8" s="5">
        <v>14</v>
      </c>
      <c r="FO8" s="37"/>
      <c r="FP8" s="5">
        <f t="shared" si="190"/>
        <v>0</v>
      </c>
      <c r="FQ8" s="5">
        <v>0</v>
      </c>
      <c r="FR8" s="41">
        <f>FQ8-FP8</f>
        <v>0</v>
      </c>
      <c r="FT8" s="5">
        <v>14</v>
      </c>
      <c r="FU8" s="37"/>
      <c r="FV8" s="5">
        <f t="shared" si="192"/>
        <v>0</v>
      </c>
      <c r="FW8" s="5"/>
      <c r="FX8" s="41">
        <f>FW8-FV8</f>
        <v>0</v>
      </c>
      <c r="FZ8" s="5">
        <v>14</v>
      </c>
      <c r="GA8" s="37"/>
      <c r="GB8" s="5">
        <f t="shared" si="194"/>
        <v>0</v>
      </c>
      <c r="GC8" s="5"/>
      <c r="GD8" s="41">
        <f>GC8-GB8</f>
        <v>0</v>
      </c>
      <c r="GF8" s="5">
        <v>13</v>
      </c>
      <c r="GG8" s="37"/>
      <c r="GH8" s="5">
        <f t="shared" si="196"/>
        <v>1</v>
      </c>
      <c r="GI8" s="5"/>
      <c r="GJ8" s="41">
        <f>GI8-GH8</f>
        <v>-1</v>
      </c>
      <c r="GL8" s="5">
        <v>13</v>
      </c>
      <c r="GM8" s="37"/>
      <c r="GN8" s="5">
        <f t="shared" si="198"/>
        <v>0</v>
      </c>
      <c r="GO8" s="5"/>
      <c r="GP8" s="41">
        <f>GO8-GN8</f>
        <v>0</v>
      </c>
      <c r="GR8" s="5">
        <v>13</v>
      </c>
      <c r="GS8" s="37"/>
      <c r="GT8" s="5">
        <f t="shared" si="200"/>
        <v>0</v>
      </c>
      <c r="GU8" s="5">
        <v>0</v>
      </c>
      <c r="GV8" s="41">
        <f>GU8-GT8</f>
        <v>0</v>
      </c>
      <c r="GX8" s="5">
        <v>13</v>
      </c>
      <c r="GY8" s="37"/>
      <c r="GZ8" s="5">
        <f t="shared" si="202"/>
        <v>0</v>
      </c>
      <c r="HA8" s="5"/>
      <c r="HB8" s="41">
        <f>HA8-GZ8</f>
        <v>0</v>
      </c>
      <c r="HD8" s="5">
        <v>0</v>
      </c>
      <c r="HE8" s="37"/>
      <c r="HF8" s="5">
        <f t="shared" si="204"/>
        <v>13</v>
      </c>
      <c r="HG8" s="5">
        <v>10</v>
      </c>
      <c r="HH8" s="41">
        <f>HG8-HF8</f>
        <v>-3</v>
      </c>
      <c r="HJ8" s="5">
        <v>0</v>
      </c>
      <c r="HK8" s="37"/>
      <c r="HL8" s="5">
        <f t="shared" si="206"/>
        <v>0</v>
      </c>
      <c r="HM8" s="5"/>
      <c r="HN8" s="41">
        <f>HM8-HL8</f>
        <v>0</v>
      </c>
      <c r="HP8" s="5">
        <v>0</v>
      </c>
      <c r="HQ8" s="37"/>
      <c r="HR8" s="5">
        <f t="shared" si="208"/>
        <v>0</v>
      </c>
      <c r="HS8" s="5"/>
      <c r="HT8" s="41">
        <f>HS8-HR8</f>
        <v>0</v>
      </c>
      <c r="HV8" s="5">
        <v>0</v>
      </c>
      <c r="HW8" s="37"/>
      <c r="HX8" s="5">
        <f t="shared" si="210"/>
        <v>0</v>
      </c>
      <c r="HY8" s="5"/>
      <c r="HZ8" s="41">
        <f>HY8-HX8</f>
        <v>0</v>
      </c>
      <c r="IB8" s="5">
        <v>0</v>
      </c>
      <c r="IC8" s="37"/>
      <c r="ID8" s="5">
        <f t="shared" si="212"/>
        <v>0</v>
      </c>
      <c r="IE8" s="5"/>
      <c r="IF8" s="41">
        <f>IE8-ID8</f>
        <v>0</v>
      </c>
      <c r="IH8" s="5">
        <v>0</v>
      </c>
      <c r="II8" s="37"/>
      <c r="IJ8" s="5">
        <f t="shared" si="214"/>
        <v>0</v>
      </c>
      <c r="IK8" s="5"/>
      <c r="IL8" s="41">
        <f>IK8-IJ8</f>
        <v>0</v>
      </c>
      <c r="IN8" s="5">
        <v>0</v>
      </c>
      <c r="IO8" s="37"/>
      <c r="IP8" s="5">
        <f t="shared" si="216"/>
        <v>0</v>
      </c>
      <c r="IQ8" s="5"/>
      <c r="IR8" s="41">
        <f>IQ8-IP8</f>
        <v>0</v>
      </c>
      <c r="IT8" s="5">
        <v>0</v>
      </c>
      <c r="IU8" s="37"/>
      <c r="IV8" s="5">
        <f t="shared" si="218"/>
        <v>0</v>
      </c>
      <c r="IW8" s="5"/>
      <c r="IX8" s="41">
        <f>IW8-IV8</f>
        <v>0</v>
      </c>
      <c r="IZ8" s="5">
        <v>0</v>
      </c>
      <c r="JA8" s="37"/>
      <c r="JB8" s="5">
        <f t="shared" si="220"/>
        <v>0</v>
      </c>
      <c r="JC8" s="5"/>
      <c r="JD8" s="41">
        <f>JC8-JB8</f>
        <v>0</v>
      </c>
      <c r="JF8" s="5">
        <v>0</v>
      </c>
      <c r="JG8" s="37"/>
      <c r="JH8" s="5">
        <f t="shared" si="222"/>
        <v>0</v>
      </c>
      <c r="JI8" s="5"/>
      <c r="JJ8" s="41">
        <f>JI8-JH8</f>
        <v>0</v>
      </c>
      <c r="JL8" s="5">
        <v>0</v>
      </c>
      <c r="JM8" s="37"/>
      <c r="JN8" s="5">
        <f t="shared" si="224"/>
        <v>0</v>
      </c>
      <c r="JO8" s="5"/>
      <c r="JP8" s="41">
        <f>JO8-JN8</f>
        <v>0</v>
      </c>
      <c r="JR8" s="5">
        <v>0</v>
      </c>
      <c r="JS8" s="37"/>
      <c r="JT8" s="5">
        <f t="shared" si="1"/>
        <v>0</v>
      </c>
      <c r="JU8" s="5"/>
      <c r="JV8" s="41">
        <f>JU8-JT8</f>
        <v>0</v>
      </c>
      <c r="JX8" s="5">
        <v>0</v>
      </c>
      <c r="JY8" s="37"/>
      <c r="JZ8" s="5">
        <f t="shared" si="2"/>
        <v>0</v>
      </c>
      <c r="KA8" s="5"/>
      <c r="KB8" s="41">
        <f>KA8-JZ8</f>
        <v>0</v>
      </c>
      <c r="KD8" s="5">
        <v>0</v>
      </c>
      <c r="KE8" s="37"/>
      <c r="KF8" s="5">
        <f t="shared" si="3"/>
        <v>0</v>
      </c>
      <c r="KG8" s="5"/>
      <c r="KH8" s="41">
        <f>KG8-KF8</f>
        <v>0</v>
      </c>
      <c r="KJ8" s="5">
        <v>0</v>
      </c>
      <c r="KK8" s="37"/>
      <c r="KL8" s="5">
        <f t="shared" si="4"/>
        <v>0</v>
      </c>
      <c r="KM8" s="5"/>
      <c r="KN8" s="41">
        <f>KM8-KL8</f>
        <v>0</v>
      </c>
      <c r="KP8" s="5">
        <v>0</v>
      </c>
      <c r="KQ8" s="37"/>
      <c r="KR8" s="5">
        <f t="shared" si="5"/>
        <v>0</v>
      </c>
      <c r="KS8" s="5"/>
      <c r="KT8" s="41">
        <f>KS8-KR8</f>
        <v>0</v>
      </c>
      <c r="KV8" s="5">
        <v>0</v>
      </c>
      <c r="KW8" s="37"/>
      <c r="KX8" s="5">
        <f t="shared" si="6"/>
        <v>0</v>
      </c>
      <c r="KY8" s="5"/>
      <c r="KZ8" s="41">
        <f>KY8-KX8</f>
        <v>0</v>
      </c>
      <c r="LB8" s="5">
        <v>0</v>
      </c>
      <c r="LC8" s="37"/>
      <c r="LD8" s="5">
        <f t="shared" si="7"/>
        <v>0</v>
      </c>
      <c r="LE8" s="5"/>
      <c r="LF8" s="41">
        <f>LE8-LD8</f>
        <v>0</v>
      </c>
      <c r="LH8" s="5">
        <v>0</v>
      </c>
      <c r="LI8" s="37"/>
      <c r="LJ8" s="5">
        <f t="shared" si="8"/>
        <v>0</v>
      </c>
      <c r="LK8" s="5"/>
      <c r="LL8" s="41">
        <f>LK8-LJ8</f>
        <v>0</v>
      </c>
      <c r="LN8" s="5">
        <v>0</v>
      </c>
      <c r="LO8" s="5">
        <v>18</v>
      </c>
      <c r="LP8" s="5">
        <f t="shared" si="9"/>
        <v>0</v>
      </c>
      <c r="LQ8" s="5"/>
      <c r="LR8" s="41">
        <f>LQ8-LP8</f>
        <v>0</v>
      </c>
      <c r="LT8" s="5">
        <v>18</v>
      </c>
      <c r="LU8" s="5"/>
      <c r="LV8" s="5">
        <f t="shared" si="10"/>
        <v>0</v>
      </c>
      <c r="LW8" s="5"/>
      <c r="LX8" s="41">
        <f>LW8-LV8</f>
        <v>0</v>
      </c>
      <c r="LZ8" s="5">
        <v>18</v>
      </c>
      <c r="MA8" s="5"/>
      <c r="MB8" s="5">
        <f t="shared" si="11"/>
        <v>0</v>
      </c>
      <c r="MC8" s="5"/>
      <c r="MD8" s="41">
        <f>MC8-MB8</f>
        <v>0</v>
      </c>
      <c r="MF8" s="5">
        <v>18</v>
      </c>
      <c r="MG8" s="5"/>
      <c r="MH8" s="5">
        <f t="shared" si="12"/>
        <v>0</v>
      </c>
      <c r="MI8" s="5"/>
      <c r="MJ8" s="41">
        <f>MI8-MH8</f>
        <v>0</v>
      </c>
      <c r="ML8" s="5">
        <v>18</v>
      </c>
      <c r="MM8" s="5"/>
      <c r="MN8" s="5">
        <f t="shared" si="13"/>
        <v>0</v>
      </c>
      <c r="MO8" s="5"/>
      <c r="MP8" s="41">
        <f>MO8-MN8</f>
        <v>0</v>
      </c>
      <c r="MR8" s="5">
        <v>18</v>
      </c>
      <c r="MS8" s="5"/>
      <c r="MT8" s="5">
        <f t="shared" si="14"/>
        <v>0</v>
      </c>
      <c r="MU8" s="5"/>
      <c r="MV8" s="41">
        <f>MU8-MT8</f>
        <v>0</v>
      </c>
      <c r="MX8" s="5">
        <v>18</v>
      </c>
      <c r="MY8" s="5"/>
      <c r="MZ8" s="5">
        <f t="shared" si="15"/>
        <v>0</v>
      </c>
      <c r="NA8" s="5"/>
      <c r="NB8" s="41">
        <f>NA8-MZ8</f>
        <v>0</v>
      </c>
      <c r="ND8" s="5">
        <v>18</v>
      </c>
      <c r="NE8" s="5"/>
      <c r="NF8" s="5">
        <f t="shared" si="16"/>
        <v>0</v>
      </c>
      <c r="NG8" s="5"/>
      <c r="NH8" s="41">
        <f>NG8-NF8</f>
        <v>0</v>
      </c>
      <c r="NJ8" s="5">
        <v>16</v>
      </c>
      <c r="NK8" s="5"/>
      <c r="NL8" s="5">
        <f t="shared" si="17"/>
        <v>2</v>
      </c>
      <c r="NM8" s="5"/>
      <c r="NN8" s="41">
        <f>NM8-NL8</f>
        <v>-2</v>
      </c>
      <c r="NP8" s="5">
        <v>13</v>
      </c>
      <c r="NQ8" s="5"/>
      <c r="NR8" s="5">
        <f t="shared" si="18"/>
        <v>3</v>
      </c>
      <c r="NS8" s="5">
        <v>2</v>
      </c>
      <c r="NT8" s="41">
        <f>NS8-NR8</f>
        <v>-1</v>
      </c>
      <c r="NV8" s="5">
        <v>14</v>
      </c>
      <c r="NW8" s="5"/>
      <c r="NX8" s="5">
        <f t="shared" si="19"/>
        <v>-1</v>
      </c>
      <c r="NY8" s="5"/>
      <c r="NZ8" s="41">
        <f>NY8-NX8</f>
        <v>1</v>
      </c>
      <c r="OB8" s="5">
        <v>0</v>
      </c>
      <c r="OC8" s="5"/>
      <c r="OD8" s="5">
        <f t="shared" si="20"/>
        <v>14</v>
      </c>
      <c r="OE8" s="5"/>
      <c r="OF8" s="41">
        <f>OE8-OD8</f>
        <v>-14</v>
      </c>
      <c r="OH8" s="5">
        <v>13</v>
      </c>
      <c r="OI8" s="5"/>
      <c r="OJ8" s="5">
        <f t="shared" si="21"/>
        <v>-13</v>
      </c>
      <c r="OK8" s="5"/>
      <c r="OL8" s="41">
        <f>OK8-OJ8</f>
        <v>13</v>
      </c>
      <c r="ON8" s="5">
        <v>13</v>
      </c>
      <c r="OO8" s="5"/>
      <c r="OP8" s="5">
        <f t="shared" si="22"/>
        <v>0</v>
      </c>
      <c r="OQ8" s="5"/>
      <c r="OR8" s="41">
        <f>OQ8-OP8</f>
        <v>0</v>
      </c>
      <c r="OT8" s="5">
        <v>13</v>
      </c>
      <c r="OU8" s="5"/>
      <c r="OV8" s="5">
        <f t="shared" si="23"/>
        <v>0</v>
      </c>
      <c r="OW8" s="5"/>
      <c r="OX8" s="41">
        <f>OW8-OV8</f>
        <v>0</v>
      </c>
      <c r="OZ8" s="5">
        <v>13</v>
      </c>
      <c r="PA8" s="5"/>
      <c r="PB8" s="5">
        <f t="shared" si="24"/>
        <v>0</v>
      </c>
      <c r="PC8" s="5"/>
      <c r="PD8" s="41">
        <f>PC8-PB8</f>
        <v>0</v>
      </c>
      <c r="PF8" s="5">
        <v>10</v>
      </c>
      <c r="PG8" s="5"/>
      <c r="PH8" s="5">
        <f t="shared" si="25"/>
        <v>3</v>
      </c>
      <c r="PI8" s="5">
        <v>3</v>
      </c>
      <c r="PJ8" s="41">
        <f>PI8-PH8</f>
        <v>0</v>
      </c>
      <c r="PL8" s="5">
        <v>7</v>
      </c>
      <c r="PM8" s="5"/>
      <c r="PN8" s="5">
        <f t="shared" si="26"/>
        <v>3</v>
      </c>
      <c r="PO8" s="5"/>
      <c r="PP8" s="41">
        <f>PO8-PN8</f>
        <v>-3</v>
      </c>
      <c r="PR8" s="5">
        <v>0</v>
      </c>
      <c r="PS8" s="5">
        <v>18</v>
      </c>
      <c r="PT8" s="5">
        <f t="shared" si="27"/>
        <v>7</v>
      </c>
      <c r="PU8" s="5">
        <v>8</v>
      </c>
      <c r="PV8" s="41">
        <f>PU8-PT8</f>
        <v>1</v>
      </c>
      <c r="PX8" s="5">
        <v>18</v>
      </c>
      <c r="PY8" s="5"/>
      <c r="PZ8" s="5">
        <f t="shared" si="28"/>
        <v>0</v>
      </c>
      <c r="QA8" s="5"/>
      <c r="QB8" s="41">
        <f>QA8-PZ8</f>
        <v>0</v>
      </c>
      <c r="QD8" s="5">
        <v>15</v>
      </c>
      <c r="QE8" s="5"/>
      <c r="QF8" s="5">
        <f t="shared" si="29"/>
        <v>3</v>
      </c>
      <c r="QG8" s="5">
        <v>3</v>
      </c>
      <c r="QH8" s="41">
        <f>QG8-QF8</f>
        <v>0</v>
      </c>
      <c r="QJ8" s="5">
        <v>15</v>
      </c>
      <c r="QK8" s="5"/>
      <c r="QL8" s="5">
        <f t="shared" si="30"/>
        <v>0</v>
      </c>
      <c r="QM8" s="5"/>
      <c r="QN8" s="41">
        <f>QM8-QL8</f>
        <v>0</v>
      </c>
      <c r="QP8" s="5">
        <v>15</v>
      </c>
      <c r="QQ8" s="5"/>
      <c r="QR8" s="5">
        <f t="shared" si="31"/>
        <v>0</v>
      </c>
      <c r="QS8" s="5">
        <v>0</v>
      </c>
      <c r="QT8" s="41">
        <f>QS8-QR8</f>
        <v>0</v>
      </c>
      <c r="QV8" s="5">
        <v>15</v>
      </c>
      <c r="QW8" s="5"/>
      <c r="QX8" s="5">
        <f t="shared" si="32"/>
        <v>0</v>
      </c>
      <c r="QY8" s="5"/>
      <c r="QZ8" s="41">
        <f>QY8-QX8</f>
        <v>0</v>
      </c>
      <c r="RB8" s="5">
        <v>11</v>
      </c>
      <c r="RC8" s="5"/>
      <c r="RD8" s="5">
        <f t="shared" si="33"/>
        <v>4</v>
      </c>
      <c r="RE8" s="5"/>
      <c r="RF8" s="41">
        <f>RE8-RD8</f>
        <v>-4</v>
      </c>
      <c r="RH8" s="5">
        <v>10</v>
      </c>
      <c r="RI8" s="5"/>
      <c r="RJ8" s="5">
        <f t="shared" si="34"/>
        <v>1</v>
      </c>
      <c r="RK8" s="5"/>
      <c r="RL8" s="41">
        <f>RK8-RJ8</f>
        <v>-1</v>
      </c>
      <c r="RN8" s="5">
        <v>9</v>
      </c>
      <c r="RO8" s="5"/>
      <c r="RP8" s="5">
        <f t="shared" si="35"/>
        <v>1</v>
      </c>
      <c r="RQ8" s="5">
        <v>1</v>
      </c>
      <c r="RR8" s="41">
        <f>RQ8-RP8</f>
        <v>0</v>
      </c>
      <c r="RT8" s="5">
        <v>9</v>
      </c>
      <c r="RU8" s="5"/>
      <c r="RV8" s="5">
        <f t="shared" si="36"/>
        <v>0</v>
      </c>
      <c r="RW8" s="5"/>
      <c r="RX8" s="41">
        <f>RW8-RV8</f>
        <v>0</v>
      </c>
      <c r="RZ8" s="5">
        <v>9</v>
      </c>
      <c r="SA8" s="5"/>
      <c r="SB8" s="5">
        <f t="shared" si="37"/>
        <v>0</v>
      </c>
      <c r="SC8" s="5"/>
      <c r="SD8" s="41">
        <f>SC8-SB8</f>
        <v>0</v>
      </c>
      <c r="SF8" s="5">
        <v>9</v>
      </c>
      <c r="SG8" s="5"/>
      <c r="SH8" s="5">
        <f t="shared" si="38"/>
        <v>0</v>
      </c>
      <c r="SI8" s="5">
        <v>0</v>
      </c>
      <c r="SJ8" s="41">
        <f>SI8-SH8</f>
        <v>0</v>
      </c>
      <c r="SL8" s="5">
        <v>9</v>
      </c>
      <c r="SM8" s="5"/>
      <c r="SN8" s="5">
        <f t="shared" si="39"/>
        <v>0</v>
      </c>
      <c r="SO8" s="5">
        <v>0</v>
      </c>
      <c r="SP8" s="41">
        <f>SO8-SN8</f>
        <v>0</v>
      </c>
      <c r="SR8" s="5">
        <v>6</v>
      </c>
      <c r="SS8" s="5"/>
      <c r="ST8" s="5">
        <f t="shared" si="40"/>
        <v>3</v>
      </c>
      <c r="SU8" s="5">
        <v>3</v>
      </c>
      <c r="SV8" s="41">
        <f>SU8-ST8</f>
        <v>0</v>
      </c>
      <c r="SX8" s="5">
        <v>6</v>
      </c>
      <c r="SY8" s="5"/>
      <c r="SZ8" s="5">
        <f t="shared" si="41"/>
        <v>0</v>
      </c>
      <c r="TA8" s="5">
        <v>0</v>
      </c>
      <c r="TB8" s="41">
        <f>TA8-SZ8</f>
        <v>0</v>
      </c>
      <c r="TD8" s="5">
        <v>2</v>
      </c>
      <c r="TE8" s="5"/>
      <c r="TF8" s="5">
        <f t="shared" si="42"/>
        <v>4</v>
      </c>
      <c r="TG8" s="5">
        <v>4</v>
      </c>
      <c r="TH8" s="41">
        <f>TG8-TF8</f>
        <v>0</v>
      </c>
      <c r="TJ8" s="5">
        <v>2</v>
      </c>
      <c r="TK8" s="5">
        <v>18</v>
      </c>
      <c r="TL8" s="5">
        <f t="shared" si="43"/>
        <v>0</v>
      </c>
      <c r="TM8" s="5">
        <v>0</v>
      </c>
      <c r="TN8" s="41">
        <f>TM8-TL8</f>
        <v>0</v>
      </c>
      <c r="TP8" s="5">
        <v>20</v>
      </c>
      <c r="TQ8" s="5"/>
      <c r="TR8" s="5">
        <f t="shared" si="44"/>
        <v>0</v>
      </c>
      <c r="TS8" s="5"/>
      <c r="TT8" s="41">
        <f>TS8-TR8</f>
        <v>0</v>
      </c>
      <c r="TV8" s="5">
        <v>20</v>
      </c>
      <c r="TW8" s="5"/>
      <c r="TX8" s="5">
        <f t="shared" si="45"/>
        <v>0</v>
      </c>
      <c r="TY8" s="5">
        <v>0</v>
      </c>
      <c r="TZ8" s="41">
        <f>TY8-TX8</f>
        <v>0</v>
      </c>
      <c r="UB8" s="5">
        <v>20</v>
      </c>
      <c r="UC8" s="5"/>
      <c r="UD8" s="5">
        <f t="shared" si="46"/>
        <v>0</v>
      </c>
      <c r="UE8" s="5"/>
      <c r="UF8" s="41">
        <f>UE8-UD8</f>
        <v>0</v>
      </c>
      <c r="UH8" s="5">
        <v>19</v>
      </c>
      <c r="UI8" s="5"/>
      <c r="UJ8" s="5">
        <f t="shared" si="47"/>
        <v>1</v>
      </c>
      <c r="UK8" s="5">
        <v>1</v>
      </c>
      <c r="UL8" s="41">
        <f>UK8-UJ8</f>
        <v>0</v>
      </c>
      <c r="UN8" s="5">
        <v>18</v>
      </c>
      <c r="UO8" s="5"/>
      <c r="UP8" s="5">
        <f t="shared" si="48"/>
        <v>1</v>
      </c>
      <c r="UQ8" s="5">
        <v>1</v>
      </c>
      <c r="UR8" s="41">
        <f>UQ8-UP8</f>
        <v>0</v>
      </c>
      <c r="UT8" s="5">
        <v>18</v>
      </c>
      <c r="UU8" s="5"/>
      <c r="UV8" s="5">
        <f t="shared" si="49"/>
        <v>0</v>
      </c>
      <c r="UW8" s="5">
        <v>0</v>
      </c>
      <c r="UX8" s="41">
        <f>UW8-UV8</f>
        <v>0</v>
      </c>
      <c r="UZ8" s="5">
        <v>18</v>
      </c>
      <c r="VA8" s="5"/>
      <c r="VB8" s="5">
        <f t="shared" si="50"/>
        <v>0</v>
      </c>
      <c r="VC8" s="5">
        <v>0</v>
      </c>
      <c r="VD8" s="41">
        <f>VC8-VB8</f>
        <v>0</v>
      </c>
      <c r="VF8" s="5">
        <v>18</v>
      </c>
      <c r="VG8" s="5"/>
      <c r="VH8" s="5">
        <f t="shared" si="51"/>
        <v>0</v>
      </c>
      <c r="VI8" s="5">
        <v>0</v>
      </c>
      <c r="VJ8" s="41">
        <f>VI8-VH8</f>
        <v>0</v>
      </c>
      <c r="VL8" s="5">
        <v>15</v>
      </c>
      <c r="VM8" s="5"/>
      <c r="VN8" s="5">
        <f t="shared" si="52"/>
        <v>3</v>
      </c>
      <c r="VO8" s="5"/>
      <c r="VP8" s="41">
        <f>VO8-VN8</f>
        <v>-3</v>
      </c>
      <c r="VR8" s="5">
        <v>14</v>
      </c>
      <c r="VS8" s="5"/>
      <c r="VT8" s="5">
        <f t="shared" si="53"/>
        <v>1</v>
      </c>
      <c r="VU8" s="5"/>
      <c r="VV8" s="41">
        <f>VU8-VT8</f>
        <v>-1</v>
      </c>
      <c r="VX8" s="5">
        <v>14</v>
      </c>
      <c r="VY8" s="5"/>
      <c r="VZ8" s="5">
        <f t="shared" si="54"/>
        <v>0</v>
      </c>
      <c r="WA8" s="5"/>
      <c r="WB8" s="41">
        <f>WA8-VZ8</f>
        <v>0</v>
      </c>
      <c r="WD8" s="5">
        <v>13</v>
      </c>
      <c r="WE8" s="5"/>
      <c r="WF8" s="5">
        <f t="shared" si="55"/>
        <v>1</v>
      </c>
      <c r="WG8" s="5"/>
      <c r="WH8" s="41">
        <f>WG8-WF8</f>
        <v>-1</v>
      </c>
      <c r="WJ8" s="5">
        <v>10</v>
      </c>
      <c r="WK8" s="5"/>
      <c r="WL8" s="5">
        <f t="shared" si="56"/>
        <v>3</v>
      </c>
      <c r="WM8" s="5">
        <v>3</v>
      </c>
      <c r="WN8" s="41">
        <f>WM8-WL8</f>
        <v>0</v>
      </c>
      <c r="WP8" s="5">
        <v>22</v>
      </c>
      <c r="WQ8" s="5"/>
      <c r="WR8" s="5">
        <f t="shared" si="57"/>
        <v>-12</v>
      </c>
      <c r="WS8" s="5"/>
      <c r="WT8" s="41">
        <f>WS8-WR8</f>
        <v>12</v>
      </c>
      <c r="WV8" s="5">
        <v>10</v>
      </c>
      <c r="WW8" s="5"/>
      <c r="WX8" s="5">
        <f t="shared" si="58"/>
        <v>12</v>
      </c>
      <c r="WY8" s="5">
        <v>0</v>
      </c>
      <c r="WZ8" s="41">
        <f>WY8-WX8</f>
        <v>-12</v>
      </c>
      <c r="XB8" s="5">
        <v>10</v>
      </c>
      <c r="XC8" s="5">
        <v>12</v>
      </c>
      <c r="XD8" s="5">
        <f t="shared" si="59"/>
        <v>0</v>
      </c>
      <c r="XE8" s="5">
        <v>0</v>
      </c>
      <c r="XF8" s="41">
        <f>XE8-XD8</f>
        <v>0</v>
      </c>
      <c r="XH8" s="5">
        <v>22</v>
      </c>
      <c r="XI8" s="5"/>
      <c r="XJ8" s="5">
        <f t="shared" si="60"/>
        <v>0</v>
      </c>
      <c r="XK8" s="5">
        <v>0</v>
      </c>
      <c r="XL8" s="41">
        <f>XK8-XJ8</f>
        <v>0</v>
      </c>
      <c r="XN8" s="5">
        <v>8</v>
      </c>
      <c r="XO8" s="5">
        <v>48</v>
      </c>
      <c r="XP8" s="5">
        <f t="shared" si="61"/>
        <v>14</v>
      </c>
      <c r="XQ8" s="5">
        <v>0</v>
      </c>
      <c r="XR8" s="41">
        <f>XQ8-XP8</f>
        <v>-14</v>
      </c>
      <c r="XT8" s="5">
        <v>58</v>
      </c>
      <c r="XU8" s="37"/>
      <c r="XV8" s="5">
        <f t="shared" si="62"/>
        <v>-2</v>
      </c>
      <c r="XW8" s="5">
        <v>0</v>
      </c>
      <c r="XX8" s="41">
        <f>XW8-XV8</f>
        <v>2</v>
      </c>
      <c r="XZ8" s="5">
        <v>58</v>
      </c>
      <c r="YA8" s="37"/>
      <c r="YB8" s="5">
        <f t="shared" si="63"/>
        <v>0</v>
      </c>
      <c r="YC8" s="5">
        <v>0</v>
      </c>
      <c r="YD8" s="41">
        <f>YC8-YB8</f>
        <v>0</v>
      </c>
      <c r="YF8" s="5">
        <v>57</v>
      </c>
      <c r="YG8" s="37"/>
      <c r="YH8" s="5">
        <f t="shared" si="64"/>
        <v>1</v>
      </c>
      <c r="YI8" s="5"/>
      <c r="YJ8" s="41">
        <f>YI8-YH8</f>
        <v>-1</v>
      </c>
      <c r="YL8" s="5">
        <v>57</v>
      </c>
      <c r="YM8" s="37"/>
      <c r="YN8" s="5">
        <f t="shared" si="65"/>
        <v>0</v>
      </c>
      <c r="YO8" s="5"/>
      <c r="YP8" s="41">
        <f>YO8-YN8</f>
        <v>0</v>
      </c>
      <c r="YR8" s="5">
        <v>57</v>
      </c>
      <c r="YS8" s="37"/>
      <c r="YT8" s="5">
        <f t="shared" si="66"/>
        <v>0</v>
      </c>
      <c r="YU8" s="5"/>
      <c r="YV8" s="41">
        <f>YU8-YT8</f>
        <v>0</v>
      </c>
      <c r="YX8" s="5">
        <v>57</v>
      </c>
      <c r="YY8" s="37"/>
      <c r="YZ8" s="5">
        <f t="shared" si="67"/>
        <v>0</v>
      </c>
      <c r="ZA8" s="5">
        <v>0</v>
      </c>
      <c r="ZB8" s="41">
        <f>ZA8-YZ8</f>
        <v>0</v>
      </c>
      <c r="ZD8" s="5">
        <v>57</v>
      </c>
      <c r="ZE8" s="37"/>
      <c r="ZF8" s="5">
        <f t="shared" si="68"/>
        <v>0</v>
      </c>
      <c r="ZG8" s="5">
        <v>0</v>
      </c>
      <c r="ZH8" s="41">
        <f>ZG8-ZF8</f>
        <v>0</v>
      </c>
      <c r="ZJ8" s="5">
        <v>57</v>
      </c>
      <c r="ZK8" s="37"/>
      <c r="ZL8" s="5">
        <f t="shared" si="69"/>
        <v>0</v>
      </c>
      <c r="ZM8" s="5"/>
      <c r="ZN8" s="41">
        <f>ZM8-ZL8</f>
        <v>0</v>
      </c>
      <c r="ZP8" s="5">
        <v>57</v>
      </c>
      <c r="ZQ8" s="37">
        <v>-36</v>
      </c>
      <c r="ZR8" s="5">
        <f t="shared" si="70"/>
        <v>0</v>
      </c>
      <c r="ZS8" s="5">
        <v>0</v>
      </c>
      <c r="ZT8" s="41">
        <f>ZS8-ZR8</f>
        <v>0</v>
      </c>
      <c r="ZV8" s="5">
        <v>19</v>
      </c>
      <c r="ZW8" s="37"/>
      <c r="ZX8" s="5">
        <f t="shared" si="71"/>
        <v>2</v>
      </c>
      <c r="ZY8" s="5">
        <v>2</v>
      </c>
      <c r="ZZ8" s="41">
        <f>ZY8-ZX8</f>
        <v>0</v>
      </c>
      <c r="AAB8" s="5">
        <v>19</v>
      </c>
      <c r="AAC8" s="37"/>
      <c r="AAD8" s="5">
        <f t="shared" si="72"/>
        <v>0</v>
      </c>
      <c r="AAE8" s="5"/>
      <c r="AAF8" s="41">
        <f>AAE8-AAD8</f>
        <v>0</v>
      </c>
      <c r="AAH8" s="5">
        <v>19</v>
      </c>
      <c r="AAI8" s="37"/>
      <c r="AAJ8" s="5">
        <f t="shared" si="73"/>
        <v>0</v>
      </c>
      <c r="AAK8" s="5">
        <v>0</v>
      </c>
      <c r="AAL8" s="41">
        <f>AAK8-AAJ8</f>
        <v>0</v>
      </c>
      <c r="AAN8" s="5">
        <v>18</v>
      </c>
      <c r="AAO8" s="37"/>
      <c r="AAP8" s="5">
        <f t="shared" si="74"/>
        <v>1</v>
      </c>
      <c r="AAQ8" s="5">
        <v>1</v>
      </c>
      <c r="AAR8" s="41">
        <f>AAQ8-AAP8</f>
        <v>0</v>
      </c>
      <c r="AAT8" s="5">
        <v>18</v>
      </c>
      <c r="AAU8" s="37"/>
      <c r="AAV8" s="5">
        <f t="shared" si="75"/>
        <v>0</v>
      </c>
      <c r="AAW8" s="5">
        <v>0</v>
      </c>
      <c r="AAX8" s="41">
        <f>AAW8-AAV8</f>
        <v>0</v>
      </c>
      <c r="AAZ8" s="5">
        <v>18</v>
      </c>
      <c r="ABA8" s="37"/>
      <c r="ABB8" s="5">
        <f t="shared" si="76"/>
        <v>0</v>
      </c>
      <c r="ABC8" s="5">
        <v>0</v>
      </c>
      <c r="ABD8" s="41">
        <f>ABC8-ABB8</f>
        <v>0</v>
      </c>
      <c r="ABF8" s="5">
        <v>17</v>
      </c>
      <c r="ABG8" s="37"/>
      <c r="ABH8" s="5">
        <f t="shared" si="77"/>
        <v>1</v>
      </c>
      <c r="ABI8" s="5">
        <v>0</v>
      </c>
      <c r="ABJ8" s="41">
        <f>ABI8-ABH8</f>
        <v>-1</v>
      </c>
      <c r="ABL8" s="5">
        <v>18</v>
      </c>
      <c r="ABM8" s="37"/>
      <c r="ABN8" s="5">
        <f t="shared" si="78"/>
        <v>-1</v>
      </c>
      <c r="ABO8" s="5">
        <v>0</v>
      </c>
      <c r="ABP8" s="41">
        <f>ABO8-ABN8</f>
        <v>1</v>
      </c>
      <c r="ABR8" s="5">
        <v>16</v>
      </c>
      <c r="ABS8" s="37"/>
      <c r="ABT8" s="5">
        <f t="shared" si="79"/>
        <v>2</v>
      </c>
      <c r="ABU8" s="5">
        <v>1</v>
      </c>
      <c r="ABV8" s="41">
        <f>ABU8-ABT8</f>
        <v>-1</v>
      </c>
      <c r="ABX8" s="5">
        <v>16</v>
      </c>
      <c r="ABY8" s="37"/>
      <c r="ABZ8" s="5">
        <f t="shared" si="80"/>
        <v>0</v>
      </c>
      <c r="ACA8" s="5">
        <v>0</v>
      </c>
      <c r="ACB8" s="41">
        <f>ACA8-ABZ8</f>
        <v>0</v>
      </c>
      <c r="ACD8" s="5">
        <v>16</v>
      </c>
      <c r="ACE8" s="37"/>
      <c r="ACF8" s="5">
        <f t="shared" si="81"/>
        <v>0</v>
      </c>
      <c r="ACG8" s="5">
        <v>0</v>
      </c>
      <c r="ACH8" s="41">
        <f>ACG8-ACF8</f>
        <v>0</v>
      </c>
      <c r="ACJ8" s="5">
        <v>15</v>
      </c>
      <c r="ACK8" s="37"/>
      <c r="ACL8" s="5">
        <f t="shared" si="82"/>
        <v>1</v>
      </c>
      <c r="ACM8" s="5">
        <v>1</v>
      </c>
      <c r="ACN8" s="41">
        <f>ACM8-ACL8</f>
        <v>0</v>
      </c>
      <c r="ACP8" s="5">
        <v>15</v>
      </c>
      <c r="ACQ8" s="37"/>
      <c r="ACR8" s="5">
        <f t="shared" si="83"/>
        <v>0</v>
      </c>
      <c r="ACS8" s="5">
        <v>0</v>
      </c>
      <c r="ACT8" s="41">
        <f>ACS8-ACR8</f>
        <v>0</v>
      </c>
      <c r="ACV8" s="5">
        <v>15</v>
      </c>
      <c r="ACW8" s="37"/>
      <c r="ACX8" s="5">
        <f t="shared" si="84"/>
        <v>0</v>
      </c>
      <c r="ACY8" s="5">
        <v>0</v>
      </c>
      <c r="ACZ8" s="41">
        <f>ACY8-ACX8</f>
        <v>0</v>
      </c>
      <c r="ADB8" s="5">
        <v>14</v>
      </c>
      <c r="ADC8" s="37"/>
      <c r="ADD8" s="5">
        <f t="shared" si="85"/>
        <v>1</v>
      </c>
      <c r="ADE8" s="5">
        <v>1</v>
      </c>
      <c r="ADF8" s="41">
        <f>ADE8-ADD8</f>
        <v>0</v>
      </c>
      <c r="ADH8" s="5">
        <v>14</v>
      </c>
      <c r="ADI8" s="37"/>
      <c r="ADJ8" s="5">
        <f t="shared" si="86"/>
        <v>0</v>
      </c>
      <c r="ADK8" s="5">
        <v>0</v>
      </c>
      <c r="ADL8" s="41">
        <f>ADK8-ADJ8</f>
        <v>0</v>
      </c>
      <c r="ADN8" s="5">
        <v>13</v>
      </c>
      <c r="ADO8" s="37"/>
      <c r="ADP8" s="5">
        <f t="shared" si="87"/>
        <v>1</v>
      </c>
      <c r="ADQ8" s="5"/>
      <c r="ADR8" s="41">
        <f>ADQ8-ADP8</f>
        <v>-1</v>
      </c>
      <c r="ADT8" s="5">
        <v>13</v>
      </c>
      <c r="ADU8" s="37"/>
      <c r="ADV8" s="5">
        <f t="shared" si="88"/>
        <v>0</v>
      </c>
      <c r="ADW8" s="5">
        <v>0</v>
      </c>
      <c r="ADX8" s="41">
        <f>ADW8-ADV8</f>
        <v>0</v>
      </c>
      <c r="ADZ8" s="5">
        <v>13</v>
      </c>
      <c r="AEA8" s="37"/>
      <c r="AEB8" s="5">
        <f t="shared" si="89"/>
        <v>0</v>
      </c>
      <c r="AEC8" s="5">
        <v>0</v>
      </c>
      <c r="AED8" s="41">
        <f>AEC8-AEB8</f>
        <v>0</v>
      </c>
      <c r="AEF8" s="5">
        <v>13</v>
      </c>
      <c r="AEG8" s="37"/>
      <c r="AEH8" s="5">
        <f t="shared" si="90"/>
        <v>0</v>
      </c>
      <c r="AEI8" s="5">
        <v>0</v>
      </c>
      <c r="AEJ8" s="41">
        <f>AEI8-AEH8</f>
        <v>0</v>
      </c>
      <c r="AEL8" s="5">
        <v>0</v>
      </c>
      <c r="AEM8" s="37"/>
      <c r="AEN8" s="5">
        <f t="shared" si="91"/>
        <v>13</v>
      </c>
      <c r="AEO8" s="5">
        <v>8</v>
      </c>
      <c r="AEP8" s="41">
        <f>AEO8-AEN8</f>
        <v>-5</v>
      </c>
      <c r="AER8" s="5">
        <v>10</v>
      </c>
      <c r="AES8" s="37"/>
      <c r="AET8" s="5">
        <f t="shared" si="92"/>
        <v>-10</v>
      </c>
      <c r="AEU8" s="5"/>
      <c r="AEV8" s="41">
        <f>AEU8-AET8</f>
        <v>10</v>
      </c>
      <c r="AEX8" s="5">
        <v>9</v>
      </c>
      <c r="AEY8" s="37">
        <v>18</v>
      </c>
      <c r="AEZ8" s="5">
        <f t="shared" si="93"/>
        <v>1</v>
      </c>
      <c r="AFA8" s="5">
        <v>1</v>
      </c>
      <c r="AFB8" s="41">
        <f>AFA8-AEZ8</f>
        <v>0</v>
      </c>
      <c r="AFD8" s="5">
        <v>27</v>
      </c>
      <c r="AFE8" s="37"/>
      <c r="AFF8" s="5">
        <f t="shared" si="94"/>
        <v>0</v>
      </c>
      <c r="AFG8" s="5">
        <v>0</v>
      </c>
      <c r="AFH8" s="41">
        <f>AFG8-AFF8</f>
        <v>0</v>
      </c>
      <c r="AFJ8" s="5">
        <v>27</v>
      </c>
      <c r="AFK8" s="37"/>
      <c r="AFL8" s="5">
        <f t="shared" si="95"/>
        <v>0</v>
      </c>
      <c r="AFM8" s="5">
        <v>0</v>
      </c>
      <c r="AFN8" s="41">
        <f>AFM8-AFL8</f>
        <v>0</v>
      </c>
      <c r="AFP8" s="5">
        <v>27</v>
      </c>
      <c r="AFQ8" s="37"/>
      <c r="AFR8" s="5">
        <f t="shared" si="96"/>
        <v>0</v>
      </c>
      <c r="AFS8" s="5">
        <v>0</v>
      </c>
      <c r="AFT8" s="41">
        <f>AFS8-AFR8</f>
        <v>0</v>
      </c>
      <c r="AFV8" s="5">
        <v>27</v>
      </c>
      <c r="AFW8" s="37"/>
      <c r="AFX8" s="5">
        <f t="shared" si="97"/>
        <v>0</v>
      </c>
      <c r="AFY8" s="5"/>
      <c r="AFZ8" s="41">
        <f>AFY8-AFX8</f>
        <v>0</v>
      </c>
      <c r="AGB8" s="5">
        <v>25</v>
      </c>
      <c r="AGC8" s="37"/>
      <c r="AGD8" s="5">
        <f t="shared" si="98"/>
        <v>2</v>
      </c>
      <c r="AGE8" s="5">
        <v>2</v>
      </c>
      <c r="AGF8" s="41">
        <f>AGE8-AGD8</f>
        <v>0</v>
      </c>
      <c r="AGH8" s="5">
        <v>25</v>
      </c>
      <c r="AGI8" s="37"/>
      <c r="AGJ8" s="5">
        <f t="shared" si="99"/>
        <v>0</v>
      </c>
      <c r="AGK8" s="5"/>
      <c r="AGL8" s="41">
        <f>AGK8-AGJ8</f>
        <v>0</v>
      </c>
      <c r="AGN8" s="5">
        <v>22</v>
      </c>
      <c r="AGO8" s="37"/>
      <c r="AGP8" s="5">
        <f t="shared" si="100"/>
        <v>3</v>
      </c>
      <c r="AGQ8" s="5"/>
      <c r="AGR8" s="41">
        <f>AGQ8-AGP8</f>
        <v>-3</v>
      </c>
      <c r="AGT8" s="5">
        <v>21</v>
      </c>
      <c r="AGU8" s="37"/>
      <c r="AGV8" s="5">
        <f t="shared" si="101"/>
        <v>1</v>
      </c>
      <c r="AGW8" s="5"/>
      <c r="AGX8" s="41">
        <f>AGW8-AGV8</f>
        <v>-1</v>
      </c>
      <c r="AGZ8" s="5">
        <v>22</v>
      </c>
      <c r="AHA8" s="37"/>
      <c r="AHB8" s="5">
        <f t="shared" si="102"/>
        <v>-1</v>
      </c>
      <c r="AHC8" s="5"/>
      <c r="AHD8" s="41">
        <f>AHC8-AHB8</f>
        <v>1</v>
      </c>
      <c r="AHF8" s="5">
        <v>21</v>
      </c>
      <c r="AHG8" s="37"/>
      <c r="AHH8" s="5">
        <f t="shared" si="103"/>
        <v>1</v>
      </c>
      <c r="AHI8" s="5"/>
      <c r="AHJ8" s="41">
        <f>AHI8-AHH8</f>
        <v>-1</v>
      </c>
      <c r="AHL8" s="5">
        <v>21</v>
      </c>
      <c r="AHM8" s="37"/>
      <c r="AHN8" s="5">
        <f t="shared" si="104"/>
        <v>0</v>
      </c>
      <c r="AHO8" s="5"/>
      <c r="AHP8" s="41">
        <f>AHO8-AHN8</f>
        <v>0</v>
      </c>
      <c r="AHR8" s="5">
        <v>16</v>
      </c>
      <c r="AHS8" s="37"/>
      <c r="AHT8" s="5">
        <f t="shared" si="105"/>
        <v>5</v>
      </c>
      <c r="AHU8" s="5"/>
      <c r="AHV8" s="41">
        <f>AHU8-AHT8</f>
        <v>-5</v>
      </c>
      <c r="AHX8" s="5">
        <v>16</v>
      </c>
      <c r="AHY8" s="37"/>
      <c r="AHZ8" s="5">
        <f t="shared" si="106"/>
        <v>0</v>
      </c>
      <c r="AIA8" s="5"/>
      <c r="AIB8" s="41">
        <f>AIA8-AHZ8</f>
        <v>0</v>
      </c>
      <c r="AID8" s="5">
        <v>14</v>
      </c>
      <c r="AIE8" s="37"/>
      <c r="AIF8" s="5">
        <f t="shared" si="107"/>
        <v>2</v>
      </c>
      <c r="AIG8" s="5"/>
      <c r="AIH8" s="41">
        <f>AIG8-AIF8</f>
        <v>-2</v>
      </c>
      <c r="AIJ8" s="5">
        <v>14</v>
      </c>
      <c r="AIK8" s="37"/>
      <c r="AIL8" s="5">
        <f t="shared" si="108"/>
        <v>0</v>
      </c>
      <c r="AIM8" s="5"/>
      <c r="AIN8" s="41">
        <f>AIM8-AIL8</f>
        <v>0</v>
      </c>
      <c r="AIP8" s="5">
        <v>14</v>
      </c>
      <c r="AIQ8" s="37"/>
      <c r="AIR8" s="5">
        <f t="shared" si="109"/>
        <v>0</v>
      </c>
      <c r="AIS8" s="5"/>
      <c r="AIT8" s="41">
        <f>AIS8-AIR8</f>
        <v>0</v>
      </c>
      <c r="AIV8" s="5">
        <v>14</v>
      </c>
      <c r="AIW8" s="37"/>
      <c r="AIX8" s="5">
        <f t="shared" si="110"/>
        <v>0</v>
      </c>
      <c r="AIY8" s="5"/>
      <c r="AIZ8" s="41">
        <f>AIY8-AIX8</f>
        <v>0</v>
      </c>
      <c r="AJB8" s="5">
        <v>14</v>
      </c>
      <c r="AJC8" s="37"/>
      <c r="AJD8" s="5">
        <f t="shared" si="111"/>
        <v>0</v>
      </c>
      <c r="AJE8" s="5"/>
      <c r="AJF8" s="41">
        <f>AJE8-AJD8</f>
        <v>0</v>
      </c>
      <c r="AJH8" s="5">
        <v>12</v>
      </c>
      <c r="AJI8" s="37"/>
      <c r="AJJ8" s="5">
        <f t="shared" si="112"/>
        <v>2</v>
      </c>
      <c r="AJK8" s="5"/>
      <c r="AJL8" s="41">
        <f>AJK8-AJJ8</f>
        <v>-2</v>
      </c>
      <c r="AJN8" s="5">
        <v>12</v>
      </c>
      <c r="AJO8" s="37"/>
      <c r="AJP8" s="5">
        <f t="shared" si="113"/>
        <v>0</v>
      </c>
      <c r="AJQ8" s="5"/>
      <c r="AJR8" s="41">
        <f>AJQ8-AJP8</f>
        <v>0</v>
      </c>
      <c r="AJT8" s="5">
        <v>12</v>
      </c>
      <c r="AJU8" s="37"/>
      <c r="AJV8" s="5">
        <f t="shared" si="114"/>
        <v>0</v>
      </c>
      <c r="AJW8" s="5"/>
      <c r="AJX8" s="41">
        <f>AJW8-AJV8</f>
        <v>0</v>
      </c>
      <c r="AJZ8" s="5">
        <v>12</v>
      </c>
      <c r="AKA8" s="37"/>
      <c r="AKB8" s="5">
        <f t="shared" si="115"/>
        <v>0</v>
      </c>
      <c r="AKC8" s="5"/>
      <c r="AKD8" s="41">
        <f>AKC8-AKB8</f>
        <v>0</v>
      </c>
      <c r="AKF8" s="5">
        <v>11</v>
      </c>
      <c r="AKG8" s="37"/>
      <c r="AKH8" s="5">
        <f t="shared" si="116"/>
        <v>1</v>
      </c>
      <c r="AKI8" s="5"/>
      <c r="AKJ8" s="41">
        <f>AKI8-AKH8</f>
        <v>-1</v>
      </c>
      <c r="AKL8" s="5">
        <v>9</v>
      </c>
      <c r="AKM8" s="37"/>
      <c r="AKN8" s="5">
        <f t="shared" si="117"/>
        <v>2</v>
      </c>
      <c r="AKO8" s="5"/>
      <c r="AKP8" s="41">
        <f>AKO8-AKN8</f>
        <v>-2</v>
      </c>
      <c r="AKR8" s="5">
        <v>9</v>
      </c>
      <c r="AKS8" s="37"/>
      <c r="AKT8" s="5">
        <f t="shared" si="118"/>
        <v>0</v>
      </c>
      <c r="AKU8" s="5"/>
      <c r="AKV8" s="41">
        <f>AKU8-AKT8</f>
        <v>0</v>
      </c>
      <c r="AKX8" s="5">
        <v>7</v>
      </c>
      <c r="AKY8" s="37"/>
      <c r="AKZ8" s="5">
        <f t="shared" si="119"/>
        <v>2</v>
      </c>
      <c r="ALA8" s="5"/>
      <c r="ALB8" s="41">
        <f>ALA8-AKZ8</f>
        <v>-2</v>
      </c>
      <c r="ALD8" s="5">
        <v>7</v>
      </c>
      <c r="ALE8" s="37"/>
      <c r="ALF8" s="5">
        <f t="shared" si="120"/>
        <v>0</v>
      </c>
      <c r="ALG8" s="5"/>
      <c r="ALH8" s="41">
        <f>ALG8-ALF8</f>
        <v>0</v>
      </c>
      <c r="ALJ8" s="5">
        <v>6</v>
      </c>
      <c r="ALK8" s="37"/>
      <c r="ALL8" s="5">
        <f t="shared" si="121"/>
        <v>1</v>
      </c>
      <c r="ALM8" s="5"/>
      <c r="ALN8" s="41">
        <f>ALM8-ALL8</f>
        <v>-1</v>
      </c>
      <c r="ALP8" s="5">
        <v>6</v>
      </c>
      <c r="ALQ8" s="37"/>
      <c r="ALR8" s="5">
        <f t="shared" si="122"/>
        <v>0</v>
      </c>
      <c r="ALS8" s="5"/>
      <c r="ALT8" s="41">
        <f>ALS8-ALR8</f>
        <v>0</v>
      </c>
      <c r="ALV8" s="5">
        <v>5</v>
      </c>
      <c r="ALW8" s="37"/>
      <c r="ALX8" s="5">
        <f t="shared" si="123"/>
        <v>1</v>
      </c>
      <c r="ALY8" s="5"/>
      <c r="ALZ8" s="41">
        <f>ALY8-ALX8</f>
        <v>-1</v>
      </c>
      <c r="AMB8" s="5">
        <v>5</v>
      </c>
      <c r="AMC8" s="37"/>
      <c r="AMD8" s="5">
        <f t="shared" si="124"/>
        <v>0</v>
      </c>
      <c r="AME8" s="5"/>
      <c r="AMF8" s="41">
        <f>AME8-AMD8</f>
        <v>0</v>
      </c>
      <c r="AMH8" s="5">
        <v>4</v>
      </c>
      <c r="AMI8" s="37"/>
      <c r="AMJ8" s="5">
        <f t="shared" si="125"/>
        <v>1</v>
      </c>
      <c r="AMK8" s="5"/>
      <c r="AML8" s="41">
        <f>AMK8-AMJ8</f>
        <v>-1</v>
      </c>
      <c r="AMN8" s="5">
        <v>4</v>
      </c>
      <c r="AMO8" s="37"/>
      <c r="AMP8" s="5">
        <f t="shared" si="126"/>
        <v>0</v>
      </c>
      <c r="AMQ8" s="5"/>
      <c r="AMR8" s="41">
        <f>AMQ8-AMP8</f>
        <v>0</v>
      </c>
      <c r="AMT8" s="5">
        <v>4</v>
      </c>
      <c r="AMU8" s="37"/>
      <c r="AMV8" s="5">
        <f t="shared" si="127"/>
        <v>0</v>
      </c>
      <c r="AMW8" s="5"/>
      <c r="AMX8" s="41">
        <f>AMW8-AMV8</f>
        <v>0</v>
      </c>
      <c r="AMZ8" s="5">
        <v>4</v>
      </c>
      <c r="ANA8" s="37"/>
      <c r="ANB8" s="5">
        <f t="shared" si="128"/>
        <v>0</v>
      </c>
      <c r="ANC8" s="5"/>
      <c r="AND8" s="41">
        <f>ANC8-ANB8</f>
        <v>0</v>
      </c>
      <c r="ANF8" s="5">
        <v>4</v>
      </c>
      <c r="ANG8" s="37"/>
      <c r="ANH8" s="5">
        <f t="shared" si="129"/>
        <v>0</v>
      </c>
      <c r="ANI8" s="5"/>
      <c r="ANJ8" s="41">
        <f>ANI8-ANH8</f>
        <v>0</v>
      </c>
      <c r="ANL8" s="5">
        <v>2</v>
      </c>
      <c r="ANM8" s="37"/>
      <c r="ANN8" s="5">
        <f t="shared" si="130"/>
        <v>2</v>
      </c>
      <c r="ANO8" s="5"/>
      <c r="ANP8" s="41">
        <f>ANO8-ANN8</f>
        <v>-2</v>
      </c>
      <c r="ANR8" s="5">
        <v>2</v>
      </c>
      <c r="ANS8" s="37"/>
      <c r="ANT8" s="5">
        <f t="shared" si="131"/>
        <v>0</v>
      </c>
      <c r="ANU8" s="5"/>
      <c r="ANV8" s="41">
        <f>ANU8-ANT8</f>
        <v>0</v>
      </c>
      <c r="ANX8" s="5">
        <v>2</v>
      </c>
      <c r="ANY8" s="37"/>
      <c r="ANZ8" s="5">
        <f t="shared" si="132"/>
        <v>0</v>
      </c>
      <c r="AOA8" s="5"/>
      <c r="AOB8" s="41">
        <f>AOA8-ANZ8</f>
        <v>0</v>
      </c>
      <c r="AOD8" s="5">
        <v>2</v>
      </c>
      <c r="AOE8" s="5">
        <v>24</v>
      </c>
      <c r="AOF8" s="5">
        <f t="shared" si="133"/>
        <v>0</v>
      </c>
      <c r="AOG8" s="5"/>
      <c r="AOH8" s="41">
        <f>AOG8-AOF8</f>
        <v>0</v>
      </c>
      <c r="AOJ8" s="5">
        <v>26</v>
      </c>
      <c r="AOK8" s="5"/>
      <c r="AOL8" s="5">
        <f t="shared" si="134"/>
        <v>0</v>
      </c>
      <c r="AOM8" s="5"/>
      <c r="AON8" s="41">
        <f>AOM8-AOL8</f>
        <v>0</v>
      </c>
      <c r="AOP8" s="5">
        <v>26</v>
      </c>
      <c r="AOQ8" s="5"/>
      <c r="AOR8" s="5"/>
      <c r="AOS8" s="5"/>
      <c r="AOT8" s="41"/>
      <c r="AOV8" s="5">
        <v>25</v>
      </c>
      <c r="AOW8" s="5"/>
      <c r="AOX8" s="5">
        <f t="shared" si="135"/>
        <v>1</v>
      </c>
      <c r="AOY8" s="5"/>
      <c r="AOZ8" s="41">
        <f>AOY8-AOX8</f>
        <v>-1</v>
      </c>
    </row>
    <row r="9" spans="1:1092" s="34" customFormat="1" x14ac:dyDescent="0.25">
      <c r="A9" s="63" t="s">
        <v>58</v>
      </c>
      <c r="B9" s="86">
        <f t="shared" si="0"/>
        <v>1.6455696202531647</v>
      </c>
      <c r="C9" s="2">
        <v>12</v>
      </c>
      <c r="E9" s="2">
        <v>17</v>
      </c>
      <c r="F9" s="2"/>
      <c r="H9" s="2">
        <v>17</v>
      </c>
      <c r="I9" s="2">
        <v>0.5</v>
      </c>
      <c r="J9" s="2">
        <f>(F9*24)+E9-H9</f>
        <v>0</v>
      </c>
      <c r="K9" s="2"/>
      <c r="L9" s="48">
        <f>K9-J9</f>
        <v>0</v>
      </c>
      <c r="N9" s="2">
        <v>29</v>
      </c>
      <c r="O9" s="2"/>
      <c r="P9" s="2">
        <f>(I9*24)+H9-N9</f>
        <v>0</v>
      </c>
      <c r="Q9" s="2"/>
      <c r="R9" s="48">
        <f>Q9-P9</f>
        <v>0</v>
      </c>
      <c r="T9" s="2">
        <v>29</v>
      </c>
      <c r="U9" s="2"/>
      <c r="V9" s="2">
        <f>(O9*24)+N9-T9</f>
        <v>0</v>
      </c>
      <c r="W9" s="2"/>
      <c r="X9" s="48">
        <f>W9-V9</f>
        <v>0</v>
      </c>
      <c r="Z9" s="2">
        <v>29</v>
      </c>
      <c r="AA9" s="2"/>
      <c r="AB9" s="2">
        <f>(U9*24)+T9-Z9</f>
        <v>0</v>
      </c>
      <c r="AC9" s="2"/>
      <c r="AD9" s="48">
        <f>AC9-AB9</f>
        <v>0</v>
      </c>
      <c r="AF9" s="2">
        <v>29</v>
      </c>
      <c r="AG9" s="2"/>
      <c r="AH9" s="2">
        <f>(AA9*24)+Z9-AF9</f>
        <v>0</v>
      </c>
      <c r="AI9" s="2"/>
      <c r="AJ9" s="48">
        <f>AI9-AH9</f>
        <v>0</v>
      </c>
      <c r="AL9" s="2">
        <v>23</v>
      </c>
      <c r="AM9" s="2"/>
      <c r="AN9" s="2">
        <f>(AG9*24)+AF9-AL9</f>
        <v>6</v>
      </c>
      <c r="AO9" s="2">
        <v>6</v>
      </c>
      <c r="AP9" s="48">
        <f>AO9-AN9</f>
        <v>0</v>
      </c>
      <c r="AR9" s="2">
        <v>22</v>
      </c>
      <c r="AS9" s="2"/>
      <c r="AT9" s="2">
        <f t="shared" si="148"/>
        <v>1</v>
      </c>
      <c r="AU9" s="2">
        <v>1</v>
      </c>
      <c r="AV9" s="48">
        <f>AU9-AT9</f>
        <v>0</v>
      </c>
      <c r="AX9" s="2">
        <v>13</v>
      </c>
      <c r="AY9" s="2"/>
      <c r="AZ9" s="2">
        <f t="shared" si="150"/>
        <v>9</v>
      </c>
      <c r="BA9" s="2">
        <v>9</v>
      </c>
      <c r="BB9" s="48">
        <f>BA9-AZ9</f>
        <v>0</v>
      </c>
      <c r="BD9" s="2">
        <v>9</v>
      </c>
      <c r="BE9" s="2"/>
      <c r="BF9" s="2">
        <f t="shared" si="152"/>
        <v>4</v>
      </c>
      <c r="BG9" s="2">
        <v>4</v>
      </c>
      <c r="BH9" s="48">
        <f>BG9-BF9</f>
        <v>0</v>
      </c>
      <c r="BJ9" s="2">
        <v>6</v>
      </c>
      <c r="BK9" s="2"/>
      <c r="BL9" s="2">
        <f t="shared" si="154"/>
        <v>3</v>
      </c>
      <c r="BM9" s="2"/>
      <c r="BN9" s="48">
        <f>BM9-BL9</f>
        <v>-3</v>
      </c>
      <c r="BP9" s="2">
        <v>6</v>
      </c>
      <c r="BQ9" s="2">
        <v>24</v>
      </c>
      <c r="BR9" s="2">
        <f t="shared" si="156"/>
        <v>0</v>
      </c>
      <c r="BS9" s="2"/>
      <c r="BT9" s="48">
        <f>BS9-BR9</f>
        <v>0</v>
      </c>
      <c r="BV9" s="2">
        <v>27</v>
      </c>
      <c r="BW9" s="2"/>
      <c r="BX9" s="2">
        <f t="shared" si="158"/>
        <v>3</v>
      </c>
      <c r="BY9" s="2"/>
      <c r="BZ9" s="48">
        <f>BY9-BX9</f>
        <v>-3</v>
      </c>
      <c r="CB9" s="2">
        <v>27</v>
      </c>
      <c r="CC9" s="2"/>
      <c r="CD9" s="2">
        <f t="shared" si="160"/>
        <v>0</v>
      </c>
      <c r="CE9" s="2">
        <v>0</v>
      </c>
      <c r="CF9" s="48">
        <f>CE9-CD9</f>
        <v>0</v>
      </c>
      <c r="CH9" s="2">
        <v>27</v>
      </c>
      <c r="CI9" s="2"/>
      <c r="CJ9" s="2">
        <f t="shared" si="162"/>
        <v>0</v>
      </c>
      <c r="CK9" s="2">
        <v>0</v>
      </c>
      <c r="CL9" s="48">
        <f>CK9-CJ9</f>
        <v>0</v>
      </c>
      <c r="CN9" s="2">
        <v>21</v>
      </c>
      <c r="CO9" s="2"/>
      <c r="CP9" s="2">
        <f t="shared" si="164"/>
        <v>6</v>
      </c>
      <c r="CQ9" s="2">
        <v>4</v>
      </c>
      <c r="CR9" s="48">
        <f>CQ9-CP9</f>
        <v>-2</v>
      </c>
      <c r="CT9" s="2">
        <v>23</v>
      </c>
      <c r="CU9" s="2"/>
      <c r="CV9" s="2">
        <f t="shared" si="166"/>
        <v>-2</v>
      </c>
      <c r="CW9" s="2">
        <v>0</v>
      </c>
      <c r="CX9" s="49">
        <f>CW9-CV9</f>
        <v>2</v>
      </c>
      <c r="CZ9" s="2">
        <v>23</v>
      </c>
      <c r="DA9" s="2"/>
      <c r="DB9" s="2">
        <f t="shared" si="168"/>
        <v>0</v>
      </c>
      <c r="DC9" s="2">
        <v>0</v>
      </c>
      <c r="DD9" s="49">
        <f>DC9-DB9</f>
        <v>0</v>
      </c>
      <c r="DF9" s="2">
        <v>23</v>
      </c>
      <c r="DG9" s="2"/>
      <c r="DH9" s="2">
        <f t="shared" si="170"/>
        <v>0</v>
      </c>
      <c r="DI9" s="2">
        <v>0</v>
      </c>
      <c r="DJ9" s="49">
        <f>DI9-DH9</f>
        <v>0</v>
      </c>
      <c r="DL9" s="2">
        <v>23</v>
      </c>
      <c r="DM9" s="2"/>
      <c r="DN9" s="2">
        <f t="shared" si="172"/>
        <v>0</v>
      </c>
      <c r="DO9" s="2">
        <v>0</v>
      </c>
      <c r="DP9" s="49">
        <f>DO9-DN9</f>
        <v>0</v>
      </c>
      <c r="DR9" s="2">
        <v>23</v>
      </c>
      <c r="DS9" s="2"/>
      <c r="DT9" s="2">
        <f t="shared" si="174"/>
        <v>0</v>
      </c>
      <c r="DU9" s="2"/>
      <c r="DV9" s="49">
        <f>DU9-DT9</f>
        <v>0</v>
      </c>
      <c r="DX9" s="2">
        <v>23</v>
      </c>
      <c r="DY9" s="2"/>
      <c r="DZ9" s="2">
        <f t="shared" si="176"/>
        <v>0</v>
      </c>
      <c r="EA9" s="2"/>
      <c r="EB9" s="49">
        <f>EA9-DZ9</f>
        <v>0</v>
      </c>
      <c r="ED9" s="2">
        <v>11</v>
      </c>
      <c r="EE9" s="2"/>
      <c r="EF9" s="2">
        <f t="shared" si="178"/>
        <v>12</v>
      </c>
      <c r="EG9" s="2">
        <v>12</v>
      </c>
      <c r="EH9" s="49">
        <f>EG9-EF9</f>
        <v>0</v>
      </c>
      <c r="EJ9" s="2">
        <v>11</v>
      </c>
      <c r="EK9" s="2"/>
      <c r="EL9" s="2">
        <f t="shared" si="180"/>
        <v>0</v>
      </c>
      <c r="EM9" s="2">
        <v>0</v>
      </c>
      <c r="EN9" s="49">
        <f>EM9-EL9</f>
        <v>0</v>
      </c>
      <c r="EP9" s="2">
        <v>11</v>
      </c>
      <c r="EQ9" s="2">
        <v>24</v>
      </c>
      <c r="ER9" s="2">
        <f t="shared" si="182"/>
        <v>0</v>
      </c>
      <c r="ES9" s="2">
        <v>0</v>
      </c>
      <c r="ET9" s="49">
        <f>ES9-ER9</f>
        <v>0</v>
      </c>
      <c r="EV9" s="2">
        <v>35</v>
      </c>
      <c r="EW9" s="2"/>
      <c r="EX9" s="2">
        <f t="shared" si="184"/>
        <v>0</v>
      </c>
      <c r="EY9" s="2"/>
      <c r="EZ9" s="49">
        <f>EY9-EX9</f>
        <v>0</v>
      </c>
      <c r="FB9" s="2">
        <v>35</v>
      </c>
      <c r="FC9" s="2"/>
      <c r="FD9" s="2">
        <f t="shared" si="186"/>
        <v>0</v>
      </c>
      <c r="FE9" s="2"/>
      <c r="FF9" s="49">
        <f>FE9-FD9</f>
        <v>0</v>
      </c>
      <c r="FH9" s="2">
        <v>35</v>
      </c>
      <c r="FI9" s="2"/>
      <c r="FJ9" s="2">
        <f t="shared" si="188"/>
        <v>0</v>
      </c>
      <c r="FK9" s="2"/>
      <c r="FL9" s="49">
        <f>FK9-FJ9</f>
        <v>0</v>
      </c>
      <c r="FN9" s="2">
        <v>35</v>
      </c>
      <c r="FO9" s="2"/>
      <c r="FP9" s="2">
        <f t="shared" si="190"/>
        <v>0</v>
      </c>
      <c r="FQ9" s="2">
        <v>0</v>
      </c>
      <c r="FR9" s="49">
        <f>FQ9-FP9</f>
        <v>0</v>
      </c>
      <c r="FT9" s="2">
        <v>35</v>
      </c>
      <c r="FU9" s="2">
        <v>-18</v>
      </c>
      <c r="FV9" s="2">
        <f t="shared" si="192"/>
        <v>0</v>
      </c>
      <c r="FW9" s="2"/>
      <c r="FX9" s="49">
        <f>FW9-FV9</f>
        <v>0</v>
      </c>
      <c r="FZ9" s="2">
        <v>13</v>
      </c>
      <c r="GA9" s="2"/>
      <c r="GB9" s="2">
        <f t="shared" si="194"/>
        <v>4</v>
      </c>
      <c r="GC9" s="2">
        <v>4</v>
      </c>
      <c r="GD9" s="49">
        <f>GC9-GB9</f>
        <v>0</v>
      </c>
      <c r="GF9" s="2">
        <v>13</v>
      </c>
      <c r="GG9" s="2"/>
      <c r="GH9" s="2">
        <f t="shared" si="196"/>
        <v>0</v>
      </c>
      <c r="GI9" s="2"/>
      <c r="GJ9" s="49">
        <f>GI9-GH9</f>
        <v>0</v>
      </c>
      <c r="GL9" s="2">
        <v>13</v>
      </c>
      <c r="GM9" s="2"/>
      <c r="GN9" s="2">
        <f t="shared" si="198"/>
        <v>0</v>
      </c>
      <c r="GO9" s="2"/>
      <c r="GP9" s="49">
        <f>GO9-GN9</f>
        <v>0</v>
      </c>
      <c r="GR9" s="2">
        <v>7</v>
      </c>
      <c r="GS9" s="2"/>
      <c r="GT9" s="2">
        <f t="shared" si="200"/>
        <v>6</v>
      </c>
      <c r="GU9" s="2">
        <v>6</v>
      </c>
      <c r="GV9" s="49">
        <f>GU9-GT9</f>
        <v>0</v>
      </c>
      <c r="GX9" s="2">
        <v>7</v>
      </c>
      <c r="GY9" s="2"/>
      <c r="GZ9" s="2">
        <f t="shared" si="202"/>
        <v>0</v>
      </c>
      <c r="HA9" s="2"/>
      <c r="HB9" s="49">
        <f>HA9-GZ9</f>
        <v>0</v>
      </c>
      <c r="HD9" s="2">
        <v>7</v>
      </c>
      <c r="HE9" s="2"/>
      <c r="HF9" s="2">
        <f t="shared" si="204"/>
        <v>0</v>
      </c>
      <c r="HG9" s="2"/>
      <c r="HH9" s="49">
        <f>HG9-HF9</f>
        <v>0</v>
      </c>
      <c r="HJ9" s="2">
        <v>3</v>
      </c>
      <c r="HK9" s="2"/>
      <c r="HL9" s="2">
        <f t="shared" si="206"/>
        <v>4</v>
      </c>
      <c r="HM9" s="2">
        <v>4</v>
      </c>
      <c r="HN9" s="49">
        <f>HM9-HL9</f>
        <v>0</v>
      </c>
      <c r="HP9" s="2">
        <v>3</v>
      </c>
      <c r="HQ9" s="2">
        <v>12</v>
      </c>
      <c r="HR9" s="2">
        <f t="shared" si="208"/>
        <v>0</v>
      </c>
      <c r="HS9" s="2"/>
      <c r="HT9" s="49">
        <f>HS9-HR9</f>
        <v>0</v>
      </c>
      <c r="HV9" s="2">
        <v>14</v>
      </c>
      <c r="HW9" s="2"/>
      <c r="HX9" s="2">
        <f t="shared" si="210"/>
        <v>1</v>
      </c>
      <c r="HY9" s="2"/>
      <c r="HZ9" s="49">
        <f>HY9-HX9</f>
        <v>-1</v>
      </c>
      <c r="IB9" s="2">
        <v>14</v>
      </c>
      <c r="IC9" s="2"/>
      <c r="ID9" s="2">
        <f t="shared" si="212"/>
        <v>0</v>
      </c>
      <c r="IE9" s="2"/>
      <c r="IF9" s="49">
        <f>IE9-ID9</f>
        <v>0</v>
      </c>
      <c r="IH9" s="2">
        <v>14</v>
      </c>
      <c r="II9" s="2">
        <v>12</v>
      </c>
      <c r="IJ9" s="2">
        <f t="shared" si="214"/>
        <v>0</v>
      </c>
      <c r="IK9" s="2"/>
      <c r="IL9" s="49">
        <f>IK9-IJ9</f>
        <v>0</v>
      </c>
      <c r="IN9" s="2">
        <v>26</v>
      </c>
      <c r="IO9" s="2"/>
      <c r="IP9" s="2">
        <f t="shared" si="216"/>
        <v>0</v>
      </c>
      <c r="IQ9" s="2"/>
      <c r="IR9" s="49">
        <f>IQ9-IP9</f>
        <v>0</v>
      </c>
      <c r="IT9" s="2">
        <v>26</v>
      </c>
      <c r="IU9" s="2"/>
      <c r="IV9" s="2">
        <f t="shared" si="218"/>
        <v>0</v>
      </c>
      <c r="IW9" s="2"/>
      <c r="IX9" s="49">
        <f>IW9-IV9</f>
        <v>0</v>
      </c>
      <c r="IZ9" s="2">
        <v>25</v>
      </c>
      <c r="JA9" s="2"/>
      <c r="JB9" s="2">
        <f t="shared" si="220"/>
        <v>1</v>
      </c>
      <c r="JC9" s="2">
        <v>1</v>
      </c>
      <c r="JD9" s="49">
        <f>JC9-JB9</f>
        <v>0</v>
      </c>
      <c r="JF9" s="2">
        <v>25</v>
      </c>
      <c r="JG9" s="2"/>
      <c r="JH9" s="2">
        <f t="shared" si="222"/>
        <v>0</v>
      </c>
      <c r="JI9" s="2"/>
      <c r="JJ9" s="49">
        <f>JI9-JH9</f>
        <v>0</v>
      </c>
      <c r="JL9" s="2">
        <v>25</v>
      </c>
      <c r="JM9" s="2"/>
      <c r="JN9" s="2">
        <f t="shared" si="224"/>
        <v>0</v>
      </c>
      <c r="JO9" s="2"/>
      <c r="JP9" s="49">
        <f>JO9-JN9</f>
        <v>0</v>
      </c>
      <c r="JR9" s="2">
        <v>23</v>
      </c>
      <c r="JS9" s="2"/>
      <c r="JT9" s="2">
        <f t="shared" si="1"/>
        <v>2</v>
      </c>
      <c r="JU9" s="2">
        <v>1</v>
      </c>
      <c r="JV9" s="49">
        <f>JU9-JT9</f>
        <v>-1</v>
      </c>
      <c r="JX9" s="2">
        <v>18</v>
      </c>
      <c r="JY9" s="2"/>
      <c r="JZ9" s="2">
        <f t="shared" si="2"/>
        <v>5</v>
      </c>
      <c r="KA9" s="2">
        <v>6</v>
      </c>
      <c r="KB9" s="49">
        <f>KA9-JZ9</f>
        <v>1</v>
      </c>
      <c r="KD9" s="2">
        <v>18</v>
      </c>
      <c r="KE9" s="2"/>
      <c r="KF9" s="2">
        <f t="shared" si="3"/>
        <v>0</v>
      </c>
      <c r="KG9" s="2"/>
      <c r="KH9" s="49">
        <f>KG9-KF9</f>
        <v>0</v>
      </c>
      <c r="KJ9" s="2">
        <v>18</v>
      </c>
      <c r="KK9" s="2"/>
      <c r="KL9" s="2">
        <f t="shared" si="4"/>
        <v>0</v>
      </c>
      <c r="KM9" s="2"/>
      <c r="KN9" s="49">
        <f>KM9-KL9</f>
        <v>0</v>
      </c>
      <c r="KP9" s="2">
        <v>16</v>
      </c>
      <c r="KQ9" s="2"/>
      <c r="KR9" s="2">
        <f t="shared" si="5"/>
        <v>2</v>
      </c>
      <c r="KS9" s="2">
        <v>2</v>
      </c>
      <c r="KT9" s="49">
        <f>KS9-KR9</f>
        <v>0</v>
      </c>
      <c r="KV9" s="2">
        <v>14</v>
      </c>
      <c r="KW9" s="2"/>
      <c r="KX9" s="2">
        <f t="shared" si="6"/>
        <v>2</v>
      </c>
      <c r="KY9" s="2">
        <v>2</v>
      </c>
      <c r="KZ9" s="49">
        <f>KY9-KX9</f>
        <v>0</v>
      </c>
      <c r="LB9" s="2">
        <v>14</v>
      </c>
      <c r="LC9" s="2"/>
      <c r="LD9" s="2">
        <f t="shared" si="7"/>
        <v>0</v>
      </c>
      <c r="LE9" s="2"/>
      <c r="LF9" s="49">
        <f>LE9-LD9</f>
        <v>0</v>
      </c>
      <c r="LH9" s="2">
        <v>8</v>
      </c>
      <c r="LI9" s="2"/>
      <c r="LJ9" s="2">
        <f t="shared" si="8"/>
        <v>6</v>
      </c>
      <c r="LK9" s="2">
        <v>6</v>
      </c>
      <c r="LL9" s="49">
        <f>LK9-LJ9</f>
        <v>0</v>
      </c>
      <c r="LN9" s="2">
        <v>6</v>
      </c>
      <c r="LO9" s="2"/>
      <c r="LP9" s="2">
        <f t="shared" si="9"/>
        <v>2</v>
      </c>
      <c r="LQ9" s="2">
        <v>2</v>
      </c>
      <c r="LR9" s="49">
        <f>LQ9-LP9</f>
        <v>0</v>
      </c>
      <c r="LT9" s="2">
        <v>6</v>
      </c>
      <c r="LU9" s="2"/>
      <c r="LV9" s="2">
        <f t="shared" si="10"/>
        <v>0</v>
      </c>
      <c r="LW9" s="2"/>
      <c r="LX9" s="49">
        <f>LW9-LV9</f>
        <v>0</v>
      </c>
      <c r="LZ9" s="2">
        <v>6</v>
      </c>
      <c r="MA9" s="2">
        <v>24</v>
      </c>
      <c r="MB9" s="2">
        <f t="shared" si="11"/>
        <v>0</v>
      </c>
      <c r="MC9" s="2"/>
      <c r="MD9" s="49">
        <f>MC9-MB9</f>
        <v>0</v>
      </c>
      <c r="MF9" s="2">
        <v>30</v>
      </c>
      <c r="MG9" s="2"/>
      <c r="MH9" s="2">
        <f t="shared" si="12"/>
        <v>0</v>
      </c>
      <c r="MI9" s="2"/>
      <c r="MJ9" s="49">
        <f>MI9-MH9</f>
        <v>0</v>
      </c>
      <c r="ML9" s="2">
        <v>30</v>
      </c>
      <c r="MM9" s="2"/>
      <c r="MN9" s="2">
        <f t="shared" si="13"/>
        <v>0</v>
      </c>
      <c r="MO9" s="2"/>
      <c r="MP9" s="49">
        <f>MO9-MN9</f>
        <v>0</v>
      </c>
      <c r="MR9" s="2">
        <v>30</v>
      </c>
      <c r="MS9" s="2"/>
      <c r="MT9" s="2">
        <f t="shared" si="14"/>
        <v>0</v>
      </c>
      <c r="MU9" s="2"/>
      <c r="MV9" s="49">
        <f>MU9-MT9</f>
        <v>0</v>
      </c>
      <c r="MX9" s="2">
        <v>29</v>
      </c>
      <c r="MY9" s="2"/>
      <c r="MZ9" s="2">
        <f t="shared" si="15"/>
        <v>1</v>
      </c>
      <c r="NA9" s="2">
        <v>1</v>
      </c>
      <c r="NB9" s="49">
        <f>NA9-MZ9</f>
        <v>0</v>
      </c>
      <c r="ND9" s="2">
        <v>29</v>
      </c>
      <c r="NE9" s="2"/>
      <c r="NF9" s="2">
        <f t="shared" si="16"/>
        <v>0</v>
      </c>
      <c r="NG9" s="2"/>
      <c r="NH9" s="49">
        <f>NG9-NF9</f>
        <v>0</v>
      </c>
      <c r="NJ9" s="2">
        <v>29</v>
      </c>
      <c r="NK9" s="2"/>
      <c r="NL9" s="2">
        <f t="shared" si="17"/>
        <v>0</v>
      </c>
      <c r="NM9" s="2"/>
      <c r="NN9" s="49">
        <f>NM9-NL9</f>
        <v>0</v>
      </c>
      <c r="NP9" s="2">
        <v>29</v>
      </c>
      <c r="NQ9" s="2"/>
      <c r="NR9" s="2">
        <f t="shared" si="18"/>
        <v>0</v>
      </c>
      <c r="NS9" s="2"/>
      <c r="NT9" s="49">
        <f>NS9-NR9</f>
        <v>0</v>
      </c>
      <c r="NV9" s="2">
        <v>29</v>
      </c>
      <c r="NW9" s="2"/>
      <c r="NX9" s="2">
        <f t="shared" si="19"/>
        <v>0</v>
      </c>
      <c r="NY9" s="2"/>
      <c r="NZ9" s="49">
        <f>NY9-NX9</f>
        <v>0</v>
      </c>
      <c r="OB9" s="2">
        <v>28</v>
      </c>
      <c r="OC9" s="2"/>
      <c r="OD9" s="2">
        <f t="shared" si="20"/>
        <v>1</v>
      </c>
      <c r="OE9" s="2"/>
      <c r="OF9" s="49">
        <f>OE9-OD9</f>
        <v>-1</v>
      </c>
      <c r="OH9" s="2">
        <v>28</v>
      </c>
      <c r="OI9" s="2"/>
      <c r="OJ9" s="2">
        <f t="shared" si="21"/>
        <v>0</v>
      </c>
      <c r="OK9" s="2"/>
      <c r="OL9" s="49">
        <f>OK9-OJ9</f>
        <v>0</v>
      </c>
      <c r="ON9" s="2">
        <v>28</v>
      </c>
      <c r="OO9" s="2"/>
      <c r="OP9" s="2">
        <f t="shared" si="22"/>
        <v>0</v>
      </c>
      <c r="OQ9" s="2"/>
      <c r="OR9" s="49">
        <f>OQ9-OP9</f>
        <v>0</v>
      </c>
      <c r="OT9" s="2">
        <v>28</v>
      </c>
      <c r="OU9" s="2"/>
      <c r="OV9" s="2">
        <f t="shared" si="23"/>
        <v>0</v>
      </c>
      <c r="OW9" s="2"/>
      <c r="OX9" s="49">
        <f>OW9-OV9</f>
        <v>0</v>
      </c>
      <c r="OZ9" s="2">
        <v>28</v>
      </c>
      <c r="PA9" s="2"/>
      <c r="PB9" s="2">
        <f t="shared" si="24"/>
        <v>0</v>
      </c>
      <c r="PC9" s="2"/>
      <c r="PD9" s="49">
        <f>PC9-PB9</f>
        <v>0</v>
      </c>
      <c r="PF9" s="2">
        <v>26</v>
      </c>
      <c r="PG9" s="2"/>
      <c r="PH9" s="2">
        <f t="shared" si="25"/>
        <v>2</v>
      </c>
      <c r="PI9" s="2">
        <v>2</v>
      </c>
      <c r="PJ9" s="49">
        <f>PI9-PH9</f>
        <v>0</v>
      </c>
      <c r="PL9" s="2">
        <v>25</v>
      </c>
      <c r="PM9" s="2"/>
      <c r="PN9" s="2">
        <f t="shared" si="26"/>
        <v>1</v>
      </c>
      <c r="PO9" s="2"/>
      <c r="PP9" s="49">
        <f>PO9-PN9</f>
        <v>-1</v>
      </c>
      <c r="PR9" s="2">
        <v>20</v>
      </c>
      <c r="PS9" s="2"/>
      <c r="PT9" s="2">
        <f t="shared" si="27"/>
        <v>5</v>
      </c>
      <c r="PU9" s="2">
        <v>5</v>
      </c>
      <c r="PV9" s="49">
        <f>PU9-PT9</f>
        <v>0</v>
      </c>
      <c r="PX9" s="2">
        <v>20</v>
      </c>
      <c r="PY9" s="2"/>
      <c r="PZ9" s="2">
        <f t="shared" si="28"/>
        <v>0</v>
      </c>
      <c r="QA9" s="2"/>
      <c r="QB9" s="49">
        <f>QA9-PZ9</f>
        <v>0</v>
      </c>
      <c r="QD9" s="2">
        <v>15</v>
      </c>
      <c r="QE9" s="2"/>
      <c r="QF9" s="2">
        <f t="shared" si="29"/>
        <v>5</v>
      </c>
      <c r="QG9" s="2">
        <v>5</v>
      </c>
      <c r="QH9" s="49">
        <f>QG9-QF9</f>
        <v>0</v>
      </c>
      <c r="QJ9" s="2">
        <v>14</v>
      </c>
      <c r="QK9" s="2"/>
      <c r="QL9" s="2">
        <f t="shared" si="30"/>
        <v>1</v>
      </c>
      <c r="QM9" s="2"/>
      <c r="QN9" s="49">
        <f>QM9-QL9</f>
        <v>-1</v>
      </c>
      <c r="QP9" s="2">
        <v>13</v>
      </c>
      <c r="QQ9" s="2"/>
      <c r="QR9" s="2">
        <f t="shared" si="31"/>
        <v>1</v>
      </c>
      <c r="QS9" s="2">
        <v>1</v>
      </c>
      <c r="QT9" s="49">
        <f>QS9-QR9</f>
        <v>0</v>
      </c>
      <c r="QV9" s="2">
        <v>13</v>
      </c>
      <c r="QW9" s="2"/>
      <c r="QX9" s="2">
        <f t="shared" si="32"/>
        <v>0</v>
      </c>
      <c r="QY9" s="2"/>
      <c r="QZ9" s="49">
        <f>QY9-QX9</f>
        <v>0</v>
      </c>
      <c r="RB9" s="2">
        <v>13</v>
      </c>
      <c r="RC9" s="2"/>
      <c r="RD9" s="2">
        <f t="shared" si="33"/>
        <v>0</v>
      </c>
      <c r="RE9" s="2"/>
      <c r="RF9" s="49">
        <f>RE9-RD9</f>
        <v>0</v>
      </c>
      <c r="RH9" s="2">
        <v>11</v>
      </c>
      <c r="RI9" s="2"/>
      <c r="RJ9" s="2">
        <f t="shared" si="34"/>
        <v>2</v>
      </c>
      <c r="RK9" s="2"/>
      <c r="RL9" s="49">
        <f>RK9-RJ9</f>
        <v>-2</v>
      </c>
      <c r="RN9" s="2">
        <v>11</v>
      </c>
      <c r="RO9" s="2"/>
      <c r="RP9" s="2">
        <f t="shared" si="35"/>
        <v>0</v>
      </c>
      <c r="RQ9" s="5">
        <v>1</v>
      </c>
      <c r="RR9" s="49">
        <f>RQ9-RP9</f>
        <v>1</v>
      </c>
      <c r="RT9" s="2">
        <v>10</v>
      </c>
      <c r="RU9" s="2"/>
      <c r="RV9" s="2">
        <f t="shared" si="36"/>
        <v>1</v>
      </c>
      <c r="RW9" s="5">
        <v>0</v>
      </c>
      <c r="RX9" s="49">
        <f>RW9-RV9</f>
        <v>-1</v>
      </c>
      <c r="RZ9" s="2">
        <v>7</v>
      </c>
      <c r="SA9" s="2"/>
      <c r="SB9" s="2">
        <f t="shared" si="37"/>
        <v>3</v>
      </c>
      <c r="SC9" s="5">
        <v>3</v>
      </c>
      <c r="SD9" s="49">
        <f>SC9-SB9</f>
        <v>0</v>
      </c>
      <c r="SF9" s="2">
        <v>7</v>
      </c>
      <c r="SG9" s="2"/>
      <c r="SH9" s="2">
        <f t="shared" si="38"/>
        <v>0</v>
      </c>
      <c r="SI9" s="5">
        <v>0</v>
      </c>
      <c r="SJ9" s="49">
        <f>SI9-SH9</f>
        <v>0</v>
      </c>
      <c r="SL9" s="2">
        <v>7</v>
      </c>
      <c r="SM9" s="2"/>
      <c r="SN9" s="2">
        <f t="shared" si="39"/>
        <v>0</v>
      </c>
      <c r="SO9" s="5">
        <v>0</v>
      </c>
      <c r="SP9" s="49">
        <f>SO9-SN9</f>
        <v>0</v>
      </c>
      <c r="SR9" s="2">
        <v>23</v>
      </c>
      <c r="SS9" s="2"/>
      <c r="ST9" s="2">
        <f t="shared" si="40"/>
        <v>-16</v>
      </c>
      <c r="SU9" s="5">
        <v>2</v>
      </c>
      <c r="SV9" s="49">
        <f>SU9-ST9</f>
        <v>18</v>
      </c>
      <c r="SX9" s="2">
        <v>23</v>
      </c>
      <c r="SY9" s="2"/>
      <c r="SZ9" s="2">
        <f t="shared" si="41"/>
        <v>0</v>
      </c>
      <c r="TA9" s="5">
        <v>0</v>
      </c>
      <c r="TB9" s="49">
        <f>TA9-SZ9</f>
        <v>0</v>
      </c>
      <c r="TD9" s="2">
        <v>22</v>
      </c>
      <c r="TE9" s="2"/>
      <c r="TF9" s="2">
        <f t="shared" si="42"/>
        <v>1</v>
      </c>
      <c r="TG9" s="5">
        <v>0</v>
      </c>
      <c r="TH9" s="49">
        <f>TG9-TF9</f>
        <v>-1</v>
      </c>
      <c r="TJ9" s="2">
        <v>22</v>
      </c>
      <c r="TK9" s="2"/>
      <c r="TL9" s="2">
        <f t="shared" si="43"/>
        <v>0</v>
      </c>
      <c r="TM9" s="5">
        <v>0</v>
      </c>
      <c r="TN9" s="49">
        <f>TM9-TL9</f>
        <v>0</v>
      </c>
      <c r="TP9" s="2">
        <v>22</v>
      </c>
      <c r="TQ9" s="2"/>
      <c r="TR9" s="2">
        <f t="shared" si="44"/>
        <v>0</v>
      </c>
      <c r="TS9" s="5"/>
      <c r="TT9" s="49">
        <f>TS9-TR9</f>
        <v>0</v>
      </c>
      <c r="TV9" s="2">
        <v>20</v>
      </c>
      <c r="TW9" s="2"/>
      <c r="TX9" s="2">
        <f t="shared" si="45"/>
        <v>2</v>
      </c>
      <c r="TY9" s="5">
        <v>2</v>
      </c>
      <c r="TZ9" s="49">
        <f>TY9-TX9</f>
        <v>0</v>
      </c>
      <c r="UB9" s="2">
        <v>92</v>
      </c>
      <c r="UC9" s="2"/>
      <c r="UD9" s="2">
        <f t="shared" si="46"/>
        <v>-72</v>
      </c>
      <c r="UE9" s="5"/>
      <c r="UF9" s="49">
        <f>UE9-UD9</f>
        <v>72</v>
      </c>
      <c r="UH9" s="2">
        <v>20</v>
      </c>
      <c r="UI9" s="2"/>
      <c r="UJ9" s="2">
        <f t="shared" si="47"/>
        <v>72</v>
      </c>
      <c r="UK9" s="5">
        <v>0</v>
      </c>
      <c r="UL9" s="49">
        <f>UK9-UJ9</f>
        <v>-72</v>
      </c>
      <c r="UN9" s="2">
        <v>19</v>
      </c>
      <c r="UO9" s="2"/>
      <c r="UP9" s="2">
        <f t="shared" si="48"/>
        <v>1</v>
      </c>
      <c r="UQ9" s="5">
        <v>1</v>
      </c>
      <c r="UR9" s="49">
        <f>UQ9-UP9</f>
        <v>0</v>
      </c>
      <c r="UT9" s="2">
        <v>19</v>
      </c>
      <c r="UU9" s="2"/>
      <c r="UV9" s="2">
        <f t="shared" si="49"/>
        <v>0</v>
      </c>
      <c r="UW9" s="5">
        <v>0</v>
      </c>
      <c r="UX9" s="49">
        <f>UW9-UV9</f>
        <v>0</v>
      </c>
      <c r="UZ9" s="2">
        <v>18</v>
      </c>
      <c r="VA9" s="2"/>
      <c r="VB9" s="2">
        <f t="shared" si="50"/>
        <v>1</v>
      </c>
      <c r="VC9" s="5">
        <v>1</v>
      </c>
      <c r="VD9" s="49">
        <f>VC9-VB9</f>
        <v>0</v>
      </c>
      <c r="VF9" s="2">
        <v>18</v>
      </c>
      <c r="VG9" s="2"/>
      <c r="VH9" s="2">
        <f t="shared" si="51"/>
        <v>0</v>
      </c>
      <c r="VI9" s="5">
        <v>0</v>
      </c>
      <c r="VJ9" s="49">
        <f>VI9-VH9</f>
        <v>0</v>
      </c>
      <c r="VL9" s="2">
        <v>16</v>
      </c>
      <c r="VM9" s="2"/>
      <c r="VN9" s="2">
        <f t="shared" si="52"/>
        <v>2</v>
      </c>
      <c r="VO9" s="5"/>
      <c r="VP9" s="49">
        <f>VO9-VN9</f>
        <v>-2</v>
      </c>
      <c r="VR9" s="2">
        <v>13</v>
      </c>
      <c r="VS9" s="2"/>
      <c r="VT9" s="2">
        <f t="shared" si="53"/>
        <v>3</v>
      </c>
      <c r="VU9" s="5"/>
      <c r="VV9" s="49">
        <f>VU9-VT9</f>
        <v>-3</v>
      </c>
      <c r="VX9" s="2">
        <v>10</v>
      </c>
      <c r="VY9" s="2"/>
      <c r="VZ9" s="2">
        <f t="shared" si="54"/>
        <v>3</v>
      </c>
      <c r="WA9" s="5"/>
      <c r="WB9" s="49">
        <f>WA9-VZ9</f>
        <v>-3</v>
      </c>
      <c r="WD9" s="2">
        <v>10</v>
      </c>
      <c r="WE9" s="2"/>
      <c r="WF9" s="2">
        <f t="shared" si="55"/>
        <v>0</v>
      </c>
      <c r="WG9" s="5"/>
      <c r="WH9" s="49">
        <f>WG9-WF9</f>
        <v>0</v>
      </c>
      <c r="WJ9" s="2">
        <v>9</v>
      </c>
      <c r="WK9" s="2">
        <v>24</v>
      </c>
      <c r="WL9" s="2">
        <f t="shared" si="56"/>
        <v>1</v>
      </c>
      <c r="WM9" s="5">
        <v>1</v>
      </c>
      <c r="WN9" s="49">
        <f>WM9-WL9</f>
        <v>0</v>
      </c>
      <c r="WP9" s="2">
        <v>33</v>
      </c>
      <c r="WQ9" s="2"/>
      <c r="WR9" s="2">
        <f t="shared" si="57"/>
        <v>0</v>
      </c>
      <c r="WS9" s="5"/>
      <c r="WT9" s="49">
        <f>WS9-WR9</f>
        <v>0</v>
      </c>
      <c r="WV9" s="2">
        <v>33</v>
      </c>
      <c r="WW9" s="2"/>
      <c r="WX9" s="2">
        <f t="shared" si="58"/>
        <v>0</v>
      </c>
      <c r="WY9" s="5">
        <v>0</v>
      </c>
      <c r="WZ9" s="49">
        <f>WY9-WX9</f>
        <v>0</v>
      </c>
      <c r="XB9" s="2">
        <v>33</v>
      </c>
      <c r="XC9" s="2"/>
      <c r="XD9" s="2">
        <f t="shared" si="59"/>
        <v>0</v>
      </c>
      <c r="XE9" s="5">
        <v>0</v>
      </c>
      <c r="XF9" s="49">
        <f>XE9-XD9</f>
        <v>0</v>
      </c>
      <c r="XH9" s="2">
        <v>28</v>
      </c>
      <c r="XI9" s="2"/>
      <c r="XJ9" s="2">
        <f t="shared" si="60"/>
        <v>5</v>
      </c>
      <c r="XK9" s="5">
        <v>5</v>
      </c>
      <c r="XL9" s="49">
        <f>XK9-XJ9</f>
        <v>0</v>
      </c>
      <c r="XN9" s="2">
        <v>27</v>
      </c>
      <c r="XO9" s="2"/>
      <c r="XP9" s="2">
        <f t="shared" si="61"/>
        <v>1</v>
      </c>
      <c r="XQ9" s="5">
        <v>1</v>
      </c>
      <c r="XR9" s="49">
        <f>XQ9-XP9</f>
        <v>0</v>
      </c>
      <c r="XT9" s="2">
        <v>26</v>
      </c>
      <c r="XU9" s="2"/>
      <c r="XV9" s="2">
        <f t="shared" si="62"/>
        <v>1</v>
      </c>
      <c r="XW9" s="5">
        <v>1</v>
      </c>
      <c r="XX9" s="49">
        <f>XW9-XV9</f>
        <v>0</v>
      </c>
      <c r="XZ9" s="2">
        <v>26</v>
      </c>
      <c r="YA9" s="2"/>
      <c r="YB9" s="2">
        <f t="shared" si="63"/>
        <v>0</v>
      </c>
      <c r="YC9" s="5">
        <v>0</v>
      </c>
      <c r="YD9" s="49">
        <f>YC9-YB9</f>
        <v>0</v>
      </c>
      <c r="YF9" s="2">
        <v>24</v>
      </c>
      <c r="YG9" s="2"/>
      <c r="YH9" s="2">
        <f t="shared" si="64"/>
        <v>2</v>
      </c>
      <c r="YI9" s="5"/>
      <c r="YJ9" s="49">
        <f>YI9-YH9</f>
        <v>-2</v>
      </c>
      <c r="YL9" s="2">
        <v>24</v>
      </c>
      <c r="YM9" s="2"/>
      <c r="YN9" s="2">
        <f t="shared" si="65"/>
        <v>0</v>
      </c>
      <c r="YO9" s="5"/>
      <c r="YP9" s="49">
        <f>YO9-YN9</f>
        <v>0</v>
      </c>
      <c r="YR9" s="2">
        <v>20</v>
      </c>
      <c r="YS9" s="2"/>
      <c r="YT9" s="2">
        <f t="shared" si="66"/>
        <v>4</v>
      </c>
      <c r="YU9" s="5"/>
      <c r="YV9" s="49">
        <f>YU9-YT9</f>
        <v>-4</v>
      </c>
      <c r="YX9" s="2">
        <v>16</v>
      </c>
      <c r="YY9" s="2"/>
      <c r="YZ9" s="2">
        <f t="shared" si="67"/>
        <v>4</v>
      </c>
      <c r="ZA9" s="5">
        <v>4</v>
      </c>
      <c r="ZB9" s="49">
        <f>ZA9-YZ9</f>
        <v>0</v>
      </c>
      <c r="ZD9" s="2">
        <v>16</v>
      </c>
      <c r="ZE9" s="2"/>
      <c r="ZF9" s="2">
        <f t="shared" si="68"/>
        <v>0</v>
      </c>
      <c r="ZG9" s="5">
        <v>0</v>
      </c>
      <c r="ZH9" s="49">
        <f>ZG9-ZF9</f>
        <v>0</v>
      </c>
      <c r="ZJ9" s="2">
        <v>16</v>
      </c>
      <c r="ZK9" s="2"/>
      <c r="ZL9" s="2">
        <f t="shared" si="69"/>
        <v>0</v>
      </c>
      <c r="ZM9" s="5"/>
      <c r="ZN9" s="49">
        <f>ZM9-ZL9</f>
        <v>0</v>
      </c>
      <c r="ZP9" s="2">
        <v>15</v>
      </c>
      <c r="ZQ9" s="2"/>
      <c r="ZR9" s="2">
        <f t="shared" si="70"/>
        <v>1</v>
      </c>
      <c r="ZS9" s="5">
        <v>1</v>
      </c>
      <c r="ZT9" s="49">
        <f>ZS9-ZR9</f>
        <v>0</v>
      </c>
      <c r="ZV9" s="2">
        <v>15</v>
      </c>
      <c r="ZW9" s="2"/>
      <c r="ZX9" s="2">
        <f t="shared" si="71"/>
        <v>0</v>
      </c>
      <c r="ZY9" s="5">
        <v>0</v>
      </c>
      <c r="ZZ9" s="49">
        <f>ZY9-ZX9</f>
        <v>0</v>
      </c>
      <c r="AAB9" s="2">
        <v>14</v>
      </c>
      <c r="AAC9" s="2"/>
      <c r="AAD9" s="2">
        <f t="shared" si="72"/>
        <v>1</v>
      </c>
      <c r="AAE9" s="5"/>
      <c r="AAF9" s="49">
        <f>AAE9-AAD9</f>
        <v>-1</v>
      </c>
      <c r="AAH9" s="2">
        <v>14</v>
      </c>
      <c r="AAI9" s="2"/>
      <c r="AAJ9" s="2">
        <f t="shared" si="73"/>
        <v>0</v>
      </c>
      <c r="AAK9" s="5">
        <v>0</v>
      </c>
      <c r="AAL9" s="49">
        <f>AAK9-AAJ9</f>
        <v>0</v>
      </c>
      <c r="AAN9" s="2">
        <v>12</v>
      </c>
      <c r="AAO9" s="2"/>
      <c r="AAP9" s="2">
        <f t="shared" si="74"/>
        <v>2</v>
      </c>
      <c r="AAQ9" s="5">
        <v>2</v>
      </c>
      <c r="AAR9" s="49">
        <f>AAQ9-AAP9</f>
        <v>0</v>
      </c>
      <c r="AAT9" s="2">
        <v>11</v>
      </c>
      <c r="AAU9" s="2"/>
      <c r="AAV9" s="2">
        <f t="shared" si="75"/>
        <v>1</v>
      </c>
      <c r="AAW9" s="5">
        <v>1</v>
      </c>
      <c r="AAX9" s="49">
        <f>AAW9-AAV9</f>
        <v>0</v>
      </c>
      <c r="AAZ9" s="2">
        <v>10</v>
      </c>
      <c r="ABA9" s="2"/>
      <c r="ABB9" s="2">
        <f t="shared" si="76"/>
        <v>1</v>
      </c>
      <c r="ABC9" s="5">
        <v>0</v>
      </c>
      <c r="ABD9" s="49">
        <f>ABC9-ABB9</f>
        <v>-1</v>
      </c>
      <c r="ABF9" s="2">
        <v>9</v>
      </c>
      <c r="ABG9" s="2"/>
      <c r="ABH9" s="2">
        <f t="shared" si="77"/>
        <v>1</v>
      </c>
      <c r="ABI9" s="5">
        <v>1</v>
      </c>
      <c r="ABJ9" s="49">
        <f>ABI9-ABH9</f>
        <v>0</v>
      </c>
      <c r="ABL9" s="2">
        <v>6</v>
      </c>
      <c r="ABM9" s="2"/>
      <c r="ABN9" s="2">
        <f t="shared" si="78"/>
        <v>3</v>
      </c>
      <c r="ABO9" s="5">
        <v>3</v>
      </c>
      <c r="ABP9" s="49">
        <f>ABO9-ABN9</f>
        <v>0</v>
      </c>
      <c r="ABR9" s="2">
        <v>6</v>
      </c>
      <c r="ABS9" s="2"/>
      <c r="ABT9" s="2">
        <f t="shared" si="79"/>
        <v>0</v>
      </c>
      <c r="ABU9" s="5">
        <v>0</v>
      </c>
      <c r="ABV9" s="49">
        <f>ABU9-ABT9</f>
        <v>0</v>
      </c>
      <c r="ABX9" s="2">
        <v>6</v>
      </c>
      <c r="ABY9" s="2"/>
      <c r="ABZ9" s="2">
        <f t="shared" si="80"/>
        <v>0</v>
      </c>
      <c r="ACA9" s="5">
        <v>0</v>
      </c>
      <c r="ACB9" s="49">
        <f>ACA9-ABZ9</f>
        <v>0</v>
      </c>
      <c r="ACD9" s="2">
        <v>6</v>
      </c>
      <c r="ACE9" s="2">
        <v>24</v>
      </c>
      <c r="ACF9" s="2">
        <f t="shared" si="81"/>
        <v>0</v>
      </c>
      <c r="ACG9" s="5">
        <v>0</v>
      </c>
      <c r="ACH9" s="49">
        <f>ACG9-ACF9</f>
        <v>0</v>
      </c>
      <c r="ACJ9" s="2">
        <v>28</v>
      </c>
      <c r="ACK9" s="2"/>
      <c r="ACL9" s="2">
        <f t="shared" si="82"/>
        <v>2</v>
      </c>
      <c r="ACM9" s="5">
        <v>0</v>
      </c>
      <c r="ACN9" s="49">
        <f>ACM9-ACL9</f>
        <v>-2</v>
      </c>
      <c r="ACP9" s="2">
        <v>27</v>
      </c>
      <c r="ACQ9" s="2"/>
      <c r="ACR9" s="2">
        <f t="shared" si="83"/>
        <v>1</v>
      </c>
      <c r="ACS9" s="5">
        <v>0</v>
      </c>
      <c r="ACT9" s="49">
        <f>ACS9-ACR9</f>
        <v>-1</v>
      </c>
      <c r="ACV9" s="2">
        <v>28</v>
      </c>
      <c r="ACW9" s="2"/>
      <c r="ACX9" s="2">
        <f t="shared" si="84"/>
        <v>-1</v>
      </c>
      <c r="ACY9" s="5">
        <v>0</v>
      </c>
      <c r="ACZ9" s="49">
        <f>ACY9-ACX9</f>
        <v>1</v>
      </c>
      <c r="ADB9" s="2">
        <v>12</v>
      </c>
      <c r="ADC9" s="2"/>
      <c r="ADD9" s="2">
        <f t="shared" si="85"/>
        <v>16</v>
      </c>
      <c r="ADE9" s="5">
        <v>5</v>
      </c>
      <c r="ADF9" s="49">
        <f>ADE9-ADD9</f>
        <v>-11</v>
      </c>
      <c r="ADH9" s="2">
        <v>20</v>
      </c>
      <c r="ADI9" s="2"/>
      <c r="ADJ9" s="2">
        <f t="shared" si="86"/>
        <v>-8</v>
      </c>
      <c r="ADK9" s="5">
        <v>3</v>
      </c>
      <c r="ADL9" s="49">
        <f>ADK9-ADJ9</f>
        <v>11</v>
      </c>
      <c r="ADN9" s="2">
        <v>18</v>
      </c>
      <c r="ADO9" s="2"/>
      <c r="ADP9" s="2">
        <f t="shared" si="87"/>
        <v>2</v>
      </c>
      <c r="ADQ9" s="5"/>
      <c r="ADR9" s="49">
        <f>ADQ9-ADP9</f>
        <v>-2</v>
      </c>
      <c r="ADT9" s="2">
        <v>18</v>
      </c>
      <c r="ADU9" s="2"/>
      <c r="ADV9" s="2">
        <f t="shared" si="88"/>
        <v>0</v>
      </c>
      <c r="ADW9" s="5">
        <v>0</v>
      </c>
      <c r="ADX9" s="49">
        <f>ADW9-ADV9</f>
        <v>0</v>
      </c>
      <c r="ADZ9" s="2">
        <v>17</v>
      </c>
      <c r="AEA9" s="2"/>
      <c r="AEB9" s="2">
        <f t="shared" si="89"/>
        <v>1</v>
      </c>
      <c r="AEC9" s="5">
        <v>0</v>
      </c>
      <c r="AED9" s="49">
        <f>AEC9-AEB9</f>
        <v>-1</v>
      </c>
      <c r="AEF9" s="2">
        <v>14</v>
      </c>
      <c r="AEG9" s="2"/>
      <c r="AEH9" s="2">
        <f t="shared" si="90"/>
        <v>3</v>
      </c>
      <c r="AEI9" s="5">
        <v>3</v>
      </c>
      <c r="AEJ9" s="49">
        <f>AEI9-AEH9</f>
        <v>0</v>
      </c>
      <c r="AEL9" s="2">
        <v>14</v>
      </c>
      <c r="AEM9" s="2"/>
      <c r="AEN9" s="2">
        <f t="shared" si="91"/>
        <v>0</v>
      </c>
      <c r="AEO9" s="5">
        <v>0</v>
      </c>
      <c r="AEP9" s="49">
        <f>AEO9-AEN9</f>
        <v>0</v>
      </c>
      <c r="AER9" s="2">
        <v>37</v>
      </c>
      <c r="AES9" s="2"/>
      <c r="AET9" s="2">
        <f t="shared" si="92"/>
        <v>-23</v>
      </c>
      <c r="AEU9" s="5"/>
      <c r="AEV9" s="49">
        <f>AEU9-AET9</f>
        <v>23</v>
      </c>
      <c r="AEX9" s="2">
        <v>37</v>
      </c>
      <c r="AEY9" s="2"/>
      <c r="AEZ9" s="2">
        <f t="shared" si="93"/>
        <v>0</v>
      </c>
      <c r="AFA9" s="5">
        <v>0</v>
      </c>
      <c r="AFB9" s="49">
        <f>AFA9-AEZ9</f>
        <v>0</v>
      </c>
      <c r="AFD9" s="2">
        <v>37</v>
      </c>
      <c r="AFE9" s="2"/>
      <c r="AFF9" s="2">
        <f t="shared" si="94"/>
        <v>0</v>
      </c>
      <c r="AFG9" s="5">
        <v>0</v>
      </c>
      <c r="AFH9" s="49">
        <f>AFG9-AFF9</f>
        <v>0</v>
      </c>
      <c r="AFJ9" s="2">
        <v>33</v>
      </c>
      <c r="AFK9" s="2"/>
      <c r="AFL9" s="2">
        <f t="shared" si="95"/>
        <v>4</v>
      </c>
      <c r="AFM9" s="5">
        <v>4</v>
      </c>
      <c r="AFN9" s="49">
        <f>AFM9-AFL9</f>
        <v>0</v>
      </c>
      <c r="AFP9" s="2">
        <v>33</v>
      </c>
      <c r="AFQ9" s="2"/>
      <c r="AFR9" s="2">
        <f t="shared" si="96"/>
        <v>0</v>
      </c>
      <c r="AFS9" s="5">
        <v>0</v>
      </c>
      <c r="AFT9" s="49">
        <f>AFS9-AFR9</f>
        <v>0</v>
      </c>
      <c r="AFV9" s="2">
        <v>30</v>
      </c>
      <c r="AFW9" s="2"/>
      <c r="AFX9" s="2">
        <f t="shared" si="97"/>
        <v>3</v>
      </c>
      <c r="AFY9" s="5"/>
      <c r="AFZ9" s="49">
        <f>AFY9-AFX9</f>
        <v>-3</v>
      </c>
      <c r="AGB9" s="2">
        <v>29</v>
      </c>
      <c r="AGC9" s="2"/>
      <c r="AGD9" s="2">
        <f t="shared" si="98"/>
        <v>1</v>
      </c>
      <c r="AGE9" s="5">
        <v>1</v>
      </c>
      <c r="AGF9" s="49">
        <f>AGE9-AGD9</f>
        <v>0</v>
      </c>
      <c r="AGH9" s="2">
        <v>29</v>
      </c>
      <c r="AGI9" s="2"/>
      <c r="AGJ9" s="2">
        <f t="shared" si="99"/>
        <v>0</v>
      </c>
      <c r="AGK9" s="5"/>
      <c r="AGL9" s="49">
        <f>AGK9-AGJ9</f>
        <v>0</v>
      </c>
      <c r="AGN9" s="2">
        <v>29</v>
      </c>
      <c r="AGO9" s="2"/>
      <c r="AGP9" s="2">
        <f t="shared" si="100"/>
        <v>0</v>
      </c>
      <c r="AGQ9" s="5"/>
      <c r="AGR9" s="49">
        <f>AGQ9-AGP9</f>
        <v>0</v>
      </c>
      <c r="AGT9" s="2">
        <v>39</v>
      </c>
      <c r="AGU9" s="2"/>
      <c r="AGV9" s="2">
        <f t="shared" si="101"/>
        <v>-10</v>
      </c>
      <c r="AGW9" s="5"/>
      <c r="AGX9" s="49">
        <f>AGW9-AGV9</f>
        <v>10</v>
      </c>
      <c r="AGZ9" s="2">
        <v>5</v>
      </c>
      <c r="AHA9" s="2"/>
      <c r="AHB9" s="2">
        <f t="shared" si="102"/>
        <v>34</v>
      </c>
      <c r="AHC9" s="5"/>
      <c r="AHD9" s="49">
        <f>AHC9-AHB9</f>
        <v>-34</v>
      </c>
      <c r="AHF9" s="2">
        <v>0</v>
      </c>
      <c r="AHG9" s="2"/>
      <c r="AHH9" s="2">
        <f t="shared" si="103"/>
        <v>5</v>
      </c>
      <c r="AHI9" s="5"/>
      <c r="AHJ9" s="49">
        <f>AHI9-AHH9</f>
        <v>-5</v>
      </c>
      <c r="AHL9" s="2">
        <v>4</v>
      </c>
      <c r="AHM9" s="2">
        <v>24</v>
      </c>
      <c r="AHN9" s="2">
        <f t="shared" si="104"/>
        <v>-4</v>
      </c>
      <c r="AHO9" s="5"/>
      <c r="AHP9" s="49">
        <f>AHO9-AHN9</f>
        <v>4</v>
      </c>
      <c r="AHR9" s="2">
        <v>28</v>
      </c>
      <c r="AHS9" s="2"/>
      <c r="AHT9" s="2">
        <f t="shared" si="105"/>
        <v>0</v>
      </c>
      <c r="AHU9" s="5"/>
      <c r="AHV9" s="49">
        <f>AHU9-AHT9</f>
        <v>0</v>
      </c>
      <c r="AHX9" s="2">
        <v>28</v>
      </c>
      <c r="AHY9" s="2"/>
      <c r="AHZ9" s="2">
        <f t="shared" si="106"/>
        <v>0</v>
      </c>
      <c r="AIA9" s="5"/>
      <c r="AIB9" s="49">
        <f>AIA9-AHZ9</f>
        <v>0</v>
      </c>
      <c r="AID9" s="2">
        <v>28</v>
      </c>
      <c r="AIE9" s="2"/>
      <c r="AIF9" s="2">
        <f t="shared" si="107"/>
        <v>0</v>
      </c>
      <c r="AIG9" s="5"/>
      <c r="AIH9" s="49">
        <f>AIG9-AIF9</f>
        <v>0</v>
      </c>
      <c r="AIJ9" s="2">
        <v>28</v>
      </c>
      <c r="AIK9" s="2"/>
      <c r="AIL9" s="2">
        <f t="shared" si="108"/>
        <v>0</v>
      </c>
      <c r="AIM9" s="5"/>
      <c r="AIN9" s="49">
        <f>AIM9-AIL9</f>
        <v>0</v>
      </c>
      <c r="AIP9" s="2">
        <v>27</v>
      </c>
      <c r="AIQ9" s="2"/>
      <c r="AIR9" s="2">
        <f t="shared" si="109"/>
        <v>1</v>
      </c>
      <c r="AIS9" s="5"/>
      <c r="AIT9" s="49">
        <f>AIS9-AIR9</f>
        <v>-1</v>
      </c>
      <c r="AIV9" s="2">
        <v>27</v>
      </c>
      <c r="AIW9" s="2"/>
      <c r="AIX9" s="2">
        <f t="shared" si="110"/>
        <v>0</v>
      </c>
      <c r="AIY9" s="5"/>
      <c r="AIZ9" s="49">
        <f>AIY9-AIX9</f>
        <v>0</v>
      </c>
      <c r="AJB9" s="2">
        <v>12</v>
      </c>
      <c r="AJC9" s="2"/>
      <c r="AJD9" s="2">
        <f t="shared" si="111"/>
        <v>15</v>
      </c>
      <c r="AJE9" s="5"/>
      <c r="AJF9" s="49">
        <f>AJE9-AJD9</f>
        <v>-15</v>
      </c>
      <c r="AJH9" s="2">
        <v>25</v>
      </c>
      <c r="AJI9" s="2"/>
      <c r="AJJ9" s="2">
        <f t="shared" si="112"/>
        <v>-13</v>
      </c>
      <c r="AJK9" s="5"/>
      <c r="AJL9" s="49">
        <f>AJK9-AJJ9</f>
        <v>13</v>
      </c>
      <c r="AJN9" s="2">
        <v>25</v>
      </c>
      <c r="AJO9" s="2"/>
      <c r="AJP9" s="2">
        <f t="shared" si="113"/>
        <v>0</v>
      </c>
      <c r="AJQ9" s="5"/>
      <c r="AJR9" s="49">
        <f>AJQ9-AJP9</f>
        <v>0</v>
      </c>
      <c r="AJT9" s="2">
        <v>22</v>
      </c>
      <c r="AJU9" s="2"/>
      <c r="AJV9" s="2">
        <f t="shared" si="114"/>
        <v>3</v>
      </c>
      <c r="AJW9" s="5"/>
      <c r="AJX9" s="49">
        <f>AJW9-AJV9</f>
        <v>-3</v>
      </c>
      <c r="AJZ9" s="2">
        <v>22</v>
      </c>
      <c r="AKA9" s="2"/>
      <c r="AKB9" s="2">
        <f t="shared" si="115"/>
        <v>0</v>
      </c>
      <c r="AKC9" s="5"/>
      <c r="AKD9" s="49">
        <f>AKC9-AKB9</f>
        <v>0</v>
      </c>
      <c r="AKF9" s="2">
        <v>19</v>
      </c>
      <c r="AKG9" s="2"/>
      <c r="AKH9" s="2">
        <f t="shared" si="116"/>
        <v>3</v>
      </c>
      <c r="AKI9" s="5"/>
      <c r="AKJ9" s="49">
        <f>AKI9-AKH9</f>
        <v>-3</v>
      </c>
      <c r="AKL9" s="2">
        <v>16</v>
      </c>
      <c r="AKM9" s="2"/>
      <c r="AKN9" s="2">
        <f t="shared" si="117"/>
        <v>3</v>
      </c>
      <c r="AKO9" s="5"/>
      <c r="AKP9" s="49">
        <f>AKO9-AKN9</f>
        <v>-3</v>
      </c>
      <c r="AKR9" s="2">
        <v>26</v>
      </c>
      <c r="AKS9" s="2"/>
      <c r="AKT9" s="2">
        <f t="shared" si="118"/>
        <v>-10</v>
      </c>
      <c r="AKU9" s="5"/>
      <c r="AKV9" s="49">
        <f>AKU9-AKT9</f>
        <v>10</v>
      </c>
      <c r="AKX9" s="2">
        <v>16</v>
      </c>
      <c r="AKY9" s="2"/>
      <c r="AKZ9" s="2">
        <f t="shared" si="119"/>
        <v>10</v>
      </c>
      <c r="ALA9" s="5"/>
      <c r="ALB9" s="49">
        <f>ALA9-AKZ9</f>
        <v>-10</v>
      </c>
      <c r="ALD9" s="2">
        <v>16</v>
      </c>
      <c r="ALE9" s="2"/>
      <c r="ALF9" s="2">
        <f t="shared" si="120"/>
        <v>0</v>
      </c>
      <c r="ALG9" s="5"/>
      <c r="ALH9" s="49">
        <f>ALG9-ALF9</f>
        <v>0</v>
      </c>
      <c r="ALJ9" s="2">
        <v>16</v>
      </c>
      <c r="ALK9" s="2"/>
      <c r="ALL9" s="2">
        <f t="shared" si="121"/>
        <v>0</v>
      </c>
      <c r="ALM9" s="5"/>
      <c r="ALN9" s="49">
        <f>ALM9-ALL9</f>
        <v>0</v>
      </c>
      <c r="ALP9" s="2">
        <v>16</v>
      </c>
      <c r="ALQ9" s="2"/>
      <c r="ALR9" s="2">
        <f t="shared" si="122"/>
        <v>0</v>
      </c>
      <c r="ALS9" s="5"/>
      <c r="ALT9" s="49">
        <f>ALS9-ALR9</f>
        <v>0</v>
      </c>
      <c r="ALV9" s="2">
        <v>16</v>
      </c>
      <c r="ALW9" s="2"/>
      <c r="ALX9" s="2">
        <f t="shared" si="123"/>
        <v>0</v>
      </c>
      <c r="ALY9" s="5"/>
      <c r="ALZ9" s="49">
        <f>ALY9-ALX9</f>
        <v>0</v>
      </c>
      <c r="AMB9" s="2">
        <v>40</v>
      </c>
      <c r="AMC9" s="2"/>
      <c r="AMD9" s="2">
        <f t="shared" si="124"/>
        <v>-24</v>
      </c>
      <c r="AME9" s="5"/>
      <c r="AMF9" s="49">
        <f>AME9-AMD9</f>
        <v>24</v>
      </c>
      <c r="AMH9" s="2">
        <v>16</v>
      </c>
      <c r="AMI9" s="2"/>
      <c r="AMJ9" s="2">
        <f t="shared" si="125"/>
        <v>24</v>
      </c>
      <c r="AMK9" s="5"/>
      <c r="AML9" s="49">
        <f>AMK9-AMJ9</f>
        <v>-24</v>
      </c>
      <c r="AMN9" s="2">
        <v>16</v>
      </c>
      <c r="AMO9" s="2"/>
      <c r="AMP9" s="2">
        <f t="shared" si="126"/>
        <v>0</v>
      </c>
      <c r="AMQ9" s="5"/>
      <c r="AMR9" s="49">
        <f>AMQ9-AMP9</f>
        <v>0</v>
      </c>
      <c r="AMT9" s="2">
        <v>15</v>
      </c>
      <c r="AMU9" s="2"/>
      <c r="AMV9" s="2">
        <f t="shared" si="127"/>
        <v>1</v>
      </c>
      <c r="AMW9" s="5"/>
      <c r="AMX9" s="49">
        <f>AMW9-AMV9</f>
        <v>-1</v>
      </c>
      <c r="AMZ9" s="2">
        <v>15</v>
      </c>
      <c r="ANA9" s="2"/>
      <c r="ANB9" s="2">
        <f t="shared" si="128"/>
        <v>0</v>
      </c>
      <c r="ANC9" s="5"/>
      <c r="AND9" s="49">
        <f>ANC9-ANB9</f>
        <v>0</v>
      </c>
      <c r="ANF9" s="2">
        <v>13</v>
      </c>
      <c r="ANG9" s="2"/>
      <c r="ANH9" s="2">
        <f t="shared" si="129"/>
        <v>2</v>
      </c>
      <c r="ANI9" s="5"/>
      <c r="ANJ9" s="49">
        <f>ANI9-ANH9</f>
        <v>-2</v>
      </c>
      <c r="ANL9" s="2">
        <v>13</v>
      </c>
      <c r="ANM9" s="2"/>
      <c r="ANN9" s="2">
        <f t="shared" si="130"/>
        <v>0</v>
      </c>
      <c r="ANO9" s="5"/>
      <c r="ANP9" s="49">
        <f>ANO9-ANN9</f>
        <v>0</v>
      </c>
      <c r="ANR9" s="2">
        <v>13</v>
      </c>
      <c r="ANS9" s="2"/>
      <c r="ANT9" s="2">
        <f t="shared" si="131"/>
        <v>0</v>
      </c>
      <c r="ANU9" s="5"/>
      <c r="ANV9" s="49">
        <f>ANU9-ANT9</f>
        <v>0</v>
      </c>
      <c r="ANX9" s="2">
        <v>13</v>
      </c>
      <c r="ANY9" s="2"/>
      <c r="ANZ9" s="2">
        <f t="shared" si="132"/>
        <v>0</v>
      </c>
      <c r="AOA9" s="5"/>
      <c r="AOB9" s="49">
        <f>AOA9-ANZ9</f>
        <v>0</v>
      </c>
      <c r="AOD9" s="2">
        <v>13</v>
      </c>
      <c r="AOE9" s="2"/>
      <c r="AOF9" s="2">
        <f t="shared" si="133"/>
        <v>0</v>
      </c>
      <c r="AOG9" s="5"/>
      <c r="AOH9" s="49">
        <f>AOG9-AOF9</f>
        <v>0</v>
      </c>
      <c r="AOJ9" s="2">
        <v>37</v>
      </c>
      <c r="AOK9" s="2"/>
      <c r="AOL9" s="2">
        <f t="shared" si="134"/>
        <v>-24</v>
      </c>
      <c r="AOM9" s="5"/>
      <c r="AON9" s="49">
        <f>AOM9-AOL9</f>
        <v>24</v>
      </c>
      <c r="AOP9" s="2">
        <v>36</v>
      </c>
      <c r="AOQ9" s="2"/>
      <c r="AOR9" s="2"/>
      <c r="AOS9" s="5"/>
      <c r="AOT9" s="49"/>
      <c r="AOV9" s="2">
        <v>37</v>
      </c>
      <c r="AOW9" s="2"/>
      <c r="AOX9" s="2">
        <f t="shared" si="135"/>
        <v>-1</v>
      </c>
      <c r="AOY9" s="5"/>
      <c r="AOZ9" s="49">
        <f>AOY9-AOX9</f>
        <v>1</v>
      </c>
    </row>
    <row r="10" spans="1:1092" s="34" customFormat="1" x14ac:dyDescent="0.25">
      <c r="A10" s="63" t="s">
        <v>59</v>
      </c>
      <c r="B10" s="86">
        <f t="shared" si="0"/>
        <v>3.42</v>
      </c>
      <c r="C10" s="2">
        <v>12</v>
      </c>
      <c r="E10" s="2">
        <v>10</v>
      </c>
      <c r="F10" s="2"/>
      <c r="H10" s="2">
        <v>21</v>
      </c>
      <c r="I10" s="2"/>
      <c r="J10" s="2">
        <f>(F10*24)+E10-H10</f>
        <v>-11</v>
      </c>
      <c r="K10" s="2"/>
      <c r="L10" s="48">
        <f>K10-J10</f>
        <v>11</v>
      </c>
      <c r="N10" s="2">
        <v>21</v>
      </c>
      <c r="O10" s="2"/>
      <c r="P10" s="2">
        <f>(I10*24)+H10-N10</f>
        <v>0</v>
      </c>
      <c r="Q10" s="2"/>
      <c r="R10" s="48">
        <f>Q10-P10</f>
        <v>0</v>
      </c>
      <c r="T10" s="2">
        <v>20</v>
      </c>
      <c r="U10" s="2"/>
      <c r="V10" s="2">
        <f>(O10*24)+N10-T10</f>
        <v>1</v>
      </c>
      <c r="W10" s="2">
        <v>1</v>
      </c>
      <c r="X10" s="48">
        <f>W10-V10</f>
        <v>0</v>
      </c>
      <c r="Z10" s="2">
        <v>16</v>
      </c>
      <c r="AA10" s="2"/>
      <c r="AB10" s="2">
        <f>(U10*24)+T10-Z10</f>
        <v>4</v>
      </c>
      <c r="AC10" s="2">
        <v>4</v>
      </c>
      <c r="AD10" s="48">
        <f>AC10-AB10</f>
        <v>0</v>
      </c>
      <c r="AF10" s="2">
        <v>16</v>
      </c>
      <c r="AG10" s="2"/>
      <c r="AH10" s="2">
        <f>(AA10*24)+Z10-AF10</f>
        <v>0</v>
      </c>
      <c r="AI10" s="2"/>
      <c r="AJ10" s="48">
        <f>AI10-AH10</f>
        <v>0</v>
      </c>
      <c r="AL10" s="2">
        <v>7</v>
      </c>
      <c r="AM10" s="2">
        <v>24</v>
      </c>
      <c r="AN10" s="2">
        <f>(AG10*24)+AF10-AL10</f>
        <v>9</v>
      </c>
      <c r="AO10" s="2">
        <v>9</v>
      </c>
      <c r="AP10" s="48">
        <f>AO10-AN10</f>
        <v>0</v>
      </c>
      <c r="AR10" s="2">
        <v>31</v>
      </c>
      <c r="AS10" s="2"/>
      <c r="AT10" s="2">
        <f t="shared" si="148"/>
        <v>0</v>
      </c>
      <c r="AU10" s="2"/>
      <c r="AV10" s="48">
        <f>AU10-AT10</f>
        <v>0</v>
      </c>
      <c r="AX10" s="2">
        <v>26</v>
      </c>
      <c r="AY10" s="2"/>
      <c r="AZ10" s="2">
        <f t="shared" si="150"/>
        <v>5</v>
      </c>
      <c r="BA10" s="2">
        <v>5</v>
      </c>
      <c r="BB10" s="48">
        <f>BA10-AZ10</f>
        <v>0</v>
      </c>
      <c r="BD10" s="2">
        <v>15</v>
      </c>
      <c r="BE10" s="2"/>
      <c r="BF10" s="2">
        <f t="shared" si="152"/>
        <v>11</v>
      </c>
      <c r="BG10" s="2">
        <v>11</v>
      </c>
      <c r="BH10" s="48">
        <f>BG10-BF10</f>
        <v>0</v>
      </c>
      <c r="BJ10" s="2">
        <v>14</v>
      </c>
      <c r="BK10" s="2"/>
      <c r="BL10" s="2">
        <f t="shared" si="154"/>
        <v>1</v>
      </c>
      <c r="BM10" s="2">
        <v>2</v>
      </c>
      <c r="BN10" s="48">
        <f>BM10-BL10</f>
        <v>1</v>
      </c>
      <c r="BP10" s="2">
        <v>11</v>
      </c>
      <c r="BQ10" s="2">
        <v>24</v>
      </c>
      <c r="BR10" s="2">
        <f t="shared" si="156"/>
        <v>3</v>
      </c>
      <c r="BS10" s="2">
        <v>3</v>
      </c>
      <c r="BT10" s="48">
        <f>BS10-BR10</f>
        <v>0</v>
      </c>
      <c r="BV10" s="2">
        <v>34</v>
      </c>
      <c r="BW10" s="2"/>
      <c r="BX10" s="2">
        <f t="shared" si="158"/>
        <v>1</v>
      </c>
      <c r="BY10" s="2"/>
      <c r="BZ10" s="48">
        <f>BY10-BX10</f>
        <v>-1</v>
      </c>
      <c r="CB10" s="2">
        <v>34</v>
      </c>
      <c r="CC10" s="2"/>
      <c r="CD10" s="2">
        <f t="shared" si="160"/>
        <v>0</v>
      </c>
      <c r="CE10" s="2">
        <v>0</v>
      </c>
      <c r="CF10" s="48">
        <f>CE10-CD10</f>
        <v>0</v>
      </c>
      <c r="CH10" s="2">
        <v>32</v>
      </c>
      <c r="CI10" s="2"/>
      <c r="CJ10" s="2">
        <f t="shared" si="162"/>
        <v>2</v>
      </c>
      <c r="CK10" s="2">
        <v>2</v>
      </c>
      <c r="CL10" s="48">
        <f>CK10-CJ10</f>
        <v>0</v>
      </c>
      <c r="CN10" s="2">
        <v>31</v>
      </c>
      <c r="CO10" s="2"/>
      <c r="CP10" s="2">
        <f t="shared" si="164"/>
        <v>1</v>
      </c>
      <c r="CQ10" s="2">
        <v>1</v>
      </c>
      <c r="CR10" s="48">
        <f>CQ10-CP10</f>
        <v>0</v>
      </c>
      <c r="CT10" s="2">
        <v>30</v>
      </c>
      <c r="CU10" s="2"/>
      <c r="CV10" s="2">
        <f t="shared" si="166"/>
        <v>1</v>
      </c>
      <c r="CW10" s="2">
        <v>1</v>
      </c>
      <c r="CX10" s="49">
        <f>CW10-CV10</f>
        <v>0</v>
      </c>
      <c r="CZ10" s="2">
        <v>30</v>
      </c>
      <c r="DA10" s="2"/>
      <c r="DB10" s="2">
        <f t="shared" si="168"/>
        <v>0</v>
      </c>
      <c r="DC10" s="2">
        <v>0</v>
      </c>
      <c r="DD10" s="49">
        <f>DC10-DB10</f>
        <v>0</v>
      </c>
      <c r="DF10" s="2">
        <v>14</v>
      </c>
      <c r="DG10" s="2"/>
      <c r="DH10" s="2">
        <f t="shared" si="170"/>
        <v>16</v>
      </c>
      <c r="DI10" s="2">
        <v>16</v>
      </c>
      <c r="DJ10" s="49">
        <f>DI10-DH10</f>
        <v>0</v>
      </c>
      <c r="DL10" s="2">
        <v>12</v>
      </c>
      <c r="DM10" s="2"/>
      <c r="DN10" s="2">
        <f t="shared" si="172"/>
        <v>2</v>
      </c>
      <c r="DO10" s="2">
        <v>2</v>
      </c>
      <c r="DP10" s="49">
        <f>DO10-DN10</f>
        <v>0</v>
      </c>
      <c r="DR10" s="2">
        <v>10</v>
      </c>
      <c r="DS10" s="2"/>
      <c r="DT10" s="2">
        <f t="shared" si="174"/>
        <v>2</v>
      </c>
      <c r="DU10" s="2">
        <v>2</v>
      </c>
      <c r="DV10" s="49">
        <f>DU10-DT10</f>
        <v>0</v>
      </c>
      <c r="DX10" s="2">
        <v>3</v>
      </c>
      <c r="DY10" s="2"/>
      <c r="DZ10" s="2">
        <f t="shared" si="176"/>
        <v>7</v>
      </c>
      <c r="EA10" s="2">
        <v>2</v>
      </c>
      <c r="EB10" s="49">
        <f>EA10-DZ10</f>
        <v>-5</v>
      </c>
      <c r="ED10" s="2">
        <v>2</v>
      </c>
      <c r="EE10" s="2"/>
      <c r="EF10" s="2">
        <f t="shared" si="178"/>
        <v>1</v>
      </c>
      <c r="EG10" s="2">
        <v>1</v>
      </c>
      <c r="EH10" s="49">
        <f>EG10-EF10</f>
        <v>0</v>
      </c>
      <c r="EJ10" s="2">
        <v>1</v>
      </c>
      <c r="EK10" s="2"/>
      <c r="EL10" s="2">
        <f t="shared" si="180"/>
        <v>1</v>
      </c>
      <c r="EM10" s="2">
        <v>1</v>
      </c>
      <c r="EN10" s="49">
        <f>EM10-EL10</f>
        <v>0</v>
      </c>
      <c r="EP10" s="2">
        <v>0</v>
      </c>
      <c r="EQ10" s="2">
        <v>24</v>
      </c>
      <c r="ER10" s="2">
        <f t="shared" si="182"/>
        <v>1</v>
      </c>
      <c r="ES10" s="2">
        <v>1</v>
      </c>
      <c r="ET10" s="49">
        <f>ES10-ER10</f>
        <v>0</v>
      </c>
      <c r="EV10" s="2">
        <v>24</v>
      </c>
      <c r="EW10" s="2"/>
      <c r="EX10" s="2">
        <f t="shared" si="184"/>
        <v>0</v>
      </c>
      <c r="EY10" s="2"/>
      <c r="EZ10" s="49">
        <f>EY10-EX10</f>
        <v>0</v>
      </c>
      <c r="FB10" s="2">
        <v>19</v>
      </c>
      <c r="FC10" s="2"/>
      <c r="FD10" s="2">
        <f t="shared" si="186"/>
        <v>5</v>
      </c>
      <c r="FE10" s="2">
        <v>5</v>
      </c>
      <c r="FF10" s="49">
        <f>FE10-FD10</f>
        <v>0</v>
      </c>
      <c r="FH10" s="2">
        <v>17</v>
      </c>
      <c r="FI10" s="2"/>
      <c r="FJ10" s="2">
        <f t="shared" si="188"/>
        <v>2</v>
      </c>
      <c r="FK10" s="2">
        <v>2</v>
      </c>
      <c r="FL10" s="49">
        <f>FK10-FJ10</f>
        <v>0</v>
      </c>
      <c r="FN10" s="2">
        <v>14</v>
      </c>
      <c r="FO10" s="2"/>
      <c r="FP10" s="2">
        <f t="shared" si="190"/>
        <v>3</v>
      </c>
      <c r="FQ10" s="2">
        <v>3</v>
      </c>
      <c r="FR10" s="49">
        <f>FQ10-FP10</f>
        <v>0</v>
      </c>
      <c r="FT10" s="2">
        <v>12</v>
      </c>
      <c r="FU10" s="2"/>
      <c r="FV10" s="2">
        <f t="shared" si="192"/>
        <v>2</v>
      </c>
      <c r="FW10" s="2">
        <v>2</v>
      </c>
      <c r="FX10" s="49">
        <f>FW10-FV10</f>
        <v>0</v>
      </c>
      <c r="FZ10" s="2">
        <v>12</v>
      </c>
      <c r="GA10" s="2"/>
      <c r="GB10" s="2">
        <f t="shared" si="194"/>
        <v>0</v>
      </c>
      <c r="GC10" s="2"/>
      <c r="GD10" s="49">
        <f>GC10-GB10</f>
        <v>0</v>
      </c>
      <c r="GF10" s="2">
        <v>11</v>
      </c>
      <c r="GG10" s="2"/>
      <c r="GH10" s="2">
        <f t="shared" si="196"/>
        <v>1</v>
      </c>
      <c r="GI10" s="2">
        <v>1</v>
      </c>
      <c r="GJ10" s="49">
        <f>GI10-GH10</f>
        <v>0</v>
      </c>
      <c r="GL10" s="2">
        <v>8</v>
      </c>
      <c r="GM10" s="2">
        <v>12</v>
      </c>
      <c r="GN10" s="2">
        <f t="shared" si="198"/>
        <v>3</v>
      </c>
      <c r="GO10" s="2">
        <v>3</v>
      </c>
      <c r="GP10" s="49">
        <f>GO10-GN10</f>
        <v>0</v>
      </c>
      <c r="GR10" s="2">
        <v>16</v>
      </c>
      <c r="GS10" s="2"/>
      <c r="GT10" s="2">
        <f t="shared" si="200"/>
        <v>4</v>
      </c>
      <c r="GU10" s="2">
        <v>4</v>
      </c>
      <c r="GV10" s="49">
        <f>GU10-GT10</f>
        <v>0</v>
      </c>
      <c r="GX10" s="2">
        <v>14</v>
      </c>
      <c r="GY10" s="2"/>
      <c r="GZ10" s="2">
        <f t="shared" si="202"/>
        <v>2</v>
      </c>
      <c r="HA10" s="2">
        <v>1</v>
      </c>
      <c r="HB10" s="49">
        <f>HA10-GZ10</f>
        <v>-1</v>
      </c>
      <c r="HD10" s="2">
        <v>1</v>
      </c>
      <c r="HE10" s="2"/>
      <c r="HF10" s="2">
        <f t="shared" si="204"/>
        <v>13</v>
      </c>
      <c r="HG10" s="2">
        <v>14</v>
      </c>
      <c r="HH10" s="49">
        <f>HG10-HF10</f>
        <v>1</v>
      </c>
      <c r="HJ10" s="2">
        <v>1</v>
      </c>
      <c r="HK10" s="2"/>
      <c r="HL10" s="2">
        <f t="shared" si="206"/>
        <v>0</v>
      </c>
      <c r="HM10" s="2">
        <v>1</v>
      </c>
      <c r="HN10" s="49">
        <f>HM10-HL10</f>
        <v>1</v>
      </c>
      <c r="HP10" s="2">
        <v>0</v>
      </c>
      <c r="HQ10" s="2">
        <v>12</v>
      </c>
      <c r="HR10" s="2">
        <f t="shared" si="208"/>
        <v>1</v>
      </c>
      <c r="HS10" s="2"/>
      <c r="HT10" s="49">
        <f>HS10-HR10</f>
        <v>-1</v>
      </c>
      <c r="HV10" s="2">
        <v>12</v>
      </c>
      <c r="HW10" s="2"/>
      <c r="HX10" s="2">
        <f t="shared" si="210"/>
        <v>0</v>
      </c>
      <c r="HY10" s="2"/>
      <c r="HZ10" s="49">
        <f>HY10-HX10</f>
        <v>0</v>
      </c>
      <c r="IB10" s="2">
        <v>4</v>
      </c>
      <c r="IC10" s="2"/>
      <c r="ID10" s="2">
        <f t="shared" si="212"/>
        <v>8</v>
      </c>
      <c r="IE10" s="2">
        <v>8</v>
      </c>
      <c r="IF10" s="49">
        <f>IE10-ID10</f>
        <v>0</v>
      </c>
      <c r="IH10" s="2">
        <v>0</v>
      </c>
      <c r="II10" s="2">
        <v>24</v>
      </c>
      <c r="IJ10" s="2">
        <f t="shared" si="214"/>
        <v>4</v>
      </c>
      <c r="IK10" s="2">
        <v>4</v>
      </c>
      <c r="IL10" s="49">
        <f>IK10-IJ10</f>
        <v>0</v>
      </c>
      <c r="IN10" s="2">
        <v>24</v>
      </c>
      <c r="IO10" s="2"/>
      <c r="IP10" s="2">
        <f t="shared" si="216"/>
        <v>0</v>
      </c>
      <c r="IQ10" s="2"/>
      <c r="IR10" s="49">
        <f>IQ10-IP10</f>
        <v>0</v>
      </c>
      <c r="IT10" s="2">
        <v>19</v>
      </c>
      <c r="IU10" s="2"/>
      <c r="IV10" s="2">
        <f t="shared" si="218"/>
        <v>5</v>
      </c>
      <c r="IW10" s="2">
        <v>5</v>
      </c>
      <c r="IX10" s="49">
        <f>IW10-IV10</f>
        <v>0</v>
      </c>
      <c r="IZ10" s="2">
        <v>15</v>
      </c>
      <c r="JA10" s="2"/>
      <c r="JB10" s="2">
        <f t="shared" si="220"/>
        <v>4</v>
      </c>
      <c r="JC10" s="2">
        <v>1</v>
      </c>
      <c r="JD10" s="49">
        <f>JC10-JB10</f>
        <v>-3</v>
      </c>
      <c r="JF10" s="2">
        <v>9</v>
      </c>
      <c r="JG10" s="2"/>
      <c r="JH10" s="2">
        <f t="shared" si="222"/>
        <v>6</v>
      </c>
      <c r="JI10" s="2">
        <v>7</v>
      </c>
      <c r="JJ10" s="49">
        <f>JI10-JH10</f>
        <v>1</v>
      </c>
      <c r="JL10" s="2">
        <v>9</v>
      </c>
      <c r="JM10" s="2"/>
      <c r="JN10" s="2">
        <f t="shared" si="224"/>
        <v>0</v>
      </c>
      <c r="JO10" s="2"/>
      <c r="JP10" s="49">
        <f>JO10-JN10</f>
        <v>0</v>
      </c>
      <c r="JR10" s="2">
        <v>9</v>
      </c>
      <c r="JS10" s="2"/>
      <c r="JT10" s="2">
        <f t="shared" si="1"/>
        <v>0</v>
      </c>
      <c r="JU10" s="2"/>
      <c r="JV10" s="49">
        <f>JU10-JT10</f>
        <v>0</v>
      </c>
      <c r="JX10" s="2">
        <v>6</v>
      </c>
      <c r="JY10" s="2"/>
      <c r="JZ10" s="2">
        <f t="shared" si="2"/>
        <v>3</v>
      </c>
      <c r="KA10" s="2">
        <v>3</v>
      </c>
      <c r="KB10" s="49">
        <f>KA10-JZ10</f>
        <v>0</v>
      </c>
      <c r="KD10" s="2">
        <v>3</v>
      </c>
      <c r="KE10" s="2">
        <v>24</v>
      </c>
      <c r="KF10" s="2">
        <f t="shared" si="3"/>
        <v>3</v>
      </c>
      <c r="KG10" s="2">
        <v>3</v>
      </c>
      <c r="KH10" s="49">
        <f>KG10-KF10</f>
        <v>0</v>
      </c>
      <c r="KJ10" s="2">
        <v>26</v>
      </c>
      <c r="KK10" s="2"/>
      <c r="KL10" s="2">
        <f t="shared" si="4"/>
        <v>1</v>
      </c>
      <c r="KM10" s="2">
        <v>1</v>
      </c>
      <c r="KN10" s="49">
        <f>KM10-KL10</f>
        <v>0</v>
      </c>
      <c r="KP10" s="2">
        <v>23</v>
      </c>
      <c r="KQ10" s="2"/>
      <c r="KR10" s="2">
        <f t="shared" si="5"/>
        <v>3</v>
      </c>
      <c r="KS10" s="2">
        <v>2</v>
      </c>
      <c r="KT10" s="49">
        <f>KS10-KR10</f>
        <v>-1</v>
      </c>
      <c r="KV10" s="2">
        <v>17</v>
      </c>
      <c r="KW10" s="2"/>
      <c r="KX10" s="2">
        <f t="shared" si="6"/>
        <v>6</v>
      </c>
      <c r="KY10" s="2">
        <v>6</v>
      </c>
      <c r="KZ10" s="49">
        <f>KY10-KX10</f>
        <v>0</v>
      </c>
      <c r="LB10" s="2">
        <v>14</v>
      </c>
      <c r="LC10" s="2"/>
      <c r="LD10" s="2">
        <f t="shared" si="7"/>
        <v>3</v>
      </c>
      <c r="LE10" s="2">
        <v>3</v>
      </c>
      <c r="LF10" s="49">
        <f>LE10-LD10</f>
        <v>0</v>
      </c>
      <c r="LH10" s="2">
        <v>1</v>
      </c>
      <c r="LI10" s="2"/>
      <c r="LJ10" s="2">
        <f t="shared" si="8"/>
        <v>13</v>
      </c>
      <c r="LK10" s="2">
        <v>13</v>
      </c>
      <c r="LL10" s="49">
        <f>LK10-LJ10</f>
        <v>0</v>
      </c>
      <c r="LN10" s="2">
        <v>0</v>
      </c>
      <c r="LO10" s="2"/>
      <c r="LP10" s="2">
        <f t="shared" si="9"/>
        <v>1</v>
      </c>
      <c r="LQ10" s="2">
        <v>1</v>
      </c>
      <c r="LR10" s="49">
        <f>LQ10-LP10</f>
        <v>0</v>
      </c>
      <c r="LT10" s="2">
        <v>0</v>
      </c>
      <c r="LU10" s="2"/>
      <c r="LV10" s="2">
        <f t="shared" si="10"/>
        <v>0</v>
      </c>
      <c r="LW10" s="2"/>
      <c r="LX10" s="49">
        <f>LW10-LV10</f>
        <v>0</v>
      </c>
      <c r="LZ10" s="2">
        <v>0</v>
      </c>
      <c r="MA10" s="2"/>
      <c r="MB10" s="2">
        <f t="shared" si="11"/>
        <v>0</v>
      </c>
      <c r="MC10" s="2"/>
      <c r="MD10" s="49">
        <f>MC10-MB10</f>
        <v>0</v>
      </c>
      <c r="MF10" s="2">
        <v>0</v>
      </c>
      <c r="MG10" s="2"/>
      <c r="MH10" s="2">
        <f t="shared" si="12"/>
        <v>0</v>
      </c>
      <c r="MI10" s="2"/>
      <c r="MJ10" s="49">
        <f>MI10-MH10</f>
        <v>0</v>
      </c>
      <c r="ML10" s="2">
        <v>0</v>
      </c>
      <c r="MM10" s="2"/>
      <c r="MN10" s="2">
        <f t="shared" si="13"/>
        <v>0</v>
      </c>
      <c r="MO10" s="2"/>
      <c r="MP10" s="49">
        <f>MO10-MN10</f>
        <v>0</v>
      </c>
      <c r="MR10" s="2">
        <v>0</v>
      </c>
      <c r="MS10" s="2"/>
      <c r="MT10" s="2">
        <f t="shared" si="14"/>
        <v>0</v>
      </c>
      <c r="MU10" s="2"/>
      <c r="MV10" s="49">
        <f>MU10-MT10</f>
        <v>0</v>
      </c>
      <c r="MX10" s="2">
        <v>0</v>
      </c>
      <c r="MY10" s="2"/>
      <c r="MZ10" s="2">
        <f t="shared" si="15"/>
        <v>0</v>
      </c>
      <c r="NA10" s="2"/>
      <c r="NB10" s="49">
        <f>NA10-MZ10</f>
        <v>0</v>
      </c>
      <c r="ND10" s="2">
        <v>0</v>
      </c>
      <c r="NE10" s="2">
        <v>24</v>
      </c>
      <c r="NF10" s="2">
        <f t="shared" si="16"/>
        <v>0</v>
      </c>
      <c r="NG10" s="2"/>
      <c r="NH10" s="49">
        <f>NG10-NF10</f>
        <v>0</v>
      </c>
      <c r="NJ10" s="2">
        <v>24</v>
      </c>
      <c r="NK10" s="2"/>
      <c r="NL10" s="2">
        <f t="shared" si="17"/>
        <v>0</v>
      </c>
      <c r="NM10" s="2"/>
      <c r="NN10" s="49">
        <f>NM10-NL10</f>
        <v>0</v>
      </c>
      <c r="NP10" s="2">
        <v>21</v>
      </c>
      <c r="NQ10" s="2"/>
      <c r="NR10" s="2">
        <f t="shared" si="18"/>
        <v>3</v>
      </c>
      <c r="NS10" s="2">
        <v>3</v>
      </c>
      <c r="NT10" s="49">
        <f>NS10-NR10</f>
        <v>0</v>
      </c>
      <c r="NV10" s="2">
        <v>17</v>
      </c>
      <c r="NW10" s="2"/>
      <c r="NX10" s="2">
        <f t="shared" si="19"/>
        <v>4</v>
      </c>
      <c r="NY10" s="2">
        <v>2</v>
      </c>
      <c r="NZ10" s="49">
        <f>NY10-NX10</f>
        <v>-2</v>
      </c>
      <c r="OB10" s="2">
        <v>16</v>
      </c>
      <c r="OC10" s="2"/>
      <c r="OD10" s="2">
        <f t="shared" si="20"/>
        <v>1</v>
      </c>
      <c r="OE10" s="2"/>
      <c r="OF10" s="49">
        <f>OE10-OD10</f>
        <v>-1</v>
      </c>
      <c r="OH10" s="2">
        <v>16</v>
      </c>
      <c r="OI10" s="2"/>
      <c r="OJ10" s="2">
        <f t="shared" si="21"/>
        <v>0</v>
      </c>
      <c r="OK10" s="2"/>
      <c r="OL10" s="49">
        <f>OK10-OJ10</f>
        <v>0</v>
      </c>
      <c r="ON10" s="2">
        <v>40</v>
      </c>
      <c r="OO10" s="2"/>
      <c r="OP10" s="2">
        <f t="shared" si="22"/>
        <v>-24</v>
      </c>
      <c r="OQ10" s="2"/>
      <c r="OR10" s="49">
        <f>OQ10-OP10</f>
        <v>24</v>
      </c>
      <c r="OT10" s="2">
        <v>25</v>
      </c>
      <c r="OU10" s="2"/>
      <c r="OV10" s="2">
        <f t="shared" si="23"/>
        <v>15</v>
      </c>
      <c r="OW10" s="2">
        <v>15</v>
      </c>
      <c r="OX10" s="49">
        <f>OW10-OV10</f>
        <v>0</v>
      </c>
      <c r="OZ10" s="2">
        <v>17</v>
      </c>
      <c r="PA10" s="2"/>
      <c r="PB10" s="2">
        <f t="shared" si="24"/>
        <v>8</v>
      </c>
      <c r="PC10" s="2">
        <v>8</v>
      </c>
      <c r="PD10" s="49">
        <f>PC10-PB10</f>
        <v>0</v>
      </c>
      <c r="PF10" s="2">
        <v>13</v>
      </c>
      <c r="PG10" s="2"/>
      <c r="PH10" s="2">
        <f t="shared" si="25"/>
        <v>4</v>
      </c>
      <c r="PI10" s="2">
        <v>4</v>
      </c>
      <c r="PJ10" s="49">
        <f>PI10-PH10</f>
        <v>0</v>
      </c>
      <c r="PL10" s="2">
        <v>11</v>
      </c>
      <c r="PM10" s="2"/>
      <c r="PN10" s="2">
        <f t="shared" si="26"/>
        <v>2</v>
      </c>
      <c r="PO10" s="2"/>
      <c r="PP10" s="49">
        <f>PO10-PN10</f>
        <v>-2</v>
      </c>
      <c r="PR10" s="2">
        <v>0</v>
      </c>
      <c r="PS10" s="2"/>
      <c r="PT10" s="2">
        <f t="shared" si="27"/>
        <v>11</v>
      </c>
      <c r="PU10" s="2">
        <v>10</v>
      </c>
      <c r="PV10" s="49">
        <f>PU10-PT10</f>
        <v>-1</v>
      </c>
      <c r="PX10" s="2">
        <v>0</v>
      </c>
      <c r="PY10" s="2"/>
      <c r="PZ10" s="2">
        <f t="shared" si="28"/>
        <v>0</v>
      </c>
      <c r="QA10" s="2"/>
      <c r="QB10" s="49">
        <f>QA10-PZ10</f>
        <v>0</v>
      </c>
      <c r="QD10" s="2">
        <v>0</v>
      </c>
      <c r="QE10" s="2">
        <v>24</v>
      </c>
      <c r="QF10" s="2">
        <f t="shared" si="29"/>
        <v>0</v>
      </c>
      <c r="QG10" s="2"/>
      <c r="QH10" s="49">
        <f>QG10-QF10</f>
        <v>0</v>
      </c>
      <c r="QJ10" s="2">
        <v>16</v>
      </c>
      <c r="QK10" s="2"/>
      <c r="QL10" s="2">
        <f t="shared" si="30"/>
        <v>8</v>
      </c>
      <c r="QM10" s="2"/>
      <c r="QN10" s="49">
        <f>QM10-QL10</f>
        <v>-8</v>
      </c>
      <c r="QP10" s="2">
        <v>10</v>
      </c>
      <c r="QQ10" s="2"/>
      <c r="QR10" s="2">
        <f t="shared" si="31"/>
        <v>6</v>
      </c>
      <c r="QS10" s="2">
        <v>6</v>
      </c>
      <c r="QT10" s="49">
        <f>QS10-QR10</f>
        <v>0</v>
      </c>
      <c r="QV10" s="2">
        <v>5</v>
      </c>
      <c r="QW10" s="2"/>
      <c r="QX10" s="2">
        <f t="shared" si="32"/>
        <v>5</v>
      </c>
      <c r="QY10" s="2">
        <v>5</v>
      </c>
      <c r="QZ10" s="49">
        <f>QY10-QX10</f>
        <v>0</v>
      </c>
      <c r="RB10" s="2">
        <v>2</v>
      </c>
      <c r="RC10" s="2"/>
      <c r="RD10" s="2">
        <f t="shared" si="33"/>
        <v>3</v>
      </c>
      <c r="RE10" s="2"/>
      <c r="RF10" s="49">
        <f>RE10-RD10</f>
        <v>-3</v>
      </c>
      <c r="RH10" s="2">
        <v>0</v>
      </c>
      <c r="RI10" s="2">
        <v>24</v>
      </c>
      <c r="RJ10" s="2">
        <f t="shared" si="34"/>
        <v>2</v>
      </c>
      <c r="RK10" s="2"/>
      <c r="RL10" s="49">
        <f>RK10-RJ10</f>
        <v>-2</v>
      </c>
      <c r="RN10" s="2">
        <v>24</v>
      </c>
      <c r="RO10" s="2"/>
      <c r="RP10" s="2">
        <f t="shared" si="35"/>
        <v>0</v>
      </c>
      <c r="RQ10" s="5">
        <v>2</v>
      </c>
      <c r="RR10" s="49">
        <f>RQ10-RP10</f>
        <v>2</v>
      </c>
      <c r="RT10" s="2">
        <v>19</v>
      </c>
      <c r="RU10" s="2"/>
      <c r="RV10" s="2">
        <f t="shared" si="36"/>
        <v>5</v>
      </c>
      <c r="RW10" s="5">
        <v>5</v>
      </c>
      <c r="RX10" s="49">
        <f>RW10-RV10</f>
        <v>0</v>
      </c>
      <c r="RZ10" s="2">
        <v>16</v>
      </c>
      <c r="SA10" s="2"/>
      <c r="SB10" s="2">
        <f t="shared" si="37"/>
        <v>3</v>
      </c>
      <c r="SC10" s="5">
        <v>3</v>
      </c>
      <c r="SD10" s="49">
        <f>SC10-SB10</f>
        <v>0</v>
      </c>
      <c r="SF10" s="2">
        <v>16</v>
      </c>
      <c r="SG10" s="2"/>
      <c r="SH10" s="2">
        <f t="shared" si="38"/>
        <v>0</v>
      </c>
      <c r="SI10" s="5">
        <v>0</v>
      </c>
      <c r="SJ10" s="49">
        <f>SI10-SH10</f>
        <v>0</v>
      </c>
      <c r="SL10" s="2">
        <v>12</v>
      </c>
      <c r="SM10" s="2"/>
      <c r="SN10" s="2">
        <f t="shared" si="39"/>
        <v>4</v>
      </c>
      <c r="SO10" s="5">
        <v>4</v>
      </c>
      <c r="SP10" s="49">
        <f>SO10-SN10</f>
        <v>0</v>
      </c>
      <c r="SR10" s="2">
        <v>12</v>
      </c>
      <c r="SS10" s="2"/>
      <c r="ST10" s="2">
        <f t="shared" si="40"/>
        <v>0</v>
      </c>
      <c r="SU10" s="5">
        <v>0</v>
      </c>
      <c r="SV10" s="49">
        <f>SU10-ST10</f>
        <v>0</v>
      </c>
      <c r="SX10" s="2">
        <v>12</v>
      </c>
      <c r="SY10" s="2"/>
      <c r="SZ10" s="2">
        <f t="shared" si="41"/>
        <v>0</v>
      </c>
      <c r="TA10" s="5">
        <v>0</v>
      </c>
      <c r="TB10" s="49">
        <f>TA10-SZ10</f>
        <v>0</v>
      </c>
      <c r="TD10" s="2">
        <v>6</v>
      </c>
      <c r="TE10" s="2"/>
      <c r="TF10" s="2">
        <f t="shared" si="42"/>
        <v>6</v>
      </c>
      <c r="TG10" s="5">
        <v>5</v>
      </c>
      <c r="TH10" s="49">
        <f>TG10-TF10</f>
        <v>-1</v>
      </c>
      <c r="TJ10" s="2">
        <v>0</v>
      </c>
      <c r="TK10" s="2"/>
      <c r="TL10" s="2">
        <f t="shared" si="43"/>
        <v>6</v>
      </c>
      <c r="TM10" s="5">
        <v>5</v>
      </c>
      <c r="TN10" s="49">
        <f>TM10-TL10</f>
        <v>-1</v>
      </c>
      <c r="TP10" s="2">
        <v>0</v>
      </c>
      <c r="TQ10" s="2"/>
      <c r="TR10" s="2">
        <f t="shared" si="44"/>
        <v>0</v>
      </c>
      <c r="TS10" s="5"/>
      <c r="TT10" s="49">
        <f>TS10-TR10</f>
        <v>0</v>
      </c>
      <c r="TV10" s="2">
        <v>0</v>
      </c>
      <c r="TW10" s="2"/>
      <c r="TX10" s="2">
        <f t="shared" si="45"/>
        <v>0</v>
      </c>
      <c r="TY10" s="5">
        <v>0</v>
      </c>
      <c r="TZ10" s="49">
        <f>TY10-TX10</f>
        <v>0</v>
      </c>
      <c r="UB10" s="2">
        <v>120</v>
      </c>
      <c r="UC10" s="2"/>
      <c r="UD10" s="2">
        <f t="shared" si="46"/>
        <v>-120</v>
      </c>
      <c r="UE10" s="5"/>
      <c r="UF10" s="49">
        <f>UE10-UD10</f>
        <v>120</v>
      </c>
      <c r="UH10" s="2">
        <v>23</v>
      </c>
      <c r="UI10" s="2"/>
      <c r="UJ10" s="2">
        <f t="shared" si="47"/>
        <v>97</v>
      </c>
      <c r="UK10" s="5">
        <v>1</v>
      </c>
      <c r="UL10" s="49">
        <f>UK10-UJ10</f>
        <v>-96</v>
      </c>
      <c r="UN10" s="2">
        <v>15</v>
      </c>
      <c r="UO10" s="2"/>
      <c r="UP10" s="2">
        <f t="shared" si="48"/>
        <v>8</v>
      </c>
      <c r="UQ10" s="5">
        <v>6</v>
      </c>
      <c r="UR10" s="49">
        <f>UQ10-UP10</f>
        <v>-2</v>
      </c>
      <c r="UT10" s="2">
        <v>11</v>
      </c>
      <c r="UU10" s="2"/>
      <c r="UV10" s="2">
        <f t="shared" si="49"/>
        <v>4</v>
      </c>
      <c r="UW10" s="5">
        <v>4</v>
      </c>
      <c r="UX10" s="49">
        <f>UW10-UV10</f>
        <v>0</v>
      </c>
      <c r="UZ10" s="2">
        <v>6</v>
      </c>
      <c r="VA10" s="2"/>
      <c r="VB10" s="2">
        <f t="shared" si="50"/>
        <v>5</v>
      </c>
      <c r="VC10" s="5">
        <v>6</v>
      </c>
      <c r="VD10" s="49">
        <f>VC10-VB10</f>
        <v>1</v>
      </c>
      <c r="VF10" s="2">
        <v>4</v>
      </c>
      <c r="VG10" s="2"/>
      <c r="VH10" s="2">
        <f t="shared" si="51"/>
        <v>2</v>
      </c>
      <c r="VI10" s="5">
        <v>2</v>
      </c>
      <c r="VJ10" s="49">
        <f>VI10-VH10</f>
        <v>0</v>
      </c>
      <c r="VL10" s="2">
        <v>126</v>
      </c>
      <c r="VM10" s="2"/>
      <c r="VN10" s="2">
        <f t="shared" si="52"/>
        <v>-122</v>
      </c>
      <c r="VO10" s="5"/>
      <c r="VP10" s="49">
        <f>VO10-VN10</f>
        <v>122</v>
      </c>
      <c r="VR10" s="2">
        <v>24</v>
      </c>
      <c r="VS10" s="2"/>
      <c r="VT10" s="2">
        <f t="shared" si="53"/>
        <v>102</v>
      </c>
      <c r="VU10" s="5"/>
      <c r="VV10" s="49">
        <f>VU10-VT10</f>
        <v>-102</v>
      </c>
      <c r="VX10" s="2">
        <v>23</v>
      </c>
      <c r="VY10" s="2"/>
      <c r="VZ10" s="2">
        <f t="shared" si="54"/>
        <v>1</v>
      </c>
      <c r="WA10" s="5"/>
      <c r="WB10" s="49">
        <f>WA10-VZ10</f>
        <v>-1</v>
      </c>
      <c r="WD10" s="2">
        <v>10</v>
      </c>
      <c r="WE10" s="2"/>
      <c r="WF10" s="2">
        <f t="shared" si="55"/>
        <v>13</v>
      </c>
      <c r="WG10" s="5"/>
      <c r="WH10" s="49">
        <f>WG10-WF10</f>
        <v>-13</v>
      </c>
      <c r="WJ10" s="2">
        <v>20</v>
      </c>
      <c r="WK10" s="2"/>
      <c r="WL10" s="2">
        <f t="shared" si="56"/>
        <v>-10</v>
      </c>
      <c r="WM10" s="5">
        <v>0</v>
      </c>
      <c r="WN10" s="49">
        <f>WM10-WL10</f>
        <v>10</v>
      </c>
      <c r="WP10" s="2">
        <v>3</v>
      </c>
      <c r="WQ10" s="2"/>
      <c r="WR10" s="2">
        <f t="shared" si="57"/>
        <v>17</v>
      </c>
      <c r="WS10" s="5">
        <v>17</v>
      </c>
      <c r="WT10" s="49">
        <f>WS10-WR10</f>
        <v>0</v>
      </c>
      <c r="WV10" s="2">
        <v>0</v>
      </c>
      <c r="WW10" s="2"/>
      <c r="WX10" s="2">
        <f t="shared" si="58"/>
        <v>3</v>
      </c>
      <c r="WY10" s="5">
        <v>3</v>
      </c>
      <c r="WZ10" s="49">
        <f>WY10-WX10</f>
        <v>0</v>
      </c>
      <c r="XB10" s="2">
        <v>0</v>
      </c>
      <c r="XC10" s="2"/>
      <c r="XD10" s="2">
        <f t="shared" si="59"/>
        <v>0</v>
      </c>
      <c r="XE10" s="5">
        <v>0</v>
      </c>
      <c r="XF10" s="49">
        <f>XE10-XD10</f>
        <v>0</v>
      </c>
      <c r="XH10" s="2">
        <v>0</v>
      </c>
      <c r="XI10" s="2"/>
      <c r="XJ10" s="2">
        <f t="shared" si="60"/>
        <v>0</v>
      </c>
      <c r="XK10" s="5">
        <v>0</v>
      </c>
      <c r="XL10" s="49">
        <f>XK10-XJ10</f>
        <v>0</v>
      </c>
      <c r="XN10" s="2">
        <v>0</v>
      </c>
      <c r="XO10" s="2"/>
      <c r="XP10" s="2">
        <f t="shared" si="61"/>
        <v>0</v>
      </c>
      <c r="XQ10" s="5">
        <v>0</v>
      </c>
      <c r="XR10" s="49">
        <f>XQ10-XP10</f>
        <v>0</v>
      </c>
      <c r="XT10" s="2">
        <v>0</v>
      </c>
      <c r="XU10" s="2"/>
      <c r="XV10" s="2">
        <f t="shared" si="62"/>
        <v>0</v>
      </c>
      <c r="XW10" s="5">
        <v>0</v>
      </c>
      <c r="XX10" s="49">
        <f>XW10-XV10</f>
        <v>0</v>
      </c>
      <c r="XZ10" s="2">
        <v>0</v>
      </c>
      <c r="YA10" s="2">
        <v>24</v>
      </c>
      <c r="YB10" s="2">
        <f t="shared" si="63"/>
        <v>0</v>
      </c>
      <c r="YC10" s="5">
        <v>0</v>
      </c>
      <c r="YD10" s="49">
        <f>YC10-YB10</f>
        <v>0</v>
      </c>
      <c r="YF10" s="2">
        <v>19</v>
      </c>
      <c r="YG10" s="2"/>
      <c r="YH10" s="2">
        <f t="shared" si="64"/>
        <v>5</v>
      </c>
      <c r="YI10" s="5"/>
      <c r="YJ10" s="49">
        <f>YI10-YH10</f>
        <v>-5</v>
      </c>
      <c r="YL10" s="2">
        <v>15</v>
      </c>
      <c r="YM10" s="2"/>
      <c r="YN10" s="2">
        <f t="shared" si="65"/>
        <v>4</v>
      </c>
      <c r="YO10" s="5"/>
      <c r="YP10" s="49">
        <f>YO10-YN10</f>
        <v>-4</v>
      </c>
      <c r="YR10" s="2">
        <v>15</v>
      </c>
      <c r="YS10" s="2"/>
      <c r="YT10" s="2">
        <f t="shared" si="66"/>
        <v>0</v>
      </c>
      <c r="YU10" s="5"/>
      <c r="YV10" s="49">
        <f>YU10-YT10</f>
        <v>0</v>
      </c>
      <c r="YX10" s="2">
        <v>10</v>
      </c>
      <c r="YY10" s="2"/>
      <c r="YZ10" s="2">
        <f t="shared" si="67"/>
        <v>5</v>
      </c>
      <c r="ZA10" s="5">
        <v>5</v>
      </c>
      <c r="ZB10" s="49">
        <f>ZA10-YZ10</f>
        <v>0</v>
      </c>
      <c r="ZD10" s="2">
        <v>9</v>
      </c>
      <c r="ZE10" s="2"/>
      <c r="ZF10" s="2">
        <f t="shared" si="68"/>
        <v>1</v>
      </c>
      <c r="ZG10" s="5">
        <v>1</v>
      </c>
      <c r="ZH10" s="49">
        <f>ZG10-ZF10</f>
        <v>0</v>
      </c>
      <c r="ZJ10" s="2">
        <v>9</v>
      </c>
      <c r="ZK10" s="2">
        <v>24</v>
      </c>
      <c r="ZL10" s="2">
        <f t="shared" si="69"/>
        <v>0</v>
      </c>
      <c r="ZM10" s="5"/>
      <c r="ZN10" s="49">
        <f>ZM10-ZL10</f>
        <v>0</v>
      </c>
      <c r="ZP10" s="2">
        <v>32</v>
      </c>
      <c r="ZQ10" s="2"/>
      <c r="ZR10" s="2">
        <f t="shared" si="70"/>
        <v>1</v>
      </c>
      <c r="ZS10" s="5">
        <v>2</v>
      </c>
      <c r="ZT10" s="49">
        <f>ZS10-ZR10</f>
        <v>1</v>
      </c>
      <c r="ZV10" s="2">
        <v>30</v>
      </c>
      <c r="ZW10" s="2"/>
      <c r="ZX10" s="2">
        <f t="shared" si="71"/>
        <v>2</v>
      </c>
      <c r="ZY10" s="5">
        <v>1</v>
      </c>
      <c r="ZZ10" s="49">
        <f>ZY10-ZX10</f>
        <v>-1</v>
      </c>
      <c r="AAB10" s="2">
        <v>27</v>
      </c>
      <c r="AAC10" s="2"/>
      <c r="AAD10" s="2">
        <f t="shared" si="72"/>
        <v>3</v>
      </c>
      <c r="AAE10" s="5"/>
      <c r="AAF10" s="49">
        <f>AAE10-AAD10</f>
        <v>-3</v>
      </c>
      <c r="AAH10" s="2">
        <v>26</v>
      </c>
      <c r="AAI10" s="2"/>
      <c r="AAJ10" s="2">
        <f t="shared" si="73"/>
        <v>1</v>
      </c>
      <c r="AAK10" s="5">
        <v>1</v>
      </c>
      <c r="AAL10" s="49">
        <f>AAK10-AAJ10</f>
        <v>0</v>
      </c>
      <c r="AAN10" s="2">
        <v>20</v>
      </c>
      <c r="AAO10" s="2"/>
      <c r="AAP10" s="2">
        <f t="shared" si="74"/>
        <v>6</v>
      </c>
      <c r="AAQ10" s="5">
        <v>6</v>
      </c>
      <c r="AAR10" s="49">
        <f>AAQ10-AAP10</f>
        <v>0</v>
      </c>
      <c r="AAT10" s="2">
        <v>20</v>
      </c>
      <c r="AAU10" s="2"/>
      <c r="AAV10" s="2">
        <f t="shared" si="75"/>
        <v>0</v>
      </c>
      <c r="AAW10" s="5">
        <v>0</v>
      </c>
      <c r="AAX10" s="49">
        <f>AAW10-AAV10</f>
        <v>0</v>
      </c>
      <c r="AAZ10" s="2">
        <v>19</v>
      </c>
      <c r="ABA10" s="2"/>
      <c r="ABB10" s="2">
        <f t="shared" si="76"/>
        <v>1</v>
      </c>
      <c r="ABC10" s="5">
        <v>1</v>
      </c>
      <c r="ABD10" s="49">
        <f>ABC10-ABB10</f>
        <v>0</v>
      </c>
      <c r="ABF10" s="2">
        <v>18</v>
      </c>
      <c r="ABG10" s="2"/>
      <c r="ABH10" s="2">
        <f t="shared" si="77"/>
        <v>1</v>
      </c>
      <c r="ABI10" s="5">
        <v>1</v>
      </c>
      <c r="ABJ10" s="49">
        <f>ABI10-ABH10</f>
        <v>0</v>
      </c>
      <c r="ABL10" s="2">
        <v>11</v>
      </c>
      <c r="ABM10" s="2"/>
      <c r="ABN10" s="2">
        <f t="shared" si="78"/>
        <v>7</v>
      </c>
      <c r="ABO10" s="5">
        <v>7</v>
      </c>
      <c r="ABP10" s="49">
        <f>ABO10-ABN10</f>
        <v>0</v>
      </c>
      <c r="ABR10" s="2">
        <v>8</v>
      </c>
      <c r="ABS10" s="2"/>
      <c r="ABT10" s="2">
        <f t="shared" si="79"/>
        <v>3</v>
      </c>
      <c r="ABU10" s="5">
        <v>3</v>
      </c>
      <c r="ABV10" s="49">
        <f>ABU10-ABT10</f>
        <v>0</v>
      </c>
      <c r="ABX10" s="2">
        <v>7</v>
      </c>
      <c r="ABY10" s="2"/>
      <c r="ABZ10" s="2">
        <f t="shared" si="80"/>
        <v>1</v>
      </c>
      <c r="ACA10" s="5">
        <v>1</v>
      </c>
      <c r="ACB10" s="49">
        <f>ACA10-ABZ10</f>
        <v>0</v>
      </c>
      <c r="ACD10" s="2">
        <v>29</v>
      </c>
      <c r="ACE10" s="2"/>
      <c r="ACF10" s="2">
        <f t="shared" si="81"/>
        <v>-22</v>
      </c>
      <c r="ACG10" s="5">
        <v>2</v>
      </c>
      <c r="ACH10" s="49">
        <f>ACG10-ACF10</f>
        <v>24</v>
      </c>
      <c r="ACJ10" s="2">
        <v>25</v>
      </c>
      <c r="ACK10" s="2"/>
      <c r="ACL10" s="2">
        <f t="shared" si="82"/>
        <v>4</v>
      </c>
      <c r="ACM10" s="5">
        <v>4</v>
      </c>
      <c r="ACN10" s="49">
        <f>ACM10-ACL10</f>
        <v>0</v>
      </c>
      <c r="ACP10" s="2">
        <v>12</v>
      </c>
      <c r="ACQ10" s="2"/>
      <c r="ACR10" s="2">
        <f t="shared" si="83"/>
        <v>13</v>
      </c>
      <c r="ACS10" s="5">
        <v>8</v>
      </c>
      <c r="ACT10" s="49">
        <f>ACS10-ACR10</f>
        <v>-5</v>
      </c>
      <c r="ACV10" s="2">
        <v>17</v>
      </c>
      <c r="ACW10" s="2"/>
      <c r="ACX10" s="2">
        <f t="shared" si="84"/>
        <v>-5</v>
      </c>
      <c r="ACY10" s="5">
        <v>0</v>
      </c>
      <c r="ACZ10" s="49">
        <f>ACY10-ACX10</f>
        <v>5</v>
      </c>
      <c r="ADB10" s="2">
        <v>15</v>
      </c>
      <c r="ADC10" s="2"/>
      <c r="ADD10" s="2">
        <f t="shared" si="85"/>
        <v>2</v>
      </c>
      <c r="ADE10" s="5">
        <v>2</v>
      </c>
      <c r="ADF10" s="49">
        <f>ADE10-ADD10</f>
        <v>0</v>
      </c>
      <c r="ADH10" s="2">
        <v>13</v>
      </c>
      <c r="ADI10" s="2"/>
      <c r="ADJ10" s="2">
        <f t="shared" si="86"/>
        <v>2</v>
      </c>
      <c r="ADK10" s="5">
        <v>2</v>
      </c>
      <c r="ADL10" s="49">
        <f>ADK10-ADJ10</f>
        <v>0</v>
      </c>
      <c r="ADN10" s="2">
        <v>13</v>
      </c>
      <c r="ADO10" s="2"/>
      <c r="ADP10" s="2">
        <f t="shared" si="87"/>
        <v>0</v>
      </c>
      <c r="ADQ10" s="5"/>
      <c r="ADR10" s="49">
        <f>ADQ10-ADP10</f>
        <v>0</v>
      </c>
      <c r="ADT10" s="2">
        <v>3</v>
      </c>
      <c r="ADU10" s="2"/>
      <c r="ADV10" s="2">
        <f t="shared" si="88"/>
        <v>10</v>
      </c>
      <c r="ADW10" s="5">
        <v>9</v>
      </c>
      <c r="ADX10" s="49">
        <f>ADW10-ADV10</f>
        <v>-1</v>
      </c>
      <c r="ADZ10" s="2">
        <v>0</v>
      </c>
      <c r="AEA10" s="2"/>
      <c r="AEB10" s="2">
        <f t="shared" si="89"/>
        <v>3</v>
      </c>
      <c r="AEC10" s="5">
        <v>3</v>
      </c>
      <c r="AED10" s="49">
        <f>AEC10-AEB10</f>
        <v>0</v>
      </c>
      <c r="AEF10" s="2">
        <v>0</v>
      </c>
      <c r="AEG10" s="2"/>
      <c r="AEH10" s="2">
        <f t="shared" si="90"/>
        <v>0</v>
      </c>
      <c r="AEI10" s="5">
        <v>0</v>
      </c>
      <c r="AEJ10" s="49">
        <f>AEI10-AEH10</f>
        <v>0</v>
      </c>
      <c r="AEL10" s="2">
        <v>0</v>
      </c>
      <c r="AEM10" s="2"/>
      <c r="AEN10" s="2">
        <f t="shared" si="91"/>
        <v>0</v>
      </c>
      <c r="AEO10" s="5">
        <v>0</v>
      </c>
      <c r="AEP10" s="49">
        <f>AEO10-AEN10</f>
        <v>0</v>
      </c>
      <c r="AER10" s="2">
        <v>24</v>
      </c>
      <c r="AES10" s="2"/>
      <c r="AET10" s="2">
        <f t="shared" si="92"/>
        <v>-24</v>
      </c>
      <c r="AEU10" s="5"/>
      <c r="AEV10" s="49">
        <f>AEU10-AET10</f>
        <v>24</v>
      </c>
      <c r="AEX10" s="2">
        <v>24</v>
      </c>
      <c r="AEY10" s="2"/>
      <c r="AEZ10" s="2">
        <f t="shared" si="93"/>
        <v>0</v>
      </c>
      <c r="AFA10" s="5">
        <v>0</v>
      </c>
      <c r="AFB10" s="49">
        <f>AFA10-AEZ10</f>
        <v>0</v>
      </c>
      <c r="AFD10" s="2">
        <v>24</v>
      </c>
      <c r="AFE10" s="2"/>
      <c r="AFF10" s="2">
        <f t="shared" si="94"/>
        <v>0</v>
      </c>
      <c r="AFG10" s="5">
        <v>0</v>
      </c>
      <c r="AFH10" s="49">
        <f>AFG10-AFF10</f>
        <v>0</v>
      </c>
      <c r="AFJ10" s="2">
        <v>17</v>
      </c>
      <c r="AFK10" s="2"/>
      <c r="AFL10" s="2">
        <f t="shared" si="95"/>
        <v>7</v>
      </c>
      <c r="AFM10" s="5">
        <v>4</v>
      </c>
      <c r="AFN10" s="49">
        <f>AFM10-AFL10</f>
        <v>-3</v>
      </c>
      <c r="AFP10" s="2">
        <v>12</v>
      </c>
      <c r="AFQ10" s="2"/>
      <c r="AFR10" s="2">
        <f t="shared" si="96"/>
        <v>5</v>
      </c>
      <c r="AFS10" s="5">
        <v>6</v>
      </c>
      <c r="AFT10" s="49">
        <f>AFS10-AFR10</f>
        <v>1</v>
      </c>
      <c r="AFV10" s="2">
        <v>12</v>
      </c>
      <c r="AFW10" s="2"/>
      <c r="AFX10" s="2">
        <f t="shared" si="97"/>
        <v>0</v>
      </c>
      <c r="AFY10" s="5"/>
      <c r="AFZ10" s="49">
        <f>AFY10-AFX10</f>
        <v>0</v>
      </c>
      <c r="AGB10" s="2">
        <v>12</v>
      </c>
      <c r="AGC10" s="2"/>
      <c r="AGD10" s="2">
        <f t="shared" si="98"/>
        <v>0</v>
      </c>
      <c r="AGE10" s="5">
        <v>0</v>
      </c>
      <c r="AGF10" s="49">
        <f>AGE10-AGD10</f>
        <v>0</v>
      </c>
      <c r="AGH10" s="2">
        <v>12</v>
      </c>
      <c r="AGI10" s="2"/>
      <c r="AGJ10" s="2">
        <f t="shared" si="99"/>
        <v>0</v>
      </c>
      <c r="AGK10" s="5"/>
      <c r="AGL10" s="49">
        <f>AGK10-AGJ10</f>
        <v>0</v>
      </c>
      <c r="AGN10" s="2">
        <v>12</v>
      </c>
      <c r="AGO10" s="2"/>
      <c r="AGP10" s="2">
        <f t="shared" si="100"/>
        <v>0</v>
      </c>
      <c r="AGQ10" s="5"/>
      <c r="AGR10" s="49">
        <f>AGQ10-AGP10</f>
        <v>0</v>
      </c>
      <c r="AGT10" s="2">
        <v>108</v>
      </c>
      <c r="AGU10" s="2"/>
      <c r="AGV10" s="2">
        <f t="shared" si="101"/>
        <v>-96</v>
      </c>
      <c r="AGW10" s="5"/>
      <c r="AGX10" s="49">
        <f>AGW10-AGV10</f>
        <v>96</v>
      </c>
      <c r="AGZ10" s="2">
        <v>22</v>
      </c>
      <c r="AHA10" s="2"/>
      <c r="AHB10" s="2">
        <f t="shared" si="102"/>
        <v>86</v>
      </c>
      <c r="AHC10" s="5"/>
      <c r="AHD10" s="49">
        <f>AHC10-AHB10</f>
        <v>-86</v>
      </c>
      <c r="AHF10" s="2">
        <v>22</v>
      </c>
      <c r="AHG10" s="2"/>
      <c r="AHH10" s="2">
        <f t="shared" si="103"/>
        <v>0</v>
      </c>
      <c r="AHI10" s="5"/>
      <c r="AHJ10" s="49">
        <f>AHI10-AHH10</f>
        <v>0</v>
      </c>
      <c r="AHL10" s="2">
        <v>21</v>
      </c>
      <c r="AHM10" s="2">
        <v>0</v>
      </c>
      <c r="AHN10" s="2">
        <f t="shared" si="104"/>
        <v>1</v>
      </c>
      <c r="AHO10" s="5"/>
      <c r="AHP10" s="49">
        <f>AHO10-AHN10</f>
        <v>-1</v>
      </c>
      <c r="AHR10" s="2">
        <v>20</v>
      </c>
      <c r="AHS10" s="2"/>
      <c r="AHT10" s="2">
        <f t="shared" si="105"/>
        <v>1</v>
      </c>
      <c r="AHU10" s="5"/>
      <c r="AHV10" s="49">
        <f>AHU10-AHT10</f>
        <v>-1</v>
      </c>
      <c r="AHX10" s="2">
        <v>20</v>
      </c>
      <c r="AHY10" s="2"/>
      <c r="AHZ10" s="2">
        <f t="shared" si="106"/>
        <v>0</v>
      </c>
      <c r="AIA10" s="5"/>
      <c r="AIB10" s="49">
        <f>AIA10-AHZ10</f>
        <v>0</v>
      </c>
      <c r="AID10" s="2">
        <v>20</v>
      </c>
      <c r="AIE10" s="2"/>
      <c r="AIF10" s="2">
        <f t="shared" si="107"/>
        <v>0</v>
      </c>
      <c r="AIG10" s="5"/>
      <c r="AIH10" s="49">
        <f>AIG10-AIF10</f>
        <v>0</v>
      </c>
      <c r="AIJ10" s="2">
        <v>21</v>
      </c>
      <c r="AIK10" s="2"/>
      <c r="AIL10" s="2">
        <f t="shared" si="108"/>
        <v>-1</v>
      </c>
      <c r="AIM10" s="5"/>
      <c r="AIN10" s="49">
        <f>AIM10-AIL10</f>
        <v>1</v>
      </c>
      <c r="AIP10" s="2">
        <v>17</v>
      </c>
      <c r="AIQ10" s="2"/>
      <c r="AIR10" s="2">
        <f t="shared" si="109"/>
        <v>4</v>
      </c>
      <c r="AIS10" s="5"/>
      <c r="AIT10" s="49">
        <f>AIS10-AIR10</f>
        <v>-4</v>
      </c>
      <c r="AIV10" s="2">
        <v>17</v>
      </c>
      <c r="AIW10" s="2"/>
      <c r="AIX10" s="2">
        <f t="shared" si="110"/>
        <v>0</v>
      </c>
      <c r="AIY10" s="5"/>
      <c r="AIZ10" s="49">
        <f>AIY10-AIX10</f>
        <v>0</v>
      </c>
      <c r="AJB10" s="2">
        <v>17</v>
      </c>
      <c r="AJC10" s="2"/>
      <c r="AJD10" s="2">
        <f t="shared" si="111"/>
        <v>0</v>
      </c>
      <c r="AJE10" s="5"/>
      <c r="AJF10" s="49">
        <f>AJE10-AJD10</f>
        <v>0</v>
      </c>
      <c r="AJH10" s="2">
        <v>17</v>
      </c>
      <c r="AJI10" s="2"/>
      <c r="AJJ10" s="2">
        <f t="shared" si="112"/>
        <v>0</v>
      </c>
      <c r="AJK10" s="5"/>
      <c r="AJL10" s="49">
        <f>AJK10-AJJ10</f>
        <v>0</v>
      </c>
      <c r="AJN10" s="2">
        <v>15</v>
      </c>
      <c r="AJO10" s="2"/>
      <c r="AJP10" s="2">
        <f t="shared" si="113"/>
        <v>2</v>
      </c>
      <c r="AJQ10" s="5"/>
      <c r="AJR10" s="49">
        <f>AJQ10-AJP10</f>
        <v>-2</v>
      </c>
      <c r="AJT10" s="2">
        <v>15</v>
      </c>
      <c r="AJU10" s="2"/>
      <c r="AJV10" s="2">
        <f t="shared" si="114"/>
        <v>0</v>
      </c>
      <c r="AJW10" s="5"/>
      <c r="AJX10" s="49">
        <f>AJW10-AJV10</f>
        <v>0</v>
      </c>
      <c r="AJZ10" s="2">
        <v>13</v>
      </c>
      <c r="AKA10" s="2"/>
      <c r="AKB10" s="2">
        <f t="shared" si="115"/>
        <v>2</v>
      </c>
      <c r="AKC10" s="5"/>
      <c r="AKD10" s="49">
        <f>AKC10-AKB10</f>
        <v>-2</v>
      </c>
      <c r="AKF10" s="2">
        <v>37</v>
      </c>
      <c r="AKG10" s="2"/>
      <c r="AKH10" s="2">
        <f t="shared" si="116"/>
        <v>-24</v>
      </c>
      <c r="AKI10" s="5"/>
      <c r="AKJ10" s="49">
        <f>AKI10-AKH10</f>
        <v>24</v>
      </c>
      <c r="AKL10" s="2">
        <v>48</v>
      </c>
      <c r="AKM10" s="2"/>
      <c r="AKN10" s="2">
        <f t="shared" si="117"/>
        <v>-11</v>
      </c>
      <c r="AKO10" s="5"/>
      <c r="AKP10" s="49">
        <f>AKO10-AKN10</f>
        <v>11</v>
      </c>
      <c r="AKR10" s="2">
        <v>48</v>
      </c>
      <c r="AKS10" s="2"/>
      <c r="AKT10" s="2">
        <f t="shared" si="118"/>
        <v>0</v>
      </c>
      <c r="AKU10" s="5"/>
      <c r="AKV10" s="49">
        <f>AKU10-AKT10</f>
        <v>0</v>
      </c>
      <c r="AKX10" s="2">
        <v>32</v>
      </c>
      <c r="AKY10" s="2"/>
      <c r="AKZ10" s="2">
        <f t="shared" si="119"/>
        <v>16</v>
      </c>
      <c r="ALA10" s="5"/>
      <c r="ALB10" s="49">
        <f>ALA10-AKZ10</f>
        <v>-16</v>
      </c>
      <c r="ALD10" s="2">
        <v>31</v>
      </c>
      <c r="ALE10" s="2"/>
      <c r="ALF10" s="2">
        <f t="shared" si="120"/>
        <v>1</v>
      </c>
      <c r="ALG10" s="5"/>
      <c r="ALH10" s="49">
        <f>ALG10-ALF10</f>
        <v>-1</v>
      </c>
      <c r="ALJ10" s="2">
        <v>31</v>
      </c>
      <c r="ALK10" s="2"/>
      <c r="ALL10" s="2">
        <f t="shared" si="121"/>
        <v>0</v>
      </c>
      <c r="ALM10" s="5"/>
      <c r="ALN10" s="49">
        <f>ALM10-ALL10</f>
        <v>0</v>
      </c>
      <c r="ALP10" s="2">
        <v>32</v>
      </c>
      <c r="ALQ10" s="2"/>
      <c r="ALR10" s="2">
        <f t="shared" si="122"/>
        <v>-1</v>
      </c>
      <c r="ALS10" s="5"/>
      <c r="ALT10" s="49">
        <f>ALS10-ALR10</f>
        <v>1</v>
      </c>
      <c r="ALV10" s="2">
        <v>33</v>
      </c>
      <c r="ALW10" s="2"/>
      <c r="ALX10" s="2">
        <f t="shared" si="123"/>
        <v>-1</v>
      </c>
      <c r="ALY10" s="5"/>
      <c r="ALZ10" s="49">
        <f>ALY10-ALX10</f>
        <v>1</v>
      </c>
      <c r="AMB10" s="2">
        <v>151</v>
      </c>
      <c r="AMC10" s="2"/>
      <c r="AMD10" s="2">
        <f t="shared" si="124"/>
        <v>-118</v>
      </c>
      <c r="AME10" s="5"/>
      <c r="AMF10" s="49">
        <f>AME10-AMD10</f>
        <v>118</v>
      </c>
      <c r="AMH10" s="2">
        <v>26</v>
      </c>
      <c r="AMI10" s="2"/>
      <c r="AMJ10" s="2">
        <f t="shared" si="125"/>
        <v>125</v>
      </c>
      <c r="AMK10" s="5"/>
      <c r="AML10" s="49">
        <f>AMK10-AMJ10</f>
        <v>-125</v>
      </c>
      <c r="AMN10" s="2">
        <v>24</v>
      </c>
      <c r="AMO10" s="2"/>
      <c r="AMP10" s="2">
        <f t="shared" si="126"/>
        <v>2</v>
      </c>
      <c r="AMQ10" s="5"/>
      <c r="AMR10" s="49">
        <f>AMQ10-AMP10</f>
        <v>-2</v>
      </c>
      <c r="AMT10" s="2">
        <v>21</v>
      </c>
      <c r="AMU10" s="2"/>
      <c r="AMV10" s="2">
        <f t="shared" si="127"/>
        <v>3</v>
      </c>
      <c r="AMW10" s="5"/>
      <c r="AMX10" s="49">
        <f>AMW10-AMV10</f>
        <v>-3</v>
      </c>
      <c r="AMZ10" s="2">
        <v>21</v>
      </c>
      <c r="ANA10" s="2"/>
      <c r="ANB10" s="2">
        <f t="shared" si="128"/>
        <v>0</v>
      </c>
      <c r="ANC10" s="5"/>
      <c r="AND10" s="49">
        <f>ANC10-ANB10</f>
        <v>0</v>
      </c>
      <c r="ANF10" s="2">
        <v>20</v>
      </c>
      <c r="ANG10" s="2"/>
      <c r="ANH10" s="2">
        <f t="shared" si="129"/>
        <v>1</v>
      </c>
      <c r="ANI10" s="5"/>
      <c r="ANJ10" s="49">
        <f>ANI10-ANH10</f>
        <v>-1</v>
      </c>
      <c r="ANL10" s="2">
        <v>20</v>
      </c>
      <c r="ANM10" s="2"/>
      <c r="ANN10" s="2">
        <f t="shared" si="130"/>
        <v>0</v>
      </c>
      <c r="ANO10" s="5"/>
      <c r="ANP10" s="49">
        <f>ANO10-ANN10</f>
        <v>0</v>
      </c>
      <c r="ANR10" s="2">
        <v>20</v>
      </c>
      <c r="ANS10" s="2"/>
      <c r="ANT10" s="2">
        <f t="shared" si="131"/>
        <v>0</v>
      </c>
      <c r="ANU10" s="5"/>
      <c r="ANV10" s="49">
        <f>ANU10-ANT10</f>
        <v>0</v>
      </c>
      <c r="ANX10" s="2">
        <v>18</v>
      </c>
      <c r="ANY10" s="2"/>
      <c r="ANZ10" s="2">
        <f t="shared" si="132"/>
        <v>2</v>
      </c>
      <c r="AOA10" s="5"/>
      <c r="AOB10" s="49">
        <f>AOA10-ANZ10</f>
        <v>-2</v>
      </c>
      <c r="AOD10" s="2">
        <v>18</v>
      </c>
      <c r="AOE10" s="2"/>
      <c r="AOF10" s="2">
        <f t="shared" si="133"/>
        <v>0</v>
      </c>
      <c r="AOG10" s="5"/>
      <c r="AOH10" s="49">
        <f>AOG10-AOF10</f>
        <v>0</v>
      </c>
      <c r="AOJ10" s="2">
        <v>42</v>
      </c>
      <c r="AOK10" s="2"/>
      <c r="AOL10" s="2">
        <f t="shared" si="134"/>
        <v>-24</v>
      </c>
      <c r="AOM10" s="5"/>
      <c r="AON10" s="49">
        <f>AOM10-AOL10</f>
        <v>24</v>
      </c>
      <c r="AOP10" s="2">
        <v>42</v>
      </c>
      <c r="AOQ10" s="2"/>
      <c r="AOR10" s="2"/>
      <c r="AOS10" s="5"/>
      <c r="AOT10" s="49"/>
      <c r="AOV10" s="2">
        <v>42</v>
      </c>
      <c r="AOW10" s="2"/>
      <c r="AOX10" s="2">
        <f t="shared" si="135"/>
        <v>0</v>
      </c>
      <c r="AOY10" s="5"/>
      <c r="AOZ10" s="49">
        <f>AOY10-AOX10</f>
        <v>0</v>
      </c>
    </row>
    <row r="11" spans="1:1092" x14ac:dyDescent="0.25">
      <c r="A11" s="3" t="s">
        <v>60</v>
      </c>
      <c r="B11" s="86">
        <f t="shared" si="0"/>
        <v>2.203125</v>
      </c>
      <c r="C11" s="5">
        <v>24</v>
      </c>
      <c r="E11" s="5">
        <v>22</v>
      </c>
      <c r="F11" s="5"/>
      <c r="H11" s="5">
        <v>22</v>
      </c>
      <c r="I11" s="5"/>
      <c r="J11" s="5">
        <f t="shared" si="136"/>
        <v>0</v>
      </c>
      <c r="K11" s="5"/>
      <c r="L11" s="24">
        <f t="shared" si="137"/>
        <v>0</v>
      </c>
      <c r="N11" s="5">
        <v>22</v>
      </c>
      <c r="O11" s="5"/>
      <c r="P11" s="5">
        <f t="shared" si="138"/>
        <v>0</v>
      </c>
      <c r="Q11" s="5">
        <v>3</v>
      </c>
      <c r="R11" s="24">
        <f t="shared" si="139"/>
        <v>3</v>
      </c>
      <c r="T11" s="5">
        <v>16</v>
      </c>
      <c r="U11" s="5"/>
      <c r="V11" s="5">
        <f t="shared" si="140"/>
        <v>6</v>
      </c>
      <c r="W11" s="5">
        <v>3</v>
      </c>
      <c r="X11" s="24">
        <f t="shared" si="141"/>
        <v>-3</v>
      </c>
      <c r="Z11" s="5">
        <v>16</v>
      </c>
      <c r="AA11" s="5"/>
      <c r="AB11" s="5">
        <f t="shared" si="142"/>
        <v>0</v>
      </c>
      <c r="AC11" s="5"/>
      <c r="AD11" s="24">
        <f t="shared" si="143"/>
        <v>0</v>
      </c>
      <c r="AF11" s="5">
        <v>16</v>
      </c>
      <c r="AG11" s="5"/>
      <c r="AH11" s="5">
        <f t="shared" si="144"/>
        <v>0</v>
      </c>
      <c r="AI11" s="5"/>
      <c r="AJ11" s="24">
        <f t="shared" si="145"/>
        <v>0</v>
      </c>
      <c r="AL11" s="5">
        <v>16</v>
      </c>
      <c r="AM11" s="5"/>
      <c r="AN11" s="5">
        <f t="shared" ref="AN11" si="361">(AG11*24)+AF11-AL11</f>
        <v>0</v>
      </c>
      <c r="AO11" s="5"/>
      <c r="AP11" s="24">
        <f t="shared" ref="AP11" si="362">AO11-AN11</f>
        <v>0</v>
      </c>
      <c r="AR11" s="5">
        <v>16</v>
      </c>
      <c r="AS11" s="5"/>
      <c r="AT11" s="5">
        <f t="shared" si="148"/>
        <v>0</v>
      </c>
      <c r="AU11" s="5"/>
      <c r="AV11" s="24">
        <f t="shared" ref="AV11" si="363">AU11-AT11</f>
        <v>0</v>
      </c>
      <c r="AX11" s="5">
        <v>16</v>
      </c>
      <c r="AY11" s="5"/>
      <c r="AZ11" s="5">
        <f t="shared" si="150"/>
        <v>0</v>
      </c>
      <c r="BA11" s="5"/>
      <c r="BB11" s="24">
        <f t="shared" ref="BB11" si="364">BA11-AZ11</f>
        <v>0</v>
      </c>
      <c r="BD11" s="5">
        <v>16</v>
      </c>
      <c r="BE11" s="5"/>
      <c r="BF11" s="5">
        <f t="shared" si="152"/>
        <v>0</v>
      </c>
      <c r="BG11" s="5"/>
      <c r="BH11" s="24">
        <f t="shared" ref="BH11" si="365">BG11-BF11</f>
        <v>0</v>
      </c>
      <c r="BJ11" s="5">
        <v>16</v>
      </c>
      <c r="BK11" s="5"/>
      <c r="BL11" s="5">
        <f t="shared" si="154"/>
        <v>0</v>
      </c>
      <c r="BM11" s="5"/>
      <c r="BN11" s="24">
        <f t="shared" ref="BN11" si="366">BM11-BL11</f>
        <v>0</v>
      </c>
      <c r="BP11" s="5">
        <v>16</v>
      </c>
      <c r="BQ11" s="5"/>
      <c r="BR11" s="5">
        <f t="shared" si="156"/>
        <v>0</v>
      </c>
      <c r="BS11" s="5"/>
      <c r="BT11" s="24">
        <f t="shared" ref="BT11" si="367">BS11-BR11</f>
        <v>0</v>
      </c>
      <c r="BV11" s="5">
        <v>15</v>
      </c>
      <c r="BW11" s="5"/>
      <c r="BX11" s="5">
        <f t="shared" si="158"/>
        <v>1</v>
      </c>
      <c r="BY11" s="5"/>
      <c r="BZ11" s="24">
        <f t="shared" ref="BZ11" si="368">BY11-BX11</f>
        <v>-1</v>
      </c>
      <c r="CB11" s="5">
        <v>15</v>
      </c>
      <c r="CC11" s="5"/>
      <c r="CD11" s="5">
        <f t="shared" si="160"/>
        <v>0</v>
      </c>
      <c r="CE11" s="5">
        <v>0</v>
      </c>
      <c r="CF11" s="24">
        <f t="shared" ref="CF11" si="369">CE11-CD11</f>
        <v>0</v>
      </c>
      <c r="CH11" s="5">
        <v>15</v>
      </c>
      <c r="CI11" s="5"/>
      <c r="CJ11" s="5">
        <f t="shared" si="162"/>
        <v>0</v>
      </c>
      <c r="CK11" s="5">
        <v>0</v>
      </c>
      <c r="CL11" s="24">
        <f t="shared" ref="CL11" si="370">CK11-CJ11</f>
        <v>0</v>
      </c>
      <c r="CN11" s="5">
        <v>15</v>
      </c>
      <c r="CO11" s="37"/>
      <c r="CP11" s="5">
        <f t="shared" si="164"/>
        <v>0</v>
      </c>
      <c r="CQ11" s="5">
        <v>0</v>
      </c>
      <c r="CR11" s="24">
        <f t="shared" ref="CR11" si="371">CQ11-CP11</f>
        <v>0</v>
      </c>
      <c r="CT11" s="5">
        <v>8</v>
      </c>
      <c r="CU11" s="37"/>
      <c r="CV11" s="5">
        <f t="shared" si="166"/>
        <v>7</v>
      </c>
      <c r="CW11" s="5">
        <v>7</v>
      </c>
      <c r="CX11" s="41">
        <f t="shared" ref="CX11" si="372">CW11-CV11</f>
        <v>0</v>
      </c>
      <c r="CZ11" s="5">
        <v>8</v>
      </c>
      <c r="DA11" s="37"/>
      <c r="DB11" s="5">
        <f t="shared" si="168"/>
        <v>0</v>
      </c>
      <c r="DC11" s="5">
        <v>0</v>
      </c>
      <c r="DD11" s="41">
        <f t="shared" ref="DD11" si="373">DC11-DB11</f>
        <v>0</v>
      </c>
      <c r="DF11" s="5">
        <v>6</v>
      </c>
      <c r="DG11" s="37"/>
      <c r="DH11" s="5">
        <f t="shared" si="170"/>
        <v>2</v>
      </c>
      <c r="DI11" s="5">
        <v>2</v>
      </c>
      <c r="DJ11" s="41">
        <f t="shared" ref="DJ11" si="374">DI11-DH11</f>
        <v>0</v>
      </c>
      <c r="DL11" s="5">
        <v>0</v>
      </c>
      <c r="DM11" s="37"/>
      <c r="DN11" s="5">
        <f t="shared" si="172"/>
        <v>6</v>
      </c>
      <c r="DO11" s="5">
        <v>6</v>
      </c>
      <c r="DP11" s="41">
        <f t="shared" ref="DP11" si="375">DO11-DN11</f>
        <v>0</v>
      </c>
      <c r="DR11" s="5">
        <v>0</v>
      </c>
      <c r="DS11" s="37"/>
      <c r="DT11" s="5">
        <f t="shared" si="174"/>
        <v>0</v>
      </c>
      <c r="DU11" s="5"/>
      <c r="DV11" s="41">
        <f t="shared" ref="DV11" si="376">DU11-DT11</f>
        <v>0</v>
      </c>
      <c r="DX11" s="5">
        <v>0</v>
      </c>
      <c r="DY11" s="37"/>
      <c r="DZ11" s="5">
        <f t="shared" si="176"/>
        <v>0</v>
      </c>
      <c r="EA11" s="5"/>
      <c r="EB11" s="41">
        <f t="shared" ref="EB11" si="377">EA11-DZ11</f>
        <v>0</v>
      </c>
      <c r="ED11" s="5">
        <v>0</v>
      </c>
      <c r="EE11" s="37"/>
      <c r="EF11" s="5">
        <f t="shared" si="178"/>
        <v>0</v>
      </c>
      <c r="EG11" s="5"/>
      <c r="EH11" s="41">
        <f t="shared" ref="EH11" si="378">EG11-EF11</f>
        <v>0</v>
      </c>
      <c r="EJ11" s="5">
        <v>0</v>
      </c>
      <c r="EK11" s="37"/>
      <c r="EL11" s="5">
        <f t="shared" si="180"/>
        <v>0</v>
      </c>
      <c r="EM11" s="5"/>
      <c r="EN11" s="41">
        <f t="shared" ref="EN11" si="379">EM11-EL11</f>
        <v>0</v>
      </c>
      <c r="EP11" s="5">
        <v>0</v>
      </c>
      <c r="EQ11" s="37"/>
      <c r="ER11" s="5">
        <f t="shared" si="182"/>
        <v>0</v>
      </c>
      <c r="ES11" s="5">
        <v>0</v>
      </c>
      <c r="ET11" s="41">
        <f t="shared" ref="ET11" si="380">ES11-ER11</f>
        <v>0</v>
      </c>
      <c r="EV11" s="5">
        <v>0</v>
      </c>
      <c r="EW11" s="37"/>
      <c r="EX11" s="5">
        <f t="shared" si="184"/>
        <v>0</v>
      </c>
      <c r="EY11" s="5"/>
      <c r="EZ11" s="41">
        <f t="shared" ref="EZ11" si="381">EY11-EX11</f>
        <v>0</v>
      </c>
      <c r="FB11" s="5">
        <v>0</v>
      </c>
      <c r="FC11" s="37"/>
      <c r="FD11" s="5">
        <f t="shared" si="186"/>
        <v>0</v>
      </c>
      <c r="FE11" s="5"/>
      <c r="FF11" s="41">
        <f t="shared" ref="FF11" si="382">FE11-FD11</f>
        <v>0</v>
      </c>
      <c r="FH11" s="5">
        <v>0</v>
      </c>
      <c r="FI11" s="37"/>
      <c r="FJ11" s="5">
        <f t="shared" si="188"/>
        <v>0</v>
      </c>
      <c r="FK11" s="5"/>
      <c r="FL11" s="41">
        <f t="shared" ref="FL11" si="383">FK11-FJ11</f>
        <v>0</v>
      </c>
      <c r="FN11" s="5">
        <v>0</v>
      </c>
      <c r="FO11" s="37"/>
      <c r="FP11" s="5">
        <f t="shared" si="190"/>
        <v>0</v>
      </c>
      <c r="FQ11" s="5"/>
      <c r="FR11" s="41">
        <f t="shared" ref="FR11" si="384">FQ11-FP11</f>
        <v>0</v>
      </c>
      <c r="FT11" s="5">
        <v>0</v>
      </c>
      <c r="FU11" s="37"/>
      <c r="FV11" s="5">
        <f t="shared" si="192"/>
        <v>0</v>
      </c>
      <c r="FW11" s="5"/>
      <c r="FX11" s="41">
        <f t="shared" ref="FX11" si="385">FW11-FV11</f>
        <v>0</v>
      </c>
      <c r="FZ11" s="5">
        <v>0</v>
      </c>
      <c r="GA11" s="37"/>
      <c r="GB11" s="5">
        <f t="shared" si="194"/>
        <v>0</v>
      </c>
      <c r="GC11" s="5"/>
      <c r="GD11" s="41">
        <f t="shared" ref="GD11" si="386">GC11-GB11</f>
        <v>0</v>
      </c>
      <c r="GF11" s="5">
        <v>0</v>
      </c>
      <c r="GG11" s="37"/>
      <c r="GH11" s="5">
        <f t="shared" si="196"/>
        <v>0</v>
      </c>
      <c r="GI11" s="5"/>
      <c r="GJ11" s="41">
        <f t="shared" ref="GJ11" si="387">GI11-GH11</f>
        <v>0</v>
      </c>
      <c r="GL11" s="5">
        <v>0</v>
      </c>
      <c r="GM11" s="37"/>
      <c r="GN11" s="5">
        <f t="shared" si="198"/>
        <v>0</v>
      </c>
      <c r="GO11" s="5"/>
      <c r="GP11" s="41">
        <f t="shared" ref="GP11" si="388">GO11-GN11</f>
        <v>0</v>
      </c>
      <c r="GR11" s="5">
        <v>0</v>
      </c>
      <c r="GS11" s="37"/>
      <c r="GT11" s="5">
        <f t="shared" si="200"/>
        <v>0</v>
      </c>
      <c r="GU11" s="5"/>
      <c r="GV11" s="41">
        <f t="shared" ref="GV11" si="389">GU11-GT11</f>
        <v>0</v>
      </c>
      <c r="GX11" s="5">
        <v>0</v>
      </c>
      <c r="GY11" s="37"/>
      <c r="GZ11" s="5">
        <f t="shared" si="202"/>
        <v>0</v>
      </c>
      <c r="HA11" s="5"/>
      <c r="HB11" s="41">
        <f t="shared" ref="HB11" si="390">HA11-GZ11</f>
        <v>0</v>
      </c>
      <c r="HD11" s="5">
        <v>0</v>
      </c>
      <c r="HE11" s="37"/>
      <c r="HF11" s="5">
        <f t="shared" si="204"/>
        <v>0</v>
      </c>
      <c r="HG11" s="5"/>
      <c r="HH11" s="41">
        <f t="shared" ref="HH11" si="391">HG11-HF11</f>
        <v>0</v>
      </c>
      <c r="HJ11" s="5">
        <v>0</v>
      </c>
      <c r="HK11" s="37"/>
      <c r="HL11" s="5">
        <f t="shared" si="206"/>
        <v>0</v>
      </c>
      <c r="HM11" s="5"/>
      <c r="HN11" s="41">
        <f t="shared" ref="HN11" si="392">HM11-HL11</f>
        <v>0</v>
      </c>
      <c r="HP11" s="5">
        <v>0</v>
      </c>
      <c r="HQ11" s="37"/>
      <c r="HR11" s="5">
        <f t="shared" si="208"/>
        <v>0</v>
      </c>
      <c r="HS11" s="5"/>
      <c r="HT11" s="41">
        <f t="shared" ref="HT11" si="393">HS11-HR11</f>
        <v>0</v>
      </c>
      <c r="HV11" s="5">
        <v>0</v>
      </c>
      <c r="HW11" s="37"/>
      <c r="HX11" s="5">
        <f t="shared" si="210"/>
        <v>0</v>
      </c>
      <c r="HY11" s="5"/>
      <c r="HZ11" s="41">
        <f t="shared" ref="HZ11" si="394">HY11-HX11</f>
        <v>0</v>
      </c>
      <c r="IB11" s="5">
        <v>0</v>
      </c>
      <c r="IC11" s="37"/>
      <c r="ID11" s="5">
        <f t="shared" si="212"/>
        <v>0</v>
      </c>
      <c r="IE11" s="5"/>
      <c r="IF11" s="41">
        <f t="shared" ref="IF11" si="395">IE11-ID11</f>
        <v>0</v>
      </c>
      <c r="IH11" s="5">
        <v>0</v>
      </c>
      <c r="II11" s="37"/>
      <c r="IJ11" s="5">
        <f t="shared" si="214"/>
        <v>0</v>
      </c>
      <c r="IK11" s="5"/>
      <c r="IL11" s="41">
        <f t="shared" ref="IL11" si="396">IK11-IJ11</f>
        <v>0</v>
      </c>
      <c r="IN11" s="5">
        <v>0</v>
      </c>
      <c r="IO11" s="37"/>
      <c r="IP11" s="5">
        <f t="shared" si="216"/>
        <v>0</v>
      </c>
      <c r="IQ11" s="5"/>
      <c r="IR11" s="41">
        <f t="shared" ref="IR11" si="397">IQ11-IP11</f>
        <v>0</v>
      </c>
      <c r="IT11" s="5">
        <v>0</v>
      </c>
      <c r="IU11" s="37"/>
      <c r="IV11" s="5">
        <f t="shared" si="218"/>
        <v>0</v>
      </c>
      <c r="IW11" s="5"/>
      <c r="IX11" s="41">
        <f t="shared" ref="IX11" si="398">IW11-IV11</f>
        <v>0</v>
      </c>
      <c r="IZ11" s="5">
        <v>0</v>
      </c>
      <c r="JA11" s="37"/>
      <c r="JB11" s="5">
        <f t="shared" si="220"/>
        <v>0</v>
      </c>
      <c r="JC11" s="5"/>
      <c r="JD11" s="41">
        <f t="shared" ref="JD11" si="399">JC11-JB11</f>
        <v>0</v>
      </c>
      <c r="JF11" s="5">
        <v>0</v>
      </c>
      <c r="JG11" s="37"/>
      <c r="JH11" s="5">
        <f t="shared" si="222"/>
        <v>0</v>
      </c>
      <c r="JI11" s="5"/>
      <c r="JJ11" s="41">
        <f t="shared" ref="JJ11" si="400">JI11-JH11</f>
        <v>0</v>
      </c>
      <c r="JL11" s="5">
        <v>0</v>
      </c>
      <c r="JM11" s="37"/>
      <c r="JN11" s="5">
        <f t="shared" si="224"/>
        <v>0</v>
      </c>
      <c r="JO11" s="5"/>
      <c r="JP11" s="41">
        <f t="shared" ref="JP11" si="401">JO11-JN11</f>
        <v>0</v>
      </c>
      <c r="JR11" s="5">
        <v>0</v>
      </c>
      <c r="JS11" s="37"/>
      <c r="JT11" s="5">
        <f t="shared" si="1"/>
        <v>0</v>
      </c>
      <c r="JU11" s="5"/>
      <c r="JV11" s="41">
        <f t="shared" ref="JV11" si="402">JU11-JT11</f>
        <v>0</v>
      </c>
      <c r="JX11" s="5">
        <v>0</v>
      </c>
      <c r="JY11" s="37"/>
      <c r="JZ11" s="5">
        <f t="shared" si="2"/>
        <v>0</v>
      </c>
      <c r="KA11" s="5"/>
      <c r="KB11" s="41">
        <f t="shared" ref="KB11" si="403">KA11-JZ11</f>
        <v>0</v>
      </c>
      <c r="KD11" s="5">
        <v>0</v>
      </c>
      <c r="KE11" s="37"/>
      <c r="KF11" s="5">
        <f t="shared" si="3"/>
        <v>0</v>
      </c>
      <c r="KG11" s="5"/>
      <c r="KH11" s="41">
        <f t="shared" ref="KH11" si="404">KG11-KF11</f>
        <v>0</v>
      </c>
      <c r="KJ11" s="5">
        <v>0</v>
      </c>
      <c r="KK11" s="37"/>
      <c r="KL11" s="5">
        <f t="shared" si="4"/>
        <v>0</v>
      </c>
      <c r="KM11" s="5"/>
      <c r="KN11" s="41">
        <f t="shared" ref="KN11" si="405">KM11-KL11</f>
        <v>0</v>
      </c>
      <c r="KP11" s="5">
        <v>0</v>
      </c>
      <c r="KQ11" s="37"/>
      <c r="KR11" s="5">
        <f t="shared" si="5"/>
        <v>0</v>
      </c>
      <c r="KS11" s="5"/>
      <c r="KT11" s="41">
        <f t="shared" ref="KT11" si="406">KS11-KR11</f>
        <v>0</v>
      </c>
      <c r="KV11" s="5">
        <v>0</v>
      </c>
      <c r="KW11" s="37"/>
      <c r="KX11" s="5">
        <f t="shared" si="6"/>
        <v>0</v>
      </c>
      <c r="KY11" s="5"/>
      <c r="KZ11" s="41">
        <f t="shared" ref="KZ11" si="407">KY11-KX11</f>
        <v>0</v>
      </c>
      <c r="LB11" s="5">
        <v>0</v>
      </c>
      <c r="LC11" s="5"/>
      <c r="LD11" s="5">
        <f t="shared" si="7"/>
        <v>0</v>
      </c>
      <c r="LE11" s="5"/>
      <c r="LF11" s="41">
        <f t="shared" ref="LF11" si="408">LE11-LD11</f>
        <v>0</v>
      </c>
      <c r="LH11" s="5">
        <v>0</v>
      </c>
      <c r="LI11" s="5"/>
      <c r="LJ11" s="5">
        <f t="shared" si="8"/>
        <v>0</v>
      </c>
      <c r="LK11" s="5"/>
      <c r="LL11" s="41">
        <f t="shared" ref="LL11" si="409">LK11-LJ11</f>
        <v>0</v>
      </c>
      <c r="LN11" s="5">
        <v>0</v>
      </c>
      <c r="LO11" s="5"/>
      <c r="LP11" s="5">
        <f t="shared" si="9"/>
        <v>0</v>
      </c>
      <c r="LQ11" s="5"/>
      <c r="LR11" s="41">
        <f t="shared" ref="LR11" si="410">LQ11-LP11</f>
        <v>0</v>
      </c>
      <c r="LT11" s="5">
        <v>0</v>
      </c>
      <c r="LU11" s="5"/>
      <c r="LV11" s="5">
        <f t="shared" si="10"/>
        <v>0</v>
      </c>
      <c r="LW11" s="5"/>
      <c r="LX11" s="41">
        <f t="shared" ref="LX11" si="411">LW11-LV11</f>
        <v>0</v>
      </c>
      <c r="LZ11" s="5">
        <v>0</v>
      </c>
      <c r="MA11" s="5"/>
      <c r="MB11" s="5">
        <f t="shared" si="11"/>
        <v>0</v>
      </c>
      <c r="MC11" s="5"/>
      <c r="MD11" s="41">
        <f t="shared" ref="MD11" si="412">MC11-MB11</f>
        <v>0</v>
      </c>
      <c r="MF11" s="5">
        <v>0</v>
      </c>
      <c r="MG11" s="5"/>
      <c r="MH11" s="5">
        <f t="shared" si="12"/>
        <v>0</v>
      </c>
      <c r="MI11" s="5"/>
      <c r="MJ11" s="41">
        <f t="shared" ref="MJ11" si="413">MI11-MH11</f>
        <v>0</v>
      </c>
      <c r="ML11" s="5">
        <v>0</v>
      </c>
      <c r="MM11" s="5"/>
      <c r="MN11" s="5">
        <f t="shared" si="13"/>
        <v>0</v>
      </c>
      <c r="MO11" s="5"/>
      <c r="MP11" s="41">
        <f t="shared" ref="MP11" si="414">MO11-MN11</f>
        <v>0</v>
      </c>
      <c r="MR11" s="5">
        <v>0</v>
      </c>
      <c r="MS11" s="5"/>
      <c r="MT11" s="5">
        <f t="shared" si="14"/>
        <v>0</v>
      </c>
      <c r="MU11" s="5"/>
      <c r="MV11" s="41">
        <f t="shared" ref="MV11" si="415">MU11-MT11</f>
        <v>0</v>
      </c>
      <c r="MX11" s="5">
        <v>0</v>
      </c>
      <c r="MY11" s="5"/>
      <c r="MZ11" s="5">
        <f t="shared" si="15"/>
        <v>0</v>
      </c>
      <c r="NA11" s="5"/>
      <c r="NB11" s="41">
        <f t="shared" ref="NB11" si="416">NA11-MZ11</f>
        <v>0</v>
      </c>
      <c r="ND11" s="5">
        <v>0</v>
      </c>
      <c r="NE11" s="5"/>
      <c r="NF11" s="5">
        <f t="shared" si="16"/>
        <v>0</v>
      </c>
      <c r="NG11" s="5"/>
      <c r="NH11" s="41">
        <f t="shared" ref="NH11" si="417">NG11-NF11</f>
        <v>0</v>
      </c>
      <c r="NJ11" s="5">
        <v>0</v>
      </c>
      <c r="NK11" s="5"/>
      <c r="NL11" s="5">
        <f t="shared" si="17"/>
        <v>0</v>
      </c>
      <c r="NM11" s="5"/>
      <c r="NN11" s="41">
        <f t="shared" ref="NN11" si="418">NM11-NL11</f>
        <v>0</v>
      </c>
      <c r="NP11" s="5">
        <v>0</v>
      </c>
      <c r="NQ11" s="5">
        <v>24</v>
      </c>
      <c r="NR11" s="5">
        <f t="shared" si="18"/>
        <v>0</v>
      </c>
      <c r="NS11" s="5"/>
      <c r="NT11" s="41">
        <f t="shared" ref="NT11" si="419">NS11-NR11</f>
        <v>0</v>
      </c>
      <c r="NV11" s="5">
        <v>24</v>
      </c>
      <c r="NW11" s="5"/>
      <c r="NX11" s="5">
        <f t="shared" si="19"/>
        <v>0</v>
      </c>
      <c r="NY11" s="5"/>
      <c r="NZ11" s="41">
        <f t="shared" ref="NZ11" si="420">NY11-NX11</f>
        <v>0</v>
      </c>
      <c r="OB11" s="5">
        <v>24</v>
      </c>
      <c r="OC11" s="5"/>
      <c r="OD11" s="5">
        <f t="shared" si="20"/>
        <v>0</v>
      </c>
      <c r="OE11" s="5"/>
      <c r="OF11" s="41">
        <f t="shared" ref="OF11" si="421">OE11-OD11</f>
        <v>0</v>
      </c>
      <c r="OH11" s="5">
        <v>24</v>
      </c>
      <c r="OI11" s="5"/>
      <c r="OJ11" s="5">
        <f t="shared" si="21"/>
        <v>0</v>
      </c>
      <c r="OK11" s="5"/>
      <c r="OL11" s="41">
        <f t="shared" ref="OL11" si="422">OK11-OJ11</f>
        <v>0</v>
      </c>
      <c r="ON11" s="5">
        <v>23</v>
      </c>
      <c r="OO11" s="5"/>
      <c r="OP11" s="5">
        <f t="shared" si="22"/>
        <v>1</v>
      </c>
      <c r="OQ11" s="5"/>
      <c r="OR11" s="41">
        <f t="shared" ref="OR11" si="423">OQ11-OP11</f>
        <v>-1</v>
      </c>
      <c r="OT11" s="5">
        <v>23</v>
      </c>
      <c r="OU11" s="5"/>
      <c r="OV11" s="5">
        <f t="shared" si="23"/>
        <v>0</v>
      </c>
      <c r="OW11" s="5"/>
      <c r="OX11" s="41">
        <f t="shared" ref="OX11" si="424">OW11-OV11</f>
        <v>0</v>
      </c>
      <c r="OZ11" s="5">
        <v>21</v>
      </c>
      <c r="PA11" s="5"/>
      <c r="PB11" s="5">
        <f t="shared" si="24"/>
        <v>2</v>
      </c>
      <c r="PC11" s="5">
        <v>2</v>
      </c>
      <c r="PD11" s="41">
        <f t="shared" ref="PD11" si="425">PC11-PB11</f>
        <v>0</v>
      </c>
      <c r="PF11" s="5">
        <v>21</v>
      </c>
      <c r="PG11" s="5"/>
      <c r="PH11" s="5">
        <f t="shared" si="25"/>
        <v>0</v>
      </c>
      <c r="PI11" s="5"/>
      <c r="PJ11" s="41">
        <f t="shared" ref="PJ11" si="426">PI11-PH11</f>
        <v>0</v>
      </c>
      <c r="PL11" s="5">
        <v>18</v>
      </c>
      <c r="PM11" s="5"/>
      <c r="PN11" s="5">
        <f t="shared" si="26"/>
        <v>3</v>
      </c>
      <c r="PO11" s="5"/>
      <c r="PP11" s="41">
        <f t="shared" ref="PP11" si="427">PO11-PN11</f>
        <v>-3</v>
      </c>
      <c r="PR11" s="5">
        <v>17</v>
      </c>
      <c r="PS11" s="5"/>
      <c r="PT11" s="5">
        <f t="shared" si="27"/>
        <v>1</v>
      </c>
      <c r="PU11" s="5">
        <v>1</v>
      </c>
      <c r="PV11" s="41">
        <f t="shared" ref="PV11" si="428">PU11-PT11</f>
        <v>0</v>
      </c>
      <c r="PX11" s="5">
        <v>12</v>
      </c>
      <c r="PY11" s="5"/>
      <c r="PZ11" s="5">
        <f t="shared" si="28"/>
        <v>5</v>
      </c>
      <c r="QA11" s="5">
        <v>5</v>
      </c>
      <c r="QB11" s="41">
        <f t="shared" ref="QB11" si="429">QA11-PZ11</f>
        <v>0</v>
      </c>
      <c r="QD11" s="5">
        <v>11</v>
      </c>
      <c r="QE11" s="5"/>
      <c r="QF11" s="5">
        <f t="shared" si="29"/>
        <v>1</v>
      </c>
      <c r="QG11" s="5">
        <v>1</v>
      </c>
      <c r="QH11" s="41">
        <f t="shared" ref="QH11" si="430">QG11-QF11</f>
        <v>0</v>
      </c>
      <c r="QJ11" s="5">
        <v>10</v>
      </c>
      <c r="QK11" s="5"/>
      <c r="QL11" s="5">
        <f t="shared" si="30"/>
        <v>1</v>
      </c>
      <c r="QM11" s="5"/>
      <c r="QN11" s="41">
        <f t="shared" ref="QN11" si="431">QM11-QL11</f>
        <v>-1</v>
      </c>
      <c r="QP11" s="5">
        <v>6</v>
      </c>
      <c r="QQ11" s="5"/>
      <c r="QR11" s="5">
        <f t="shared" si="31"/>
        <v>4</v>
      </c>
      <c r="QS11" s="5">
        <v>3</v>
      </c>
      <c r="QT11" s="41">
        <f t="shared" ref="QT11" si="432">QS11-QR11</f>
        <v>-1</v>
      </c>
      <c r="QV11" s="5">
        <v>5</v>
      </c>
      <c r="QW11" s="5"/>
      <c r="QX11" s="5">
        <f t="shared" si="32"/>
        <v>1</v>
      </c>
      <c r="QY11" s="5"/>
      <c r="QZ11" s="41">
        <f t="shared" ref="QZ11" si="433">QY11-QX11</f>
        <v>-1</v>
      </c>
      <c r="RB11" s="5">
        <v>3</v>
      </c>
      <c r="RC11" s="5"/>
      <c r="RD11" s="5">
        <f t="shared" si="33"/>
        <v>2</v>
      </c>
      <c r="RE11" s="5"/>
      <c r="RF11" s="41">
        <f t="shared" ref="RF11" si="434">RE11-RD11</f>
        <v>-2</v>
      </c>
      <c r="RH11" s="5">
        <v>3</v>
      </c>
      <c r="RI11" s="5"/>
      <c r="RJ11" s="5">
        <f t="shared" si="34"/>
        <v>0</v>
      </c>
      <c r="RK11" s="5"/>
      <c r="RL11" s="41">
        <f t="shared" ref="RL11" si="435">RK11-RJ11</f>
        <v>0</v>
      </c>
      <c r="RN11" s="5">
        <v>3</v>
      </c>
      <c r="RO11" s="5"/>
      <c r="RP11" s="5">
        <f t="shared" si="35"/>
        <v>0</v>
      </c>
      <c r="RQ11" s="5">
        <v>0</v>
      </c>
      <c r="RR11" s="41">
        <f t="shared" ref="RR11" si="436">RQ11-RP11</f>
        <v>0</v>
      </c>
      <c r="RT11" s="5">
        <v>1</v>
      </c>
      <c r="RU11" s="5"/>
      <c r="RV11" s="5">
        <f t="shared" si="36"/>
        <v>2</v>
      </c>
      <c r="RW11" s="5">
        <v>2</v>
      </c>
      <c r="RX11" s="41">
        <f t="shared" ref="RX11" si="437">RW11-RV11</f>
        <v>0</v>
      </c>
      <c r="RZ11" s="5">
        <v>1</v>
      </c>
      <c r="SA11" s="5"/>
      <c r="SB11" s="5">
        <f t="shared" si="37"/>
        <v>0</v>
      </c>
      <c r="SC11" s="5"/>
      <c r="SD11" s="41">
        <f t="shared" ref="SD11" si="438">SC11-SB11</f>
        <v>0</v>
      </c>
      <c r="SF11" s="5">
        <v>1</v>
      </c>
      <c r="SG11" s="5"/>
      <c r="SH11" s="5">
        <f t="shared" si="38"/>
        <v>0</v>
      </c>
      <c r="SI11" s="5">
        <v>0</v>
      </c>
      <c r="SJ11" s="41">
        <f t="shared" ref="SJ11" si="439">SI11-SH11</f>
        <v>0</v>
      </c>
      <c r="SL11" s="5">
        <v>0</v>
      </c>
      <c r="SM11" s="5">
        <v>0</v>
      </c>
      <c r="SN11" s="5">
        <f t="shared" si="39"/>
        <v>1</v>
      </c>
      <c r="SO11" s="5">
        <v>1</v>
      </c>
      <c r="SP11" s="41">
        <f t="shared" ref="SP11" si="440">SO11-SN11</f>
        <v>0</v>
      </c>
      <c r="SR11" s="5">
        <v>0</v>
      </c>
      <c r="SS11" s="5"/>
      <c r="ST11" s="5">
        <f t="shared" si="40"/>
        <v>0</v>
      </c>
      <c r="SU11" s="5">
        <v>0</v>
      </c>
      <c r="SV11" s="41">
        <f t="shared" ref="SV11" si="441">SU11-ST11</f>
        <v>0</v>
      </c>
      <c r="SX11" s="5"/>
      <c r="SY11" s="5"/>
      <c r="SZ11" s="5">
        <f t="shared" si="41"/>
        <v>0</v>
      </c>
      <c r="TA11" s="5"/>
      <c r="TB11" s="41">
        <f t="shared" ref="TB11" si="442">TA11-SZ11</f>
        <v>0</v>
      </c>
      <c r="TD11" s="5">
        <v>0</v>
      </c>
      <c r="TE11" s="5">
        <v>24</v>
      </c>
      <c r="TF11" s="5">
        <f t="shared" si="42"/>
        <v>0</v>
      </c>
      <c r="TG11" s="5">
        <v>0</v>
      </c>
      <c r="TH11" s="41">
        <f t="shared" ref="TH11" si="443">TG11-TF11</f>
        <v>0</v>
      </c>
      <c r="TJ11" s="5">
        <v>24</v>
      </c>
      <c r="TK11" s="5"/>
      <c r="TL11" s="5">
        <f t="shared" si="43"/>
        <v>0</v>
      </c>
      <c r="TM11" s="5">
        <v>0</v>
      </c>
      <c r="TN11" s="41">
        <f t="shared" ref="TN11" si="444">TM11-TL11</f>
        <v>0</v>
      </c>
      <c r="TP11" s="5">
        <v>23</v>
      </c>
      <c r="TQ11" s="5"/>
      <c r="TR11" s="5">
        <f t="shared" si="44"/>
        <v>1</v>
      </c>
      <c r="TS11" s="5"/>
      <c r="TT11" s="41">
        <f t="shared" ref="TT11" si="445">TS11-TR11</f>
        <v>-1</v>
      </c>
      <c r="TV11" s="5">
        <v>22</v>
      </c>
      <c r="TW11" s="5"/>
      <c r="TX11" s="5">
        <f t="shared" si="45"/>
        <v>1</v>
      </c>
      <c r="TY11" s="5">
        <v>0</v>
      </c>
      <c r="TZ11" s="41">
        <f t="shared" ref="TZ11" si="446">TY11-TX11</f>
        <v>-1</v>
      </c>
      <c r="UB11" s="5">
        <v>118</v>
      </c>
      <c r="UC11" s="5"/>
      <c r="UD11" s="5">
        <f t="shared" si="46"/>
        <v>-96</v>
      </c>
      <c r="UE11" s="5"/>
      <c r="UF11" s="41">
        <f t="shared" ref="UF11" si="447">UE11-UD11</f>
        <v>96</v>
      </c>
      <c r="UH11" s="5">
        <v>18</v>
      </c>
      <c r="UI11" s="5"/>
      <c r="UJ11" s="5">
        <f t="shared" si="47"/>
        <v>100</v>
      </c>
      <c r="UK11" s="5">
        <v>0</v>
      </c>
      <c r="UL11" s="41">
        <f t="shared" ref="UL11" si="448">UK11-UJ11</f>
        <v>-100</v>
      </c>
      <c r="UN11" s="5">
        <v>18</v>
      </c>
      <c r="UO11" s="5"/>
      <c r="UP11" s="5">
        <f t="shared" si="48"/>
        <v>0</v>
      </c>
      <c r="UQ11" s="5">
        <v>0</v>
      </c>
      <c r="UR11" s="41">
        <f t="shared" ref="UR11" si="449">UQ11-UP11</f>
        <v>0</v>
      </c>
      <c r="UT11" s="5">
        <v>18</v>
      </c>
      <c r="UU11" s="5"/>
      <c r="UV11" s="5">
        <f t="shared" si="49"/>
        <v>0</v>
      </c>
      <c r="UW11" s="5">
        <v>0</v>
      </c>
      <c r="UX11" s="41">
        <f t="shared" ref="UX11" si="450">UW11-UV11</f>
        <v>0</v>
      </c>
      <c r="UZ11" s="5">
        <v>16</v>
      </c>
      <c r="VA11" s="5"/>
      <c r="VB11" s="5">
        <f t="shared" si="50"/>
        <v>2</v>
      </c>
      <c r="VC11" s="5">
        <v>2</v>
      </c>
      <c r="VD11" s="41">
        <f t="shared" ref="VD11" si="451">VC11-VB11</f>
        <v>0</v>
      </c>
      <c r="VF11" s="5">
        <v>14</v>
      </c>
      <c r="VG11" s="5">
        <v>24</v>
      </c>
      <c r="VH11" s="5">
        <f t="shared" si="51"/>
        <v>2</v>
      </c>
      <c r="VI11" s="5">
        <v>2</v>
      </c>
      <c r="VJ11" s="41">
        <f t="shared" ref="VJ11" si="452">VI11-VH11</f>
        <v>0</v>
      </c>
      <c r="VL11" s="5">
        <v>36</v>
      </c>
      <c r="VM11" s="5"/>
      <c r="VN11" s="5">
        <f t="shared" si="52"/>
        <v>2</v>
      </c>
      <c r="VO11" s="5"/>
      <c r="VP11" s="41">
        <f t="shared" ref="VP11" si="453">VO11-VN11</f>
        <v>-2</v>
      </c>
      <c r="VR11" s="5">
        <v>35</v>
      </c>
      <c r="VS11" s="5"/>
      <c r="VT11" s="5">
        <f t="shared" si="53"/>
        <v>1</v>
      </c>
      <c r="VU11" s="5"/>
      <c r="VV11" s="41">
        <f t="shared" ref="VV11" si="454">VU11-VT11</f>
        <v>-1</v>
      </c>
      <c r="VX11" s="5">
        <v>32</v>
      </c>
      <c r="VY11" s="5"/>
      <c r="VZ11" s="5">
        <f t="shared" si="54"/>
        <v>3</v>
      </c>
      <c r="WA11" s="5"/>
      <c r="WB11" s="41">
        <f t="shared" ref="WB11" si="455">WA11-VZ11</f>
        <v>-3</v>
      </c>
      <c r="WD11" s="5">
        <v>32</v>
      </c>
      <c r="WE11" s="5"/>
      <c r="WF11" s="5">
        <f t="shared" si="55"/>
        <v>0</v>
      </c>
      <c r="WG11" s="5"/>
      <c r="WH11" s="41">
        <f t="shared" ref="WH11" si="456">WG11-WF11</f>
        <v>0</v>
      </c>
      <c r="WJ11" s="5">
        <v>30</v>
      </c>
      <c r="WK11" s="5"/>
      <c r="WL11" s="5">
        <f t="shared" si="56"/>
        <v>2</v>
      </c>
      <c r="WM11" s="5">
        <v>2</v>
      </c>
      <c r="WN11" s="41">
        <f t="shared" ref="WN11" si="457">WM11-WL11</f>
        <v>0</v>
      </c>
      <c r="WP11" s="5">
        <v>28</v>
      </c>
      <c r="WQ11" s="5"/>
      <c r="WR11" s="5">
        <f t="shared" si="57"/>
        <v>2</v>
      </c>
      <c r="WS11" s="5">
        <v>1</v>
      </c>
      <c r="WT11" s="41">
        <f t="shared" ref="WT11" si="458">WS11-WR11</f>
        <v>-1</v>
      </c>
      <c r="WV11" s="5">
        <v>26</v>
      </c>
      <c r="WW11" s="5"/>
      <c r="WX11" s="5">
        <f t="shared" si="58"/>
        <v>2</v>
      </c>
      <c r="WY11" s="5">
        <v>1</v>
      </c>
      <c r="WZ11" s="41">
        <f t="shared" ref="WZ11" si="459">WY11-WX11</f>
        <v>-1</v>
      </c>
      <c r="XB11" s="5">
        <v>25</v>
      </c>
      <c r="XC11" s="5"/>
      <c r="XD11" s="5">
        <f t="shared" si="59"/>
        <v>1</v>
      </c>
      <c r="XE11" s="5">
        <v>1</v>
      </c>
      <c r="XF11" s="41">
        <f t="shared" ref="XF11" si="460">XE11-XD11</f>
        <v>0</v>
      </c>
      <c r="XH11" s="5">
        <v>23</v>
      </c>
      <c r="XI11" s="5"/>
      <c r="XJ11" s="5">
        <f t="shared" si="60"/>
        <v>2</v>
      </c>
      <c r="XK11" s="5">
        <v>2</v>
      </c>
      <c r="XL11" s="41">
        <f t="shared" ref="XL11" si="461">XK11-XJ11</f>
        <v>0</v>
      </c>
      <c r="XN11" s="5">
        <v>22</v>
      </c>
      <c r="XO11" s="5">
        <v>24</v>
      </c>
      <c r="XP11" s="5">
        <f t="shared" si="61"/>
        <v>1</v>
      </c>
      <c r="XQ11" s="5">
        <v>1</v>
      </c>
      <c r="XR11" s="41">
        <f t="shared" ref="XR11" si="462">XQ11-XP11</f>
        <v>0</v>
      </c>
      <c r="XT11" s="5">
        <v>44</v>
      </c>
      <c r="XU11" s="5"/>
      <c r="XV11" s="5">
        <f t="shared" si="62"/>
        <v>2</v>
      </c>
      <c r="XW11" s="5">
        <v>0</v>
      </c>
      <c r="XX11" s="41">
        <f t="shared" ref="XX11" si="463">XW11-XV11</f>
        <v>-2</v>
      </c>
      <c r="XZ11" s="5">
        <v>36</v>
      </c>
      <c r="YA11" s="5"/>
      <c r="YB11" s="5">
        <f t="shared" si="63"/>
        <v>8</v>
      </c>
      <c r="YC11" s="5">
        <v>1</v>
      </c>
      <c r="YD11" s="41">
        <f t="shared" ref="YD11" si="464">YC11-YB11</f>
        <v>-7</v>
      </c>
      <c r="YF11" s="5">
        <v>17</v>
      </c>
      <c r="YG11" s="5"/>
      <c r="YH11" s="5">
        <f t="shared" si="64"/>
        <v>19</v>
      </c>
      <c r="YI11" s="5"/>
      <c r="YJ11" s="41">
        <f t="shared" ref="YJ11" si="465">YI11-YH11</f>
        <v>-19</v>
      </c>
      <c r="YL11" s="5">
        <v>41</v>
      </c>
      <c r="YM11" s="5"/>
      <c r="YN11" s="5">
        <f t="shared" si="65"/>
        <v>-24</v>
      </c>
      <c r="YO11" s="5"/>
      <c r="YP11" s="41">
        <f t="shared" ref="YP11" si="466">YO11-YN11</f>
        <v>24</v>
      </c>
      <c r="YR11" s="5">
        <v>36</v>
      </c>
      <c r="YS11" s="5"/>
      <c r="YT11" s="5">
        <f t="shared" si="66"/>
        <v>5</v>
      </c>
      <c r="YU11" s="5"/>
      <c r="YV11" s="41">
        <f t="shared" ref="YV11" si="467">YU11-YT11</f>
        <v>-5</v>
      </c>
      <c r="YX11" s="5">
        <v>29</v>
      </c>
      <c r="YY11" s="5"/>
      <c r="YZ11" s="5">
        <f t="shared" si="67"/>
        <v>7</v>
      </c>
      <c r="ZA11" s="5">
        <v>8</v>
      </c>
      <c r="ZB11" s="41">
        <f t="shared" ref="ZB11" si="468">ZA11-YZ11</f>
        <v>1</v>
      </c>
      <c r="ZD11" s="5">
        <v>26</v>
      </c>
      <c r="ZE11" s="5"/>
      <c r="ZF11" s="5">
        <f t="shared" si="68"/>
        <v>3</v>
      </c>
      <c r="ZG11" s="5">
        <v>2</v>
      </c>
      <c r="ZH11" s="41">
        <f t="shared" ref="ZH11" si="469">ZG11-ZF11</f>
        <v>-1</v>
      </c>
      <c r="ZJ11" s="5">
        <v>26</v>
      </c>
      <c r="ZK11" s="5"/>
      <c r="ZL11" s="5">
        <f t="shared" si="69"/>
        <v>0</v>
      </c>
      <c r="ZM11" s="5"/>
      <c r="ZN11" s="41">
        <f t="shared" ref="ZN11" si="470">ZM11-ZL11</f>
        <v>0</v>
      </c>
      <c r="ZP11" s="5">
        <v>24</v>
      </c>
      <c r="ZQ11" s="5"/>
      <c r="ZR11" s="5">
        <f t="shared" si="70"/>
        <v>2</v>
      </c>
      <c r="ZS11" s="5">
        <v>2</v>
      </c>
      <c r="ZT11" s="41">
        <f t="shared" ref="ZT11" si="471">ZS11-ZR11</f>
        <v>0</v>
      </c>
      <c r="ZV11" s="5">
        <v>21</v>
      </c>
      <c r="ZW11" s="5"/>
      <c r="ZX11" s="5">
        <f t="shared" si="71"/>
        <v>3</v>
      </c>
      <c r="ZY11" s="5">
        <v>3</v>
      </c>
      <c r="ZZ11" s="41">
        <f t="shared" ref="ZZ11" si="472">ZY11-ZX11</f>
        <v>0</v>
      </c>
      <c r="AAB11" s="5">
        <v>17</v>
      </c>
      <c r="AAC11" s="5"/>
      <c r="AAD11" s="5">
        <f t="shared" si="72"/>
        <v>4</v>
      </c>
      <c r="AAE11" s="5"/>
      <c r="AAF11" s="41">
        <f t="shared" ref="AAF11" si="473">AAE11-AAD11</f>
        <v>-4</v>
      </c>
      <c r="AAH11" s="5">
        <v>14</v>
      </c>
      <c r="AAI11" s="5"/>
      <c r="AAJ11" s="5">
        <f t="shared" si="73"/>
        <v>3</v>
      </c>
      <c r="AAK11" s="5">
        <v>3</v>
      </c>
      <c r="AAL11" s="41">
        <f t="shared" ref="AAL11" si="474">AAK11-AAJ11</f>
        <v>0</v>
      </c>
      <c r="AAN11" s="5">
        <v>6</v>
      </c>
      <c r="AAO11" s="5"/>
      <c r="AAP11" s="5">
        <f t="shared" si="74"/>
        <v>8</v>
      </c>
      <c r="AAQ11" s="5">
        <v>8</v>
      </c>
      <c r="AAR11" s="41">
        <f t="shared" ref="AAR11" si="475">AAQ11-AAP11</f>
        <v>0</v>
      </c>
      <c r="AAT11" s="5">
        <v>7</v>
      </c>
      <c r="AAU11" s="5"/>
      <c r="AAV11" s="5">
        <f t="shared" si="75"/>
        <v>-1</v>
      </c>
      <c r="AAW11" s="5">
        <v>0</v>
      </c>
      <c r="AAX11" s="41">
        <f t="shared" ref="AAX11" si="476">AAW11-AAV11</f>
        <v>1</v>
      </c>
      <c r="AAZ11" s="5">
        <v>6</v>
      </c>
      <c r="ABA11" s="5">
        <v>24</v>
      </c>
      <c r="ABB11" s="5">
        <f t="shared" si="76"/>
        <v>1</v>
      </c>
      <c r="ABC11" s="5">
        <v>1</v>
      </c>
      <c r="ABD11" s="41">
        <f t="shared" ref="ABD11" si="477">ABC11-ABB11</f>
        <v>0</v>
      </c>
      <c r="ABF11" s="5">
        <v>20</v>
      </c>
      <c r="ABG11" s="5"/>
      <c r="ABH11" s="5">
        <f t="shared" si="77"/>
        <v>10</v>
      </c>
      <c r="ABI11" s="5">
        <v>10</v>
      </c>
      <c r="ABJ11" s="41">
        <f t="shared" ref="ABJ11" si="478">ABI11-ABH11</f>
        <v>0</v>
      </c>
      <c r="ABL11" s="5">
        <v>9</v>
      </c>
      <c r="ABM11" s="5">
        <v>24</v>
      </c>
      <c r="ABN11" s="5">
        <f t="shared" si="78"/>
        <v>11</v>
      </c>
      <c r="ABO11" s="5">
        <v>5</v>
      </c>
      <c r="ABP11" s="41">
        <f t="shared" ref="ABP11" si="479">ABO11-ABN11</f>
        <v>-6</v>
      </c>
      <c r="ABR11" s="5">
        <v>30</v>
      </c>
      <c r="ABS11" s="5"/>
      <c r="ABT11" s="5">
        <f t="shared" si="79"/>
        <v>3</v>
      </c>
      <c r="ABU11" s="5">
        <v>1</v>
      </c>
      <c r="ABV11" s="41">
        <f t="shared" ref="ABV11" si="480">ABU11-ABT11</f>
        <v>-2</v>
      </c>
      <c r="ABX11" s="5">
        <v>25</v>
      </c>
      <c r="ABY11" s="5"/>
      <c r="ABZ11" s="5">
        <f t="shared" si="80"/>
        <v>5</v>
      </c>
      <c r="ACA11" s="5">
        <v>4</v>
      </c>
      <c r="ACB11" s="41">
        <f t="shared" ref="ACB11" si="481">ACA11-ABZ11</f>
        <v>-1</v>
      </c>
      <c r="ACD11" s="5">
        <v>23</v>
      </c>
      <c r="ACE11" s="5"/>
      <c r="ACF11" s="5">
        <f t="shared" si="81"/>
        <v>2</v>
      </c>
      <c r="ACG11" s="5">
        <v>2</v>
      </c>
      <c r="ACH11" s="41">
        <f t="shared" ref="ACH11" si="482">ACG11-ACF11</f>
        <v>0</v>
      </c>
      <c r="ACJ11" s="5">
        <v>18</v>
      </c>
      <c r="ACK11" s="5"/>
      <c r="ACL11" s="5">
        <f t="shared" si="82"/>
        <v>5</v>
      </c>
      <c r="ACM11" s="5">
        <v>5</v>
      </c>
      <c r="ACN11" s="41">
        <f t="shared" ref="ACN11" si="483">ACM11-ACL11</f>
        <v>0</v>
      </c>
      <c r="ACP11" s="5">
        <v>13</v>
      </c>
      <c r="ACQ11" s="5"/>
      <c r="ACR11" s="5">
        <f t="shared" si="83"/>
        <v>5</v>
      </c>
      <c r="ACS11" s="5">
        <v>4</v>
      </c>
      <c r="ACT11" s="41">
        <f t="shared" ref="ACT11" si="484">ACS11-ACR11</f>
        <v>-1</v>
      </c>
      <c r="ACV11" s="5">
        <v>6</v>
      </c>
      <c r="ACW11" s="5"/>
      <c r="ACX11" s="5">
        <f t="shared" si="84"/>
        <v>7</v>
      </c>
      <c r="ACY11" s="5">
        <v>5</v>
      </c>
      <c r="ACZ11" s="41">
        <f t="shared" ref="ACZ11" si="485">ACY11-ACX11</f>
        <v>-2</v>
      </c>
      <c r="ADB11" s="5">
        <v>0</v>
      </c>
      <c r="ADC11" s="5"/>
      <c r="ADD11" s="5">
        <f t="shared" si="85"/>
        <v>6</v>
      </c>
      <c r="ADE11" s="5">
        <v>3</v>
      </c>
      <c r="ADF11" s="41">
        <f t="shared" ref="ADF11" si="486">ADE11-ADD11</f>
        <v>-3</v>
      </c>
      <c r="ADH11" s="5">
        <v>2</v>
      </c>
      <c r="ADI11" s="5">
        <v>24</v>
      </c>
      <c r="ADJ11" s="5">
        <f t="shared" si="86"/>
        <v>-2</v>
      </c>
      <c r="ADK11" s="5">
        <v>2</v>
      </c>
      <c r="ADL11" s="41">
        <f t="shared" ref="ADL11" si="487">ADK11-ADJ11</f>
        <v>4</v>
      </c>
      <c r="ADN11" s="5">
        <v>24</v>
      </c>
      <c r="ADO11" s="5"/>
      <c r="ADP11" s="5">
        <f t="shared" si="87"/>
        <v>2</v>
      </c>
      <c r="ADQ11" s="5"/>
      <c r="ADR11" s="41">
        <f t="shared" ref="ADR11" si="488">ADQ11-ADP11</f>
        <v>-2</v>
      </c>
      <c r="ADT11" s="5">
        <v>24</v>
      </c>
      <c r="ADU11" s="5"/>
      <c r="ADV11" s="5">
        <f t="shared" si="88"/>
        <v>0</v>
      </c>
      <c r="ADW11" s="5">
        <v>0</v>
      </c>
      <c r="ADX11" s="41">
        <f t="shared" ref="ADX11" si="489">ADW11-ADV11</f>
        <v>0</v>
      </c>
      <c r="ADZ11" s="5">
        <v>19</v>
      </c>
      <c r="AEA11" s="5"/>
      <c r="AEB11" s="5">
        <f t="shared" si="89"/>
        <v>5</v>
      </c>
      <c r="AEC11" s="5">
        <v>5</v>
      </c>
      <c r="AED11" s="41">
        <f t="shared" ref="AED11" si="490">AEC11-AEB11</f>
        <v>0</v>
      </c>
      <c r="AEF11" s="5">
        <v>19</v>
      </c>
      <c r="AEG11" s="5"/>
      <c r="AEH11" s="5">
        <f t="shared" si="90"/>
        <v>0</v>
      </c>
      <c r="AEI11" s="5">
        <v>0</v>
      </c>
      <c r="AEJ11" s="41">
        <f t="shared" ref="AEJ11" si="491">AEI11-AEH11</f>
        <v>0</v>
      </c>
      <c r="AEL11" s="5">
        <v>13</v>
      </c>
      <c r="AEM11" s="5"/>
      <c r="AEN11" s="5">
        <f t="shared" si="91"/>
        <v>6</v>
      </c>
      <c r="AEO11" s="5">
        <v>5</v>
      </c>
      <c r="AEP11" s="41">
        <f t="shared" ref="AEP11" si="492">AEO11-AEN11</f>
        <v>-1</v>
      </c>
      <c r="AER11" s="5">
        <v>7</v>
      </c>
      <c r="AES11" s="5"/>
      <c r="AET11" s="5">
        <f t="shared" si="92"/>
        <v>6</v>
      </c>
      <c r="AEU11" s="5"/>
      <c r="AEV11" s="41">
        <f t="shared" ref="AEV11" si="493">AEU11-AET11</f>
        <v>-6</v>
      </c>
      <c r="AEX11" s="5">
        <v>6</v>
      </c>
      <c r="AEY11" s="5">
        <v>24</v>
      </c>
      <c r="AEZ11" s="5">
        <f t="shared" si="93"/>
        <v>1</v>
      </c>
      <c r="AFA11" s="5">
        <v>1</v>
      </c>
      <c r="AFB11" s="41">
        <f t="shared" ref="AFB11" si="494">AFA11-AEZ11</f>
        <v>0</v>
      </c>
      <c r="AFD11" s="5">
        <v>29</v>
      </c>
      <c r="AFE11" s="5"/>
      <c r="AFF11" s="5">
        <f t="shared" si="94"/>
        <v>1</v>
      </c>
      <c r="AFG11" s="5">
        <v>1</v>
      </c>
      <c r="AFH11" s="41">
        <f t="shared" ref="AFH11" si="495">AFG11-AFF11</f>
        <v>0</v>
      </c>
      <c r="AFJ11" s="5">
        <v>25</v>
      </c>
      <c r="AFK11" s="5"/>
      <c r="AFL11" s="5">
        <f t="shared" si="95"/>
        <v>4</v>
      </c>
      <c r="AFM11" s="5">
        <v>4</v>
      </c>
      <c r="AFN11" s="41">
        <f t="shared" ref="AFN11" si="496">AFM11-AFL11</f>
        <v>0</v>
      </c>
      <c r="AFP11" s="5">
        <v>22</v>
      </c>
      <c r="AFQ11" s="5"/>
      <c r="AFR11" s="5">
        <f t="shared" si="96"/>
        <v>3</v>
      </c>
      <c r="AFS11" s="5">
        <v>3</v>
      </c>
      <c r="AFT11" s="41">
        <f t="shared" ref="AFT11" si="497">AFS11-AFR11</f>
        <v>0</v>
      </c>
      <c r="AFV11" s="5">
        <v>21</v>
      </c>
      <c r="AFW11" s="5"/>
      <c r="AFX11" s="5">
        <f t="shared" si="97"/>
        <v>1</v>
      </c>
      <c r="AFY11" s="5"/>
      <c r="AFZ11" s="41">
        <f t="shared" ref="AFZ11" si="498">AFY11-AFX11</f>
        <v>-1</v>
      </c>
      <c r="AGB11" s="5">
        <v>19</v>
      </c>
      <c r="AGC11" s="5"/>
      <c r="AGD11" s="5">
        <f t="shared" si="98"/>
        <v>2</v>
      </c>
      <c r="AGE11" s="5">
        <v>2</v>
      </c>
      <c r="AGF11" s="41">
        <f t="shared" ref="AGF11" si="499">AGE11-AGD11</f>
        <v>0</v>
      </c>
      <c r="AGH11" s="5">
        <v>16</v>
      </c>
      <c r="AGI11" s="5"/>
      <c r="AGJ11" s="5">
        <f t="shared" si="99"/>
        <v>3</v>
      </c>
      <c r="AGK11" s="5"/>
      <c r="AGL11" s="41">
        <f t="shared" ref="AGL11" si="500">AGK11-AGJ11</f>
        <v>-3</v>
      </c>
      <c r="AGN11" s="5">
        <v>14</v>
      </c>
      <c r="AGO11" s="5">
        <v>24</v>
      </c>
      <c r="AGP11" s="5">
        <f t="shared" si="100"/>
        <v>2</v>
      </c>
      <c r="AGQ11" s="5"/>
      <c r="AGR11" s="41">
        <f t="shared" ref="AGR11" si="501">AGQ11-AGP11</f>
        <v>-2</v>
      </c>
      <c r="AGT11" s="5">
        <v>37</v>
      </c>
      <c r="AGU11" s="5"/>
      <c r="AGV11" s="5">
        <f t="shared" si="101"/>
        <v>1</v>
      </c>
      <c r="AGW11" s="5"/>
      <c r="AGX11" s="41">
        <f t="shared" ref="AGX11" si="502">AGW11-AGV11</f>
        <v>-1</v>
      </c>
      <c r="AGZ11" s="5">
        <v>18</v>
      </c>
      <c r="AHA11" s="5">
        <v>24</v>
      </c>
      <c r="AHB11" s="5">
        <f t="shared" si="102"/>
        <v>19</v>
      </c>
      <c r="AHC11" s="5"/>
      <c r="AHD11" s="41">
        <f t="shared" ref="AHD11" si="503">AHC11-AHB11</f>
        <v>-19</v>
      </c>
      <c r="AHF11" s="5">
        <v>48</v>
      </c>
      <c r="AHG11" s="5"/>
      <c r="AHH11" s="5">
        <f t="shared" si="103"/>
        <v>-6</v>
      </c>
      <c r="AHI11" s="5"/>
      <c r="AHJ11" s="41">
        <f t="shared" ref="AHJ11" si="504">AHI11-AHH11</f>
        <v>6</v>
      </c>
      <c r="AHL11" s="5">
        <v>45</v>
      </c>
      <c r="AHM11" s="5"/>
      <c r="AHN11" s="5">
        <f t="shared" si="104"/>
        <v>3</v>
      </c>
      <c r="AHO11" s="5"/>
      <c r="AHP11" s="41">
        <f t="shared" ref="AHP11" si="505">AHO11-AHN11</f>
        <v>-3</v>
      </c>
      <c r="AHR11" s="5">
        <v>41</v>
      </c>
      <c r="AHS11" s="5"/>
      <c r="AHT11" s="5">
        <f t="shared" si="105"/>
        <v>4</v>
      </c>
      <c r="AHU11" s="5"/>
      <c r="AHV11" s="41">
        <f t="shared" ref="AHV11" si="506">AHU11-AHT11</f>
        <v>-4</v>
      </c>
      <c r="AHX11" s="5">
        <v>36</v>
      </c>
      <c r="AHY11" s="5"/>
      <c r="AHZ11" s="5">
        <f t="shared" si="106"/>
        <v>5</v>
      </c>
      <c r="AIA11" s="5"/>
      <c r="AIB11" s="41">
        <f t="shared" ref="AIB11" si="507">AIA11-AHZ11</f>
        <v>-5</v>
      </c>
      <c r="AID11" s="5">
        <v>34</v>
      </c>
      <c r="AIE11" s="5"/>
      <c r="AIF11" s="5">
        <f t="shared" si="107"/>
        <v>2</v>
      </c>
      <c r="AIG11" s="5"/>
      <c r="AIH11" s="41">
        <f t="shared" ref="AIH11" si="508">AIG11-AIF11</f>
        <v>-2</v>
      </c>
      <c r="AIJ11" s="5">
        <v>31</v>
      </c>
      <c r="AIK11" s="5"/>
      <c r="AIL11" s="5">
        <f t="shared" si="108"/>
        <v>3</v>
      </c>
      <c r="AIM11" s="5">
        <v>3</v>
      </c>
      <c r="AIN11" s="41">
        <f t="shared" ref="AIN11" si="509">AIM11-AIL11</f>
        <v>0</v>
      </c>
      <c r="AIP11" s="5">
        <v>31</v>
      </c>
      <c r="AIQ11" s="5"/>
      <c r="AIR11" s="5">
        <f t="shared" si="109"/>
        <v>0</v>
      </c>
      <c r="AIS11" s="5"/>
      <c r="AIT11" s="41">
        <f t="shared" ref="AIT11" si="510">AIS11-AIR11</f>
        <v>0</v>
      </c>
      <c r="AIV11" s="5">
        <v>31</v>
      </c>
      <c r="AIW11" s="5"/>
      <c r="AIX11" s="5">
        <f t="shared" si="110"/>
        <v>0</v>
      </c>
      <c r="AIY11" s="5"/>
      <c r="AIZ11" s="41">
        <f t="shared" ref="AIZ11" si="511">AIY11-AIX11</f>
        <v>0</v>
      </c>
      <c r="AJB11" s="5">
        <v>27</v>
      </c>
      <c r="AJC11" s="5"/>
      <c r="AJD11" s="5">
        <f t="shared" si="111"/>
        <v>4</v>
      </c>
      <c r="AJE11" s="5"/>
      <c r="AJF11" s="41">
        <f t="shared" ref="AJF11" si="512">AJE11-AJD11</f>
        <v>-4</v>
      </c>
      <c r="AJH11" s="5">
        <v>26</v>
      </c>
      <c r="AJI11" s="5"/>
      <c r="AJJ11" s="5">
        <f t="shared" si="112"/>
        <v>1</v>
      </c>
      <c r="AJK11" s="5"/>
      <c r="AJL11" s="41">
        <f t="shared" ref="AJL11" si="513">AJK11-AJJ11</f>
        <v>-1</v>
      </c>
      <c r="AJN11" s="5">
        <v>22</v>
      </c>
      <c r="AJO11" s="5"/>
      <c r="AJP11" s="5">
        <f t="shared" si="113"/>
        <v>4</v>
      </c>
      <c r="AJQ11" s="5"/>
      <c r="AJR11" s="41">
        <f t="shared" ref="AJR11" si="514">AJQ11-AJP11</f>
        <v>-4</v>
      </c>
      <c r="AJT11" s="5">
        <v>21</v>
      </c>
      <c r="AJU11" s="5"/>
      <c r="AJV11" s="5">
        <f t="shared" si="114"/>
        <v>1</v>
      </c>
      <c r="AJW11" s="5"/>
      <c r="AJX11" s="41">
        <f t="shared" ref="AJX11" si="515">AJW11-AJV11</f>
        <v>-1</v>
      </c>
      <c r="AJZ11" s="5">
        <v>21</v>
      </c>
      <c r="AKA11" s="5"/>
      <c r="AKB11" s="5">
        <f t="shared" si="115"/>
        <v>0</v>
      </c>
      <c r="AKC11" s="5"/>
      <c r="AKD11" s="41">
        <f t="shared" ref="AKD11" si="516">AKC11-AKB11</f>
        <v>0</v>
      </c>
      <c r="AKF11" s="5">
        <v>16</v>
      </c>
      <c r="AKG11" s="5"/>
      <c r="AKH11" s="5">
        <f t="shared" si="116"/>
        <v>5</v>
      </c>
      <c r="AKI11" s="5"/>
      <c r="AKJ11" s="41">
        <f t="shared" ref="AKJ11" si="517">AKI11-AKH11</f>
        <v>-5</v>
      </c>
      <c r="AKL11" s="5">
        <v>3</v>
      </c>
      <c r="AKM11" s="5">
        <v>24</v>
      </c>
      <c r="AKN11" s="5">
        <f t="shared" si="117"/>
        <v>13</v>
      </c>
      <c r="AKO11" s="5"/>
      <c r="AKP11" s="41">
        <f t="shared" ref="AKP11" si="518">AKO11-AKN11</f>
        <v>-13</v>
      </c>
      <c r="AKR11" s="5">
        <v>51</v>
      </c>
      <c r="AKS11" s="5"/>
      <c r="AKT11" s="5">
        <f t="shared" si="118"/>
        <v>-24</v>
      </c>
      <c r="AKU11" s="5"/>
      <c r="AKV11" s="41">
        <f t="shared" ref="AKV11" si="519">AKU11-AKT11</f>
        <v>24</v>
      </c>
      <c r="AKX11" s="5">
        <v>22</v>
      </c>
      <c r="AKY11" s="5"/>
      <c r="AKZ11" s="5">
        <f t="shared" si="119"/>
        <v>29</v>
      </c>
      <c r="ALA11" s="5"/>
      <c r="ALB11" s="41">
        <f t="shared" ref="ALB11" si="520">ALA11-AKZ11</f>
        <v>-29</v>
      </c>
      <c r="ALD11" s="5">
        <v>20</v>
      </c>
      <c r="ALE11" s="5"/>
      <c r="ALF11" s="5">
        <f t="shared" si="120"/>
        <v>2</v>
      </c>
      <c r="ALG11" s="5"/>
      <c r="ALH11" s="41">
        <f t="shared" ref="ALH11" si="521">ALG11-ALF11</f>
        <v>-2</v>
      </c>
      <c r="ALJ11" s="5">
        <v>18</v>
      </c>
      <c r="ALK11" s="5"/>
      <c r="ALL11" s="5">
        <f t="shared" si="121"/>
        <v>2</v>
      </c>
      <c r="ALM11" s="5"/>
      <c r="ALN11" s="41">
        <f t="shared" ref="ALN11" si="522">ALM11-ALL11</f>
        <v>-2</v>
      </c>
      <c r="ALP11" s="5">
        <v>15</v>
      </c>
      <c r="ALQ11" s="5"/>
      <c r="ALR11" s="5">
        <f t="shared" si="122"/>
        <v>3</v>
      </c>
      <c r="ALS11" s="5"/>
      <c r="ALT11" s="41">
        <f t="shared" ref="ALT11" si="523">ALS11-ALR11</f>
        <v>-3</v>
      </c>
      <c r="ALV11" s="5">
        <v>14</v>
      </c>
      <c r="ALW11" s="5"/>
      <c r="ALX11" s="5">
        <f t="shared" si="123"/>
        <v>1</v>
      </c>
      <c r="ALY11" s="5"/>
      <c r="ALZ11" s="41">
        <f t="shared" ref="ALZ11" si="524">ALY11-ALX11</f>
        <v>-1</v>
      </c>
      <c r="AMB11" s="5">
        <v>13</v>
      </c>
      <c r="AMC11" s="5"/>
      <c r="AMD11" s="5">
        <f t="shared" si="124"/>
        <v>1</v>
      </c>
      <c r="AME11" s="5"/>
      <c r="AMF11" s="41">
        <f t="shared" ref="AMF11" si="525">AME11-AMD11</f>
        <v>-1</v>
      </c>
      <c r="AMH11" s="5">
        <v>10</v>
      </c>
      <c r="AMI11" s="5"/>
      <c r="AMJ11" s="5">
        <f t="shared" si="125"/>
        <v>3</v>
      </c>
      <c r="AMK11" s="5"/>
      <c r="AML11" s="41">
        <f t="shared" ref="AML11" si="526">AMK11-AMJ11</f>
        <v>-3</v>
      </c>
      <c r="AMN11" s="5">
        <v>10</v>
      </c>
      <c r="AMO11" s="5"/>
      <c r="AMP11" s="5">
        <f t="shared" si="126"/>
        <v>0</v>
      </c>
      <c r="AMQ11" s="5"/>
      <c r="AMR11" s="41">
        <f t="shared" ref="AMR11" si="527">AMQ11-AMP11</f>
        <v>0</v>
      </c>
      <c r="AMT11" s="5">
        <v>2</v>
      </c>
      <c r="AMU11" s="5"/>
      <c r="AMV11" s="5">
        <f t="shared" si="127"/>
        <v>8</v>
      </c>
      <c r="AMW11" s="5"/>
      <c r="AMX11" s="41">
        <f t="shared" ref="AMX11" si="528">AMW11-AMV11</f>
        <v>-8</v>
      </c>
      <c r="AMZ11" s="5">
        <v>0</v>
      </c>
      <c r="ANA11" s="5"/>
      <c r="ANB11" s="5">
        <f t="shared" si="128"/>
        <v>2</v>
      </c>
      <c r="ANC11" s="5"/>
      <c r="AND11" s="41">
        <f t="shared" ref="AND11" si="529">ANC11-ANB11</f>
        <v>-2</v>
      </c>
      <c r="ANF11" s="5">
        <v>12</v>
      </c>
      <c r="ANG11" s="5">
        <v>24</v>
      </c>
      <c r="ANH11" s="5">
        <f t="shared" si="129"/>
        <v>-12</v>
      </c>
      <c r="ANI11" s="5"/>
      <c r="ANJ11" s="41">
        <f t="shared" ref="ANJ11" si="530">ANI11-ANH11</f>
        <v>12</v>
      </c>
      <c r="ANL11" s="5">
        <v>37</v>
      </c>
      <c r="ANM11" s="5"/>
      <c r="ANN11" s="5">
        <f t="shared" si="130"/>
        <v>-1</v>
      </c>
      <c r="ANO11" s="5"/>
      <c r="ANP11" s="41">
        <f t="shared" ref="ANP11" si="531">ANO11-ANN11</f>
        <v>1</v>
      </c>
      <c r="ANR11" s="5">
        <v>35</v>
      </c>
      <c r="ANS11" s="5"/>
      <c r="ANT11" s="5">
        <f t="shared" si="131"/>
        <v>2</v>
      </c>
      <c r="ANU11" s="5"/>
      <c r="ANV11" s="41">
        <f t="shared" ref="ANV11" si="532">ANU11-ANT11</f>
        <v>-2</v>
      </c>
      <c r="ANX11" s="5">
        <v>33</v>
      </c>
      <c r="ANY11" s="5"/>
      <c r="ANZ11" s="5">
        <f t="shared" si="132"/>
        <v>2</v>
      </c>
      <c r="AOA11" s="5"/>
      <c r="AOB11" s="41">
        <f t="shared" ref="AOB11" si="533">AOA11-ANZ11</f>
        <v>-2</v>
      </c>
      <c r="AOD11" s="5">
        <v>31</v>
      </c>
      <c r="AOE11" s="5"/>
      <c r="AOF11" s="5">
        <f t="shared" si="133"/>
        <v>2</v>
      </c>
      <c r="AOG11" s="5"/>
      <c r="AOH11" s="41">
        <f t="shared" ref="AOH11" si="534">AOG11-AOF11</f>
        <v>-2</v>
      </c>
      <c r="AOJ11" s="5">
        <v>31</v>
      </c>
      <c r="AOK11" s="5"/>
      <c r="AOL11" s="5">
        <f t="shared" si="134"/>
        <v>0</v>
      </c>
      <c r="AOM11" s="5"/>
      <c r="AON11" s="41">
        <f t="shared" ref="AON11" si="535">AOM11-AOL11</f>
        <v>0</v>
      </c>
      <c r="AOP11" s="5">
        <v>29</v>
      </c>
      <c r="AOQ11" s="5"/>
      <c r="AOR11" s="5"/>
      <c r="AOS11" s="5"/>
      <c r="AOT11" s="41"/>
      <c r="AOV11" s="5">
        <v>30</v>
      </c>
      <c r="AOW11" s="5"/>
      <c r="AOX11" s="5">
        <f t="shared" si="135"/>
        <v>-1</v>
      </c>
      <c r="AOY11" s="5"/>
      <c r="AOZ11" s="41">
        <f t="shared" ref="AOZ11" si="536">AOY11-AOX11</f>
        <v>1</v>
      </c>
    </row>
    <row r="12" spans="1:1092" x14ac:dyDescent="0.25">
      <c r="A12" s="3"/>
      <c r="B12" s="5"/>
      <c r="C12" s="5"/>
      <c r="E12" s="5"/>
      <c r="F12" s="5"/>
      <c r="H12" s="5"/>
      <c r="I12" s="5"/>
      <c r="J12" s="5">
        <f t="shared" si="136"/>
        <v>0</v>
      </c>
      <c r="K12" s="5"/>
      <c r="L12" s="24">
        <f t="shared" si="137"/>
        <v>0</v>
      </c>
      <c r="N12" s="5">
        <v>0</v>
      </c>
      <c r="O12" s="5"/>
      <c r="P12" s="5">
        <f t="shared" si="138"/>
        <v>0</v>
      </c>
      <c r="Q12" s="5"/>
      <c r="R12" s="24">
        <f t="shared" si="139"/>
        <v>0</v>
      </c>
      <c r="T12" s="5"/>
      <c r="U12" s="5"/>
      <c r="V12" s="5"/>
      <c r="W12" s="5"/>
      <c r="X12" s="24"/>
      <c r="Z12" s="5"/>
      <c r="AA12" s="5"/>
      <c r="AB12" s="5"/>
      <c r="AC12" s="5"/>
      <c r="AD12" s="24"/>
      <c r="AF12" s="5"/>
      <c r="AG12" s="5"/>
      <c r="AH12" s="5"/>
      <c r="AI12" s="5"/>
      <c r="AJ12" s="24"/>
      <c r="AL12" s="5"/>
      <c r="AM12" s="5"/>
      <c r="AN12" s="5"/>
      <c r="AO12" s="5"/>
      <c r="AP12" s="24"/>
      <c r="AR12" s="5"/>
      <c r="AS12" s="5"/>
      <c r="AT12" s="5">
        <f t="shared" si="148"/>
        <v>0</v>
      </c>
      <c r="AU12" s="5"/>
      <c r="AV12" s="24"/>
      <c r="AX12" s="5"/>
      <c r="AY12" s="5"/>
      <c r="AZ12" s="5">
        <f t="shared" si="150"/>
        <v>0</v>
      </c>
      <c r="BA12" s="5"/>
      <c r="BB12" s="24"/>
      <c r="BD12" s="5"/>
      <c r="BE12" s="5"/>
      <c r="BF12" s="5">
        <f t="shared" si="152"/>
        <v>0</v>
      </c>
      <c r="BG12" s="5"/>
      <c r="BH12" s="24"/>
      <c r="BJ12" s="5"/>
      <c r="BK12" s="5"/>
      <c r="BL12" s="5">
        <f t="shared" si="154"/>
        <v>0</v>
      </c>
      <c r="BM12" s="5"/>
      <c r="BN12" s="24"/>
      <c r="BP12" s="5"/>
      <c r="BQ12" s="5"/>
      <c r="BR12" s="5">
        <f t="shared" si="156"/>
        <v>0</v>
      </c>
      <c r="BS12" s="5"/>
      <c r="BT12" s="24"/>
      <c r="BV12" s="5"/>
      <c r="BW12" s="5"/>
      <c r="BX12" s="5"/>
      <c r="BY12" s="5"/>
      <c r="BZ12" s="24"/>
      <c r="CB12" s="5"/>
      <c r="CC12" s="5"/>
      <c r="CD12" s="5"/>
      <c r="CE12" s="5"/>
      <c r="CF12" s="24"/>
      <c r="CH12" s="5"/>
      <c r="CI12" s="5"/>
      <c r="CJ12" s="5"/>
      <c r="CK12" s="5"/>
      <c r="CL12" s="24"/>
      <c r="CN12" s="5"/>
      <c r="CO12" s="5"/>
      <c r="CP12" s="5"/>
      <c r="CQ12" s="5"/>
      <c r="CR12" s="24"/>
      <c r="CT12" s="5"/>
      <c r="CU12" s="5"/>
      <c r="CV12" s="5"/>
      <c r="CW12" s="5"/>
      <c r="CX12" s="41"/>
      <c r="CZ12" s="5"/>
      <c r="DA12" s="5"/>
      <c r="DB12" s="5"/>
      <c r="DC12" s="5"/>
      <c r="DD12" s="41"/>
      <c r="DF12" s="5"/>
      <c r="DG12" s="5"/>
      <c r="DH12" s="5"/>
      <c r="DI12" s="5"/>
      <c r="DJ12" s="41"/>
      <c r="DL12" s="5"/>
      <c r="DM12" s="5"/>
      <c r="DN12" s="5"/>
      <c r="DO12" s="5"/>
      <c r="DP12" s="41"/>
      <c r="DR12" s="5"/>
      <c r="DS12" s="5"/>
      <c r="DT12" s="5"/>
      <c r="DU12" s="5"/>
      <c r="DV12" s="41"/>
      <c r="DX12" s="5"/>
      <c r="DY12" s="5"/>
      <c r="DZ12" s="5"/>
      <c r="EA12" s="5"/>
      <c r="EB12" s="41"/>
      <c r="ED12" s="5"/>
      <c r="EE12" s="5"/>
      <c r="EF12" s="5"/>
      <c r="EG12" s="5"/>
      <c r="EH12" s="41"/>
      <c r="EJ12" s="5"/>
      <c r="EK12" s="5"/>
      <c r="EL12" s="5"/>
      <c r="EM12" s="5"/>
      <c r="EN12" s="41"/>
      <c r="EP12" s="5"/>
      <c r="EQ12" s="5"/>
      <c r="ER12" s="5"/>
      <c r="ES12" s="5"/>
      <c r="ET12" s="41"/>
      <c r="EV12" s="5"/>
      <c r="EW12" s="5"/>
      <c r="EX12" s="5"/>
      <c r="EY12" s="5"/>
      <c r="EZ12" s="41"/>
      <c r="FB12" s="5"/>
      <c r="FC12" s="5"/>
      <c r="FD12" s="5"/>
      <c r="FE12" s="5"/>
      <c r="FF12" s="41"/>
      <c r="FH12" s="5"/>
      <c r="FI12" s="5"/>
      <c r="FJ12" s="5"/>
      <c r="FK12" s="5"/>
      <c r="FL12" s="41"/>
      <c r="FN12" s="5"/>
      <c r="FO12" s="5"/>
      <c r="FP12" s="5"/>
      <c r="FQ12" s="5"/>
      <c r="FR12" s="41"/>
      <c r="FT12" s="5"/>
      <c r="FU12" s="5"/>
      <c r="FV12" s="5"/>
      <c r="FW12" s="5"/>
      <c r="FX12" s="41"/>
      <c r="FZ12" s="5"/>
      <c r="GA12" s="5"/>
      <c r="GB12" s="5"/>
      <c r="GC12" s="5"/>
      <c r="GD12" s="41"/>
      <c r="GF12" s="5"/>
      <c r="GG12" s="5"/>
      <c r="GH12" s="5"/>
      <c r="GI12" s="5"/>
      <c r="GJ12" s="41"/>
      <c r="GL12" s="5"/>
      <c r="GM12" s="5"/>
      <c r="GN12" s="5"/>
      <c r="GO12" s="5"/>
      <c r="GP12" s="41"/>
      <c r="GR12" s="5"/>
      <c r="GS12" s="5"/>
      <c r="GT12" s="5"/>
      <c r="GU12" s="5"/>
      <c r="GV12" s="41"/>
      <c r="GX12" s="5"/>
      <c r="GY12" s="5"/>
      <c r="GZ12" s="5"/>
      <c r="HA12" s="5"/>
      <c r="HB12" s="41"/>
      <c r="HD12" s="5"/>
      <c r="HE12" s="5"/>
      <c r="HF12" s="5"/>
      <c r="HG12" s="5"/>
      <c r="HH12" s="41"/>
      <c r="HJ12" s="5"/>
      <c r="HK12" s="5"/>
      <c r="HL12" s="5"/>
      <c r="HM12" s="5"/>
      <c r="HN12" s="41"/>
      <c r="HP12" s="5"/>
      <c r="HQ12" s="5"/>
      <c r="HR12" s="5"/>
      <c r="HS12" s="5"/>
      <c r="HT12" s="41"/>
      <c r="HV12" s="5"/>
      <c r="HW12" s="5"/>
      <c r="HX12" s="5"/>
      <c r="HY12" s="5"/>
      <c r="HZ12" s="41"/>
      <c r="IB12" s="5"/>
      <c r="IC12" s="5"/>
      <c r="ID12" s="5"/>
      <c r="IE12" s="5"/>
      <c r="IF12" s="41"/>
      <c r="IH12" s="5"/>
      <c r="II12" s="5"/>
      <c r="IJ12" s="5"/>
      <c r="IK12" s="5"/>
      <c r="IL12" s="41"/>
      <c r="IN12" s="5"/>
      <c r="IO12" s="5"/>
      <c r="IP12" s="5"/>
      <c r="IQ12" s="5"/>
      <c r="IR12" s="41"/>
      <c r="IT12" s="5"/>
      <c r="IU12" s="5"/>
      <c r="IV12" s="5"/>
      <c r="IW12" s="5"/>
      <c r="IX12" s="41"/>
      <c r="IZ12" s="5"/>
      <c r="JA12" s="5"/>
      <c r="JB12" s="5"/>
      <c r="JC12" s="5"/>
      <c r="JD12" s="41"/>
      <c r="JF12" s="5"/>
      <c r="JG12" s="5"/>
      <c r="JH12" s="5"/>
      <c r="JI12" s="5"/>
      <c r="JJ12" s="41"/>
      <c r="JL12" s="5"/>
      <c r="JM12" s="5"/>
      <c r="JN12" s="5"/>
      <c r="JO12" s="5"/>
      <c r="JP12" s="41"/>
      <c r="JR12" s="5"/>
      <c r="JS12" s="5"/>
      <c r="JT12" s="5"/>
      <c r="JU12" s="5"/>
      <c r="JV12" s="41"/>
      <c r="JX12" s="5"/>
      <c r="JY12" s="5"/>
      <c r="JZ12" s="5"/>
      <c r="KA12" s="5"/>
      <c r="KB12" s="41"/>
      <c r="KD12" s="5"/>
      <c r="KE12" s="5"/>
      <c r="KF12" s="5"/>
      <c r="KG12" s="5"/>
      <c r="KH12" s="41"/>
      <c r="KJ12" s="5"/>
      <c r="KK12" s="5"/>
      <c r="KL12" s="5"/>
      <c r="KM12" s="5"/>
      <c r="KN12" s="41"/>
      <c r="KP12" s="5"/>
      <c r="KQ12" s="5"/>
      <c r="KR12" s="5"/>
      <c r="KS12" s="5"/>
      <c r="KT12" s="41"/>
      <c r="KV12" s="5"/>
      <c r="KW12" s="5"/>
      <c r="KX12" s="5"/>
      <c r="KY12" s="5"/>
      <c r="KZ12" s="41"/>
      <c r="LB12" s="5"/>
      <c r="LC12" s="5"/>
      <c r="LD12" s="5"/>
      <c r="LE12" s="5"/>
      <c r="LF12" s="41"/>
      <c r="LH12" s="5"/>
      <c r="LI12" s="5"/>
      <c r="LJ12" s="5"/>
      <c r="LK12" s="5"/>
      <c r="LL12" s="41"/>
      <c r="LN12" s="5"/>
      <c r="LO12" s="5"/>
      <c r="LP12" s="5"/>
      <c r="LQ12" s="5"/>
      <c r="LR12" s="41"/>
      <c r="LT12" s="5"/>
      <c r="LU12" s="5"/>
      <c r="LV12" s="5"/>
      <c r="LW12" s="5"/>
      <c r="LX12" s="41"/>
      <c r="LZ12" s="5"/>
      <c r="MA12" s="5"/>
      <c r="MB12" s="5"/>
      <c r="MC12" s="5"/>
      <c r="MD12" s="41"/>
      <c r="MF12" s="5"/>
      <c r="MG12" s="5"/>
      <c r="MH12" s="5"/>
      <c r="MI12" s="5"/>
      <c r="MJ12" s="41"/>
      <c r="ML12" s="5"/>
      <c r="MM12" s="5"/>
      <c r="MN12" s="5"/>
      <c r="MO12" s="5"/>
      <c r="MP12" s="41"/>
      <c r="MR12" s="5"/>
      <c r="MS12" s="5"/>
      <c r="MT12" s="5"/>
      <c r="MU12" s="5"/>
      <c r="MV12" s="41"/>
      <c r="MX12" s="5"/>
      <c r="MY12" s="5"/>
      <c r="MZ12" s="5"/>
      <c r="NA12" s="5"/>
      <c r="NB12" s="41"/>
      <c r="ND12" s="5"/>
      <c r="NE12" s="5"/>
      <c r="NF12" s="5"/>
      <c r="NG12" s="5"/>
      <c r="NH12" s="41"/>
      <c r="NJ12" s="5"/>
      <c r="NK12" s="5"/>
      <c r="NL12" s="5"/>
      <c r="NM12" s="5"/>
      <c r="NN12" s="41"/>
      <c r="NP12" s="5"/>
      <c r="NQ12" s="5"/>
      <c r="NR12" s="5"/>
      <c r="NS12" s="5"/>
      <c r="NT12" s="41"/>
      <c r="NV12" s="5"/>
      <c r="NW12" s="5"/>
      <c r="NX12" s="5"/>
      <c r="NY12" s="5"/>
      <c r="NZ12" s="41"/>
      <c r="OB12" s="5"/>
      <c r="OC12" s="5"/>
      <c r="OD12" s="5"/>
      <c r="OE12" s="5"/>
      <c r="OF12" s="41"/>
      <c r="OH12" s="5"/>
      <c r="OI12" s="5"/>
      <c r="OJ12" s="5"/>
      <c r="OK12" s="5"/>
      <c r="OL12" s="41"/>
      <c r="ON12" s="5"/>
      <c r="OO12" s="5"/>
      <c r="OP12" s="5"/>
      <c r="OQ12" s="5"/>
      <c r="OR12" s="41"/>
      <c r="OT12" s="5"/>
      <c r="OU12" s="5"/>
      <c r="OV12" s="5"/>
      <c r="OW12" s="5"/>
      <c r="OX12" s="41"/>
      <c r="OZ12" s="5"/>
      <c r="PA12" s="5"/>
      <c r="PB12" s="5"/>
      <c r="PC12" s="5"/>
      <c r="PD12" s="41"/>
      <c r="PF12" s="5"/>
      <c r="PG12" s="5"/>
      <c r="PH12" s="5"/>
      <c r="PI12" s="5"/>
      <c r="PJ12" s="41"/>
      <c r="PL12" s="5"/>
      <c r="PM12" s="5"/>
      <c r="PN12" s="5"/>
      <c r="PO12" s="5"/>
      <c r="PP12" s="41"/>
      <c r="PR12" s="5"/>
      <c r="PS12" s="5"/>
      <c r="PT12" s="5"/>
      <c r="PU12" s="5"/>
      <c r="PV12" s="41"/>
      <c r="PX12" s="5"/>
      <c r="PY12" s="5"/>
      <c r="PZ12" s="5"/>
      <c r="QA12" s="5"/>
      <c r="QB12" s="41"/>
      <c r="QD12" s="5"/>
      <c r="QE12" s="5"/>
      <c r="QF12" s="5"/>
      <c r="QG12" s="5"/>
      <c r="QH12" s="41"/>
      <c r="QJ12" s="5"/>
      <c r="QK12" s="5"/>
      <c r="QL12" s="5"/>
      <c r="QM12" s="5"/>
      <c r="QN12" s="41"/>
      <c r="QP12" s="5"/>
      <c r="QQ12" s="5"/>
      <c r="QR12" s="5"/>
      <c r="QS12" s="5"/>
      <c r="QT12" s="41"/>
      <c r="QV12" s="5"/>
      <c r="QW12" s="5"/>
      <c r="QX12" s="5"/>
      <c r="QY12" s="5"/>
      <c r="QZ12" s="41"/>
      <c r="RB12" s="5"/>
      <c r="RC12" s="5"/>
      <c r="RD12" s="5"/>
      <c r="RE12" s="5"/>
      <c r="RF12" s="41"/>
      <c r="RH12" s="5"/>
      <c r="RI12" s="5"/>
      <c r="RJ12" s="5"/>
      <c r="RK12" s="5"/>
      <c r="RL12" s="41"/>
      <c r="RN12" s="5"/>
      <c r="RO12" s="5"/>
      <c r="RP12" s="5"/>
      <c r="RQ12" s="5"/>
      <c r="RR12" s="41"/>
      <c r="RT12" s="5"/>
      <c r="RU12" s="5"/>
      <c r="RV12" s="5"/>
      <c r="RW12" s="5"/>
      <c r="RX12" s="41"/>
      <c r="RZ12" s="5"/>
      <c r="SA12" s="5"/>
      <c r="SB12" s="5"/>
      <c r="SC12" s="5"/>
      <c r="SD12" s="41"/>
      <c r="SF12" s="5"/>
      <c r="SG12" s="5"/>
      <c r="SH12" s="5"/>
      <c r="SI12" s="5"/>
      <c r="SJ12" s="41"/>
      <c r="SL12" s="5"/>
      <c r="SM12" s="5"/>
      <c r="SN12" s="5"/>
      <c r="SO12" s="5"/>
      <c r="SP12" s="41"/>
      <c r="SR12" s="5"/>
      <c r="SS12" s="5"/>
      <c r="ST12" s="5"/>
      <c r="SU12" s="5"/>
      <c r="SV12" s="41"/>
      <c r="SX12" s="5"/>
      <c r="SY12" s="5"/>
      <c r="SZ12" s="5"/>
      <c r="TA12" s="5"/>
      <c r="TB12" s="41"/>
      <c r="TD12" s="5"/>
      <c r="TE12" s="5"/>
      <c r="TF12" s="5"/>
      <c r="TG12" s="5"/>
      <c r="TH12" s="41"/>
      <c r="TJ12" s="5"/>
      <c r="TK12" s="5"/>
      <c r="TL12" s="5"/>
      <c r="TM12" s="5"/>
      <c r="TN12" s="41"/>
      <c r="TP12" s="5"/>
      <c r="TQ12" s="5"/>
      <c r="TR12" s="5"/>
      <c r="TS12" s="5"/>
      <c r="TT12" s="41"/>
      <c r="TV12" s="5"/>
      <c r="TW12" s="5"/>
      <c r="TX12" s="5"/>
      <c r="TY12" s="5"/>
      <c r="TZ12" s="41"/>
      <c r="UB12" s="5"/>
      <c r="UC12" s="5"/>
      <c r="UD12" s="5"/>
      <c r="UE12" s="5"/>
      <c r="UF12" s="41"/>
      <c r="UH12" s="5"/>
      <c r="UI12" s="5"/>
      <c r="UJ12" s="5"/>
      <c r="UK12" s="5"/>
      <c r="UL12" s="41"/>
      <c r="UN12" s="5"/>
      <c r="UO12" s="5"/>
      <c r="UP12" s="5"/>
      <c r="UQ12" s="5"/>
      <c r="UR12" s="41"/>
      <c r="UT12" s="5"/>
      <c r="UU12" s="5"/>
      <c r="UV12" s="5"/>
      <c r="UW12" s="5"/>
      <c r="UX12" s="41"/>
      <c r="UZ12" s="5"/>
      <c r="VA12" s="5"/>
      <c r="VB12" s="5"/>
      <c r="VC12" s="5"/>
      <c r="VD12" s="41"/>
      <c r="VF12" s="5"/>
      <c r="VG12" s="5"/>
      <c r="VH12" s="5"/>
      <c r="VI12" s="5"/>
      <c r="VJ12" s="41"/>
      <c r="VL12" s="5"/>
      <c r="VM12" s="5"/>
      <c r="VN12" s="5"/>
      <c r="VO12" s="5"/>
      <c r="VP12" s="41"/>
      <c r="VR12" s="5"/>
      <c r="VS12" s="5"/>
      <c r="VT12" s="5"/>
      <c r="VU12" s="5"/>
      <c r="VV12" s="41"/>
      <c r="VX12" s="5"/>
      <c r="VY12" s="5"/>
      <c r="VZ12" s="5"/>
      <c r="WA12" s="5"/>
      <c r="WB12" s="41"/>
      <c r="WD12" s="5"/>
      <c r="WE12" s="5"/>
      <c r="WF12" s="5"/>
      <c r="WG12" s="5"/>
      <c r="WH12" s="41"/>
      <c r="WJ12" s="5"/>
      <c r="WK12" s="5"/>
      <c r="WL12" s="5"/>
      <c r="WM12" s="5"/>
      <c r="WN12" s="41"/>
      <c r="WP12" s="5"/>
      <c r="WQ12" s="5"/>
      <c r="WR12" s="5"/>
      <c r="WS12" s="5"/>
      <c r="WT12" s="41"/>
      <c r="WV12" s="5"/>
      <c r="WW12" s="5"/>
      <c r="WX12" s="5"/>
      <c r="WY12" s="5"/>
      <c r="WZ12" s="41"/>
      <c r="XB12" s="5"/>
      <c r="XC12" s="5"/>
      <c r="XD12" s="5"/>
      <c r="XE12" s="5"/>
      <c r="XF12" s="41"/>
      <c r="XH12" s="5"/>
      <c r="XI12" s="5"/>
      <c r="XJ12" s="5"/>
      <c r="XK12" s="5"/>
      <c r="XL12" s="41"/>
      <c r="XN12" s="5"/>
      <c r="XO12" s="5"/>
      <c r="XP12" s="5"/>
      <c r="XQ12" s="5"/>
      <c r="XR12" s="41"/>
      <c r="XT12" s="5"/>
      <c r="XU12" s="5"/>
      <c r="XV12" s="5"/>
      <c r="XW12" s="5"/>
      <c r="XX12" s="41"/>
      <c r="XZ12" s="5"/>
      <c r="YA12" s="5"/>
      <c r="YB12" s="5"/>
      <c r="YC12" s="5"/>
      <c r="YD12" s="41"/>
      <c r="YF12" s="5"/>
      <c r="YG12" s="5"/>
      <c r="YH12" s="5"/>
      <c r="YI12" s="5"/>
      <c r="YJ12" s="41"/>
      <c r="YL12" s="5"/>
      <c r="YM12" s="5"/>
      <c r="YN12" s="5"/>
      <c r="YO12" s="5"/>
      <c r="YP12" s="41"/>
      <c r="YR12" s="5"/>
      <c r="YS12" s="5"/>
      <c r="YT12" s="5"/>
      <c r="YU12" s="5"/>
      <c r="YV12" s="41"/>
      <c r="YX12" s="5"/>
      <c r="YY12" s="5"/>
      <c r="YZ12" s="5"/>
      <c r="ZA12" s="5"/>
      <c r="ZB12" s="41"/>
      <c r="ZD12" s="5"/>
      <c r="ZE12" s="5"/>
      <c r="ZF12" s="5"/>
      <c r="ZG12" s="5"/>
      <c r="ZH12" s="41"/>
      <c r="ZJ12" s="5"/>
      <c r="ZK12" s="5"/>
      <c r="ZL12" s="5"/>
      <c r="ZM12" s="5"/>
      <c r="ZN12" s="41"/>
      <c r="ZP12" s="5"/>
      <c r="ZQ12" s="5"/>
      <c r="ZR12" s="5"/>
      <c r="ZS12" s="5"/>
      <c r="ZT12" s="41"/>
      <c r="ZV12" s="5"/>
      <c r="ZW12" s="5"/>
      <c r="ZX12" s="5"/>
      <c r="ZY12" s="5"/>
      <c r="ZZ12" s="41"/>
      <c r="AAB12" s="5"/>
      <c r="AAC12" s="5"/>
      <c r="AAD12" s="5"/>
      <c r="AAE12" s="5"/>
      <c r="AAF12" s="41"/>
      <c r="AAH12" s="5"/>
      <c r="AAI12" s="5"/>
      <c r="AAJ12" s="5"/>
      <c r="AAK12" s="5"/>
      <c r="AAL12" s="41"/>
      <c r="AAN12" s="5"/>
      <c r="AAO12" s="5"/>
      <c r="AAP12" s="5"/>
      <c r="AAQ12" s="5"/>
      <c r="AAR12" s="41"/>
      <c r="AAT12" s="5"/>
      <c r="AAU12" s="5"/>
      <c r="AAV12" s="5"/>
      <c r="AAW12" s="5"/>
      <c r="AAX12" s="41"/>
      <c r="AAZ12" s="5"/>
      <c r="ABA12" s="5"/>
      <c r="ABB12" s="5"/>
      <c r="ABC12" s="5"/>
      <c r="ABD12" s="41"/>
      <c r="ABF12" s="5"/>
      <c r="ABG12" s="5"/>
      <c r="ABH12" s="5"/>
      <c r="ABI12" s="5"/>
      <c r="ABJ12" s="41"/>
      <c r="ABL12" s="5"/>
      <c r="ABM12" s="5"/>
      <c r="ABN12" s="5"/>
      <c r="ABO12" s="5"/>
      <c r="ABP12" s="41"/>
      <c r="ABR12" s="5"/>
      <c r="ABS12" s="5"/>
      <c r="ABT12" s="5"/>
      <c r="ABU12" s="5"/>
      <c r="ABV12" s="41"/>
      <c r="ABX12" s="5"/>
      <c r="ABY12" s="5"/>
      <c r="ABZ12" s="5"/>
      <c r="ACA12" s="5"/>
      <c r="ACB12" s="41"/>
      <c r="ACD12" s="5"/>
      <c r="ACE12" s="5"/>
      <c r="ACF12" s="5"/>
      <c r="ACG12" s="5"/>
      <c r="ACH12" s="41"/>
      <c r="ACJ12" s="5"/>
      <c r="ACK12" s="5"/>
      <c r="ACL12" s="5"/>
      <c r="ACM12" s="5"/>
      <c r="ACN12" s="41"/>
      <c r="ACP12" s="5"/>
      <c r="ACQ12" s="5"/>
      <c r="ACR12" s="5"/>
      <c r="ACS12" s="5"/>
      <c r="ACT12" s="41"/>
      <c r="ACV12" s="5"/>
      <c r="ACW12" s="5"/>
      <c r="ACX12" s="5"/>
      <c r="ACY12" s="5"/>
      <c r="ACZ12" s="41"/>
      <c r="ADB12" s="5"/>
      <c r="ADC12" s="5"/>
      <c r="ADD12" s="5"/>
      <c r="ADE12" s="5"/>
      <c r="ADF12" s="41"/>
      <c r="ADH12" s="5"/>
      <c r="ADI12" s="5"/>
      <c r="ADJ12" s="5"/>
      <c r="ADK12" s="5"/>
      <c r="ADL12" s="41"/>
      <c r="ADN12" s="5"/>
      <c r="ADO12" s="5"/>
      <c r="ADP12" s="5"/>
      <c r="ADQ12" s="5"/>
      <c r="ADR12" s="41"/>
      <c r="ADT12" s="5"/>
      <c r="ADU12" s="5"/>
      <c r="ADV12" s="5"/>
      <c r="ADW12" s="5"/>
      <c r="ADX12" s="41"/>
      <c r="ADZ12" s="5"/>
      <c r="AEA12" s="5"/>
      <c r="AEB12" s="5"/>
      <c r="AEC12" s="5"/>
      <c r="AED12" s="41"/>
      <c r="AEF12" s="5"/>
      <c r="AEG12" s="5"/>
      <c r="AEH12" s="5"/>
      <c r="AEI12" s="5"/>
      <c r="AEJ12" s="41"/>
      <c r="AEL12" s="5"/>
      <c r="AEM12" s="5"/>
      <c r="AEN12" s="5"/>
      <c r="AEO12" s="5"/>
      <c r="AEP12" s="41"/>
      <c r="AER12" s="5"/>
      <c r="AES12" s="5"/>
      <c r="AET12" s="5"/>
      <c r="AEU12" s="5"/>
      <c r="AEV12" s="41"/>
      <c r="AEX12" s="5"/>
      <c r="AEY12" s="5"/>
      <c r="AEZ12" s="5"/>
      <c r="AFA12" s="5"/>
      <c r="AFB12" s="41"/>
      <c r="AFD12" s="5"/>
      <c r="AFE12" s="5"/>
      <c r="AFF12" s="5"/>
      <c r="AFG12" s="5"/>
      <c r="AFH12" s="41"/>
      <c r="AFJ12" s="5"/>
      <c r="AFK12" s="5"/>
      <c r="AFL12" s="5"/>
      <c r="AFM12" s="5"/>
      <c r="AFN12" s="41"/>
      <c r="AFP12" s="5"/>
      <c r="AFQ12" s="5"/>
      <c r="AFR12" s="5"/>
      <c r="AFS12" s="5"/>
      <c r="AFT12" s="41"/>
      <c r="AFV12" s="5"/>
      <c r="AFW12" s="5"/>
      <c r="AFX12" s="5"/>
      <c r="AFY12" s="5"/>
      <c r="AFZ12" s="41"/>
      <c r="AGB12" s="5"/>
      <c r="AGC12" s="5"/>
      <c r="AGD12" s="5"/>
      <c r="AGE12" s="5"/>
      <c r="AGF12" s="41"/>
      <c r="AGH12" s="5"/>
      <c r="AGI12" s="5"/>
      <c r="AGJ12" s="5"/>
      <c r="AGK12" s="5"/>
      <c r="AGL12" s="41"/>
      <c r="AGN12" s="5"/>
      <c r="AGO12" s="5"/>
      <c r="AGP12" s="5"/>
      <c r="AGQ12" s="5"/>
      <c r="AGR12" s="41"/>
      <c r="AGT12" s="5"/>
      <c r="AGU12" s="5"/>
      <c r="AGV12" s="5"/>
      <c r="AGW12" s="5"/>
      <c r="AGX12" s="41"/>
      <c r="AGZ12" s="5"/>
      <c r="AHA12" s="5"/>
      <c r="AHB12" s="5"/>
      <c r="AHC12" s="5"/>
      <c r="AHD12" s="41"/>
      <c r="AHF12" s="5"/>
      <c r="AHG12" s="5"/>
      <c r="AHH12" s="5"/>
      <c r="AHI12" s="5"/>
      <c r="AHJ12" s="41"/>
      <c r="AHL12" s="5"/>
      <c r="AHM12" s="5"/>
      <c r="AHN12" s="5"/>
      <c r="AHO12" s="5"/>
      <c r="AHP12" s="41"/>
      <c r="AHR12" s="5"/>
      <c r="AHS12" s="5"/>
      <c r="AHT12" s="5"/>
      <c r="AHU12" s="5"/>
      <c r="AHV12" s="41"/>
      <c r="AHX12" s="5"/>
      <c r="AHY12" s="5"/>
      <c r="AHZ12" s="5"/>
      <c r="AIA12" s="5"/>
      <c r="AIB12" s="41"/>
      <c r="AID12" s="5"/>
      <c r="AIE12" s="5"/>
      <c r="AIF12" s="5"/>
      <c r="AIG12" s="5"/>
      <c r="AIH12" s="41"/>
      <c r="AIJ12" s="5"/>
      <c r="AIK12" s="5"/>
      <c r="AIL12" s="5"/>
      <c r="AIM12" s="5"/>
      <c r="AIN12" s="41"/>
      <c r="AIP12" s="5"/>
      <c r="AIQ12" s="5"/>
      <c r="AIR12" s="5"/>
      <c r="AIS12" s="5"/>
      <c r="AIT12" s="41"/>
      <c r="AIV12" s="5"/>
      <c r="AIW12" s="5"/>
      <c r="AIX12" s="5"/>
      <c r="AIY12" s="5"/>
      <c r="AIZ12" s="41"/>
      <c r="AJB12" s="5"/>
      <c r="AJC12" s="5"/>
      <c r="AJD12" s="5"/>
      <c r="AJE12" s="5"/>
      <c r="AJF12" s="41"/>
      <c r="AJH12" s="5"/>
      <c r="AJI12" s="5"/>
      <c r="AJJ12" s="5"/>
      <c r="AJK12" s="5"/>
      <c r="AJL12" s="41"/>
      <c r="AJN12" s="5"/>
      <c r="AJO12" s="5"/>
      <c r="AJP12" s="5"/>
      <c r="AJQ12" s="5"/>
      <c r="AJR12" s="41"/>
      <c r="AJT12" s="5"/>
      <c r="AJU12" s="5"/>
      <c r="AJV12" s="5"/>
      <c r="AJW12" s="5"/>
      <c r="AJX12" s="41"/>
      <c r="AJZ12" s="5"/>
      <c r="AKA12" s="5"/>
      <c r="AKB12" s="5"/>
      <c r="AKC12" s="5"/>
      <c r="AKD12" s="41"/>
      <c r="AKF12" s="5"/>
      <c r="AKG12" s="5"/>
      <c r="AKH12" s="5"/>
      <c r="AKI12" s="5"/>
      <c r="AKJ12" s="41"/>
      <c r="AKL12" s="5"/>
      <c r="AKM12" s="5"/>
      <c r="AKN12" s="5"/>
      <c r="AKO12" s="5"/>
      <c r="AKP12" s="41"/>
      <c r="AKR12" s="5"/>
      <c r="AKS12" s="5"/>
      <c r="AKT12" s="5"/>
      <c r="AKU12" s="5"/>
      <c r="AKV12" s="41"/>
      <c r="AKX12" s="5"/>
      <c r="AKY12" s="5"/>
      <c r="AKZ12" s="5"/>
      <c r="ALA12" s="5"/>
      <c r="ALB12" s="41"/>
      <c r="ALD12" s="5"/>
      <c r="ALE12" s="5"/>
      <c r="ALF12" s="5"/>
      <c r="ALG12" s="5"/>
      <c r="ALH12" s="41"/>
      <c r="ALJ12" s="5"/>
      <c r="ALK12" s="5"/>
      <c r="ALL12" s="5"/>
      <c r="ALM12" s="5"/>
      <c r="ALN12" s="41"/>
      <c r="ALP12" s="5"/>
      <c r="ALQ12" s="5"/>
      <c r="ALR12" s="5"/>
      <c r="ALS12" s="5"/>
      <c r="ALT12" s="41"/>
      <c r="ALV12" s="5"/>
      <c r="ALW12" s="5"/>
      <c r="ALX12" s="5"/>
      <c r="ALY12" s="5"/>
      <c r="ALZ12" s="41"/>
      <c r="AMB12" s="5"/>
      <c r="AMC12" s="5"/>
      <c r="AMD12" s="5"/>
      <c r="AME12" s="5"/>
      <c r="AMF12" s="41"/>
      <c r="AMH12" s="5"/>
      <c r="AMI12" s="5"/>
      <c r="AMJ12" s="5"/>
      <c r="AMK12" s="5"/>
      <c r="AML12" s="41"/>
      <c r="AMN12" s="5"/>
      <c r="AMO12" s="5"/>
      <c r="AMP12" s="5"/>
      <c r="AMQ12" s="5"/>
      <c r="AMR12" s="41"/>
      <c r="AMT12" s="5"/>
      <c r="AMU12" s="5"/>
      <c r="AMV12" s="5"/>
      <c r="AMW12" s="5"/>
      <c r="AMX12" s="41"/>
      <c r="AMZ12" s="5"/>
      <c r="ANA12" s="5"/>
      <c r="ANB12" s="5"/>
      <c r="ANC12" s="5"/>
      <c r="AND12" s="41"/>
      <c r="ANF12" s="5"/>
      <c r="ANG12" s="5"/>
      <c r="ANH12" s="5"/>
      <c r="ANI12" s="5"/>
      <c r="ANJ12" s="41"/>
      <c r="ANL12" s="5"/>
      <c r="ANM12" s="5"/>
      <c r="ANN12" s="5"/>
      <c r="ANO12" s="5"/>
      <c r="ANP12" s="41"/>
      <c r="ANR12" s="5"/>
      <c r="ANS12" s="5"/>
      <c r="ANT12" s="5"/>
      <c r="ANU12" s="5"/>
      <c r="ANV12" s="41"/>
      <c r="ANX12" s="5"/>
      <c r="ANY12" s="5"/>
      <c r="ANZ12" s="5"/>
      <c r="AOA12" s="5"/>
      <c r="AOB12" s="41"/>
      <c r="AOD12" s="5"/>
      <c r="AOE12" s="5"/>
      <c r="AOF12" s="5"/>
      <c r="AOG12" s="5"/>
      <c r="AOH12" s="41"/>
      <c r="AOJ12" s="5"/>
      <c r="AOK12" s="5"/>
      <c r="AOL12" s="5"/>
      <c r="AOM12" s="5"/>
      <c r="AON12" s="41"/>
      <c r="AOP12" s="5"/>
      <c r="AOQ12" s="5"/>
      <c r="AOR12" s="5"/>
      <c r="AOS12" s="5"/>
      <c r="AOT12" s="41"/>
      <c r="AOV12" s="5"/>
      <c r="AOW12" s="5"/>
      <c r="AOX12" s="5"/>
      <c r="AOY12" s="5"/>
      <c r="AOZ12" s="41"/>
    </row>
    <row r="13" spans="1:1092" x14ac:dyDescent="0.25">
      <c r="A13" s="3"/>
      <c r="B13" s="5"/>
      <c r="C13" s="44"/>
      <c r="L13" s="60"/>
      <c r="R13" s="60"/>
      <c r="X13" s="60"/>
      <c r="AD13" s="60"/>
      <c r="AJ13" s="60"/>
      <c r="AP13" s="60"/>
      <c r="AV13" s="60"/>
      <c r="BB13" s="60"/>
      <c r="BH13" s="60"/>
      <c r="BN13" s="60"/>
      <c r="BT13" s="60"/>
      <c r="BZ13" s="60"/>
      <c r="CF13" s="60"/>
      <c r="CL13" s="60"/>
      <c r="CR13" s="60"/>
      <c r="CX13" s="61"/>
      <c r="DD13" s="61"/>
      <c r="DJ13" s="61"/>
      <c r="DP13" s="61"/>
      <c r="DV13" s="61"/>
      <c r="EB13" s="61"/>
      <c r="EH13" s="61"/>
      <c r="EN13" s="61"/>
      <c r="ET13" s="61"/>
      <c r="EZ13" s="61"/>
      <c r="FF13" s="61"/>
      <c r="FL13" s="61"/>
      <c r="FR13" s="61"/>
      <c r="FX13" s="61"/>
      <c r="GD13" s="61"/>
      <c r="GJ13" s="61"/>
      <c r="GP13" s="61"/>
      <c r="GV13" s="61"/>
      <c r="HB13" s="61"/>
      <c r="HH13" s="61"/>
      <c r="HN13" s="61"/>
      <c r="HT13" s="61"/>
      <c r="HZ13" s="61"/>
      <c r="IF13" s="61"/>
      <c r="IL13" s="61"/>
      <c r="IR13" s="61"/>
      <c r="IX13" s="61"/>
      <c r="JD13" s="61"/>
      <c r="JJ13" s="61"/>
      <c r="JP13" s="61"/>
      <c r="JV13" s="61"/>
      <c r="KB13" s="61"/>
      <c r="KH13" s="61"/>
      <c r="KN13" s="61"/>
      <c r="KT13" s="61"/>
      <c r="KZ13" s="61"/>
      <c r="LF13" s="61"/>
      <c r="LL13" s="61"/>
      <c r="LR13" s="61"/>
      <c r="LX13" s="61"/>
      <c r="MD13" s="61"/>
      <c r="MJ13" s="61"/>
      <c r="MP13" s="61"/>
      <c r="MV13" s="61"/>
      <c r="NB13" s="61"/>
      <c r="NH13" s="61"/>
      <c r="NN13" s="61"/>
      <c r="NT13" s="61"/>
      <c r="NZ13" s="61"/>
      <c r="OF13" s="61"/>
      <c r="OL13" s="61"/>
      <c r="OR13" s="61"/>
      <c r="OX13" s="61"/>
      <c r="PD13" s="61"/>
      <c r="PJ13" s="61"/>
      <c r="PP13" s="61"/>
      <c r="PV13" s="61"/>
      <c r="QB13" s="61"/>
      <c r="QH13" s="61"/>
      <c r="QN13" s="61"/>
      <c r="QT13" s="61"/>
      <c r="QZ13" s="61"/>
      <c r="RF13" s="61"/>
      <c r="RL13" s="61"/>
      <c r="RR13" s="61"/>
      <c r="RX13" s="61"/>
      <c r="SD13" s="61"/>
      <c r="SJ13" s="61"/>
      <c r="SP13" s="61"/>
      <c r="SV13" s="61"/>
      <c r="TB13" s="61"/>
      <c r="TH13" s="61"/>
      <c r="TN13" s="61"/>
      <c r="TT13" s="61"/>
      <c r="TZ13" s="61"/>
      <c r="UF13" s="61"/>
      <c r="UL13" s="61"/>
      <c r="UR13" s="61"/>
      <c r="UX13" s="61"/>
      <c r="VD13" s="61"/>
      <c r="VJ13" s="61"/>
      <c r="VP13" s="61"/>
      <c r="VV13" s="61"/>
      <c r="WB13" s="61"/>
      <c r="WH13" s="61"/>
      <c r="WN13" s="61"/>
      <c r="WT13" s="61"/>
      <c r="WZ13" s="61"/>
      <c r="XF13" s="61"/>
      <c r="XL13" s="61"/>
      <c r="XR13" s="61"/>
      <c r="XX13" s="61"/>
      <c r="YD13" s="61"/>
      <c r="YJ13" s="61"/>
      <c r="YP13" s="61"/>
      <c r="YV13" s="61"/>
      <c r="ZB13" s="61"/>
      <c r="ZH13" s="61"/>
      <c r="ZN13" s="61"/>
      <c r="ZT13" s="61"/>
      <c r="ZZ13" s="61"/>
      <c r="AAF13" s="61"/>
      <c r="AAL13" s="61"/>
      <c r="AAR13" s="61"/>
      <c r="AAX13" s="61"/>
      <c r="ABD13" s="61"/>
      <c r="ABJ13" s="61"/>
      <c r="ABP13" s="61"/>
      <c r="ABV13" s="61"/>
      <c r="ACB13" s="61"/>
      <c r="ACH13" s="61"/>
      <c r="ACN13" s="61"/>
      <c r="ACT13" s="61"/>
      <c r="ACZ13" s="61"/>
      <c r="ADF13" s="61"/>
      <c r="ADL13" s="61"/>
      <c r="ADR13" s="61"/>
      <c r="ADX13" s="61"/>
      <c r="AED13" s="61"/>
      <c r="AEJ13" s="61"/>
      <c r="AEP13" s="61"/>
      <c r="AEV13" s="61"/>
      <c r="AFB13" s="61"/>
      <c r="AFH13" s="61"/>
      <c r="AFN13" s="61"/>
      <c r="AFT13" s="61"/>
      <c r="AFZ13" s="61"/>
      <c r="AGF13" s="61"/>
      <c r="AGL13" s="61"/>
      <c r="AGR13" s="61"/>
      <c r="AGX13" s="61"/>
      <c r="AHD13" s="61"/>
      <c r="AHJ13" s="61"/>
      <c r="AHP13" s="61"/>
      <c r="AHV13" s="61"/>
      <c r="AIB13" s="61"/>
      <c r="AIH13" s="61"/>
      <c r="AIN13" s="61"/>
      <c r="AIT13" s="61"/>
      <c r="AIZ13" s="61"/>
      <c r="AJF13" s="61"/>
      <c r="AJL13" s="61"/>
      <c r="AJR13" s="61"/>
      <c r="AJX13" s="61"/>
      <c r="AKD13" s="61"/>
      <c r="AKJ13" s="61"/>
      <c r="AKL13" s="5">
        <v>0</v>
      </c>
      <c r="AKM13" s="5"/>
      <c r="AKN13" s="5">
        <f t="shared" si="117"/>
        <v>0</v>
      </c>
      <c r="AKO13" s="5"/>
      <c r="AKP13" s="41"/>
      <c r="AKR13" s="5">
        <v>0</v>
      </c>
      <c r="AKS13" s="5"/>
      <c r="AKT13" s="5">
        <f t="shared" ref="AKT13" si="537">(AKL13+AKM13)-AKR13</f>
        <v>0</v>
      </c>
      <c r="AKU13" s="5"/>
      <c r="AKV13" s="41"/>
      <c r="AKX13" s="5">
        <v>0</v>
      </c>
      <c r="AKY13" s="5"/>
      <c r="AKZ13" s="5">
        <f t="shared" ref="AKZ13" si="538">(AKR13+AKS13)-AKX13</f>
        <v>0</v>
      </c>
      <c r="ALA13" s="5"/>
      <c r="ALB13" s="41"/>
      <c r="ALD13" s="5">
        <v>0</v>
      </c>
      <c r="ALE13" s="5"/>
      <c r="ALF13" s="5">
        <f t="shared" ref="ALF13" si="539">(AKX13+AKY13)-ALD13</f>
        <v>0</v>
      </c>
      <c r="ALG13" s="5"/>
      <c r="ALH13" s="41"/>
      <c r="ALJ13" s="5">
        <v>0</v>
      </c>
      <c r="ALK13" s="37"/>
      <c r="ALL13" s="5">
        <f t="shared" ref="ALL13" si="540">(ALD13+ALE13)-ALJ13</f>
        <v>0</v>
      </c>
      <c r="ALM13" s="5"/>
      <c r="ALN13" s="41"/>
      <c r="ALP13" s="5">
        <v>0</v>
      </c>
      <c r="ALQ13" s="37"/>
      <c r="ALR13" s="5">
        <f t="shared" ref="ALR13" si="541">(ALJ13+ALK13)-ALP13</f>
        <v>0</v>
      </c>
      <c r="ALS13" s="5"/>
      <c r="ALT13" s="41"/>
      <c r="ALV13" s="5">
        <v>0</v>
      </c>
      <c r="ALW13" s="37"/>
      <c r="ALX13" s="5">
        <f t="shared" ref="ALX13" si="542">(ALP13+ALQ13)-ALV13</f>
        <v>0</v>
      </c>
      <c r="ALY13" s="5"/>
      <c r="ALZ13" s="41"/>
      <c r="AMB13" s="5">
        <v>0</v>
      </c>
      <c r="AMC13" s="37"/>
      <c r="AMD13" s="5">
        <f t="shared" ref="AMD13" si="543">(ALV13+ALW13)-AMB13</f>
        <v>0</v>
      </c>
      <c r="AME13" s="5"/>
      <c r="AMF13" s="41"/>
      <c r="AMH13" s="5">
        <v>0</v>
      </c>
      <c r="AMI13" s="37"/>
      <c r="AMJ13" s="5">
        <f t="shared" ref="AMJ13" si="544">(AMB13+AMC13)-AMH13</f>
        <v>0</v>
      </c>
      <c r="AMK13" s="5"/>
      <c r="AML13" s="41"/>
      <c r="AMN13" s="5">
        <v>0</v>
      </c>
      <c r="AMO13" s="37"/>
      <c r="AMP13" s="5">
        <f t="shared" ref="AMP13" si="545">(AMH13+AMI13)-AMN13</f>
        <v>0</v>
      </c>
      <c r="AMQ13" s="5"/>
      <c r="AMR13" s="41"/>
      <c r="AMT13" s="5">
        <v>0</v>
      </c>
      <c r="AMU13" s="37"/>
      <c r="AMV13" s="5">
        <f t="shared" ref="AMV13" si="546">(AMN13+AMO13)-AMT13</f>
        <v>0</v>
      </c>
      <c r="AMW13" s="5"/>
      <c r="AMX13" s="41"/>
      <c r="AMZ13" s="5">
        <v>0</v>
      </c>
      <c r="ANA13" s="37"/>
      <c r="ANB13" s="5">
        <f t="shared" ref="ANB13" si="547">(AMT13+AMU13)-AMZ13</f>
        <v>0</v>
      </c>
      <c r="ANC13" s="5"/>
      <c r="AND13" s="41"/>
      <c r="ANF13" s="5">
        <v>0</v>
      </c>
      <c r="ANG13" s="37"/>
      <c r="ANH13" s="5">
        <f t="shared" ref="ANH13" si="548">(AMZ13+ANA13)-ANF13</f>
        <v>0</v>
      </c>
      <c r="ANI13" s="5"/>
      <c r="ANJ13" s="41"/>
      <c r="ANL13" s="5">
        <v>0</v>
      </c>
      <c r="ANM13" s="37"/>
      <c r="ANN13" s="5">
        <f t="shared" ref="ANN13" si="549">(ANF13+ANG13)-ANL13</f>
        <v>0</v>
      </c>
      <c r="ANO13" s="5"/>
      <c r="ANP13" s="41"/>
      <c r="ANR13" s="5"/>
      <c r="ANS13" s="37"/>
      <c r="ANT13" s="5"/>
      <c r="ANU13" s="5"/>
      <c r="ANV13" s="41"/>
      <c r="ANX13" s="5"/>
      <c r="ANY13" s="37"/>
      <c r="ANZ13" s="5"/>
      <c r="AOA13" s="5"/>
      <c r="AOB13" s="41"/>
      <c r="AOD13" s="5"/>
      <c r="AOE13" s="37"/>
      <c r="AOF13" s="5"/>
      <c r="AOG13" s="5"/>
      <c r="AOH13" s="41"/>
      <c r="AOJ13" s="5">
        <v>0</v>
      </c>
      <c r="AOK13" s="37"/>
      <c r="AOL13" s="5"/>
      <c r="AOM13" s="5"/>
      <c r="AON13" s="41"/>
      <c r="AOP13" s="5">
        <v>0</v>
      </c>
      <c r="AOQ13" s="37"/>
      <c r="AOR13" s="5"/>
      <c r="AOS13" s="5"/>
      <c r="AOT13" s="41"/>
      <c r="AOV13" s="5">
        <v>0</v>
      </c>
      <c r="AOW13" s="37"/>
      <c r="AOX13" s="5"/>
      <c r="AOY13" s="5"/>
      <c r="AOZ13" s="41"/>
    </row>
    <row r="14" spans="1:1092" x14ac:dyDescent="0.25">
      <c r="C14" s="1"/>
    </row>
    <row r="15" spans="1:1092" x14ac:dyDescent="0.25">
      <c r="A15" s="6" t="s">
        <v>61</v>
      </c>
      <c r="B15" s="2" t="s">
        <v>17</v>
      </c>
      <c r="C15" s="2" t="s">
        <v>13</v>
      </c>
      <c r="E15" s="2" t="s">
        <v>14</v>
      </c>
      <c r="F15" s="2" t="s">
        <v>15</v>
      </c>
      <c r="H15" s="2" t="s">
        <v>14</v>
      </c>
      <c r="I15" s="2" t="s">
        <v>15</v>
      </c>
      <c r="J15" s="2" t="s">
        <v>52</v>
      </c>
      <c r="K15" s="32"/>
      <c r="L15" s="32"/>
      <c r="M15" s="32"/>
      <c r="N15" s="2" t="s">
        <v>14</v>
      </c>
      <c r="O15" s="2" t="s">
        <v>15</v>
      </c>
      <c r="P15" s="2" t="s">
        <v>52</v>
      </c>
      <c r="Q15" s="32"/>
      <c r="R15" s="32"/>
      <c r="S15" s="32"/>
      <c r="T15" s="2" t="s">
        <v>14</v>
      </c>
      <c r="U15" s="2" t="s">
        <v>15</v>
      </c>
      <c r="V15" s="2" t="s">
        <v>52</v>
      </c>
      <c r="W15" s="32"/>
      <c r="X15" s="32"/>
      <c r="Y15" s="32"/>
      <c r="Z15" s="2" t="s">
        <v>14</v>
      </c>
      <c r="AA15" s="2" t="s">
        <v>15</v>
      </c>
      <c r="AB15" s="2" t="s">
        <v>52</v>
      </c>
      <c r="AC15" s="32"/>
      <c r="AD15" s="32"/>
      <c r="AE15" s="32"/>
      <c r="AF15" s="2" t="s">
        <v>14</v>
      </c>
      <c r="AG15" s="2" t="s">
        <v>15</v>
      </c>
      <c r="AH15" s="2" t="s">
        <v>52</v>
      </c>
      <c r="AI15" s="32"/>
      <c r="AJ15" s="32"/>
      <c r="AK15" s="32"/>
      <c r="AL15" s="2" t="s">
        <v>14</v>
      </c>
      <c r="AM15" s="2" t="s">
        <v>15</v>
      </c>
      <c r="AN15" s="2" t="s">
        <v>52</v>
      </c>
      <c r="AO15" s="32"/>
      <c r="AP15" s="32"/>
      <c r="AQ15" s="32"/>
      <c r="AR15" s="2" t="s">
        <v>14</v>
      </c>
      <c r="AS15" s="2" t="s">
        <v>15</v>
      </c>
      <c r="AT15" s="2" t="s">
        <v>52</v>
      </c>
      <c r="AU15" s="32"/>
      <c r="AV15" s="32"/>
      <c r="AW15" s="32"/>
      <c r="AX15" s="2" t="s">
        <v>14</v>
      </c>
      <c r="AY15" s="2" t="s">
        <v>15</v>
      </c>
      <c r="AZ15" s="2" t="s">
        <v>52</v>
      </c>
      <c r="BA15" s="32"/>
      <c r="BB15" s="32"/>
      <c r="BC15" s="32"/>
      <c r="BD15" s="2" t="s">
        <v>14</v>
      </c>
      <c r="BE15" s="2" t="s">
        <v>15</v>
      </c>
      <c r="BF15" s="2" t="s">
        <v>52</v>
      </c>
      <c r="BG15" s="32"/>
      <c r="BH15" s="32"/>
      <c r="BI15" s="32"/>
      <c r="BJ15" s="2" t="s">
        <v>14</v>
      </c>
      <c r="BK15" s="2" t="s">
        <v>15</v>
      </c>
      <c r="BL15" s="2" t="s">
        <v>52</v>
      </c>
      <c r="BM15" s="32"/>
      <c r="BN15" s="32"/>
      <c r="BO15" s="32"/>
      <c r="BP15" s="2" t="s">
        <v>14</v>
      </c>
      <c r="BQ15" s="2" t="s">
        <v>15</v>
      </c>
      <c r="BR15" s="2" t="s">
        <v>52</v>
      </c>
      <c r="BS15" s="32"/>
      <c r="BT15" s="32"/>
      <c r="BU15" s="32"/>
      <c r="BV15" s="2" t="s">
        <v>14</v>
      </c>
      <c r="BW15" s="2" t="s">
        <v>15</v>
      </c>
      <c r="BX15" s="2" t="s">
        <v>52</v>
      </c>
      <c r="BY15" s="32"/>
      <c r="BZ15" s="32"/>
      <c r="CA15" s="32"/>
      <c r="CB15" s="2" t="s">
        <v>14</v>
      </c>
      <c r="CC15" s="2" t="s">
        <v>15</v>
      </c>
      <c r="CD15" s="2" t="s">
        <v>52</v>
      </c>
      <c r="CE15" s="32"/>
      <c r="CF15" s="32"/>
      <c r="CG15" s="32"/>
      <c r="CH15" s="2" t="s">
        <v>14</v>
      </c>
      <c r="CI15" s="2" t="s">
        <v>15</v>
      </c>
      <c r="CJ15" s="2" t="s">
        <v>52</v>
      </c>
      <c r="CK15" s="32"/>
      <c r="CL15" s="32"/>
      <c r="CM15" s="32"/>
      <c r="CN15" s="2" t="s">
        <v>14</v>
      </c>
      <c r="CO15" s="2" t="s">
        <v>15</v>
      </c>
      <c r="CP15" s="2" t="s">
        <v>52</v>
      </c>
      <c r="CQ15" s="32"/>
      <c r="CR15" s="32"/>
      <c r="CS15" s="32"/>
      <c r="CT15" s="2" t="s">
        <v>14</v>
      </c>
      <c r="CU15" s="2" t="s">
        <v>15</v>
      </c>
      <c r="CV15" s="2" t="s">
        <v>52</v>
      </c>
      <c r="CW15" s="32"/>
      <c r="CX15" s="32"/>
      <c r="CY15" s="32"/>
      <c r="CZ15" s="2" t="s">
        <v>14</v>
      </c>
      <c r="DA15" s="2" t="s">
        <v>15</v>
      </c>
      <c r="DB15" s="2" t="s">
        <v>52</v>
      </c>
      <c r="DC15" s="32"/>
      <c r="DD15" s="32"/>
      <c r="DE15" s="32"/>
      <c r="DF15" s="2" t="s">
        <v>14</v>
      </c>
      <c r="DG15" s="2" t="s">
        <v>15</v>
      </c>
      <c r="DH15" s="2" t="s">
        <v>52</v>
      </c>
      <c r="DI15" s="32"/>
      <c r="DJ15" s="32"/>
      <c r="DK15" s="32"/>
      <c r="DL15" s="2" t="s">
        <v>14</v>
      </c>
      <c r="DM15" s="2" t="s">
        <v>15</v>
      </c>
      <c r="DN15" s="2" t="s">
        <v>52</v>
      </c>
      <c r="DO15" s="32"/>
      <c r="DP15" s="32"/>
      <c r="DQ15" s="32"/>
      <c r="DR15" s="2" t="s">
        <v>14</v>
      </c>
      <c r="DS15" s="2" t="s">
        <v>15</v>
      </c>
      <c r="DT15" s="2" t="s">
        <v>52</v>
      </c>
      <c r="DU15" s="32"/>
      <c r="DV15" s="32"/>
      <c r="DW15" s="32"/>
      <c r="DX15" s="2" t="s">
        <v>14</v>
      </c>
      <c r="DY15" s="2" t="s">
        <v>15</v>
      </c>
      <c r="DZ15" s="2" t="s">
        <v>52</v>
      </c>
      <c r="EA15" s="32"/>
      <c r="EB15" s="32"/>
      <c r="EC15" s="32"/>
      <c r="ED15" s="2" t="s">
        <v>14</v>
      </c>
      <c r="EE15" s="2" t="s">
        <v>15</v>
      </c>
      <c r="EF15" s="2" t="s">
        <v>52</v>
      </c>
      <c r="EG15" s="32"/>
      <c r="EH15" s="32"/>
      <c r="EI15" s="32"/>
      <c r="EJ15" s="2" t="s">
        <v>14</v>
      </c>
      <c r="EK15" s="2" t="s">
        <v>15</v>
      </c>
      <c r="EL15" s="2" t="s">
        <v>52</v>
      </c>
      <c r="EM15" s="32"/>
      <c r="EN15" s="32"/>
      <c r="EO15" s="32"/>
      <c r="EP15" s="2" t="s">
        <v>14</v>
      </c>
      <c r="EQ15" s="2" t="s">
        <v>15</v>
      </c>
      <c r="ER15" s="2" t="s">
        <v>52</v>
      </c>
      <c r="ES15" s="32"/>
      <c r="ET15" s="32"/>
      <c r="EU15" s="32"/>
      <c r="EV15" s="2" t="s">
        <v>14</v>
      </c>
      <c r="EW15" s="2" t="s">
        <v>15</v>
      </c>
      <c r="EX15" s="2" t="s">
        <v>52</v>
      </c>
      <c r="EY15" s="32"/>
      <c r="EZ15" s="32"/>
      <c r="FA15" s="32"/>
      <c r="FB15" s="2" t="s">
        <v>14</v>
      </c>
      <c r="FC15" s="2" t="s">
        <v>15</v>
      </c>
      <c r="FD15" s="2" t="s">
        <v>52</v>
      </c>
      <c r="FE15" s="32"/>
      <c r="FF15" s="32"/>
      <c r="FG15" s="32"/>
      <c r="FH15" s="2" t="s">
        <v>14</v>
      </c>
      <c r="FI15" s="2" t="s">
        <v>15</v>
      </c>
      <c r="FJ15" s="2" t="s">
        <v>52</v>
      </c>
      <c r="FK15" s="32"/>
      <c r="FL15" s="32"/>
      <c r="FM15" s="32"/>
      <c r="FN15" s="2" t="s">
        <v>14</v>
      </c>
      <c r="FO15" s="2" t="s">
        <v>15</v>
      </c>
      <c r="FP15" s="2" t="s">
        <v>52</v>
      </c>
      <c r="FQ15" s="32"/>
      <c r="FR15" s="32"/>
      <c r="FS15" s="32"/>
      <c r="FT15" s="2" t="s">
        <v>14</v>
      </c>
      <c r="FU15" s="2" t="s">
        <v>15</v>
      </c>
      <c r="FV15" s="2" t="s">
        <v>52</v>
      </c>
      <c r="FW15" s="32"/>
      <c r="FX15" s="32"/>
      <c r="FY15" s="32"/>
      <c r="FZ15" s="2" t="s">
        <v>14</v>
      </c>
      <c r="GA15" s="2" t="s">
        <v>15</v>
      </c>
      <c r="GB15" s="2" t="s">
        <v>52</v>
      </c>
      <c r="GC15" s="32"/>
      <c r="GD15" s="32"/>
      <c r="GE15" s="32"/>
      <c r="GF15" s="2" t="s">
        <v>14</v>
      </c>
      <c r="GG15" s="2" t="s">
        <v>15</v>
      </c>
      <c r="GH15" s="2" t="s">
        <v>52</v>
      </c>
      <c r="GI15" s="32"/>
      <c r="GJ15" s="32"/>
      <c r="GK15" s="32"/>
      <c r="GL15" s="2" t="s">
        <v>14</v>
      </c>
      <c r="GM15" s="2" t="s">
        <v>15</v>
      </c>
      <c r="GN15" s="2" t="s">
        <v>52</v>
      </c>
      <c r="GO15" s="32"/>
      <c r="GP15" s="32"/>
      <c r="GQ15" s="32"/>
      <c r="GR15" s="2" t="s">
        <v>14</v>
      </c>
      <c r="GS15" s="2" t="s">
        <v>15</v>
      </c>
      <c r="GT15" s="2" t="s">
        <v>52</v>
      </c>
      <c r="GU15" s="32"/>
      <c r="GV15" s="32"/>
      <c r="GW15" s="32"/>
      <c r="GX15" s="2" t="s">
        <v>14</v>
      </c>
      <c r="GY15" s="2" t="s">
        <v>15</v>
      </c>
      <c r="GZ15" s="2" t="s">
        <v>52</v>
      </c>
      <c r="HA15" s="32"/>
      <c r="HB15" s="32"/>
      <c r="HC15" s="32"/>
      <c r="HD15" s="2" t="s">
        <v>14</v>
      </c>
      <c r="HE15" s="2" t="s">
        <v>15</v>
      </c>
      <c r="HF15" s="2" t="s">
        <v>52</v>
      </c>
      <c r="HG15" s="32"/>
      <c r="HH15" s="32"/>
      <c r="HI15" s="32"/>
      <c r="HJ15" s="2" t="s">
        <v>14</v>
      </c>
      <c r="HK15" s="2" t="s">
        <v>15</v>
      </c>
      <c r="HL15" s="2" t="s">
        <v>52</v>
      </c>
      <c r="HM15" s="32"/>
      <c r="HN15" s="32"/>
      <c r="HO15" s="32"/>
      <c r="HP15" s="2" t="s">
        <v>14</v>
      </c>
      <c r="HQ15" s="2" t="s">
        <v>15</v>
      </c>
      <c r="HR15" s="2" t="s">
        <v>52</v>
      </c>
      <c r="HS15" s="32"/>
      <c r="HT15" s="32"/>
      <c r="HU15" s="32"/>
      <c r="HV15" s="2" t="s">
        <v>14</v>
      </c>
      <c r="HW15" s="2" t="s">
        <v>15</v>
      </c>
      <c r="HX15" s="2" t="s">
        <v>52</v>
      </c>
      <c r="HY15" s="32"/>
      <c r="HZ15" s="32"/>
      <c r="IA15" s="32"/>
      <c r="IB15" s="2" t="s">
        <v>14</v>
      </c>
      <c r="IC15" s="2" t="s">
        <v>15</v>
      </c>
      <c r="ID15" s="2" t="s">
        <v>52</v>
      </c>
      <c r="IE15" s="32"/>
      <c r="IF15" s="32"/>
      <c r="IG15" s="32"/>
      <c r="IH15" s="2" t="s">
        <v>14</v>
      </c>
      <c r="II15" s="2" t="s">
        <v>15</v>
      </c>
      <c r="IJ15" s="2" t="s">
        <v>52</v>
      </c>
      <c r="IK15" s="32"/>
      <c r="IL15" s="32"/>
      <c r="IM15" s="32"/>
      <c r="IN15" s="2" t="s">
        <v>14</v>
      </c>
      <c r="IO15" s="2" t="s">
        <v>15</v>
      </c>
      <c r="IP15" s="2" t="s">
        <v>52</v>
      </c>
      <c r="IQ15" s="32"/>
      <c r="IR15" s="32"/>
      <c r="IS15" s="32"/>
      <c r="IT15" s="2" t="s">
        <v>14</v>
      </c>
      <c r="IU15" s="2" t="s">
        <v>15</v>
      </c>
      <c r="IV15" s="2" t="s">
        <v>52</v>
      </c>
      <c r="IW15" s="32"/>
      <c r="IX15" s="32"/>
      <c r="IY15" s="32"/>
      <c r="IZ15" s="2" t="s">
        <v>14</v>
      </c>
      <c r="JA15" s="2" t="s">
        <v>15</v>
      </c>
      <c r="JB15" s="2" t="s">
        <v>52</v>
      </c>
      <c r="JC15" s="32"/>
      <c r="JD15" s="32"/>
      <c r="JE15" s="32"/>
      <c r="JF15" s="2" t="s">
        <v>14</v>
      </c>
      <c r="JG15" s="2" t="s">
        <v>15</v>
      </c>
      <c r="JH15" s="2" t="s">
        <v>52</v>
      </c>
      <c r="JI15" s="32"/>
      <c r="JJ15" s="32"/>
      <c r="JK15" s="32"/>
      <c r="JL15" s="2" t="s">
        <v>14</v>
      </c>
      <c r="JM15" s="2" t="s">
        <v>15</v>
      </c>
      <c r="JN15" s="2" t="s">
        <v>52</v>
      </c>
      <c r="JO15" s="32"/>
      <c r="JP15" s="32"/>
      <c r="JQ15" s="32"/>
      <c r="JR15" s="2" t="s">
        <v>14</v>
      </c>
      <c r="JS15" s="2" t="s">
        <v>15</v>
      </c>
      <c r="JT15" s="2" t="s">
        <v>52</v>
      </c>
      <c r="JU15" s="32"/>
      <c r="JV15" s="32"/>
      <c r="JW15" s="32"/>
      <c r="JX15" s="2" t="s">
        <v>14</v>
      </c>
      <c r="JY15" s="2" t="s">
        <v>15</v>
      </c>
      <c r="JZ15" s="2" t="s">
        <v>52</v>
      </c>
      <c r="KA15" s="32"/>
      <c r="KB15" s="32"/>
      <c r="KC15" s="32"/>
      <c r="KD15" s="2" t="s">
        <v>14</v>
      </c>
      <c r="KE15" s="2" t="s">
        <v>15</v>
      </c>
      <c r="KF15" s="2" t="s">
        <v>52</v>
      </c>
      <c r="KG15" s="32"/>
      <c r="KH15" s="32"/>
      <c r="KI15" s="32"/>
      <c r="KJ15" s="2" t="s">
        <v>14</v>
      </c>
      <c r="KK15" s="2" t="s">
        <v>15</v>
      </c>
      <c r="KL15" s="2" t="s">
        <v>52</v>
      </c>
      <c r="KM15" s="32"/>
      <c r="KN15" s="32"/>
      <c r="KO15" s="32"/>
      <c r="KP15" s="2" t="s">
        <v>14</v>
      </c>
      <c r="KQ15" s="2" t="s">
        <v>15</v>
      </c>
      <c r="KR15" s="2" t="s">
        <v>52</v>
      </c>
      <c r="KS15" s="32"/>
      <c r="KT15" s="32"/>
      <c r="KU15" s="32"/>
      <c r="KV15" s="2" t="s">
        <v>14</v>
      </c>
      <c r="KW15" s="2" t="s">
        <v>15</v>
      </c>
      <c r="KX15" s="2" t="s">
        <v>52</v>
      </c>
      <c r="KY15" s="32"/>
      <c r="KZ15" s="32"/>
      <c r="LA15" s="32"/>
      <c r="LB15" s="2" t="s">
        <v>14</v>
      </c>
      <c r="LC15" s="2" t="s">
        <v>15</v>
      </c>
      <c r="LD15" s="2" t="s">
        <v>52</v>
      </c>
      <c r="LE15" s="32"/>
      <c r="LF15" s="32"/>
      <c r="LG15" s="32"/>
      <c r="LH15" s="2" t="s">
        <v>14</v>
      </c>
      <c r="LI15" s="2" t="s">
        <v>15</v>
      </c>
      <c r="LJ15" s="2" t="s">
        <v>52</v>
      </c>
      <c r="LK15" s="32"/>
      <c r="LL15" s="32"/>
      <c r="LM15" s="32"/>
      <c r="LN15" s="2" t="s">
        <v>14</v>
      </c>
      <c r="LO15" s="2" t="s">
        <v>15</v>
      </c>
      <c r="LP15" s="2" t="s">
        <v>52</v>
      </c>
      <c r="LQ15" s="32"/>
      <c r="LR15" s="32"/>
      <c r="LS15" s="32"/>
      <c r="LT15" s="2" t="s">
        <v>14</v>
      </c>
      <c r="LU15" s="2" t="s">
        <v>15</v>
      </c>
      <c r="LV15" s="2" t="s">
        <v>52</v>
      </c>
      <c r="LW15" s="32"/>
      <c r="LX15" s="32"/>
      <c r="LY15" s="32"/>
      <c r="LZ15" s="2" t="s">
        <v>14</v>
      </c>
      <c r="MA15" s="2" t="s">
        <v>15</v>
      </c>
      <c r="MB15" s="2" t="s">
        <v>52</v>
      </c>
      <c r="MC15" s="32"/>
      <c r="MD15" s="32"/>
      <c r="ME15" s="32"/>
      <c r="MF15" s="2" t="s">
        <v>14</v>
      </c>
      <c r="MG15" s="2" t="s">
        <v>15</v>
      </c>
      <c r="MH15" s="2" t="s">
        <v>52</v>
      </c>
      <c r="MI15" s="32"/>
      <c r="MJ15" s="32"/>
      <c r="MK15" s="32"/>
      <c r="ML15" s="2" t="s">
        <v>14</v>
      </c>
      <c r="MM15" s="2" t="s">
        <v>15</v>
      </c>
      <c r="MN15" s="2" t="s">
        <v>52</v>
      </c>
      <c r="MO15" s="32"/>
      <c r="MP15" s="32"/>
      <c r="MQ15" s="32"/>
      <c r="MR15" s="2" t="s">
        <v>14</v>
      </c>
      <c r="MS15" s="2" t="s">
        <v>15</v>
      </c>
      <c r="MT15" s="2" t="s">
        <v>52</v>
      </c>
      <c r="MU15" s="32"/>
      <c r="MV15" s="32"/>
      <c r="MW15" s="32"/>
      <c r="MX15" s="2" t="s">
        <v>14</v>
      </c>
      <c r="MY15" s="2" t="s">
        <v>15</v>
      </c>
      <c r="MZ15" s="2" t="s">
        <v>52</v>
      </c>
      <c r="NA15" s="32"/>
      <c r="NB15" s="32"/>
      <c r="NC15" s="32"/>
      <c r="ND15" s="2" t="s">
        <v>14</v>
      </c>
      <c r="NE15" s="2" t="s">
        <v>15</v>
      </c>
      <c r="NF15" s="2" t="s">
        <v>52</v>
      </c>
      <c r="NG15" s="32"/>
      <c r="NH15" s="32"/>
      <c r="NI15" s="32"/>
      <c r="NJ15" s="2" t="s">
        <v>14</v>
      </c>
      <c r="NK15" s="2" t="s">
        <v>15</v>
      </c>
      <c r="NL15" s="2" t="s">
        <v>52</v>
      </c>
      <c r="NM15" s="32"/>
      <c r="NN15" s="32"/>
      <c r="NO15" s="32"/>
      <c r="NP15" s="2" t="s">
        <v>14</v>
      </c>
      <c r="NQ15" s="2" t="s">
        <v>15</v>
      </c>
      <c r="NR15" s="2" t="s">
        <v>52</v>
      </c>
      <c r="NS15" s="32"/>
      <c r="NT15" s="32"/>
      <c r="NU15" s="32"/>
      <c r="NV15" s="2" t="s">
        <v>14</v>
      </c>
      <c r="NW15" s="2" t="s">
        <v>15</v>
      </c>
      <c r="NX15" s="2" t="s">
        <v>52</v>
      </c>
      <c r="NY15" s="32"/>
      <c r="NZ15" s="32"/>
      <c r="OA15" s="32"/>
      <c r="OB15" s="2" t="s">
        <v>14</v>
      </c>
      <c r="OC15" s="2" t="s">
        <v>15</v>
      </c>
      <c r="OD15" s="2" t="s">
        <v>52</v>
      </c>
      <c r="OE15" s="32"/>
      <c r="OF15" s="32"/>
      <c r="OG15" s="32"/>
      <c r="OH15" s="2" t="s">
        <v>14</v>
      </c>
      <c r="OI15" s="2" t="s">
        <v>15</v>
      </c>
      <c r="OJ15" s="2" t="s">
        <v>52</v>
      </c>
      <c r="OK15" s="32"/>
      <c r="OL15" s="32"/>
      <c r="OM15" s="32"/>
      <c r="ON15" s="2" t="s">
        <v>14</v>
      </c>
      <c r="OO15" s="2" t="s">
        <v>15</v>
      </c>
      <c r="OP15" s="2" t="s">
        <v>52</v>
      </c>
      <c r="OQ15" s="32"/>
      <c r="OR15" s="32"/>
      <c r="OS15" s="32"/>
      <c r="OT15" s="2" t="s">
        <v>14</v>
      </c>
      <c r="OU15" s="2" t="s">
        <v>15</v>
      </c>
      <c r="OV15" s="2" t="s">
        <v>52</v>
      </c>
      <c r="OW15" s="32"/>
      <c r="OX15" s="32"/>
      <c r="OY15" s="32"/>
      <c r="OZ15" s="2" t="s">
        <v>14</v>
      </c>
      <c r="PA15" s="2" t="s">
        <v>15</v>
      </c>
      <c r="PB15" s="2" t="s">
        <v>52</v>
      </c>
      <c r="PC15" s="32"/>
      <c r="PD15" s="32"/>
      <c r="PE15" s="32"/>
      <c r="PF15" s="2" t="s">
        <v>14</v>
      </c>
      <c r="PG15" s="2" t="s">
        <v>15</v>
      </c>
      <c r="PH15" s="2" t="s">
        <v>52</v>
      </c>
      <c r="PI15" s="32"/>
      <c r="PJ15" s="32"/>
      <c r="PK15" s="32"/>
      <c r="PL15" s="2" t="s">
        <v>14</v>
      </c>
      <c r="PM15" s="2" t="s">
        <v>15</v>
      </c>
      <c r="PN15" s="2" t="s">
        <v>52</v>
      </c>
      <c r="PO15" s="32"/>
      <c r="PP15" s="32"/>
      <c r="PQ15" s="32"/>
      <c r="PR15" s="2" t="s">
        <v>14</v>
      </c>
      <c r="PS15" s="2" t="s">
        <v>15</v>
      </c>
      <c r="PT15" s="2" t="s">
        <v>52</v>
      </c>
      <c r="PU15" s="32"/>
      <c r="PV15" s="32"/>
      <c r="PW15" s="32"/>
      <c r="PX15" s="2" t="s">
        <v>14</v>
      </c>
      <c r="PY15" s="2" t="s">
        <v>15</v>
      </c>
      <c r="PZ15" s="2" t="s">
        <v>52</v>
      </c>
      <c r="QA15" s="32"/>
      <c r="QB15" s="32"/>
      <c r="QC15" s="32"/>
      <c r="QD15" s="2" t="s">
        <v>14</v>
      </c>
      <c r="QE15" s="2" t="s">
        <v>15</v>
      </c>
      <c r="QF15" s="2" t="s">
        <v>52</v>
      </c>
      <c r="QG15" s="32"/>
      <c r="QH15" s="32"/>
      <c r="QI15" s="32"/>
      <c r="QJ15" s="2" t="s">
        <v>14</v>
      </c>
      <c r="QK15" s="2" t="s">
        <v>15</v>
      </c>
      <c r="QL15" s="2" t="s">
        <v>52</v>
      </c>
      <c r="QM15" s="32"/>
      <c r="QN15" s="32"/>
      <c r="QO15" s="32"/>
      <c r="QP15" s="2" t="s">
        <v>14</v>
      </c>
      <c r="QQ15" s="2" t="s">
        <v>15</v>
      </c>
      <c r="QR15" s="2" t="s">
        <v>52</v>
      </c>
      <c r="QS15" s="32"/>
      <c r="QT15" s="32"/>
      <c r="QU15" s="32"/>
      <c r="QV15" s="2" t="s">
        <v>14</v>
      </c>
      <c r="QW15" s="2" t="s">
        <v>15</v>
      </c>
      <c r="QX15" s="2" t="s">
        <v>52</v>
      </c>
      <c r="QY15" s="32"/>
      <c r="QZ15" s="32"/>
      <c r="RA15" s="32"/>
      <c r="RB15" s="2" t="s">
        <v>14</v>
      </c>
      <c r="RC15" s="2" t="s">
        <v>15</v>
      </c>
      <c r="RD15" s="2" t="s">
        <v>52</v>
      </c>
      <c r="RE15" s="32"/>
      <c r="RF15" s="32"/>
      <c r="RG15" s="32"/>
      <c r="RH15" s="2" t="s">
        <v>14</v>
      </c>
      <c r="RI15" s="2" t="s">
        <v>15</v>
      </c>
      <c r="RJ15" s="2" t="s">
        <v>52</v>
      </c>
      <c r="RK15" s="32"/>
      <c r="RL15" s="32"/>
      <c r="RM15" s="32"/>
      <c r="RN15" s="2" t="s">
        <v>14</v>
      </c>
      <c r="RO15" s="2" t="s">
        <v>15</v>
      </c>
      <c r="RP15" s="2" t="s">
        <v>52</v>
      </c>
      <c r="RQ15" s="32"/>
      <c r="RR15" s="32"/>
      <c r="RS15" s="32"/>
      <c r="RT15" s="2" t="s">
        <v>14</v>
      </c>
      <c r="RU15" s="2" t="s">
        <v>15</v>
      </c>
      <c r="RV15" s="2" t="s">
        <v>52</v>
      </c>
      <c r="RW15" s="32"/>
      <c r="RX15" s="32"/>
      <c r="RY15" s="32"/>
      <c r="RZ15" s="2" t="s">
        <v>14</v>
      </c>
      <c r="SA15" s="2" t="s">
        <v>15</v>
      </c>
      <c r="SB15" s="2" t="s">
        <v>52</v>
      </c>
      <c r="SC15" s="32"/>
      <c r="SD15" s="32"/>
      <c r="SE15" s="32"/>
      <c r="SF15" s="2" t="s">
        <v>14</v>
      </c>
      <c r="SG15" s="2" t="s">
        <v>15</v>
      </c>
      <c r="SH15" s="2" t="s">
        <v>52</v>
      </c>
      <c r="SI15" s="32"/>
      <c r="SJ15" s="32"/>
      <c r="SK15" s="32"/>
      <c r="SL15" s="2" t="s">
        <v>14</v>
      </c>
      <c r="SM15" s="2" t="s">
        <v>15</v>
      </c>
      <c r="SN15" s="2" t="s">
        <v>52</v>
      </c>
      <c r="SO15" s="32"/>
      <c r="SP15" s="32"/>
      <c r="SQ15" s="32"/>
      <c r="SR15" s="2" t="s">
        <v>14</v>
      </c>
      <c r="SS15" s="2" t="s">
        <v>15</v>
      </c>
      <c r="ST15" s="2" t="s">
        <v>52</v>
      </c>
      <c r="SU15" s="32"/>
      <c r="SV15" s="32"/>
      <c r="SW15" s="32"/>
      <c r="SX15" s="2" t="s">
        <v>14</v>
      </c>
      <c r="SY15" s="2" t="s">
        <v>15</v>
      </c>
      <c r="SZ15" s="2" t="s">
        <v>52</v>
      </c>
      <c r="TA15" s="32"/>
      <c r="TB15" s="32"/>
      <c r="TC15" s="32"/>
      <c r="TD15" s="2" t="s">
        <v>14</v>
      </c>
      <c r="TE15" s="2" t="s">
        <v>15</v>
      </c>
      <c r="TF15" s="2" t="s">
        <v>52</v>
      </c>
      <c r="TG15" s="32"/>
      <c r="TH15" s="32"/>
      <c r="TI15" s="32"/>
      <c r="TJ15" s="2" t="s">
        <v>14</v>
      </c>
      <c r="TK15" s="2" t="s">
        <v>15</v>
      </c>
      <c r="TL15" s="2" t="s">
        <v>52</v>
      </c>
      <c r="TM15" s="32"/>
      <c r="TN15" s="32"/>
      <c r="TO15" s="32"/>
      <c r="TP15" s="2" t="s">
        <v>14</v>
      </c>
      <c r="TQ15" s="2" t="s">
        <v>15</v>
      </c>
      <c r="TR15" s="2" t="s">
        <v>52</v>
      </c>
      <c r="TS15" s="32"/>
      <c r="TT15" s="32"/>
      <c r="TU15" s="32"/>
      <c r="TV15" s="2" t="s">
        <v>14</v>
      </c>
      <c r="TW15" s="2" t="s">
        <v>15</v>
      </c>
      <c r="TX15" s="2" t="s">
        <v>52</v>
      </c>
      <c r="TY15" s="32"/>
      <c r="TZ15" s="32"/>
      <c r="UA15" s="32"/>
      <c r="UB15" s="2" t="s">
        <v>14</v>
      </c>
      <c r="UC15" s="2" t="s">
        <v>15</v>
      </c>
      <c r="UD15" s="2" t="s">
        <v>52</v>
      </c>
      <c r="UE15" s="32"/>
      <c r="UF15" s="32"/>
      <c r="UG15" s="32"/>
      <c r="UH15" s="2" t="s">
        <v>14</v>
      </c>
      <c r="UI15" s="2" t="s">
        <v>15</v>
      </c>
      <c r="UJ15" s="2" t="s">
        <v>52</v>
      </c>
      <c r="UK15" s="32"/>
      <c r="UL15" s="32"/>
      <c r="UM15" s="32"/>
      <c r="UN15" s="2" t="s">
        <v>14</v>
      </c>
      <c r="UO15" s="2" t="s">
        <v>15</v>
      </c>
      <c r="UP15" s="2" t="s">
        <v>52</v>
      </c>
      <c r="UQ15" s="32"/>
      <c r="UR15" s="32"/>
      <c r="US15" s="32"/>
      <c r="UT15" s="2" t="s">
        <v>14</v>
      </c>
      <c r="UU15" s="2" t="s">
        <v>15</v>
      </c>
      <c r="UV15" s="2" t="s">
        <v>52</v>
      </c>
      <c r="UW15" s="32"/>
      <c r="UX15" s="32"/>
      <c r="UY15" s="32"/>
      <c r="UZ15" s="2" t="s">
        <v>14</v>
      </c>
      <c r="VA15" s="2" t="s">
        <v>15</v>
      </c>
      <c r="VB15" s="2" t="s">
        <v>52</v>
      </c>
      <c r="VC15" s="32"/>
      <c r="VD15" s="32"/>
      <c r="VE15" s="32"/>
      <c r="VF15" s="2" t="s">
        <v>14</v>
      </c>
      <c r="VG15" s="2" t="s">
        <v>15</v>
      </c>
      <c r="VH15" s="2" t="s">
        <v>52</v>
      </c>
      <c r="VI15" s="32"/>
      <c r="VJ15" s="32"/>
      <c r="VK15" s="32"/>
      <c r="VL15" s="2" t="s">
        <v>14</v>
      </c>
      <c r="VM15" s="2" t="s">
        <v>15</v>
      </c>
      <c r="VN15" s="2" t="s">
        <v>52</v>
      </c>
      <c r="VO15" s="32"/>
      <c r="VP15" s="32"/>
      <c r="VQ15" s="32"/>
      <c r="VR15" s="2" t="s">
        <v>14</v>
      </c>
      <c r="VS15" s="2" t="s">
        <v>15</v>
      </c>
      <c r="VT15" s="2" t="s">
        <v>52</v>
      </c>
      <c r="VU15" s="32"/>
      <c r="VV15" s="32"/>
      <c r="VW15" s="32"/>
      <c r="VX15" s="2" t="s">
        <v>14</v>
      </c>
      <c r="VY15" s="2" t="s">
        <v>15</v>
      </c>
      <c r="VZ15" s="2" t="s">
        <v>52</v>
      </c>
      <c r="WA15" s="32"/>
      <c r="WB15" s="32"/>
      <c r="WC15" s="32"/>
      <c r="WD15" s="2" t="s">
        <v>14</v>
      </c>
      <c r="WE15" s="2" t="s">
        <v>15</v>
      </c>
      <c r="WF15" s="2" t="s">
        <v>52</v>
      </c>
      <c r="WG15" s="32"/>
      <c r="WH15" s="32"/>
      <c r="WI15" s="32"/>
      <c r="WJ15" s="2" t="s">
        <v>14</v>
      </c>
      <c r="WK15" s="2" t="s">
        <v>15</v>
      </c>
      <c r="WL15" s="2" t="s">
        <v>52</v>
      </c>
      <c r="WM15" s="32"/>
      <c r="WN15" s="32"/>
      <c r="WO15" s="32"/>
      <c r="WP15" s="2" t="s">
        <v>14</v>
      </c>
      <c r="WQ15" s="2" t="s">
        <v>15</v>
      </c>
      <c r="WR15" s="2" t="s">
        <v>52</v>
      </c>
      <c r="WS15" s="32"/>
      <c r="WT15" s="32"/>
      <c r="WU15" s="32"/>
      <c r="WV15" s="2" t="s">
        <v>14</v>
      </c>
      <c r="WW15" s="2" t="s">
        <v>15</v>
      </c>
      <c r="WX15" s="2" t="s">
        <v>52</v>
      </c>
      <c r="WY15" s="32"/>
      <c r="WZ15" s="32"/>
      <c r="XA15" s="32"/>
      <c r="XB15" s="2" t="s">
        <v>14</v>
      </c>
      <c r="XC15" s="2" t="s">
        <v>15</v>
      </c>
      <c r="XD15" s="2" t="s">
        <v>52</v>
      </c>
      <c r="XE15" s="32"/>
      <c r="XF15" s="32"/>
      <c r="XG15" s="32"/>
      <c r="XH15" s="2" t="s">
        <v>14</v>
      </c>
      <c r="XI15" s="2" t="s">
        <v>15</v>
      </c>
      <c r="XJ15" s="2" t="s">
        <v>52</v>
      </c>
      <c r="XK15" s="32"/>
      <c r="XL15" s="32"/>
      <c r="XM15" s="32"/>
      <c r="XN15" s="2" t="s">
        <v>14</v>
      </c>
      <c r="XO15" s="2" t="s">
        <v>15</v>
      </c>
      <c r="XP15" s="2" t="s">
        <v>52</v>
      </c>
      <c r="XQ15" s="32"/>
      <c r="XR15" s="32"/>
      <c r="XS15" s="32"/>
      <c r="XT15" s="2" t="s">
        <v>14</v>
      </c>
      <c r="XU15" s="2" t="s">
        <v>15</v>
      </c>
      <c r="XV15" s="2" t="s">
        <v>52</v>
      </c>
      <c r="XW15" s="32"/>
      <c r="XX15" s="32"/>
      <c r="XY15" s="32"/>
      <c r="XZ15" s="2" t="s">
        <v>14</v>
      </c>
      <c r="YA15" s="2" t="s">
        <v>15</v>
      </c>
      <c r="YB15" s="2" t="s">
        <v>52</v>
      </c>
      <c r="YC15" s="32"/>
      <c r="YD15" s="32"/>
      <c r="YE15" s="32"/>
      <c r="YF15" s="2" t="s">
        <v>14</v>
      </c>
      <c r="YG15" s="2" t="s">
        <v>15</v>
      </c>
      <c r="YH15" s="2" t="s">
        <v>52</v>
      </c>
      <c r="YI15" s="32"/>
      <c r="YJ15" s="32"/>
      <c r="YK15" s="32"/>
      <c r="YL15" s="2" t="s">
        <v>14</v>
      </c>
      <c r="YM15" s="2" t="s">
        <v>15</v>
      </c>
      <c r="YN15" s="2" t="s">
        <v>52</v>
      </c>
      <c r="YO15" s="32"/>
      <c r="YP15" s="32"/>
      <c r="YQ15" s="32"/>
      <c r="YR15" s="2" t="s">
        <v>14</v>
      </c>
      <c r="YS15" s="2" t="s">
        <v>15</v>
      </c>
      <c r="YT15" s="2" t="s">
        <v>52</v>
      </c>
      <c r="YU15" s="32"/>
      <c r="YV15" s="32"/>
      <c r="YW15" s="32"/>
      <c r="YX15" s="2" t="s">
        <v>14</v>
      </c>
      <c r="YY15" s="2" t="s">
        <v>15</v>
      </c>
      <c r="YZ15" s="2" t="s">
        <v>52</v>
      </c>
      <c r="ZA15" s="32"/>
      <c r="ZB15" s="32"/>
      <c r="ZC15" s="32"/>
      <c r="ZD15" s="2" t="s">
        <v>14</v>
      </c>
      <c r="ZE15" s="2" t="s">
        <v>15</v>
      </c>
      <c r="ZF15" s="2" t="s">
        <v>52</v>
      </c>
      <c r="ZG15" s="32"/>
      <c r="ZH15" s="32"/>
      <c r="ZI15" s="32"/>
      <c r="ZJ15" s="2" t="s">
        <v>14</v>
      </c>
      <c r="ZK15" s="2" t="s">
        <v>15</v>
      </c>
      <c r="ZL15" s="2" t="s">
        <v>52</v>
      </c>
      <c r="ZM15" s="32"/>
      <c r="ZN15" s="32"/>
      <c r="ZO15" s="32"/>
      <c r="ZP15" s="2" t="s">
        <v>14</v>
      </c>
      <c r="ZQ15" s="2" t="s">
        <v>15</v>
      </c>
      <c r="ZR15" s="2" t="s">
        <v>52</v>
      </c>
      <c r="ZS15" s="32"/>
      <c r="ZT15" s="32"/>
      <c r="ZU15" s="32"/>
      <c r="ZV15" s="2" t="s">
        <v>14</v>
      </c>
      <c r="ZW15" s="2" t="s">
        <v>15</v>
      </c>
      <c r="ZX15" s="2" t="s">
        <v>52</v>
      </c>
      <c r="ZY15" s="32"/>
      <c r="ZZ15" s="32"/>
      <c r="AAA15" s="32"/>
      <c r="AAB15" s="2" t="s">
        <v>14</v>
      </c>
      <c r="AAC15" s="2" t="s">
        <v>15</v>
      </c>
      <c r="AAD15" s="2" t="s">
        <v>52</v>
      </c>
      <c r="AAE15" s="32"/>
      <c r="AAF15" s="32"/>
      <c r="AAG15" s="32"/>
      <c r="AAH15" s="2" t="s">
        <v>14</v>
      </c>
      <c r="AAI15" s="2" t="s">
        <v>15</v>
      </c>
      <c r="AAJ15" s="2" t="s">
        <v>52</v>
      </c>
      <c r="AAK15" s="32"/>
      <c r="AAL15" s="32"/>
      <c r="AAM15" s="32"/>
      <c r="AAN15" s="2" t="s">
        <v>14</v>
      </c>
      <c r="AAO15" s="2" t="s">
        <v>15</v>
      </c>
      <c r="AAP15" s="2" t="s">
        <v>52</v>
      </c>
      <c r="AAQ15" s="32"/>
      <c r="AAR15" s="32"/>
      <c r="AAS15" s="32"/>
      <c r="AAT15" s="2" t="s">
        <v>14</v>
      </c>
      <c r="AAU15" s="2" t="s">
        <v>15</v>
      </c>
      <c r="AAV15" s="2" t="s">
        <v>52</v>
      </c>
      <c r="AAW15" s="32"/>
      <c r="AAX15" s="32"/>
      <c r="AAY15" s="32"/>
      <c r="AAZ15" s="2" t="s">
        <v>14</v>
      </c>
      <c r="ABA15" s="2" t="s">
        <v>15</v>
      </c>
      <c r="ABB15" s="2" t="s">
        <v>52</v>
      </c>
      <c r="ABC15" s="32"/>
      <c r="ABD15" s="32"/>
      <c r="ABE15" s="32"/>
      <c r="ABF15" s="2" t="s">
        <v>14</v>
      </c>
      <c r="ABG15" s="2" t="s">
        <v>15</v>
      </c>
      <c r="ABH15" s="2" t="s">
        <v>52</v>
      </c>
      <c r="ABI15" s="32"/>
      <c r="ABJ15" s="32"/>
      <c r="ABK15" s="32"/>
      <c r="ABL15" s="2" t="s">
        <v>14</v>
      </c>
      <c r="ABM15" s="2" t="s">
        <v>15</v>
      </c>
      <c r="ABN15" s="2" t="s">
        <v>52</v>
      </c>
      <c r="ABO15" s="32"/>
      <c r="ABP15" s="32"/>
      <c r="ABQ15" s="32"/>
      <c r="ABR15" s="2" t="s">
        <v>14</v>
      </c>
      <c r="ABS15" s="2" t="s">
        <v>15</v>
      </c>
      <c r="ABT15" s="2" t="s">
        <v>52</v>
      </c>
      <c r="ABU15" s="32"/>
      <c r="ABV15" s="32"/>
      <c r="ABW15" s="32"/>
      <c r="ABX15" s="2" t="s">
        <v>14</v>
      </c>
      <c r="ABY15" s="2" t="s">
        <v>15</v>
      </c>
      <c r="ABZ15" s="2" t="s">
        <v>52</v>
      </c>
      <c r="ACA15" s="32"/>
      <c r="ACB15" s="32"/>
      <c r="ACC15" s="32"/>
      <c r="ACD15" s="2" t="s">
        <v>14</v>
      </c>
      <c r="ACE15" s="2" t="s">
        <v>15</v>
      </c>
      <c r="ACF15" s="2" t="s">
        <v>52</v>
      </c>
      <c r="ACG15" s="32"/>
      <c r="ACH15" s="32"/>
      <c r="ACI15" s="32"/>
      <c r="ACJ15" s="2" t="s">
        <v>14</v>
      </c>
      <c r="ACK15" s="2" t="s">
        <v>15</v>
      </c>
      <c r="ACL15" s="2" t="s">
        <v>52</v>
      </c>
      <c r="ACM15" s="32"/>
      <c r="ACN15" s="32"/>
      <c r="ACO15" s="32"/>
      <c r="ACP15" s="2" t="s">
        <v>14</v>
      </c>
      <c r="ACQ15" s="2" t="s">
        <v>15</v>
      </c>
      <c r="ACR15" s="2" t="s">
        <v>52</v>
      </c>
      <c r="ACS15" s="32"/>
      <c r="ACT15" s="32"/>
      <c r="ACU15" s="32"/>
      <c r="ACV15" s="2" t="s">
        <v>14</v>
      </c>
      <c r="ACW15" s="2" t="s">
        <v>15</v>
      </c>
      <c r="ACX15" s="2" t="s">
        <v>52</v>
      </c>
      <c r="ACY15" s="32"/>
      <c r="ACZ15" s="32"/>
      <c r="ADA15" s="32"/>
      <c r="ADB15" s="2" t="s">
        <v>14</v>
      </c>
      <c r="ADC15" s="2" t="s">
        <v>15</v>
      </c>
      <c r="ADD15" s="2" t="s">
        <v>52</v>
      </c>
      <c r="ADE15" s="32"/>
      <c r="ADF15" s="32"/>
      <c r="ADG15" s="32"/>
      <c r="ADH15" s="2" t="s">
        <v>14</v>
      </c>
      <c r="ADI15" s="2" t="s">
        <v>15</v>
      </c>
      <c r="ADJ15" s="2" t="s">
        <v>52</v>
      </c>
      <c r="ADK15" s="32"/>
      <c r="ADL15" s="32"/>
      <c r="ADM15" s="32"/>
      <c r="ADN15" s="2" t="s">
        <v>14</v>
      </c>
      <c r="ADO15" s="2" t="s">
        <v>15</v>
      </c>
      <c r="ADP15" s="2" t="s">
        <v>52</v>
      </c>
      <c r="ADQ15" s="32"/>
      <c r="ADR15" s="32"/>
      <c r="ADS15" s="32"/>
      <c r="ADT15" s="2" t="s">
        <v>14</v>
      </c>
      <c r="ADU15" s="2" t="s">
        <v>15</v>
      </c>
      <c r="ADV15" s="2" t="s">
        <v>52</v>
      </c>
      <c r="ADW15" s="32"/>
      <c r="ADX15" s="32"/>
      <c r="ADY15" s="32"/>
      <c r="ADZ15" s="2" t="s">
        <v>14</v>
      </c>
      <c r="AEA15" s="2" t="s">
        <v>15</v>
      </c>
      <c r="AEB15" s="2" t="s">
        <v>52</v>
      </c>
      <c r="AEC15" s="32"/>
      <c r="AED15" s="32"/>
      <c r="AEE15" s="32"/>
      <c r="AEF15" s="2" t="s">
        <v>14</v>
      </c>
      <c r="AEG15" s="2" t="s">
        <v>15</v>
      </c>
      <c r="AEH15" s="2" t="s">
        <v>52</v>
      </c>
      <c r="AEI15" s="32"/>
      <c r="AEJ15" s="32"/>
      <c r="AEK15" s="32"/>
      <c r="AEL15" s="2" t="s">
        <v>14</v>
      </c>
      <c r="AEM15" s="2" t="s">
        <v>15</v>
      </c>
      <c r="AEN15" s="2" t="s">
        <v>52</v>
      </c>
      <c r="AEO15" s="32"/>
      <c r="AEP15" s="32"/>
      <c r="AEQ15" s="32"/>
      <c r="AER15" s="2" t="s">
        <v>14</v>
      </c>
      <c r="AES15" s="2" t="s">
        <v>15</v>
      </c>
      <c r="AET15" s="2" t="s">
        <v>52</v>
      </c>
      <c r="AEU15" s="32"/>
      <c r="AEV15" s="32"/>
      <c r="AEW15" s="32"/>
      <c r="AEX15" s="2" t="s">
        <v>14</v>
      </c>
      <c r="AEY15" s="2" t="s">
        <v>15</v>
      </c>
      <c r="AEZ15" s="2" t="s">
        <v>52</v>
      </c>
      <c r="AFA15" s="32"/>
      <c r="AFB15" s="32"/>
      <c r="AFC15" s="32"/>
      <c r="AFD15" s="2" t="s">
        <v>14</v>
      </c>
      <c r="AFE15" s="2" t="s">
        <v>15</v>
      </c>
      <c r="AFF15" s="2" t="s">
        <v>52</v>
      </c>
      <c r="AFG15" s="32"/>
      <c r="AFH15" s="32"/>
      <c r="AFI15" s="32"/>
      <c r="AFJ15" s="2" t="s">
        <v>14</v>
      </c>
      <c r="AFK15" s="2" t="s">
        <v>15</v>
      </c>
      <c r="AFL15" s="2" t="s">
        <v>52</v>
      </c>
      <c r="AFM15" s="32"/>
      <c r="AFN15" s="32"/>
      <c r="AFO15" s="32"/>
      <c r="AFP15" s="2" t="s">
        <v>14</v>
      </c>
      <c r="AFQ15" s="2" t="s">
        <v>15</v>
      </c>
      <c r="AFR15" s="2" t="s">
        <v>52</v>
      </c>
      <c r="AFS15" s="32"/>
      <c r="AFT15" s="32"/>
      <c r="AFU15" s="32"/>
      <c r="AFV15" s="2" t="s">
        <v>14</v>
      </c>
      <c r="AFW15" s="2" t="s">
        <v>15</v>
      </c>
      <c r="AFX15" s="2" t="s">
        <v>52</v>
      </c>
      <c r="AFY15" s="32"/>
      <c r="AFZ15" s="32"/>
      <c r="AGA15" s="32"/>
      <c r="AGB15" s="2" t="s">
        <v>14</v>
      </c>
      <c r="AGC15" s="2" t="s">
        <v>15</v>
      </c>
      <c r="AGD15" s="2" t="s">
        <v>52</v>
      </c>
      <c r="AGE15" s="32"/>
      <c r="AGF15" s="32"/>
      <c r="AGG15" s="32"/>
      <c r="AGH15" s="2" t="s">
        <v>14</v>
      </c>
      <c r="AGI15" s="2" t="s">
        <v>15</v>
      </c>
      <c r="AGJ15" s="2" t="s">
        <v>52</v>
      </c>
      <c r="AGK15" s="32"/>
      <c r="AGL15" s="32"/>
      <c r="AGM15" s="32"/>
      <c r="AGN15" s="2" t="s">
        <v>14</v>
      </c>
      <c r="AGO15" s="2" t="s">
        <v>15</v>
      </c>
      <c r="AGP15" s="2" t="s">
        <v>52</v>
      </c>
      <c r="AGQ15" s="32"/>
      <c r="AGR15" s="32"/>
      <c r="AGS15" s="32"/>
      <c r="AGT15" s="2" t="s">
        <v>14</v>
      </c>
      <c r="AGU15" s="2" t="s">
        <v>15</v>
      </c>
      <c r="AGV15" s="2" t="s">
        <v>52</v>
      </c>
      <c r="AGW15" s="32"/>
      <c r="AGX15" s="32"/>
      <c r="AGY15" s="32"/>
      <c r="AGZ15" s="2" t="s">
        <v>14</v>
      </c>
      <c r="AHA15" s="2" t="s">
        <v>15</v>
      </c>
      <c r="AHB15" s="2" t="s">
        <v>52</v>
      </c>
      <c r="AHC15" s="32"/>
      <c r="AHD15" s="32"/>
      <c r="AHE15" s="32"/>
      <c r="AHF15" s="2" t="s">
        <v>14</v>
      </c>
      <c r="AHG15" s="2" t="s">
        <v>15</v>
      </c>
      <c r="AHH15" s="2" t="s">
        <v>52</v>
      </c>
      <c r="AHI15" s="32"/>
      <c r="AHJ15" s="32"/>
      <c r="AHK15" s="32"/>
      <c r="AHL15" s="2" t="s">
        <v>14</v>
      </c>
      <c r="AHM15" s="2" t="s">
        <v>15</v>
      </c>
      <c r="AHN15" s="2" t="s">
        <v>52</v>
      </c>
      <c r="AHO15" s="32"/>
      <c r="AHP15" s="32"/>
      <c r="AHQ15" s="32"/>
      <c r="AHR15" s="2" t="s">
        <v>14</v>
      </c>
      <c r="AHS15" s="2" t="s">
        <v>15</v>
      </c>
      <c r="AHT15" s="2" t="s">
        <v>52</v>
      </c>
      <c r="AHU15" s="32"/>
      <c r="AHV15" s="32"/>
      <c r="AHW15" s="32"/>
      <c r="AHX15" s="2" t="s">
        <v>14</v>
      </c>
      <c r="AHY15" s="2" t="s">
        <v>15</v>
      </c>
      <c r="AHZ15" s="2" t="s">
        <v>52</v>
      </c>
      <c r="AIA15" s="32"/>
      <c r="AIB15" s="32"/>
      <c r="AIC15" s="32"/>
      <c r="AID15" s="2" t="s">
        <v>14</v>
      </c>
      <c r="AIE15" s="2" t="s">
        <v>15</v>
      </c>
      <c r="AIF15" s="2" t="s">
        <v>52</v>
      </c>
      <c r="AIG15" s="32"/>
      <c r="AIH15" s="32"/>
      <c r="AII15" s="32"/>
      <c r="AIJ15" s="2" t="s">
        <v>14</v>
      </c>
      <c r="AIK15" s="2" t="s">
        <v>15</v>
      </c>
      <c r="AIL15" s="2" t="s">
        <v>52</v>
      </c>
      <c r="AIM15" s="32"/>
      <c r="AIN15" s="32"/>
      <c r="AIO15" s="32"/>
      <c r="AIP15" s="2" t="s">
        <v>14</v>
      </c>
      <c r="AIQ15" s="2" t="s">
        <v>15</v>
      </c>
      <c r="AIR15" s="2" t="s">
        <v>52</v>
      </c>
      <c r="AIS15" s="32"/>
      <c r="AIT15" s="32"/>
      <c r="AIU15" s="32"/>
      <c r="AIV15" s="2" t="s">
        <v>14</v>
      </c>
      <c r="AIW15" s="2" t="s">
        <v>15</v>
      </c>
      <c r="AIX15" s="2" t="s">
        <v>52</v>
      </c>
      <c r="AIY15" s="32"/>
      <c r="AIZ15" s="32"/>
      <c r="AJA15" s="32"/>
      <c r="AJB15" s="2" t="s">
        <v>14</v>
      </c>
      <c r="AJC15" s="2" t="s">
        <v>15</v>
      </c>
      <c r="AJD15" s="2" t="s">
        <v>52</v>
      </c>
      <c r="AJE15" s="32"/>
      <c r="AJF15" s="32"/>
      <c r="AJG15" s="32"/>
      <c r="AJH15" s="2" t="s">
        <v>14</v>
      </c>
      <c r="AJI15" s="2" t="s">
        <v>15</v>
      </c>
      <c r="AJJ15" s="2" t="s">
        <v>52</v>
      </c>
      <c r="AJK15" s="32"/>
      <c r="AJL15" s="32"/>
      <c r="AJM15" s="32"/>
      <c r="AJN15" s="2" t="s">
        <v>14</v>
      </c>
      <c r="AJO15" s="2" t="s">
        <v>15</v>
      </c>
      <c r="AJP15" s="2" t="s">
        <v>52</v>
      </c>
      <c r="AJQ15" s="32"/>
      <c r="AJR15" s="32"/>
      <c r="AJS15" s="32"/>
      <c r="AJT15" s="2" t="s">
        <v>14</v>
      </c>
      <c r="AJU15" s="2" t="s">
        <v>15</v>
      </c>
      <c r="AJV15" s="2" t="s">
        <v>52</v>
      </c>
      <c r="AJW15" s="32"/>
      <c r="AJX15" s="32"/>
      <c r="AJY15" s="32"/>
      <c r="AJZ15" s="2" t="s">
        <v>14</v>
      </c>
      <c r="AKA15" s="2" t="s">
        <v>15</v>
      </c>
      <c r="AKB15" s="2" t="s">
        <v>52</v>
      </c>
      <c r="AKC15" s="32"/>
      <c r="AKD15" s="32"/>
      <c r="AKE15" s="32"/>
      <c r="AKF15" s="2" t="s">
        <v>14</v>
      </c>
      <c r="AKG15" s="2" t="s">
        <v>15</v>
      </c>
      <c r="AKH15" s="2" t="s">
        <v>52</v>
      </c>
      <c r="AKI15" s="32"/>
      <c r="AKJ15" s="32"/>
      <c r="AKK15" s="32"/>
      <c r="AKL15" s="2" t="s">
        <v>14</v>
      </c>
      <c r="AKM15" s="2" t="s">
        <v>15</v>
      </c>
      <c r="AKN15" s="2" t="s">
        <v>52</v>
      </c>
      <c r="AKO15" s="32"/>
      <c r="AKP15" s="32"/>
      <c r="AKQ15" s="32"/>
      <c r="AKR15" s="2" t="s">
        <v>14</v>
      </c>
      <c r="AKS15" s="2" t="s">
        <v>15</v>
      </c>
      <c r="AKT15" s="2" t="s">
        <v>52</v>
      </c>
      <c r="AKU15" s="32"/>
      <c r="AKV15" s="32"/>
      <c r="AKW15" s="32"/>
      <c r="AKX15" s="2" t="s">
        <v>14</v>
      </c>
      <c r="AKY15" s="2" t="s">
        <v>15</v>
      </c>
      <c r="AKZ15" s="2" t="s">
        <v>52</v>
      </c>
      <c r="ALA15" s="32"/>
      <c r="ALB15" s="32"/>
      <c r="ALC15" s="32"/>
      <c r="ALD15" s="2" t="s">
        <v>14</v>
      </c>
      <c r="ALE15" s="2" t="s">
        <v>15</v>
      </c>
      <c r="ALF15" s="2" t="s">
        <v>52</v>
      </c>
      <c r="ALG15" s="32"/>
      <c r="ALH15" s="32"/>
      <c r="ALI15" s="32"/>
      <c r="ALJ15" s="2" t="s">
        <v>14</v>
      </c>
      <c r="ALK15" s="2" t="s">
        <v>15</v>
      </c>
      <c r="ALL15" s="2" t="s">
        <v>52</v>
      </c>
      <c r="ALM15" s="32"/>
      <c r="ALN15" s="32"/>
      <c r="ALO15" s="32"/>
      <c r="ALP15" s="2" t="s">
        <v>14</v>
      </c>
      <c r="ALQ15" s="2" t="s">
        <v>15</v>
      </c>
      <c r="ALR15" s="2" t="s">
        <v>52</v>
      </c>
      <c r="ALS15" s="32"/>
      <c r="ALT15" s="32"/>
      <c r="ALU15" s="32"/>
      <c r="ALV15" s="2" t="s">
        <v>14</v>
      </c>
      <c r="ALW15" s="2" t="s">
        <v>15</v>
      </c>
      <c r="ALX15" s="2" t="s">
        <v>52</v>
      </c>
      <c r="ALY15" s="32"/>
      <c r="ALZ15" s="32"/>
      <c r="AMA15" s="32"/>
      <c r="AMB15" s="2" t="s">
        <v>14</v>
      </c>
      <c r="AMC15" s="2" t="s">
        <v>15</v>
      </c>
      <c r="AMD15" s="2" t="s">
        <v>52</v>
      </c>
      <c r="AME15" s="32"/>
      <c r="AMF15" s="32"/>
      <c r="AMG15" s="32"/>
      <c r="AMH15" s="2" t="s">
        <v>14</v>
      </c>
      <c r="AMI15" s="2" t="s">
        <v>15</v>
      </c>
      <c r="AMJ15" s="2" t="s">
        <v>52</v>
      </c>
      <c r="AMK15" s="32"/>
      <c r="AML15" s="32"/>
      <c r="AMM15" s="32"/>
      <c r="AMN15" s="2" t="s">
        <v>14</v>
      </c>
      <c r="AMO15" s="2" t="s">
        <v>15</v>
      </c>
      <c r="AMP15" s="2" t="s">
        <v>52</v>
      </c>
      <c r="AMQ15" s="32"/>
      <c r="AMR15" s="32"/>
      <c r="AMS15" s="32"/>
      <c r="AMT15" s="2" t="s">
        <v>14</v>
      </c>
      <c r="AMU15" s="2" t="s">
        <v>15</v>
      </c>
      <c r="AMV15" s="2" t="s">
        <v>52</v>
      </c>
      <c r="AMW15" s="32"/>
      <c r="AMX15" s="32"/>
      <c r="AMY15" s="32"/>
      <c r="AMZ15" s="2" t="s">
        <v>14</v>
      </c>
      <c r="ANA15" s="2" t="s">
        <v>15</v>
      </c>
      <c r="ANB15" s="2" t="s">
        <v>52</v>
      </c>
      <c r="ANC15" s="32"/>
      <c r="AND15" s="32"/>
      <c r="ANE15" s="32"/>
      <c r="ANF15" s="2" t="s">
        <v>14</v>
      </c>
      <c r="ANG15" s="2" t="s">
        <v>15</v>
      </c>
      <c r="ANH15" s="2" t="s">
        <v>52</v>
      </c>
      <c r="ANI15" s="32"/>
      <c r="ANJ15" s="32"/>
      <c r="ANK15" s="32"/>
      <c r="ANL15" s="2" t="s">
        <v>14</v>
      </c>
      <c r="ANM15" s="2" t="s">
        <v>15</v>
      </c>
      <c r="ANN15" s="2" t="s">
        <v>52</v>
      </c>
      <c r="ANO15" s="32"/>
      <c r="ANP15" s="32"/>
      <c r="ANQ15" s="32"/>
      <c r="ANR15" s="2" t="s">
        <v>14</v>
      </c>
      <c r="ANS15" s="2" t="s">
        <v>15</v>
      </c>
      <c r="ANT15" s="2" t="s">
        <v>52</v>
      </c>
      <c r="ANU15" s="32"/>
      <c r="ANV15" s="32"/>
      <c r="ANW15" s="32"/>
      <c r="ANX15" s="2" t="s">
        <v>14</v>
      </c>
      <c r="ANY15" s="2" t="s">
        <v>15</v>
      </c>
      <c r="ANZ15" s="2" t="s">
        <v>52</v>
      </c>
      <c r="AOA15" s="32"/>
      <c r="AOB15" s="32"/>
      <c r="AOC15" s="32"/>
      <c r="AOD15" s="2" t="s">
        <v>14</v>
      </c>
      <c r="AOE15" s="2" t="s">
        <v>15</v>
      </c>
      <c r="AOF15" s="2" t="s">
        <v>52</v>
      </c>
      <c r="AOG15" s="32"/>
      <c r="AOH15" s="32"/>
      <c r="AOI15" s="32"/>
      <c r="AOJ15" s="2" t="s">
        <v>14</v>
      </c>
      <c r="AOK15" s="2" t="s">
        <v>15</v>
      </c>
      <c r="AOL15" s="2" t="s">
        <v>52</v>
      </c>
      <c r="AOM15" s="32"/>
      <c r="AON15" s="32"/>
      <c r="AOO15" s="32"/>
      <c r="AOP15" s="2" t="s">
        <v>14</v>
      </c>
      <c r="AOQ15" s="2" t="s">
        <v>15</v>
      </c>
      <c r="AOR15" s="2" t="s">
        <v>52</v>
      </c>
      <c r="AOS15" s="32"/>
      <c r="AOT15" s="32"/>
      <c r="AOU15" s="32"/>
      <c r="AOV15" s="2" t="s">
        <v>14</v>
      </c>
      <c r="AOW15" s="2" t="s">
        <v>15</v>
      </c>
      <c r="AOX15" s="2" t="s">
        <v>52</v>
      </c>
      <c r="AOY15" s="32"/>
      <c r="AOZ15" s="32"/>
    </row>
    <row r="16" spans="1:1092" x14ac:dyDescent="0.25">
      <c r="A16" s="3" t="s">
        <v>62</v>
      </c>
      <c r="B16" s="44">
        <f>AVERAGEIF($3:$3,"VAR",16:16)*2.5</f>
        <v>0.56336931406306645</v>
      </c>
      <c r="C16" s="44">
        <v>1.5</v>
      </c>
      <c r="E16" s="5">
        <v>1.1000000000000001</v>
      </c>
      <c r="F16" s="5"/>
      <c r="H16" s="5">
        <v>1.1000000000000001</v>
      </c>
      <c r="I16" s="5"/>
      <c r="J16" s="5">
        <f>E16+F16-H16</f>
        <v>0</v>
      </c>
      <c r="M16" s="31"/>
      <c r="N16" s="5">
        <v>0.8</v>
      </c>
      <c r="O16" s="5">
        <v>1</v>
      </c>
      <c r="P16" s="5">
        <f>(H16+I16)-N16</f>
        <v>0.30000000000000004</v>
      </c>
      <c r="Q16" s="29"/>
      <c r="S16" s="31"/>
      <c r="T16" s="5">
        <v>1.3</v>
      </c>
      <c r="U16" s="5"/>
      <c r="V16" s="5">
        <f>(N16+O16)-T16</f>
        <v>0.5</v>
      </c>
      <c r="W16" s="29">
        <f>15*18</f>
        <v>270</v>
      </c>
      <c r="X16" s="1">
        <f>W16/992</f>
        <v>0.27217741935483869</v>
      </c>
      <c r="Y16" s="31"/>
      <c r="Z16" s="5">
        <v>0.7</v>
      </c>
      <c r="AA16" s="5"/>
      <c r="AB16" s="5">
        <f>(T16+U16)-Z16</f>
        <v>0.60000000000000009</v>
      </c>
      <c r="AC16" s="29">
        <v>306</v>
      </c>
      <c r="AD16" s="30">
        <f>AC16/992</f>
        <v>0.30846774193548387</v>
      </c>
      <c r="AE16" s="31"/>
      <c r="AF16" s="5">
        <v>0.3</v>
      </c>
      <c r="AG16" s="5"/>
      <c r="AH16" s="5">
        <f>(Z16+AA16)-AF16</f>
        <v>0.39999999999999997</v>
      </c>
      <c r="AI16" s="29">
        <v>144</v>
      </c>
      <c r="AJ16" s="30">
        <f>AI16/992</f>
        <v>0.14516129032258066</v>
      </c>
      <c r="AK16" s="31"/>
      <c r="AL16" s="5">
        <v>0</v>
      </c>
      <c r="AM16" s="5"/>
      <c r="AN16" s="5">
        <f>(AF16+AG16)-AL16</f>
        <v>0.3</v>
      </c>
      <c r="AO16" s="29">
        <v>324</v>
      </c>
      <c r="AP16" s="30">
        <f>AO16/992</f>
        <v>0.32661290322580644</v>
      </c>
      <c r="AQ16" s="31"/>
      <c r="AR16" s="5">
        <v>0</v>
      </c>
      <c r="AS16" s="5"/>
      <c r="AT16" s="5">
        <f>(AL16+AM16)-AR16</f>
        <v>0</v>
      </c>
      <c r="AU16" s="29">
        <v>180</v>
      </c>
      <c r="AV16" s="30">
        <f>AU16/992</f>
        <v>0.18145161290322581</v>
      </c>
      <c r="AW16" s="31"/>
      <c r="AX16" s="5">
        <v>0</v>
      </c>
      <c r="AY16" s="5"/>
      <c r="AZ16" s="5">
        <f>(AR16+AS16)-AX16</f>
        <v>0</v>
      </c>
      <c r="BA16" s="29"/>
      <c r="BB16" s="30">
        <f>BA16/992</f>
        <v>0</v>
      </c>
      <c r="BC16" s="31"/>
      <c r="BD16" s="5">
        <v>0</v>
      </c>
      <c r="BE16" s="5">
        <v>2</v>
      </c>
      <c r="BF16" s="5">
        <f>(AX16+AY16)-BD16</f>
        <v>0</v>
      </c>
      <c r="BG16" s="29"/>
      <c r="BH16" s="30">
        <f>BG16/992</f>
        <v>0</v>
      </c>
      <c r="BI16" s="31"/>
      <c r="BJ16" s="5">
        <v>1.4</v>
      </c>
      <c r="BK16" s="5"/>
      <c r="BL16" s="5">
        <f>(BD16+BE16)-BJ16</f>
        <v>0.60000000000000009</v>
      </c>
      <c r="BM16" s="29">
        <v>558</v>
      </c>
      <c r="BN16" s="30">
        <f>BM16/992</f>
        <v>0.5625</v>
      </c>
      <c r="BO16" s="31"/>
      <c r="BP16" s="5">
        <v>1.2</v>
      </c>
      <c r="BQ16" s="5"/>
      <c r="BR16" s="5">
        <f>(BJ16+BK16)-BP16</f>
        <v>0.19999999999999996</v>
      </c>
      <c r="BS16" s="29">
        <v>216</v>
      </c>
      <c r="BT16" s="30">
        <f>BS16/992</f>
        <v>0.21774193548387097</v>
      </c>
      <c r="BU16" s="31"/>
      <c r="BV16" s="5">
        <v>0.8</v>
      </c>
      <c r="BW16" s="5">
        <v>2</v>
      </c>
      <c r="BX16" s="5">
        <f>(BP16+BQ16)-BV16</f>
        <v>0.39999999999999991</v>
      </c>
      <c r="BY16" s="29">
        <v>378</v>
      </c>
      <c r="BZ16" s="30">
        <f>BY16/992</f>
        <v>0.38104838709677419</v>
      </c>
      <c r="CA16" s="31"/>
      <c r="CB16" s="5">
        <v>1.9</v>
      </c>
      <c r="CC16" s="5"/>
      <c r="CD16" s="5">
        <f>(BV16+BW16)-CB16</f>
        <v>0.89999999999999991</v>
      </c>
      <c r="CF16" s="30">
        <f>CE16/992</f>
        <v>0</v>
      </c>
      <c r="CG16" s="31"/>
      <c r="CH16" s="5">
        <v>1.8</v>
      </c>
      <c r="CI16" s="5"/>
      <c r="CJ16" s="5">
        <f>(CB16+CC16)-CH16</f>
        <v>9.9999999999999867E-2</v>
      </c>
      <c r="CK16" s="1">
        <v>252</v>
      </c>
      <c r="CL16" s="30">
        <f>CK16/992</f>
        <v>0.25403225806451613</v>
      </c>
      <c r="CM16" s="31"/>
      <c r="CN16" s="5">
        <v>1.2</v>
      </c>
      <c r="CO16" s="5"/>
      <c r="CP16" s="5">
        <f>(CH16+CI16)-CN16</f>
        <v>0.60000000000000009</v>
      </c>
      <c r="CQ16" s="1">
        <v>288</v>
      </c>
      <c r="CR16" s="30">
        <f>CQ16/992</f>
        <v>0.29032258064516131</v>
      </c>
      <c r="CS16" s="31"/>
      <c r="CT16" s="5">
        <v>1.1000000000000001</v>
      </c>
      <c r="CU16" s="5"/>
      <c r="CV16" s="5">
        <f>(CN16+CO16)-CT16</f>
        <v>9.9999999999999867E-2</v>
      </c>
      <c r="CX16" s="30">
        <f>CW16/992</f>
        <v>0</v>
      </c>
      <c r="CY16" s="31"/>
      <c r="CZ16" s="5">
        <v>0.8</v>
      </c>
      <c r="DA16" s="5"/>
      <c r="DB16" s="5">
        <f>(CT16+CU16)-CZ16</f>
        <v>0.30000000000000004</v>
      </c>
      <c r="DD16" s="30">
        <f>DC16/992</f>
        <v>0</v>
      </c>
      <c r="DE16" s="31"/>
      <c r="DF16" s="5">
        <v>0.8</v>
      </c>
      <c r="DG16" s="5"/>
      <c r="DH16" s="5">
        <f>(CZ16+DA16)-DF16</f>
        <v>0</v>
      </c>
      <c r="DJ16" s="30">
        <f>DI16/992</f>
        <v>0</v>
      </c>
      <c r="DK16" s="31"/>
      <c r="DL16" s="5">
        <v>0</v>
      </c>
      <c r="DM16" s="5">
        <v>1</v>
      </c>
      <c r="DN16" s="5">
        <f>(DF16+DG16)-DL16</f>
        <v>0.8</v>
      </c>
      <c r="DP16" s="30">
        <f>DO16/992</f>
        <v>0</v>
      </c>
      <c r="DQ16" s="31"/>
      <c r="DR16" s="5">
        <v>0.5</v>
      </c>
      <c r="DS16" s="5">
        <v>1</v>
      </c>
      <c r="DT16" s="5">
        <f>(DL16+DM16)-DR16</f>
        <v>0.5</v>
      </c>
      <c r="DV16" s="30">
        <f>DU16/992</f>
        <v>0</v>
      </c>
      <c r="DW16" s="31"/>
      <c r="DX16" s="5">
        <v>1.2</v>
      </c>
      <c r="DY16" s="5"/>
      <c r="DZ16" s="5">
        <f>(DR16+DS16)-DX16</f>
        <v>0.30000000000000004</v>
      </c>
      <c r="EA16" s="1">
        <v>298</v>
      </c>
      <c r="EB16" s="30">
        <f>EA16/992</f>
        <v>0.30040322580645162</v>
      </c>
      <c r="EC16" s="31"/>
      <c r="ED16" s="5">
        <v>0.9</v>
      </c>
      <c r="EE16" s="5"/>
      <c r="EF16" s="5">
        <f>(DX16+DY16)-ED16</f>
        <v>0.29999999999999993</v>
      </c>
      <c r="EG16" s="1">
        <v>230</v>
      </c>
      <c r="EH16" s="30">
        <f>EG16/992</f>
        <v>0.23185483870967741</v>
      </c>
      <c r="EI16" s="31"/>
      <c r="EJ16" s="5">
        <v>0.6</v>
      </c>
      <c r="EK16" s="5">
        <v>1</v>
      </c>
      <c r="EL16" s="5">
        <f>(ED16+EE16)-EJ16</f>
        <v>0.30000000000000004</v>
      </c>
      <c r="EM16" s="1">
        <v>198</v>
      </c>
      <c r="EN16" s="30">
        <f>EM16/992</f>
        <v>0.19959677419354838</v>
      </c>
      <c r="EO16" s="31"/>
      <c r="EP16" s="5">
        <v>1.3</v>
      </c>
      <c r="EQ16" s="5"/>
      <c r="ER16" s="5">
        <f>(EJ16+EK16)-EP16</f>
        <v>0.30000000000000004</v>
      </c>
      <c r="ES16" s="1">
        <v>216</v>
      </c>
      <c r="ET16" s="30">
        <f>ES16/992</f>
        <v>0.21774193548387097</v>
      </c>
      <c r="EU16" s="31"/>
      <c r="EV16" s="5">
        <v>0.9</v>
      </c>
      <c r="EW16" s="5"/>
      <c r="EX16" s="5">
        <f>(EP16+EQ16)-EV16</f>
        <v>0.4</v>
      </c>
      <c r="EY16" s="1">
        <v>396</v>
      </c>
      <c r="EZ16" s="30">
        <f>EY16/992</f>
        <v>0.39919354838709675</v>
      </c>
      <c r="FA16" s="31"/>
      <c r="FB16" s="5">
        <v>0.7</v>
      </c>
      <c r="FC16" s="5">
        <v>1</v>
      </c>
      <c r="FD16" s="5">
        <f>(EV16+EW16)-FB16</f>
        <v>0.20000000000000007</v>
      </c>
      <c r="FE16" s="1">
        <v>190</v>
      </c>
      <c r="FF16" s="30">
        <f>FE16/992</f>
        <v>0.19153225806451613</v>
      </c>
      <c r="FG16" s="31"/>
      <c r="FH16" s="5">
        <v>1.5</v>
      </c>
      <c r="FI16" s="5"/>
      <c r="FJ16" s="5">
        <f>(FB16+FC16)-FH16</f>
        <v>0.19999999999999996</v>
      </c>
      <c r="FK16" s="1">
        <v>108</v>
      </c>
      <c r="FL16" s="30">
        <f>FK16/992</f>
        <v>0.10887096774193548</v>
      </c>
      <c r="FM16" s="31"/>
      <c r="FN16" s="5">
        <v>0</v>
      </c>
      <c r="FO16" s="5">
        <v>1</v>
      </c>
      <c r="FP16" s="36">
        <f>(FH16+FI16)-FN16</f>
        <v>1.5</v>
      </c>
      <c r="FQ16" s="1">
        <v>354</v>
      </c>
      <c r="FR16" s="42">
        <f>FQ16/992</f>
        <v>0.35685483870967744</v>
      </c>
      <c r="FS16" s="31"/>
      <c r="FT16" s="36">
        <v>0.7</v>
      </c>
      <c r="FU16" s="5"/>
      <c r="FV16" s="5">
        <f>(FN16+FO16)-FT16</f>
        <v>0.30000000000000004</v>
      </c>
      <c r="FW16" s="1">
        <v>358</v>
      </c>
      <c r="FX16" s="30">
        <f>FW16/992</f>
        <v>0.36088709677419356</v>
      </c>
      <c r="FY16" s="31"/>
      <c r="FZ16" s="36">
        <v>0.1</v>
      </c>
      <c r="GA16" s="5">
        <v>1</v>
      </c>
      <c r="GB16" s="5">
        <f>(FT16+FU16)-FZ16</f>
        <v>0.6</v>
      </c>
      <c r="GC16" s="1">
        <v>226</v>
      </c>
      <c r="GD16" s="30">
        <f>GC16/992</f>
        <v>0.22782258064516128</v>
      </c>
      <c r="GE16" s="31"/>
      <c r="GF16" s="5">
        <v>0.3</v>
      </c>
      <c r="GG16" s="5">
        <v>1</v>
      </c>
      <c r="GH16" s="5">
        <f>(FZ16+GA16)-GF16</f>
        <v>0.8</v>
      </c>
      <c r="GI16" s="1">
        <v>361</v>
      </c>
      <c r="GJ16" s="30">
        <f>GI16/992</f>
        <v>0.36391129032258063</v>
      </c>
      <c r="GK16" s="31"/>
      <c r="GL16" s="5">
        <v>1.1000000000000001</v>
      </c>
      <c r="GM16" s="5"/>
      <c r="GN16" s="5">
        <f>(GF16+GG16)-GL16</f>
        <v>0.19999999999999996</v>
      </c>
      <c r="GO16" s="1">
        <v>324</v>
      </c>
      <c r="GP16" s="30">
        <f>GO16/992</f>
        <v>0.32661290322580644</v>
      </c>
      <c r="GQ16" s="31"/>
      <c r="GR16" s="5">
        <v>0.2</v>
      </c>
      <c r="GS16" s="5">
        <v>2</v>
      </c>
      <c r="GT16" s="5">
        <f>(GL16+GM16)-GR16</f>
        <v>0.90000000000000013</v>
      </c>
      <c r="GU16" s="1">
        <v>506</v>
      </c>
      <c r="GV16" s="30">
        <f>GU16/992</f>
        <v>0.51008064516129037</v>
      </c>
      <c r="GW16" s="31"/>
      <c r="GX16" s="5">
        <v>1.6</v>
      </c>
      <c r="GY16" s="5"/>
      <c r="GZ16" s="5">
        <f>(GR16+GS16)-GX16</f>
        <v>0.60000000000000009</v>
      </c>
      <c r="HA16" s="1">
        <v>596</v>
      </c>
      <c r="HB16" s="30">
        <f>HA16/992</f>
        <v>0.60080645161290325</v>
      </c>
      <c r="HC16" s="31"/>
      <c r="HD16" s="5">
        <v>1.2</v>
      </c>
      <c r="HE16" s="5"/>
      <c r="HF16" s="5">
        <f>(GX16+GY16)-HD16</f>
        <v>0.40000000000000013</v>
      </c>
      <c r="HG16" s="1">
        <v>360</v>
      </c>
      <c r="HH16" s="30">
        <f>HG16/992</f>
        <v>0.36290322580645162</v>
      </c>
      <c r="HI16" s="31"/>
      <c r="HJ16" s="5">
        <v>0.9</v>
      </c>
      <c r="HK16" s="5"/>
      <c r="HL16" s="5">
        <f>(HD16+HE16)-HJ16</f>
        <v>0.29999999999999993</v>
      </c>
      <c r="HM16" s="1">
        <v>380</v>
      </c>
      <c r="HN16" s="30">
        <f>HM16/992</f>
        <v>0.38306451612903225</v>
      </c>
      <c r="HO16" s="31"/>
      <c r="HP16" s="5">
        <v>0.4</v>
      </c>
      <c r="HQ16" s="5"/>
      <c r="HR16" s="5">
        <f>(HJ16+HK16)-HP16</f>
        <v>0.5</v>
      </c>
      <c r="HS16" s="1">
        <v>416</v>
      </c>
      <c r="HT16" s="30">
        <f>HS16/992</f>
        <v>0.41935483870967744</v>
      </c>
      <c r="HU16" s="31"/>
      <c r="HV16" s="5">
        <v>0.1</v>
      </c>
      <c r="HW16" s="5">
        <v>1</v>
      </c>
      <c r="HX16" s="5">
        <f>(HP16+HQ16)-HV16</f>
        <v>0.30000000000000004</v>
      </c>
      <c r="HY16" s="1">
        <v>235</v>
      </c>
      <c r="HZ16" s="30">
        <f>HY16/992</f>
        <v>0.23689516129032259</v>
      </c>
      <c r="IA16" s="31"/>
      <c r="IB16" s="5">
        <v>0.8</v>
      </c>
      <c r="IC16" s="5"/>
      <c r="ID16" s="5">
        <f>(HV16+HW16)-IB16</f>
        <v>0.30000000000000004</v>
      </c>
      <c r="IE16" s="1">
        <v>90</v>
      </c>
      <c r="IF16" s="30">
        <f>IE16/992</f>
        <v>9.0725806451612906E-2</v>
      </c>
      <c r="IG16" s="31"/>
      <c r="IH16" s="5">
        <v>0.3</v>
      </c>
      <c r="II16" s="5">
        <v>1</v>
      </c>
      <c r="IJ16" s="5">
        <f>(IB16+IC16)-IH16</f>
        <v>0.5</v>
      </c>
      <c r="IK16" s="1">
        <v>432</v>
      </c>
      <c r="IL16" s="30">
        <f>IK16/992</f>
        <v>0.43548387096774194</v>
      </c>
      <c r="IM16" s="31"/>
      <c r="IN16" s="5">
        <v>0.8</v>
      </c>
      <c r="IO16" s="5"/>
      <c r="IP16" s="5">
        <f>(IH16+II16)-IN16</f>
        <v>0.5</v>
      </c>
      <c r="IQ16" s="1">
        <v>451</v>
      </c>
      <c r="IR16" s="30">
        <f>IQ16/992</f>
        <v>0.45463709677419356</v>
      </c>
      <c r="IS16" s="31"/>
      <c r="IT16" s="5">
        <v>0.8</v>
      </c>
      <c r="IU16" s="5">
        <v>1</v>
      </c>
      <c r="IV16" s="5">
        <f>(IN16+IO16)-IT16</f>
        <v>0</v>
      </c>
      <c r="IW16" s="1">
        <v>306</v>
      </c>
      <c r="IX16" s="30">
        <f>IW16/992</f>
        <v>0.30846774193548387</v>
      </c>
      <c r="IY16" s="31"/>
      <c r="IZ16" s="5">
        <v>0.9</v>
      </c>
      <c r="JA16" s="5">
        <v>1</v>
      </c>
      <c r="JB16" s="5">
        <f>(IT16+IU16)-IZ16</f>
        <v>0.9</v>
      </c>
      <c r="JC16" s="1">
        <v>649</v>
      </c>
      <c r="JD16" s="30">
        <f>JC16/992</f>
        <v>0.65423387096774188</v>
      </c>
      <c r="JE16" s="31"/>
      <c r="JF16" s="5">
        <v>1.2</v>
      </c>
      <c r="JG16" s="5"/>
      <c r="JH16" s="5">
        <f>(IZ16+JA16)-JF16</f>
        <v>0.7</v>
      </c>
      <c r="JI16" s="1">
        <v>523</v>
      </c>
      <c r="JJ16" s="30">
        <f>JI16/992</f>
        <v>0.52721774193548387</v>
      </c>
      <c r="JK16" s="31"/>
      <c r="JL16" s="5">
        <v>0.4</v>
      </c>
      <c r="JM16" s="5"/>
      <c r="JN16" s="5">
        <f>(JF16+JG16)-JL16</f>
        <v>0.79999999999999993</v>
      </c>
      <c r="JO16" s="1">
        <v>595</v>
      </c>
      <c r="JP16" s="30">
        <f>JO16/992</f>
        <v>0.59979838709677424</v>
      </c>
      <c r="JQ16" s="31"/>
      <c r="JR16" s="5">
        <v>0.3</v>
      </c>
      <c r="JS16" s="5">
        <v>1</v>
      </c>
      <c r="JT16" s="5">
        <f>(JL16+JM16)-JR16</f>
        <v>0.10000000000000003</v>
      </c>
      <c r="JU16" s="1">
        <v>252</v>
      </c>
      <c r="JV16" s="30">
        <f>JU16/992</f>
        <v>0.25403225806451613</v>
      </c>
      <c r="JW16" s="31"/>
      <c r="JX16" s="5">
        <v>0.9</v>
      </c>
      <c r="JY16" s="5"/>
      <c r="JZ16" s="5">
        <f>(JR16+JS16)-JX16</f>
        <v>0.4</v>
      </c>
      <c r="KA16" s="1">
        <v>378</v>
      </c>
      <c r="KB16" s="30">
        <f>KA16/992</f>
        <v>0.38104838709677419</v>
      </c>
      <c r="KC16" s="31"/>
      <c r="KD16" s="5">
        <v>0.6</v>
      </c>
      <c r="KE16" s="5">
        <v>1</v>
      </c>
      <c r="KF16" s="5">
        <f>(JX16+JY16)-KD16</f>
        <v>0.30000000000000004</v>
      </c>
      <c r="KG16" s="1">
        <v>306</v>
      </c>
      <c r="KH16" s="30">
        <f>KG16/992</f>
        <v>0.30846774193548387</v>
      </c>
      <c r="KI16" s="31"/>
      <c r="KJ16" s="5">
        <v>1.2</v>
      </c>
      <c r="KK16" s="5"/>
      <c r="KL16" s="5">
        <f>(KD16+KE16)-KJ16</f>
        <v>0.40000000000000013</v>
      </c>
      <c r="KM16" s="1">
        <v>198</v>
      </c>
      <c r="KN16" s="30">
        <f>KM16/992</f>
        <v>0.19959677419354838</v>
      </c>
      <c r="KO16" s="31"/>
      <c r="KP16" s="5">
        <v>0.4</v>
      </c>
      <c r="KQ16" s="5">
        <v>1</v>
      </c>
      <c r="KR16" s="5">
        <f>(KJ16+KK16)-KP16</f>
        <v>0.79999999999999993</v>
      </c>
      <c r="KS16" s="1">
        <v>361</v>
      </c>
      <c r="KT16" s="30">
        <f>KS16/992</f>
        <v>0.36391129032258063</v>
      </c>
      <c r="KU16" s="31"/>
      <c r="KV16" s="5">
        <v>1.2</v>
      </c>
      <c r="KW16" s="5"/>
      <c r="KX16" s="5">
        <f>(KP16+KQ16)-KV16</f>
        <v>0.19999999999999996</v>
      </c>
      <c r="KY16" s="1">
        <v>433</v>
      </c>
      <c r="KZ16" s="30">
        <f>KY16/992</f>
        <v>0.43649193548387094</v>
      </c>
      <c r="LA16" s="31"/>
      <c r="LB16" s="5">
        <v>0.3</v>
      </c>
      <c r="LC16" s="5">
        <v>2</v>
      </c>
      <c r="LD16" s="5">
        <f>(KV16+KW16)-LB16</f>
        <v>0.89999999999999991</v>
      </c>
      <c r="LE16" s="1">
        <v>162</v>
      </c>
      <c r="LF16" s="30">
        <f>LE16/992</f>
        <v>0.16330645161290322</v>
      </c>
      <c r="LG16" s="31"/>
      <c r="LH16" s="5">
        <v>2.1</v>
      </c>
      <c r="LI16" s="5"/>
      <c r="LJ16" s="5">
        <f>(LB16+LC16)-LH16</f>
        <v>0.19999999999999973</v>
      </c>
      <c r="LK16" s="1">
        <v>360</v>
      </c>
      <c r="LL16" s="30">
        <f>LK16/992</f>
        <v>0.36290322580645162</v>
      </c>
      <c r="LM16" s="31"/>
      <c r="LN16" s="5">
        <v>2.1</v>
      </c>
      <c r="LO16" s="5"/>
      <c r="LP16" s="5">
        <f>(LH16+LI16)-LN16</f>
        <v>0</v>
      </c>
      <c r="LQ16" s="1">
        <v>162</v>
      </c>
      <c r="LR16" s="30">
        <f>LQ16/992</f>
        <v>0.16330645161290322</v>
      </c>
      <c r="LS16" s="31"/>
      <c r="LT16" s="5">
        <v>1.4</v>
      </c>
      <c r="LU16" s="5"/>
      <c r="LV16" s="5">
        <f>(LN16+LO16)-LT16</f>
        <v>0.70000000000000018</v>
      </c>
      <c r="LW16" s="1">
        <v>522</v>
      </c>
      <c r="LX16" s="30">
        <f>LW16/992</f>
        <v>0.52620967741935487</v>
      </c>
      <c r="LY16" s="31"/>
      <c r="LZ16" s="5">
        <v>0.9</v>
      </c>
      <c r="MA16" s="5">
        <v>1</v>
      </c>
      <c r="MB16" s="5">
        <f>(LT16+LU16)-LZ16</f>
        <v>0.49999999999999989</v>
      </c>
      <c r="MC16" s="1">
        <v>307</v>
      </c>
      <c r="MD16" s="30">
        <f>MC16/992</f>
        <v>0.30947580645161288</v>
      </c>
      <c r="ME16" s="31"/>
      <c r="MF16" s="5">
        <v>1.3</v>
      </c>
      <c r="MG16" s="5"/>
      <c r="MH16" s="5">
        <f>(LZ16+MA16)-MF16</f>
        <v>0.59999999999999987</v>
      </c>
      <c r="MJ16" s="30">
        <f>MI16/992</f>
        <v>0</v>
      </c>
      <c r="MK16" s="31"/>
      <c r="ML16" s="5">
        <v>1.1000000000000001</v>
      </c>
      <c r="MM16" s="5">
        <v>1</v>
      </c>
      <c r="MN16" s="5">
        <f>(MF16+MG16)-ML16</f>
        <v>0.19999999999999996</v>
      </c>
      <c r="MO16" s="1">
        <v>144</v>
      </c>
      <c r="MP16" s="30">
        <f>MO16/992</f>
        <v>0.14516129032258066</v>
      </c>
      <c r="MQ16" s="31"/>
      <c r="MR16" s="5">
        <v>1.4</v>
      </c>
      <c r="MS16" s="5"/>
      <c r="MT16" s="5">
        <f>(ML16+MM16)-MR16</f>
        <v>0.70000000000000018</v>
      </c>
      <c r="MV16" s="30">
        <f>MU16/992</f>
        <v>0</v>
      </c>
      <c r="MW16" s="31"/>
      <c r="MX16" s="5">
        <v>1.3</v>
      </c>
      <c r="MY16" s="5">
        <v>1</v>
      </c>
      <c r="MZ16" s="5">
        <f>(MR16+MS16)-MX16</f>
        <v>9.9999999999999867E-2</v>
      </c>
      <c r="NA16" s="1">
        <v>180</v>
      </c>
      <c r="NB16" s="30">
        <f>NA16/992</f>
        <v>0.18145161290322581</v>
      </c>
      <c r="NC16" s="31"/>
      <c r="ND16" s="5">
        <v>2.2000000000000002</v>
      </c>
      <c r="NE16" s="5"/>
      <c r="NF16" s="5">
        <f>(MX16+MY16)-ND16</f>
        <v>9.9999999999999645E-2</v>
      </c>
      <c r="NH16" s="30">
        <f>NG16/992</f>
        <v>0</v>
      </c>
      <c r="NI16" s="31"/>
      <c r="NJ16" s="5">
        <v>2.1</v>
      </c>
      <c r="NK16" s="5"/>
      <c r="NL16" s="5">
        <f>(ND16+NE16)-NJ16</f>
        <v>0.10000000000000009</v>
      </c>
      <c r="NM16" s="1">
        <v>216</v>
      </c>
      <c r="NN16" s="30">
        <f>NM16/992</f>
        <v>0.21774193548387097</v>
      </c>
      <c r="NO16" s="31"/>
      <c r="NP16" s="5">
        <v>1.5</v>
      </c>
      <c r="NQ16" s="5">
        <v>1</v>
      </c>
      <c r="NR16" s="5">
        <f>(NJ16+NK16)-NP16</f>
        <v>0.60000000000000009</v>
      </c>
      <c r="NS16" s="1">
        <v>396</v>
      </c>
      <c r="NT16" s="30">
        <f>NS16/992</f>
        <v>0.39919354838709675</v>
      </c>
      <c r="NU16" s="31"/>
      <c r="NV16" s="5">
        <v>2.2000000000000002</v>
      </c>
      <c r="NW16" s="5"/>
      <c r="NX16" s="5">
        <f>(NP16+NQ16)-NV16</f>
        <v>0.29999999999999982</v>
      </c>
      <c r="NY16" s="1">
        <v>288</v>
      </c>
      <c r="NZ16" s="30">
        <f>NY16/992</f>
        <v>0.29032258064516131</v>
      </c>
      <c r="OA16" s="31"/>
      <c r="OB16" s="5">
        <v>1.9</v>
      </c>
      <c r="OC16" s="5"/>
      <c r="OD16" s="5">
        <f>(NV16+NW16)-OB16</f>
        <v>0.30000000000000027</v>
      </c>
      <c r="OF16" s="30">
        <f>OE16/992</f>
        <v>0</v>
      </c>
      <c r="OG16" s="31"/>
      <c r="OH16" s="5">
        <v>1.1000000000000001</v>
      </c>
      <c r="OI16" s="5">
        <v>2</v>
      </c>
      <c r="OJ16" s="5">
        <f>(OB16+OC16)-OH16</f>
        <v>0.79999999999999982</v>
      </c>
      <c r="OK16" s="1">
        <v>343</v>
      </c>
      <c r="OL16" s="30">
        <f>OK16/992</f>
        <v>0.34576612903225806</v>
      </c>
      <c r="OM16" s="31"/>
      <c r="ON16" s="5">
        <v>2.9</v>
      </c>
      <c r="OO16" s="5">
        <v>-1</v>
      </c>
      <c r="OP16" s="5">
        <f>(OH16+OI16)-ON16</f>
        <v>0.20000000000000018</v>
      </c>
      <c r="OR16" s="30">
        <f>OQ16/992</f>
        <v>0</v>
      </c>
      <c r="OS16" s="31"/>
      <c r="OT16" s="5">
        <v>1.2</v>
      </c>
      <c r="OU16" s="5">
        <v>1</v>
      </c>
      <c r="OV16" s="5">
        <f>(ON16+OO16)-OT16</f>
        <v>0.7</v>
      </c>
      <c r="OW16" s="1">
        <v>324</v>
      </c>
      <c r="OX16" s="30">
        <f>OW16/992</f>
        <v>0.32661290322580644</v>
      </c>
      <c r="OY16" s="31"/>
      <c r="OZ16" s="5">
        <v>2.1</v>
      </c>
      <c r="PA16" s="5"/>
      <c r="PB16" s="5">
        <f>(OT16+OU16)-OZ16</f>
        <v>0.10000000000000009</v>
      </c>
      <c r="PC16" s="1">
        <v>324</v>
      </c>
      <c r="PD16" s="30">
        <f>PC16/992</f>
        <v>0.32661290322580644</v>
      </c>
      <c r="PE16" s="31"/>
      <c r="PF16" s="5">
        <v>1.2</v>
      </c>
      <c r="PG16" s="5">
        <v>1</v>
      </c>
      <c r="PH16" s="5">
        <f>(OZ16+PA16)-PF16</f>
        <v>0.90000000000000013</v>
      </c>
      <c r="PI16" s="1">
        <v>488</v>
      </c>
      <c r="PJ16" s="30">
        <f>PI16/992</f>
        <v>0.49193548387096775</v>
      </c>
      <c r="PK16" s="31"/>
      <c r="PL16" s="5">
        <v>1.9</v>
      </c>
      <c r="PM16" s="5"/>
      <c r="PN16" s="5">
        <f>(PF16+PG16)-PL16</f>
        <v>0.30000000000000027</v>
      </c>
      <c r="PP16" s="30">
        <f>PO16/992</f>
        <v>0</v>
      </c>
      <c r="PQ16" s="31"/>
      <c r="PR16" s="5">
        <v>1.5</v>
      </c>
      <c r="PS16" s="5">
        <v>1</v>
      </c>
      <c r="PT16" s="5">
        <f>(PL16+PM16)-PR16</f>
        <v>0.39999999999999991</v>
      </c>
      <c r="PU16" s="1">
        <v>396</v>
      </c>
      <c r="PV16" s="30">
        <f>PU16/992</f>
        <v>0.39919354838709675</v>
      </c>
      <c r="PW16" s="31"/>
      <c r="PX16" s="5">
        <v>2.2999999999999998</v>
      </c>
      <c r="PY16" s="5"/>
      <c r="PZ16" s="5">
        <f>(PR16+PS16)-PX16</f>
        <v>0.20000000000000018</v>
      </c>
      <c r="QA16" s="1">
        <v>216</v>
      </c>
      <c r="QB16" s="30">
        <f>QA16/992</f>
        <v>0.21774193548387097</v>
      </c>
      <c r="QC16" s="31"/>
      <c r="QD16" s="5">
        <v>2.1</v>
      </c>
      <c r="QE16" s="5"/>
      <c r="QF16" s="5">
        <f>(PX16+PY16)-QD16</f>
        <v>0.19999999999999973</v>
      </c>
      <c r="QG16" s="1">
        <v>508</v>
      </c>
      <c r="QH16" s="30">
        <f>QG16/992</f>
        <v>0.51209677419354838</v>
      </c>
      <c r="QI16" s="31"/>
      <c r="QJ16" s="5">
        <v>1.6</v>
      </c>
      <c r="QK16" s="5"/>
      <c r="QL16" s="5">
        <f>(QD16+QE16)-QJ16</f>
        <v>0.5</v>
      </c>
      <c r="QN16" s="30">
        <f>QM16/992</f>
        <v>0</v>
      </c>
      <c r="QO16" s="31"/>
      <c r="QP16" s="5">
        <v>1.2</v>
      </c>
      <c r="QQ16" s="5"/>
      <c r="QR16" s="5">
        <f>(QJ16+QK16)-QP16</f>
        <v>0.40000000000000013</v>
      </c>
      <c r="QS16" s="1">
        <v>216</v>
      </c>
      <c r="QT16" s="30">
        <f>QS16/992</f>
        <v>0.21774193548387097</v>
      </c>
      <c r="QU16" s="31"/>
      <c r="QV16" s="5">
        <v>0.7</v>
      </c>
      <c r="QW16" s="5"/>
      <c r="QX16" s="5">
        <f>(QP16+QQ16)-QV16</f>
        <v>0.5</v>
      </c>
      <c r="QY16" s="1">
        <v>342</v>
      </c>
      <c r="QZ16" s="30">
        <f>QY16/992</f>
        <v>0.34475806451612906</v>
      </c>
      <c r="RA16" s="31"/>
      <c r="RB16" s="5">
        <v>0.3</v>
      </c>
      <c r="RC16" s="5">
        <v>2</v>
      </c>
      <c r="RD16" s="5">
        <f>(QV16+QW16)-RB16</f>
        <v>0.39999999999999997</v>
      </c>
      <c r="RF16" s="30">
        <f>RE16/992</f>
        <v>0</v>
      </c>
      <c r="RG16" s="31"/>
      <c r="RH16" s="5">
        <v>0</v>
      </c>
      <c r="RI16" s="5">
        <v>1</v>
      </c>
      <c r="RJ16" s="5">
        <f>(RB16+RC16)-RH16</f>
        <v>2.2999999999999998</v>
      </c>
      <c r="RL16" s="30">
        <f>RK16/992</f>
        <v>0</v>
      </c>
      <c r="RM16" s="31"/>
      <c r="RN16" s="5">
        <v>0.7</v>
      </c>
      <c r="RO16" s="5">
        <v>1</v>
      </c>
      <c r="RP16" s="5">
        <f>(RH16+RI16)-RN16</f>
        <v>0.30000000000000004</v>
      </c>
      <c r="RQ16" s="1">
        <v>182</v>
      </c>
      <c r="RR16" s="30">
        <f>RQ16/992</f>
        <v>0.18346774193548387</v>
      </c>
      <c r="RS16" s="31"/>
      <c r="RT16" s="5">
        <v>1.3</v>
      </c>
      <c r="RU16" s="5"/>
      <c r="RV16" s="5">
        <f>(RN16+RO16)-RT16</f>
        <v>0.39999999999999991</v>
      </c>
      <c r="RW16" s="1">
        <v>90</v>
      </c>
      <c r="RX16" s="30">
        <f>RW16/992</f>
        <v>9.0725806451612906E-2</v>
      </c>
      <c r="RY16" s="31"/>
      <c r="RZ16" s="5">
        <v>0.9</v>
      </c>
      <c r="SA16" s="5">
        <v>1</v>
      </c>
      <c r="SB16" s="5">
        <f>(RT16+RU16)-RZ16</f>
        <v>0.4</v>
      </c>
      <c r="SC16" s="1">
        <v>324</v>
      </c>
      <c r="SD16" s="30">
        <f>SC16/992</f>
        <v>0.32661290322580644</v>
      </c>
      <c r="SE16" s="31"/>
      <c r="SF16" s="5">
        <v>1.3</v>
      </c>
      <c r="SG16" s="5"/>
      <c r="SH16" s="5">
        <f>(RZ16+SA16)-SF16</f>
        <v>0.59999999999999987</v>
      </c>
      <c r="SI16" s="1">
        <v>362</v>
      </c>
      <c r="SJ16" s="30">
        <f>SI16/992</f>
        <v>0.36491935483870969</v>
      </c>
      <c r="SK16" s="31"/>
      <c r="SL16" s="5">
        <v>1.2</v>
      </c>
      <c r="SM16" s="5"/>
      <c r="SN16" s="5">
        <f>(SF16+SG16)-SL16</f>
        <v>0.10000000000000009</v>
      </c>
      <c r="SO16" s="1">
        <v>289</v>
      </c>
      <c r="SP16" s="30">
        <f>SO16/992</f>
        <v>0.29133064516129031</v>
      </c>
      <c r="SQ16" s="31"/>
      <c r="SR16" s="5">
        <v>0.9</v>
      </c>
      <c r="SS16" s="5"/>
      <c r="ST16" s="5">
        <f>(SL16+SM16)-SR16</f>
        <v>0.29999999999999993</v>
      </c>
      <c r="SU16" s="1">
        <v>343</v>
      </c>
      <c r="SV16" s="30">
        <f>SU16/992</f>
        <v>0.34576612903225806</v>
      </c>
      <c r="SW16" s="31"/>
      <c r="SX16" s="5">
        <v>0.4</v>
      </c>
      <c r="SY16" s="5">
        <v>2</v>
      </c>
      <c r="SZ16" s="5">
        <f>(SR16+SS16)-SX16</f>
        <v>0.5</v>
      </c>
      <c r="TA16" s="1">
        <v>414</v>
      </c>
      <c r="TB16" s="30">
        <f>TA16/992</f>
        <v>0.41733870967741937</v>
      </c>
      <c r="TC16" s="31"/>
      <c r="TD16" s="5">
        <v>1.1000000000000001</v>
      </c>
      <c r="TE16" s="5"/>
      <c r="TF16" s="5">
        <f>(SX16+SY16)-TD16</f>
        <v>1.2999999999999998</v>
      </c>
      <c r="TG16" s="1">
        <v>722</v>
      </c>
      <c r="TH16" s="30">
        <f>TG16/992</f>
        <v>0.72782258064516125</v>
      </c>
      <c r="TI16" s="31"/>
      <c r="TJ16" s="5">
        <v>0.7</v>
      </c>
      <c r="TK16" s="5">
        <v>2</v>
      </c>
      <c r="TL16" s="5">
        <f>(TD16+TE16)-TJ16</f>
        <v>0.40000000000000013</v>
      </c>
      <c r="TM16" s="1">
        <v>378</v>
      </c>
      <c r="TN16" s="30">
        <f>TM16/992</f>
        <v>0.38104838709677419</v>
      </c>
      <c r="TO16" s="31"/>
      <c r="TP16" s="5">
        <v>2.1</v>
      </c>
      <c r="TQ16" s="5"/>
      <c r="TR16" s="5">
        <f>(TJ16+TK16)-TP16</f>
        <v>0.60000000000000009</v>
      </c>
      <c r="TT16" s="30">
        <f>TS16/992</f>
        <v>0</v>
      </c>
      <c r="TU16" s="31"/>
      <c r="TV16" s="5">
        <v>1.5</v>
      </c>
      <c r="TW16" s="5">
        <v>1</v>
      </c>
      <c r="TX16" s="5">
        <f>(TP16+TQ16)-TV16</f>
        <v>0.60000000000000009</v>
      </c>
      <c r="TY16" s="1">
        <v>414</v>
      </c>
      <c r="TZ16" s="30">
        <f>TY16/992</f>
        <v>0.41733870967741937</v>
      </c>
      <c r="UA16" s="31"/>
      <c r="UB16" s="5">
        <v>2.1</v>
      </c>
      <c r="UC16" s="5"/>
      <c r="UD16" s="5">
        <f>(TV16+TW16)-UB16</f>
        <v>0.39999999999999991</v>
      </c>
      <c r="UF16" s="30">
        <f>UE16/992</f>
        <v>0</v>
      </c>
      <c r="UG16" s="31"/>
      <c r="UH16" s="5">
        <v>1.6</v>
      </c>
      <c r="UI16" s="5">
        <v>1</v>
      </c>
      <c r="UJ16" s="5">
        <f>(UB16+UC16)-UH16</f>
        <v>0.5</v>
      </c>
      <c r="UK16" s="1">
        <v>198</v>
      </c>
      <c r="UL16" s="30">
        <f>UK16/992</f>
        <v>0.19959677419354838</v>
      </c>
      <c r="UM16" s="31"/>
      <c r="UN16" s="5">
        <v>2.2000000000000002</v>
      </c>
      <c r="UO16" s="5"/>
      <c r="UP16" s="5">
        <f>(UH16+UI16)-UN16</f>
        <v>0.39999999999999991</v>
      </c>
      <c r="UQ16" s="1">
        <v>288</v>
      </c>
      <c r="UR16" s="30">
        <f>UQ16/992</f>
        <v>0.29032258064516131</v>
      </c>
      <c r="US16" s="31"/>
      <c r="UT16" s="5">
        <v>1.8</v>
      </c>
      <c r="UU16" s="5">
        <v>2</v>
      </c>
      <c r="UV16" s="5">
        <f>(UN16+UO16)-UT16</f>
        <v>0.40000000000000013</v>
      </c>
      <c r="UW16" s="1">
        <v>306</v>
      </c>
      <c r="UX16" s="30">
        <f>UW16/992</f>
        <v>0.30846774193548387</v>
      </c>
      <c r="UY16" s="31"/>
      <c r="UZ16" s="5">
        <v>3.1</v>
      </c>
      <c r="VA16" s="5"/>
      <c r="VB16" s="5">
        <f>(UT16+UU16)-UZ16</f>
        <v>0.69999999999999973</v>
      </c>
      <c r="VC16" s="1">
        <v>379</v>
      </c>
      <c r="VD16" s="30">
        <f>VC16/992</f>
        <v>0.38205645161290325</v>
      </c>
      <c r="VE16" s="31"/>
      <c r="VF16" s="5">
        <v>2.4</v>
      </c>
      <c r="VG16" s="5"/>
      <c r="VH16" s="5">
        <f>(UZ16+VA16)-VF16</f>
        <v>0.70000000000000018</v>
      </c>
      <c r="VI16" s="1">
        <v>741</v>
      </c>
      <c r="VJ16" s="30">
        <f>VI16/992</f>
        <v>0.74697580645161288</v>
      </c>
      <c r="VK16" s="31"/>
      <c r="VL16" s="5">
        <v>1.9</v>
      </c>
      <c r="VM16" s="5"/>
      <c r="VN16" s="5">
        <f>(VF16+VG16)-VL16</f>
        <v>0.5</v>
      </c>
      <c r="VP16" s="30">
        <f>VO16/992</f>
        <v>0</v>
      </c>
      <c r="VQ16" s="31"/>
      <c r="VR16" s="5">
        <v>1.4</v>
      </c>
      <c r="VS16" s="5"/>
      <c r="VT16" s="5">
        <f>(VL16+VM16)-VR16</f>
        <v>0.5</v>
      </c>
      <c r="VV16" s="30">
        <f>VU16/992</f>
        <v>0</v>
      </c>
      <c r="VW16" s="31"/>
      <c r="VX16" s="5">
        <v>0.9</v>
      </c>
      <c r="VY16" s="5"/>
      <c r="VZ16" s="5">
        <f>(VR16+VS16)-VX16</f>
        <v>0.49999999999999989</v>
      </c>
      <c r="WB16" s="30">
        <f>WA16/992</f>
        <v>0</v>
      </c>
      <c r="WC16" s="31"/>
      <c r="WD16" s="5">
        <v>0</v>
      </c>
      <c r="WE16" s="5">
        <v>1</v>
      </c>
      <c r="WF16" s="5">
        <f>(VX16+VY16)-WD16</f>
        <v>0.9</v>
      </c>
      <c r="WH16" s="30">
        <f>WG16/992</f>
        <v>0</v>
      </c>
      <c r="WI16" s="31"/>
      <c r="WJ16" s="5">
        <v>0.9</v>
      </c>
      <c r="WK16" s="5"/>
      <c r="WL16" s="5">
        <f>(WD16+WE16)-WJ16</f>
        <v>9.9999999999999978E-2</v>
      </c>
      <c r="WM16" s="1">
        <v>685</v>
      </c>
      <c r="WN16" s="30">
        <f>WM16/992</f>
        <v>0.69052419354838712</v>
      </c>
      <c r="WO16" s="31"/>
      <c r="WP16" s="5">
        <v>0</v>
      </c>
      <c r="WQ16" s="5">
        <v>2</v>
      </c>
      <c r="WR16" s="5">
        <f>(WJ16+WK16)-WP16</f>
        <v>0.9</v>
      </c>
      <c r="WS16" s="1">
        <v>647</v>
      </c>
      <c r="WT16" s="30">
        <f>WS16/992</f>
        <v>0.65221774193548387</v>
      </c>
      <c r="WU16" s="31"/>
      <c r="WV16" s="5">
        <v>1.9</v>
      </c>
      <c r="WW16" s="5"/>
      <c r="WX16" s="5">
        <f>(WP16+WQ16)-WV16</f>
        <v>0.10000000000000009</v>
      </c>
      <c r="WY16" s="1">
        <v>204</v>
      </c>
      <c r="WZ16" s="30">
        <f>WY16/992</f>
        <v>0.20564516129032259</v>
      </c>
      <c r="XA16" s="31"/>
      <c r="XB16" s="5">
        <v>1.2</v>
      </c>
      <c r="XC16" s="5">
        <v>1</v>
      </c>
      <c r="XD16" s="5">
        <f>(WV16+WW16)-XB16</f>
        <v>0.7</v>
      </c>
      <c r="XE16" s="1">
        <v>358</v>
      </c>
      <c r="XF16" s="30">
        <f>XE16/992</f>
        <v>0.36088709677419356</v>
      </c>
      <c r="XG16" s="31"/>
      <c r="XH16" s="5">
        <v>1.9</v>
      </c>
      <c r="XI16" s="5"/>
      <c r="XJ16" s="5">
        <f>(XB16+XC16)-XH16</f>
        <v>0.30000000000000027</v>
      </c>
      <c r="XK16" s="1">
        <v>423</v>
      </c>
      <c r="XL16" s="30">
        <f>XK16/992</f>
        <v>0.42641129032258063</v>
      </c>
      <c r="XM16" s="31"/>
      <c r="XN16" s="5">
        <v>1.6</v>
      </c>
      <c r="XO16" s="5">
        <v>1</v>
      </c>
      <c r="XP16" s="5">
        <f>(XH16+XI16)-XN16</f>
        <v>0.29999999999999982</v>
      </c>
      <c r="XQ16" s="1">
        <v>286</v>
      </c>
      <c r="XR16" s="30">
        <f>XQ16/992</f>
        <v>0.28830645161290325</v>
      </c>
      <c r="XS16" s="31"/>
      <c r="XT16" s="5">
        <v>1.9</v>
      </c>
      <c r="XU16" s="5"/>
      <c r="XV16" s="5">
        <f>(XN16+XO16)-XT16</f>
        <v>0.70000000000000018</v>
      </c>
      <c r="XW16" s="1">
        <v>324</v>
      </c>
      <c r="XX16" s="30">
        <f>XW16/992</f>
        <v>0.32661290322580644</v>
      </c>
      <c r="XY16" s="31"/>
      <c r="XZ16" s="5">
        <v>1.5</v>
      </c>
      <c r="YA16" s="5"/>
      <c r="YB16" s="5">
        <f>(XT16+XU16)-XZ16</f>
        <v>0.39999999999999991</v>
      </c>
      <c r="YC16" s="1">
        <v>252</v>
      </c>
      <c r="YD16" s="30">
        <f>YC16/992</f>
        <v>0.25403225806451613</v>
      </c>
      <c r="YE16" s="31"/>
      <c r="YF16" s="5">
        <v>0.9</v>
      </c>
      <c r="YG16" s="5"/>
      <c r="YH16" s="5">
        <f>(XZ16+YA16)-YF16</f>
        <v>0.6</v>
      </c>
      <c r="YJ16" s="30">
        <f>YI16/992</f>
        <v>0</v>
      </c>
      <c r="YK16" s="31"/>
      <c r="YL16" s="5">
        <v>1.9</v>
      </c>
      <c r="YM16" s="5">
        <v>1</v>
      </c>
      <c r="YN16" s="5">
        <f>(YF16+YG16)-YL16</f>
        <v>-0.99999999999999989</v>
      </c>
      <c r="YP16" s="30">
        <f>YO16/992</f>
        <v>0</v>
      </c>
      <c r="YQ16" s="31"/>
      <c r="YR16" s="5">
        <v>1.8</v>
      </c>
      <c r="YS16" s="5"/>
      <c r="YT16" s="5">
        <f>(YL16+YM16)-YR16</f>
        <v>1.0999999999999999</v>
      </c>
      <c r="YV16" s="30">
        <f>YU16/992</f>
        <v>0</v>
      </c>
      <c r="YW16" s="31"/>
      <c r="YX16" s="5">
        <v>0.9</v>
      </c>
      <c r="YY16" s="5">
        <v>1</v>
      </c>
      <c r="YZ16" s="5">
        <f>(YR16+YS16)-YX16</f>
        <v>0.9</v>
      </c>
      <c r="ZA16" s="1">
        <v>454</v>
      </c>
      <c r="ZB16" s="30">
        <f>ZA16/992</f>
        <v>0.45766129032258063</v>
      </c>
      <c r="ZC16" s="31"/>
      <c r="ZD16" s="5">
        <v>1.6</v>
      </c>
      <c r="ZE16" s="5"/>
      <c r="ZF16" s="5">
        <f>(YX16+YY16)-ZD16</f>
        <v>0.29999999999999982</v>
      </c>
      <c r="ZG16" s="1">
        <v>216</v>
      </c>
      <c r="ZH16" s="30">
        <f>ZG16/992</f>
        <v>0.21774193548387097</v>
      </c>
      <c r="ZI16" s="31"/>
      <c r="ZJ16" s="5">
        <v>1.3</v>
      </c>
      <c r="ZK16" s="5"/>
      <c r="ZL16" s="5">
        <f>(ZD16+ZE16)-ZJ16</f>
        <v>0.30000000000000004</v>
      </c>
      <c r="ZN16" s="30">
        <f>ZM16/992</f>
        <v>0</v>
      </c>
      <c r="ZO16" s="31"/>
      <c r="ZP16" s="5">
        <v>0.9</v>
      </c>
      <c r="ZQ16" s="5">
        <v>1</v>
      </c>
      <c r="ZR16" s="5">
        <f>(ZJ16+ZK16)-ZP16</f>
        <v>0.4</v>
      </c>
      <c r="ZS16" s="1">
        <v>271</v>
      </c>
      <c r="ZT16" s="30">
        <f>ZS16/992</f>
        <v>0.27318548387096775</v>
      </c>
      <c r="ZU16" s="31"/>
      <c r="ZV16" s="5">
        <v>1.8</v>
      </c>
      <c r="ZW16" s="5"/>
      <c r="ZX16" s="5">
        <f>(ZP16+ZQ16)-ZV16</f>
        <v>9.9999999999999867E-2</v>
      </c>
      <c r="ZY16" s="1">
        <v>360</v>
      </c>
      <c r="ZZ16" s="30">
        <f>ZY16/992</f>
        <v>0.36290322580645162</v>
      </c>
      <c r="AAA16" s="31"/>
      <c r="AAB16" s="5">
        <v>1.3</v>
      </c>
      <c r="AAC16" s="5"/>
      <c r="AAD16" s="5">
        <f>(ZV16+ZW16)-AAB16</f>
        <v>0.5</v>
      </c>
      <c r="AAF16" s="30">
        <f>AAE16/992</f>
        <v>0</v>
      </c>
      <c r="AAG16" s="31"/>
      <c r="AAH16" s="5">
        <v>0.9</v>
      </c>
      <c r="AAI16" s="5">
        <v>1</v>
      </c>
      <c r="AAJ16" s="5">
        <f>(AAB16+AAC16)-AAH16</f>
        <v>0.4</v>
      </c>
      <c r="AAK16" s="1">
        <v>270</v>
      </c>
      <c r="AAL16" s="30">
        <f>AAK16/992</f>
        <v>0.27217741935483869</v>
      </c>
      <c r="AAM16" s="31"/>
      <c r="AAN16" s="5">
        <v>1.5</v>
      </c>
      <c r="AAO16" s="5"/>
      <c r="AAP16" s="5">
        <f>(AAH16+AAI16)-AAN16</f>
        <v>0.39999999999999991</v>
      </c>
      <c r="AAQ16" s="1">
        <v>576</v>
      </c>
      <c r="AAR16" s="30">
        <f>AAQ16/992</f>
        <v>0.58064516129032262</v>
      </c>
      <c r="AAS16" s="31"/>
      <c r="AAT16" s="5">
        <v>1.3</v>
      </c>
      <c r="AAU16" s="5"/>
      <c r="AAV16" s="5">
        <f>(AAN16+AAO16)-AAT16</f>
        <v>0.19999999999999996</v>
      </c>
      <c r="AAW16" s="1">
        <v>144</v>
      </c>
      <c r="AAX16" s="30">
        <f>AAW16/992</f>
        <v>0.14516129032258066</v>
      </c>
      <c r="AAY16" s="31"/>
      <c r="AAZ16" s="5">
        <v>0.9</v>
      </c>
      <c r="ABA16" s="5"/>
      <c r="ABB16" s="5">
        <f>(AAT16+AAU16)-AAZ16</f>
        <v>0.4</v>
      </c>
      <c r="ABC16" s="1">
        <v>378</v>
      </c>
      <c r="ABD16" s="30">
        <f>ABC16/992</f>
        <v>0.38104838709677419</v>
      </c>
      <c r="ABE16" s="31"/>
      <c r="ABF16" s="5">
        <v>0.6</v>
      </c>
      <c r="ABG16" s="5">
        <v>1</v>
      </c>
      <c r="ABH16" s="5">
        <f>(AAZ16+ABA16)-ABF16</f>
        <v>0.30000000000000004</v>
      </c>
      <c r="ABI16" s="1">
        <v>288</v>
      </c>
      <c r="ABJ16" s="30">
        <f>ABI16/992</f>
        <v>0.29032258064516131</v>
      </c>
      <c r="ABK16" s="31"/>
      <c r="ABL16" s="5">
        <v>0.2</v>
      </c>
      <c r="ABM16" s="5">
        <v>2</v>
      </c>
      <c r="ABN16" s="5">
        <f>(ABF16+ABG16)-ABL16</f>
        <v>1.4000000000000001</v>
      </c>
      <c r="ABO16" s="1">
        <v>774</v>
      </c>
      <c r="ABP16" s="30">
        <f>ABO16/992</f>
        <v>0.780241935483871</v>
      </c>
      <c r="ABQ16" s="31"/>
      <c r="ABR16" s="5">
        <v>2</v>
      </c>
      <c r="ABS16" s="5"/>
      <c r="ABT16" s="5">
        <f>(ABL16+ABM16)-ABR16</f>
        <v>0.20000000000000018</v>
      </c>
      <c r="ABU16" s="1">
        <v>468</v>
      </c>
      <c r="ABV16" s="30">
        <f>ABU16/992</f>
        <v>0.47177419354838712</v>
      </c>
      <c r="ABW16" s="31"/>
      <c r="ABX16" s="5">
        <v>1.2</v>
      </c>
      <c r="ABY16" s="5"/>
      <c r="ABZ16" s="5">
        <f>(ABR16+ABS16)-ABX16</f>
        <v>0.8</v>
      </c>
      <c r="ACA16" s="1">
        <v>361</v>
      </c>
      <c r="ACB16" s="30">
        <f>ACA16/992</f>
        <v>0.36391129032258063</v>
      </c>
      <c r="ACC16" s="31"/>
      <c r="ACD16" s="5">
        <v>0</v>
      </c>
      <c r="ACE16" s="5">
        <v>2</v>
      </c>
      <c r="ACF16" s="5">
        <f>(ABX16+ABY16)-ACD16</f>
        <v>1.2</v>
      </c>
      <c r="ACG16" s="1">
        <v>1116</v>
      </c>
      <c r="ACH16" s="30">
        <f>ACG16/992</f>
        <v>1.125</v>
      </c>
      <c r="ACI16" s="31"/>
      <c r="ACJ16" s="5">
        <v>1.5</v>
      </c>
      <c r="ACK16" s="5">
        <v>1</v>
      </c>
      <c r="ACL16" s="5">
        <f>(ACD16+ACE16)-ACJ16</f>
        <v>0.5</v>
      </c>
      <c r="ACM16" s="1">
        <v>414</v>
      </c>
      <c r="ACN16" s="30">
        <f>ACM16/992</f>
        <v>0.41733870967741937</v>
      </c>
      <c r="ACO16" s="31"/>
      <c r="ACP16" s="5">
        <v>1.1000000000000001</v>
      </c>
      <c r="ACQ16" s="5"/>
      <c r="ACR16" s="5">
        <f>(ACJ16+ACK16)-ACP16</f>
        <v>1.4</v>
      </c>
      <c r="ACS16" s="1">
        <v>559</v>
      </c>
      <c r="ACT16" s="30">
        <f>ACS16/992</f>
        <v>0.563508064516129</v>
      </c>
      <c r="ACU16" s="31"/>
      <c r="ACV16" s="5">
        <v>1.4</v>
      </c>
      <c r="ACW16" s="5"/>
      <c r="ACX16" s="5">
        <f>(ACP16+ACQ16)-ACV16</f>
        <v>-0.29999999999999982</v>
      </c>
      <c r="ACY16" s="1">
        <v>450</v>
      </c>
      <c r="ACZ16" s="30">
        <f>ACY16/992</f>
        <v>0.4536290322580645</v>
      </c>
      <c r="ADA16" s="31"/>
      <c r="ADB16" s="5">
        <v>1.4</v>
      </c>
      <c r="ADC16" s="5"/>
      <c r="ADD16" s="5">
        <f>(ACV16+ACW16)-ADB16</f>
        <v>0</v>
      </c>
      <c r="ADE16" s="1">
        <v>162</v>
      </c>
      <c r="ADF16" s="30">
        <f>ADE16/992</f>
        <v>0.16330645161290322</v>
      </c>
      <c r="ADG16" s="31"/>
      <c r="ADH16" s="5">
        <v>0.8</v>
      </c>
      <c r="ADI16" s="5">
        <v>1</v>
      </c>
      <c r="ADJ16" s="5">
        <f>(ADB16+ADC16)-ADH16</f>
        <v>0.59999999999999987</v>
      </c>
      <c r="ADK16" s="1">
        <v>342</v>
      </c>
      <c r="ADL16" s="30">
        <f>ADK16/992</f>
        <v>0.34475806451612906</v>
      </c>
      <c r="ADM16" s="31"/>
      <c r="ADN16" s="5">
        <v>0.5</v>
      </c>
      <c r="ADO16" s="5"/>
      <c r="ADP16" s="5">
        <f>(ADH16+ADI16)-ADN16</f>
        <v>1.3</v>
      </c>
      <c r="ADR16" s="30">
        <f>ADQ16/992</f>
        <v>0</v>
      </c>
      <c r="ADS16" s="31"/>
      <c r="ADT16" s="5">
        <v>0</v>
      </c>
      <c r="ADU16" s="5">
        <v>2</v>
      </c>
      <c r="ADV16" s="5">
        <f>(ADN16+ADO16)-ADT16</f>
        <v>0.5</v>
      </c>
      <c r="ADW16" s="1">
        <v>415</v>
      </c>
      <c r="ADX16" s="30">
        <f>ADW16/992</f>
        <v>0.41834677419354838</v>
      </c>
      <c r="ADY16" s="31"/>
      <c r="ADZ16" s="5">
        <v>1.6</v>
      </c>
      <c r="AEA16" s="5"/>
      <c r="AEB16" s="5">
        <f>(ADT16+ADU16)-ADZ16</f>
        <v>0.39999999999999991</v>
      </c>
      <c r="AEC16" s="1">
        <v>252</v>
      </c>
      <c r="AED16" s="30">
        <f>AEC16/992</f>
        <v>0.25403225806451613</v>
      </c>
      <c r="AEE16" s="31"/>
      <c r="AEF16" s="5">
        <v>1</v>
      </c>
      <c r="AEG16" s="5">
        <v>1</v>
      </c>
      <c r="AEH16" s="5">
        <f>(ADZ16+AEA16)-AEF16</f>
        <v>0.60000000000000009</v>
      </c>
      <c r="AEI16" s="1">
        <v>648</v>
      </c>
      <c r="AEJ16" s="30">
        <f>AEI16/992</f>
        <v>0.65322580645161288</v>
      </c>
      <c r="AEK16" s="31"/>
      <c r="AEL16" s="5">
        <v>1.3</v>
      </c>
      <c r="AEM16" s="5"/>
      <c r="AEN16" s="5">
        <f>(AEF16+AEG16)-AEL16</f>
        <v>0.7</v>
      </c>
      <c r="AEO16" s="1">
        <v>543</v>
      </c>
      <c r="AEP16" s="30">
        <f>AEO16/992</f>
        <v>0.5473790322580645</v>
      </c>
      <c r="AEQ16" s="31"/>
      <c r="AER16" s="5">
        <v>0.5</v>
      </c>
      <c r="AES16" s="5"/>
      <c r="AET16" s="5">
        <f>(AEL16+AEM16)-AER16</f>
        <v>0.8</v>
      </c>
      <c r="AEV16" s="30">
        <f>AEU16/992</f>
        <v>0</v>
      </c>
      <c r="AEW16" s="31"/>
      <c r="AEX16" s="5">
        <v>0.2</v>
      </c>
      <c r="AEY16" s="5">
        <v>2</v>
      </c>
      <c r="AEZ16" s="5">
        <f>(AER16+AES16)-AEX16</f>
        <v>0.3</v>
      </c>
      <c r="AFA16" s="1">
        <v>652</v>
      </c>
      <c r="AFB16" s="30">
        <f>AFA16/992</f>
        <v>0.657258064516129</v>
      </c>
      <c r="AFC16" s="31"/>
      <c r="AFD16" s="5">
        <v>1.3</v>
      </c>
      <c r="AFE16" s="5"/>
      <c r="AFF16" s="5">
        <f>(AEX16+AEY16)-AFD16</f>
        <v>0.90000000000000013</v>
      </c>
      <c r="AFG16" s="1">
        <v>396</v>
      </c>
      <c r="AFH16" s="30">
        <f>AFG16/992</f>
        <v>0.39919354838709675</v>
      </c>
      <c r="AFI16" s="31"/>
      <c r="AFJ16" s="5">
        <v>1.2</v>
      </c>
      <c r="AFK16" s="5"/>
      <c r="AFL16" s="5">
        <f>(AFD16+AFE16)-AFJ16</f>
        <v>0.10000000000000009</v>
      </c>
      <c r="AFM16" s="1">
        <v>289</v>
      </c>
      <c r="AFN16" s="30">
        <f>AFM16/992</f>
        <v>0.29133064516129031</v>
      </c>
      <c r="AFO16" s="31"/>
      <c r="AFP16" s="5">
        <v>0.5</v>
      </c>
      <c r="AFQ16" s="5">
        <v>1</v>
      </c>
      <c r="AFR16" s="5">
        <f>(AFJ16+AFK16)-AFP16</f>
        <v>0.7</v>
      </c>
      <c r="AFS16" s="1">
        <v>344</v>
      </c>
      <c r="AFT16" s="30">
        <f>AFS16/992</f>
        <v>0.34677419354838712</v>
      </c>
      <c r="AFU16" s="31"/>
      <c r="AFV16" s="5">
        <v>1.6</v>
      </c>
      <c r="AFW16" s="5"/>
      <c r="AFX16" s="5">
        <f>(AFP16+AFQ16)-AFV16</f>
        <v>-0.10000000000000009</v>
      </c>
      <c r="AFZ16" s="30">
        <f>AFY16/992</f>
        <v>0</v>
      </c>
      <c r="AGA16" s="31"/>
      <c r="AGB16" s="5">
        <v>1</v>
      </c>
      <c r="AGC16" s="5">
        <v>1</v>
      </c>
      <c r="AGD16" s="5">
        <f>(AFV16+AFW16)-AGB16</f>
        <v>0.60000000000000009</v>
      </c>
      <c r="AGE16" s="1">
        <v>306</v>
      </c>
      <c r="AGF16" s="30">
        <f>AGE16/992</f>
        <v>0.30846774193548387</v>
      </c>
      <c r="AGG16" s="31"/>
      <c r="AGH16" s="5">
        <v>1.5</v>
      </c>
      <c r="AGI16" s="5"/>
      <c r="AGJ16" s="5">
        <f>(AGB16+AGC16)-AGH16</f>
        <v>0.5</v>
      </c>
      <c r="AGL16" s="30">
        <f>AGK16/992</f>
        <v>0</v>
      </c>
      <c r="AGM16" s="31"/>
      <c r="AGN16" s="5">
        <v>1.4</v>
      </c>
      <c r="AGO16" s="5">
        <v>1</v>
      </c>
      <c r="AGP16" s="5">
        <f>(AGH16+AGI16)-AGN16</f>
        <v>0.10000000000000009</v>
      </c>
      <c r="AGR16" s="30">
        <f>AGQ16/992</f>
        <v>0</v>
      </c>
      <c r="AGS16" s="31"/>
      <c r="AGT16" s="5">
        <v>1.1000000000000001</v>
      </c>
      <c r="AGU16" s="5"/>
      <c r="AGV16" s="5">
        <f>(AGN16+AGO16)-AGT16</f>
        <v>1.2999999999999998</v>
      </c>
      <c r="AGX16" s="30">
        <f>AGW16/992</f>
        <v>0</v>
      </c>
      <c r="AGY16" s="31"/>
      <c r="AGZ16" s="5">
        <v>1</v>
      </c>
      <c r="AHA16" s="5">
        <v>1</v>
      </c>
      <c r="AHB16" s="5">
        <f>(AGT16+AGU16)-AGZ16</f>
        <v>0.10000000000000009</v>
      </c>
      <c r="AHD16" s="30">
        <f>AHC16/992</f>
        <v>0</v>
      </c>
      <c r="AHE16" s="31"/>
      <c r="AHF16" s="5">
        <v>0.6</v>
      </c>
      <c r="AHG16" s="5"/>
      <c r="AHH16" s="5">
        <f>(AGZ16+AHA16)-AHF16</f>
        <v>1.4</v>
      </c>
      <c r="AHJ16" s="30">
        <f>AHI16/992</f>
        <v>0</v>
      </c>
      <c r="AHK16" s="31"/>
      <c r="AHL16" s="5">
        <v>0.8</v>
      </c>
      <c r="AHM16" s="5">
        <v>1</v>
      </c>
      <c r="AHN16" s="5">
        <f>(AHF16+AHG16)-AHL16</f>
        <v>-0.20000000000000007</v>
      </c>
      <c r="AHP16" s="30">
        <f>AHO16/992</f>
        <v>0</v>
      </c>
      <c r="AHQ16" s="31"/>
      <c r="AHR16" s="5">
        <v>1.3</v>
      </c>
      <c r="AHS16" s="5"/>
      <c r="AHT16" s="5">
        <f>(AHL16+AHM16)-AHR16</f>
        <v>0.5</v>
      </c>
      <c r="AHV16" s="30">
        <f>AHU16/992</f>
        <v>0</v>
      </c>
      <c r="AHW16" s="31"/>
      <c r="AHX16" s="5">
        <v>1.2</v>
      </c>
      <c r="AHY16" s="5"/>
      <c r="AHZ16" s="5">
        <f>(AHR16+AHS16)-AHX16</f>
        <v>0.10000000000000009</v>
      </c>
      <c r="AIB16" s="30">
        <f>AIA16/992</f>
        <v>0</v>
      </c>
      <c r="AIC16" s="31"/>
      <c r="AID16" s="5">
        <v>0.8</v>
      </c>
      <c r="AIE16" s="5"/>
      <c r="AIF16" s="5">
        <f>(AHX16+AHY16)-AID16</f>
        <v>0.39999999999999991</v>
      </c>
      <c r="AIH16" s="30">
        <f>AIG16/992</f>
        <v>0</v>
      </c>
      <c r="AII16" s="31"/>
      <c r="AIJ16" s="5">
        <v>0.4</v>
      </c>
      <c r="AIK16" s="5">
        <v>1</v>
      </c>
      <c r="AIL16" s="5">
        <f>(AID16+AIE16)-AIJ16</f>
        <v>0.4</v>
      </c>
      <c r="AIM16" s="1">
        <v>198</v>
      </c>
      <c r="AIN16" s="30">
        <f>AIM16/992</f>
        <v>0.19959677419354838</v>
      </c>
      <c r="AIO16" s="31"/>
      <c r="AIP16" s="5">
        <v>1.2</v>
      </c>
      <c r="AIQ16" s="5"/>
      <c r="AIR16" s="5">
        <f>(AIJ16+AIK16)-AIP16</f>
        <v>0.19999999999999996</v>
      </c>
      <c r="AIT16" s="30">
        <f>AIS16/992</f>
        <v>0</v>
      </c>
      <c r="AIU16" s="31"/>
      <c r="AIV16" s="5">
        <v>0.7</v>
      </c>
      <c r="AIW16" s="5"/>
      <c r="AIX16" s="5">
        <f>(AIP16+AIQ16)-AIV16</f>
        <v>0.5</v>
      </c>
      <c r="AIZ16" s="30">
        <f>AIY16/992</f>
        <v>0</v>
      </c>
      <c r="AJA16" s="31"/>
      <c r="AJB16" s="5">
        <v>0.3</v>
      </c>
      <c r="AJC16" s="5"/>
      <c r="AJD16" s="5">
        <f>(AIV16+AIW16)-AJB16</f>
        <v>0.39999999999999997</v>
      </c>
      <c r="AJF16" s="30">
        <f>AJE16/992</f>
        <v>0</v>
      </c>
      <c r="AJG16" s="31"/>
      <c r="AJH16" s="5">
        <v>0</v>
      </c>
      <c r="AJI16" s="5">
        <v>2</v>
      </c>
      <c r="AJJ16" s="5">
        <f>(AJB16+AJC16)-AJH16</f>
        <v>0.3</v>
      </c>
      <c r="AJL16" s="30">
        <f>AJK16/992</f>
        <v>0</v>
      </c>
      <c r="AJM16" s="31"/>
      <c r="AJN16" s="5">
        <v>1.8</v>
      </c>
      <c r="AJO16" s="5"/>
      <c r="AJP16" s="5">
        <f>(AJH16+AJI16)-AJN16</f>
        <v>0.19999999999999996</v>
      </c>
      <c r="AJR16" s="30">
        <f>AJQ16/992</f>
        <v>0</v>
      </c>
      <c r="AJS16" s="31"/>
      <c r="AJT16" s="5">
        <v>1.3</v>
      </c>
      <c r="AJU16" s="5"/>
      <c r="AJV16" s="5">
        <f>(AJN16+AJO16)-AJT16</f>
        <v>0.5</v>
      </c>
      <c r="AJX16" s="30">
        <f>AJW16/992</f>
        <v>0</v>
      </c>
      <c r="AJY16" s="31"/>
      <c r="AJZ16" s="5">
        <v>0.9</v>
      </c>
      <c r="AKA16" s="5"/>
      <c r="AKB16" s="5">
        <f>(AJT16+AJU16)-AJZ16</f>
        <v>0.4</v>
      </c>
      <c r="AKD16" s="30">
        <f>AKC16/992</f>
        <v>0</v>
      </c>
      <c r="AKE16" s="31"/>
      <c r="AKF16" s="5">
        <v>1</v>
      </c>
      <c r="AKG16" s="5"/>
      <c r="AKH16" s="5">
        <f>(AJZ16+AKA16)-AKF16</f>
        <v>-9.9999999999999978E-2</v>
      </c>
      <c r="AKJ16" s="30">
        <f>AKI16/992</f>
        <v>0</v>
      </c>
      <c r="AKK16" s="31"/>
      <c r="AKL16" s="5">
        <v>1.1000000000000001</v>
      </c>
      <c r="AKM16" s="5">
        <v>5</v>
      </c>
      <c r="AKN16" s="5">
        <f>(AKF16+AKG16)-AKL16</f>
        <v>-0.10000000000000009</v>
      </c>
      <c r="AKP16" s="30">
        <f>AKO16/992</f>
        <v>0</v>
      </c>
      <c r="AKQ16" s="31"/>
      <c r="AKR16" s="5">
        <v>1</v>
      </c>
      <c r="AKS16" s="5"/>
      <c r="AKT16" s="5">
        <f>(AKL16+AKM16)-AKR16</f>
        <v>5.0999999999999996</v>
      </c>
      <c r="AKV16" s="30">
        <f>AKU16/992</f>
        <v>0</v>
      </c>
      <c r="AKW16" s="31"/>
      <c r="AKX16" s="5">
        <v>1.5</v>
      </c>
      <c r="AKY16" s="5"/>
      <c r="AKZ16" s="5">
        <f>(AKR16+AKS16)-AKX16</f>
        <v>-0.5</v>
      </c>
      <c r="ALB16" s="30">
        <f>ALA16/992</f>
        <v>0</v>
      </c>
      <c r="ALC16" s="31"/>
      <c r="ALD16" s="5">
        <v>1.3</v>
      </c>
      <c r="ALE16" s="5"/>
      <c r="ALF16" s="5">
        <f>(AKX16+AKY16)-ALD16</f>
        <v>0.19999999999999996</v>
      </c>
      <c r="ALH16" s="30">
        <f>ALG16/992</f>
        <v>0</v>
      </c>
      <c r="ALI16" s="31"/>
      <c r="ALJ16" s="5">
        <v>1.2</v>
      </c>
      <c r="ALK16" s="5"/>
      <c r="ALL16" s="5">
        <f>(ALD16+ALE16)-ALJ16</f>
        <v>0.10000000000000009</v>
      </c>
      <c r="ALN16" s="30">
        <f>ALM16/992</f>
        <v>0</v>
      </c>
      <c r="ALO16" s="31"/>
      <c r="ALP16" s="5">
        <v>0.3</v>
      </c>
      <c r="ALQ16" s="5"/>
      <c r="ALR16" s="5">
        <f>(ALJ16+ALK16)-ALP16</f>
        <v>0.89999999999999991</v>
      </c>
      <c r="ALT16" s="30">
        <f>ALS16/992</f>
        <v>0</v>
      </c>
      <c r="ALU16" s="31"/>
      <c r="ALV16" s="5">
        <v>0</v>
      </c>
      <c r="ALW16" s="5">
        <v>1</v>
      </c>
      <c r="ALX16" s="5">
        <f>(ALP16+ALQ16)-ALV16</f>
        <v>0.3</v>
      </c>
      <c r="ALZ16" s="30">
        <f>ALY16/992</f>
        <v>0</v>
      </c>
      <c r="AMA16" s="31"/>
      <c r="AMB16" s="5">
        <v>1</v>
      </c>
      <c r="AMC16" s="5"/>
      <c r="AMD16" s="5">
        <f>(ALV16+ALW16)-AMB16</f>
        <v>0</v>
      </c>
      <c r="AMF16" s="30">
        <f>AME16/992</f>
        <v>0</v>
      </c>
      <c r="AMG16" s="31"/>
      <c r="AMH16" s="5">
        <v>0.4</v>
      </c>
      <c r="AMI16" s="5">
        <v>2</v>
      </c>
      <c r="AMJ16" s="5">
        <f>(AMB16+AMC16)-AMH16</f>
        <v>0.6</v>
      </c>
      <c r="AML16" s="30">
        <f>AMK16/992</f>
        <v>0</v>
      </c>
      <c r="AMM16" s="31"/>
      <c r="AMN16" s="5">
        <v>2.1</v>
      </c>
      <c r="AMO16" s="5"/>
      <c r="AMP16" s="5">
        <f>(AMH16+AMI16)-AMN16</f>
        <v>0.29999999999999982</v>
      </c>
      <c r="AMR16" s="30">
        <f>AMQ16/992</f>
        <v>0</v>
      </c>
      <c r="AMS16" s="31"/>
      <c r="AMT16" s="5">
        <v>2</v>
      </c>
      <c r="AMU16" s="5">
        <v>2</v>
      </c>
      <c r="AMV16" s="5">
        <f>(AMN16+AMO16)-AMT16</f>
        <v>0.10000000000000009</v>
      </c>
      <c r="AMX16" s="30">
        <f>AMW16/992</f>
        <v>0</v>
      </c>
      <c r="AMY16" s="31"/>
      <c r="AMZ16" s="5">
        <v>1.4</v>
      </c>
      <c r="ANA16" s="5"/>
      <c r="ANB16" s="5">
        <f>(AMT16+AMU16)-AMZ16</f>
        <v>2.6</v>
      </c>
      <c r="AND16" s="30">
        <f>ANC16/992</f>
        <v>0</v>
      </c>
      <c r="ANE16" s="31"/>
      <c r="ANF16" s="5">
        <v>0.5</v>
      </c>
      <c r="ANG16" s="5">
        <v>2</v>
      </c>
      <c r="ANH16" s="5">
        <f>(AMZ16+ANA16)-ANF16</f>
        <v>0.89999999999999991</v>
      </c>
      <c r="ANJ16" s="30">
        <f>ANI16/992</f>
        <v>0</v>
      </c>
      <c r="ANK16" s="31"/>
      <c r="ANL16" s="5">
        <v>2.4</v>
      </c>
      <c r="ANM16" s="5"/>
      <c r="ANN16" s="5">
        <f>(ANF16+ANG16)-ANL16</f>
        <v>0.10000000000000009</v>
      </c>
      <c r="ANP16" s="30">
        <f>ANO16/992</f>
        <v>0</v>
      </c>
      <c r="ANQ16" s="31"/>
      <c r="ANR16" s="5">
        <v>2.2999999999999998</v>
      </c>
      <c r="ANS16" s="5"/>
      <c r="ANT16" s="5">
        <f>(ANL16+ANM16)-ANR16</f>
        <v>0.10000000000000009</v>
      </c>
      <c r="ANV16" s="30">
        <f>ANU16/992</f>
        <v>0</v>
      </c>
      <c r="ANW16" s="31"/>
      <c r="ANX16" s="5">
        <v>2.2000000000000002</v>
      </c>
      <c r="ANY16" s="5"/>
      <c r="ANZ16" s="5">
        <f>(ANR16+ANS16)-ANX16</f>
        <v>9.9999999999999645E-2</v>
      </c>
      <c r="AOB16" s="30">
        <f>AOA16/992</f>
        <v>0</v>
      </c>
      <c r="AOC16" s="31"/>
      <c r="AOD16" s="5">
        <v>1.3</v>
      </c>
      <c r="AOE16" s="5">
        <v>1</v>
      </c>
      <c r="AOF16" s="5">
        <f>(ANX16+ANY16)-AOD16</f>
        <v>0.90000000000000013</v>
      </c>
      <c r="AOH16" s="30">
        <f>AOG16/992</f>
        <v>0</v>
      </c>
      <c r="AOI16" s="31"/>
      <c r="AOJ16" s="5">
        <v>1.9</v>
      </c>
      <c r="AOK16" s="5"/>
      <c r="AOL16" s="5">
        <f>(AOD16+AOE16)-AOJ16</f>
        <v>0.39999999999999991</v>
      </c>
      <c r="AON16" s="30">
        <f>AOM16/992</f>
        <v>0</v>
      </c>
      <c r="AOO16" s="31"/>
      <c r="AOP16" s="5">
        <v>1.3</v>
      </c>
      <c r="AOQ16" s="5"/>
      <c r="AOR16" s="5">
        <f>(AOJ16+AOK16)-AOP16</f>
        <v>0.59999999999999987</v>
      </c>
      <c r="AOT16" s="30">
        <f>AOS16/992</f>
        <v>0</v>
      </c>
      <c r="AOU16" s="31"/>
      <c r="AOV16" s="5">
        <v>1.4</v>
      </c>
      <c r="AOW16" s="5"/>
      <c r="AOX16" s="5">
        <f>(AOP16+AOQ16)-AOV16</f>
        <v>-9.9999999999999867E-2</v>
      </c>
      <c r="AOZ16" s="30">
        <f>AOY16/992</f>
        <v>0</v>
      </c>
    </row>
    <row r="17" spans="1:1024 1026:1092" x14ac:dyDescent="0.25">
      <c r="A17" s="3" t="s">
        <v>63</v>
      </c>
      <c r="B17" s="44">
        <f>AVERAGEIF($3:$3,"VAR",17:17)*2.5</f>
        <v>0.39389978585748142</v>
      </c>
      <c r="C17" s="44">
        <v>1</v>
      </c>
      <c r="E17" s="5">
        <v>0.3</v>
      </c>
      <c r="F17" s="5">
        <v>1</v>
      </c>
      <c r="H17" s="5">
        <v>1.1000000000000001</v>
      </c>
      <c r="I17" s="5"/>
      <c r="J17" s="5">
        <f>E17+F17-H17</f>
        <v>0.19999999999999996</v>
      </c>
      <c r="M17" s="31"/>
      <c r="N17" s="5">
        <v>0.6</v>
      </c>
      <c r="O17" s="5">
        <v>1</v>
      </c>
      <c r="P17" s="5">
        <f>(H17+I17)-N17</f>
        <v>0.50000000000000011</v>
      </c>
      <c r="Q17" s="29"/>
      <c r="R17" s="30"/>
      <c r="S17" s="31"/>
      <c r="T17" s="5">
        <v>1.6</v>
      </c>
      <c r="U17" s="5"/>
      <c r="V17" s="5">
        <f>(N17+O17)-T17</f>
        <v>0</v>
      </c>
      <c r="W17" s="29"/>
      <c r="X17" s="30"/>
      <c r="Y17" s="31"/>
      <c r="Z17" s="5">
        <v>1.1000000000000001</v>
      </c>
      <c r="AA17" s="5"/>
      <c r="AB17" s="5">
        <f>(T17+U17)-Z17</f>
        <v>0.5</v>
      </c>
      <c r="AC17" s="29">
        <v>198</v>
      </c>
      <c r="AD17" s="30">
        <f>AC17/992</f>
        <v>0.19959677419354838</v>
      </c>
      <c r="AE17" s="31"/>
      <c r="AF17" s="5">
        <v>0.8</v>
      </c>
      <c r="AG17" s="5"/>
      <c r="AH17" s="5">
        <f>(Z17+AA17)-AF17</f>
        <v>0.30000000000000004</v>
      </c>
      <c r="AI17" s="29">
        <v>342</v>
      </c>
      <c r="AJ17" s="30">
        <f>AI17/992</f>
        <v>0.34475806451612906</v>
      </c>
      <c r="AK17" s="31"/>
      <c r="AL17" s="5">
        <v>0.5</v>
      </c>
      <c r="AM17" s="5">
        <v>1</v>
      </c>
      <c r="AN17" s="5">
        <f>(AF17+AG17)-AL17</f>
        <v>0.30000000000000004</v>
      </c>
      <c r="AO17" s="29">
        <v>324</v>
      </c>
      <c r="AP17" s="30">
        <f>AO17/992</f>
        <v>0.32661290322580644</v>
      </c>
      <c r="AQ17" s="31"/>
      <c r="AR17" s="5">
        <v>1.2</v>
      </c>
      <c r="AS17" s="5"/>
      <c r="AT17" s="5">
        <f>(AL17+AM17)-AR17</f>
        <v>0.30000000000000004</v>
      </c>
      <c r="AU17" s="29">
        <v>378</v>
      </c>
      <c r="AV17" s="30">
        <f>AU17/992</f>
        <v>0.38104838709677419</v>
      </c>
      <c r="AW17" s="31"/>
      <c r="AX17" s="5">
        <v>1</v>
      </c>
      <c r="AY17" s="5"/>
      <c r="AZ17" s="5">
        <f>(AR17+AS17)-AX17</f>
        <v>0.19999999999999996</v>
      </c>
      <c r="BA17" s="29">
        <v>198</v>
      </c>
      <c r="BB17" s="30">
        <f>BA17/992</f>
        <v>0.19959677419354838</v>
      </c>
      <c r="BC17" s="31"/>
      <c r="BD17" s="5">
        <v>0.8</v>
      </c>
      <c r="BE17" s="5"/>
      <c r="BF17" s="5">
        <f>(AX17+AY17)-BD17</f>
        <v>0.19999999999999996</v>
      </c>
      <c r="BG17" s="29"/>
      <c r="BH17" s="30">
        <f>BG17/992</f>
        <v>0</v>
      </c>
      <c r="BI17" s="31"/>
      <c r="BJ17" s="5">
        <v>0.4</v>
      </c>
      <c r="BK17" s="5">
        <v>1</v>
      </c>
      <c r="BL17" s="5">
        <f>(BD17+BE17)-BJ17</f>
        <v>0.4</v>
      </c>
      <c r="BM17" s="29">
        <v>252</v>
      </c>
      <c r="BN17" s="30">
        <f>BM17/992</f>
        <v>0.25403225806451613</v>
      </c>
      <c r="BO17" s="31"/>
      <c r="BP17" s="5">
        <v>1.2</v>
      </c>
      <c r="BQ17" s="5"/>
      <c r="BR17" s="5">
        <f>(BJ17+BK17)-BP17</f>
        <v>0.19999999999999996</v>
      </c>
      <c r="BS17" s="29">
        <v>270</v>
      </c>
      <c r="BT17" s="30">
        <f>BS17/992</f>
        <v>0.27217741935483869</v>
      </c>
      <c r="BU17" s="31"/>
      <c r="BV17" s="5">
        <v>0.9</v>
      </c>
      <c r="BW17" s="5"/>
      <c r="BX17" s="5">
        <f>(BP17+BQ17)-BV17</f>
        <v>0.29999999999999993</v>
      </c>
      <c r="BY17" s="29">
        <v>288</v>
      </c>
      <c r="BZ17" s="30">
        <f>BY17/992</f>
        <v>0.29032258064516131</v>
      </c>
      <c r="CA17" s="31"/>
      <c r="CB17" s="5">
        <v>0.4</v>
      </c>
      <c r="CC17" s="5">
        <v>1</v>
      </c>
      <c r="CD17" s="5">
        <f>(BV17+BW17)-CB17</f>
        <v>0.5</v>
      </c>
      <c r="CF17" s="30">
        <f>CE17/992</f>
        <v>0</v>
      </c>
      <c r="CG17" s="31"/>
      <c r="CH17" s="5">
        <v>0.9</v>
      </c>
      <c r="CI17" s="5">
        <v>2</v>
      </c>
      <c r="CJ17" s="5">
        <f>(CB17+CC17)-CH17</f>
        <v>0.49999999999999989</v>
      </c>
      <c r="CK17" s="1">
        <v>324</v>
      </c>
      <c r="CL17" s="30">
        <f>CK17/992</f>
        <v>0.32661290322580644</v>
      </c>
      <c r="CM17" s="31"/>
      <c r="CN17" s="36">
        <v>1.1000000000000001</v>
      </c>
      <c r="CO17" s="5"/>
      <c r="CP17" s="5">
        <f>(CH17+CI17)-CN17</f>
        <v>1.7999999999999998</v>
      </c>
      <c r="CQ17" s="1">
        <v>334</v>
      </c>
      <c r="CR17" s="30">
        <f>CQ17/992</f>
        <v>0.33669354838709675</v>
      </c>
      <c r="CS17" s="31"/>
      <c r="CT17" s="36">
        <v>1.2</v>
      </c>
      <c r="CU17" s="5"/>
      <c r="CV17" s="5">
        <f>(CN17+CO17)-CT17</f>
        <v>-9.9999999999999867E-2</v>
      </c>
      <c r="CX17" s="30">
        <f>CW17/992</f>
        <v>0</v>
      </c>
      <c r="CY17" s="31"/>
      <c r="CZ17" s="36">
        <v>1.1000000000000001</v>
      </c>
      <c r="DA17" s="5"/>
      <c r="DB17" s="5">
        <f>(CT17+CU17)-CZ17</f>
        <v>9.9999999999999867E-2</v>
      </c>
      <c r="DD17" s="30">
        <f>DC17/992</f>
        <v>0</v>
      </c>
      <c r="DE17" s="31"/>
      <c r="DF17" s="36">
        <v>0.7</v>
      </c>
      <c r="DG17" s="5">
        <v>1</v>
      </c>
      <c r="DH17" s="5">
        <f>(CZ17+DA17)-DF17</f>
        <v>0.40000000000000013</v>
      </c>
      <c r="DJ17" s="30">
        <f>DI17/992</f>
        <v>0</v>
      </c>
      <c r="DK17" s="31"/>
      <c r="DL17" s="36">
        <v>1.1000000000000001</v>
      </c>
      <c r="DM17" s="5"/>
      <c r="DN17" s="5">
        <f>(DF17+DG17)-DL17</f>
        <v>0.59999999999999987</v>
      </c>
      <c r="DP17" s="30">
        <f>DO17/992</f>
        <v>0</v>
      </c>
      <c r="DQ17" s="31"/>
      <c r="DR17" s="36">
        <v>0.5</v>
      </c>
      <c r="DS17" s="5">
        <v>1</v>
      </c>
      <c r="DT17" s="5">
        <f>(DL17+DM17)-DR17</f>
        <v>0.60000000000000009</v>
      </c>
      <c r="DV17" s="30">
        <f>DU17/992</f>
        <v>0</v>
      </c>
      <c r="DW17" s="31"/>
      <c r="DX17" s="36">
        <v>1.2</v>
      </c>
      <c r="DY17" s="5"/>
      <c r="DZ17" s="5">
        <f>(DR17+DS17)-DX17</f>
        <v>0.30000000000000004</v>
      </c>
      <c r="EA17" s="1">
        <v>262</v>
      </c>
      <c r="EB17" s="30">
        <f>EA17/992</f>
        <v>0.26411290322580644</v>
      </c>
      <c r="EC17" s="31"/>
      <c r="ED17" s="36">
        <v>0.9</v>
      </c>
      <c r="EE17" s="5">
        <v>1</v>
      </c>
      <c r="EF17" s="5">
        <f>(DX17+DY17)-ED17</f>
        <v>0.29999999999999993</v>
      </c>
      <c r="EG17" s="1">
        <v>234</v>
      </c>
      <c r="EH17" s="30">
        <f>EG17/992</f>
        <v>0.23588709677419356</v>
      </c>
      <c r="EI17" s="31"/>
      <c r="EJ17" s="36">
        <v>1.6</v>
      </c>
      <c r="EK17" s="5"/>
      <c r="EL17" s="5">
        <f>(ED17+EE17)-EJ17</f>
        <v>0.29999999999999982</v>
      </c>
      <c r="EM17" s="1">
        <v>230</v>
      </c>
      <c r="EN17" s="30">
        <f>EM17/992</f>
        <v>0.23185483870967741</v>
      </c>
      <c r="EO17" s="31"/>
      <c r="EP17" s="5">
        <v>1.3</v>
      </c>
      <c r="EQ17" s="5"/>
      <c r="ER17" s="5">
        <f>(EJ17+EK17)-EP17</f>
        <v>0.30000000000000004</v>
      </c>
      <c r="ES17" s="1">
        <v>234</v>
      </c>
      <c r="ET17" s="30">
        <f>ES17/992</f>
        <v>0.23588709677419356</v>
      </c>
      <c r="EU17" s="31"/>
      <c r="EV17" s="5">
        <v>1</v>
      </c>
      <c r="EW17" s="5"/>
      <c r="EX17" s="5">
        <f>(EP17+EQ17)-EV17</f>
        <v>0.30000000000000004</v>
      </c>
      <c r="EY17" s="1">
        <v>288</v>
      </c>
      <c r="EZ17" s="30">
        <f>EY17/992</f>
        <v>0.29032258064516131</v>
      </c>
      <c r="FA17" s="31"/>
      <c r="FB17" s="5">
        <v>0.9</v>
      </c>
      <c r="FC17" s="5"/>
      <c r="FD17" s="5">
        <f>(EV17+EW17)-FB17</f>
        <v>9.9999999999999978E-2</v>
      </c>
      <c r="FE17" s="1">
        <v>108</v>
      </c>
      <c r="FF17" s="30">
        <f>FE17/992</f>
        <v>0.10887096774193548</v>
      </c>
      <c r="FG17" s="31"/>
      <c r="FH17" s="5">
        <v>0.8</v>
      </c>
      <c r="FI17" s="5"/>
      <c r="FJ17" s="5">
        <f>(FB17+FC17)-FH17</f>
        <v>9.9999999999999978E-2</v>
      </c>
      <c r="FK17" s="1">
        <v>55</v>
      </c>
      <c r="FL17" s="30">
        <f>FK17/992</f>
        <v>5.5443548387096774E-2</v>
      </c>
      <c r="FM17" s="31"/>
      <c r="FN17" s="5">
        <v>0</v>
      </c>
      <c r="FO17" s="5">
        <v>1</v>
      </c>
      <c r="FP17" s="36">
        <f>(FH17+FI17)-FN17</f>
        <v>0.8</v>
      </c>
      <c r="FQ17" s="1">
        <v>126</v>
      </c>
      <c r="FR17" s="42">
        <f>FQ17/992</f>
        <v>0.12701612903225806</v>
      </c>
      <c r="FS17" s="31"/>
      <c r="FT17" s="36">
        <v>0.9</v>
      </c>
      <c r="FU17" s="5"/>
      <c r="FV17" s="5">
        <f>(FN17+FO17)-FT17</f>
        <v>9.9999999999999978E-2</v>
      </c>
      <c r="FW17" s="1">
        <v>90</v>
      </c>
      <c r="FX17" s="30">
        <f>FW17/992</f>
        <v>9.0725806451612906E-2</v>
      </c>
      <c r="FY17" s="31"/>
      <c r="FZ17" s="36">
        <v>0.6</v>
      </c>
      <c r="GA17" s="5">
        <v>1</v>
      </c>
      <c r="GB17" s="5">
        <f>(FT17+FU17)-FZ17</f>
        <v>0.30000000000000004</v>
      </c>
      <c r="GC17" s="1">
        <v>162</v>
      </c>
      <c r="GD17" s="30">
        <f>GC17/992</f>
        <v>0.16330645161290322</v>
      </c>
      <c r="GE17" s="31"/>
      <c r="GF17" s="5">
        <v>1.3</v>
      </c>
      <c r="GG17" s="5"/>
      <c r="GH17" s="5">
        <f>(FZ17+GA17)-GF17</f>
        <v>0.30000000000000004</v>
      </c>
      <c r="GI17" s="1">
        <v>306</v>
      </c>
      <c r="GJ17" s="30">
        <f>GI17/992</f>
        <v>0.30846774193548387</v>
      </c>
      <c r="GK17" s="31"/>
      <c r="GL17" s="5">
        <v>0.3</v>
      </c>
      <c r="GM17" s="5"/>
      <c r="GN17" s="5">
        <f>(GF17+GG17)-GL17</f>
        <v>1</v>
      </c>
      <c r="GO17" s="1">
        <v>306</v>
      </c>
      <c r="GP17" s="30">
        <f>GO17/992</f>
        <v>0.30846774193548387</v>
      </c>
      <c r="GQ17" s="31"/>
      <c r="GR17" s="5">
        <v>0.1</v>
      </c>
      <c r="GS17" s="5"/>
      <c r="GT17" s="5">
        <f>(GL17+GM17)-GR17</f>
        <v>0.19999999999999998</v>
      </c>
      <c r="GU17" s="1">
        <v>450</v>
      </c>
      <c r="GV17" s="30">
        <f>GU17/992</f>
        <v>0.4536290322580645</v>
      </c>
      <c r="GW17" s="31"/>
      <c r="GX17" s="5">
        <v>0.4</v>
      </c>
      <c r="GY17" s="5">
        <v>1</v>
      </c>
      <c r="GZ17" s="5">
        <f>(GR17+GS17)-GX17</f>
        <v>-0.30000000000000004</v>
      </c>
      <c r="HA17" s="1">
        <v>126</v>
      </c>
      <c r="HB17" s="30">
        <f>HA17/992</f>
        <v>0.12701612903225806</v>
      </c>
      <c r="HC17" s="31"/>
      <c r="HD17" s="5">
        <v>1.2</v>
      </c>
      <c r="HE17" s="5"/>
      <c r="HF17" s="5">
        <f>(GX17+GY17)-HD17</f>
        <v>0.19999999999999996</v>
      </c>
      <c r="HG17" s="1">
        <v>307</v>
      </c>
      <c r="HH17" s="30">
        <f>HG17/992</f>
        <v>0.30947580645161288</v>
      </c>
      <c r="HI17" s="31"/>
      <c r="HJ17" s="5">
        <v>0.9</v>
      </c>
      <c r="HK17" s="5"/>
      <c r="HL17" s="5">
        <f>(HD17+HE17)-HJ17</f>
        <v>0.29999999999999993</v>
      </c>
      <c r="HM17" s="1">
        <v>450</v>
      </c>
      <c r="HN17" s="30">
        <f>HM17/992</f>
        <v>0.4536290322580645</v>
      </c>
      <c r="HO17" s="31"/>
      <c r="HP17" s="5">
        <v>0.5</v>
      </c>
      <c r="HQ17" s="5"/>
      <c r="HR17" s="5">
        <f>(HJ17+HK17)-HP17</f>
        <v>0.4</v>
      </c>
      <c r="HS17" s="1">
        <v>378</v>
      </c>
      <c r="HT17" s="30">
        <f>HS17/992</f>
        <v>0.38104838709677419</v>
      </c>
      <c r="HU17" s="31"/>
      <c r="HV17" s="5">
        <v>0</v>
      </c>
      <c r="HW17" s="5">
        <v>1</v>
      </c>
      <c r="HX17" s="5">
        <f>(HP17+HQ17)-HV17</f>
        <v>0.5</v>
      </c>
      <c r="HY17" s="1">
        <v>396</v>
      </c>
      <c r="HZ17" s="30">
        <f>HY17/992</f>
        <v>0.39919354838709675</v>
      </c>
      <c r="IA17" s="31"/>
      <c r="IB17" s="5">
        <v>0.5</v>
      </c>
      <c r="IC17" s="5"/>
      <c r="ID17" s="5">
        <f>(HV17+HW17)-IB17</f>
        <v>0.5</v>
      </c>
      <c r="IE17" s="1">
        <v>237</v>
      </c>
      <c r="IF17" s="30">
        <f>IE17/992</f>
        <v>0.23891129032258066</v>
      </c>
      <c r="IG17" s="31"/>
      <c r="IH17" s="5">
        <v>0.3</v>
      </c>
      <c r="II17" s="5"/>
      <c r="IJ17" s="5">
        <f>(IB17+IC17)-IH17</f>
        <v>0.2</v>
      </c>
      <c r="IK17" s="1">
        <v>288</v>
      </c>
      <c r="IL17" s="30">
        <f>IK17/992</f>
        <v>0.29032258064516131</v>
      </c>
      <c r="IM17" s="31"/>
      <c r="IN17" s="5">
        <v>0</v>
      </c>
      <c r="IO17" s="5"/>
      <c r="IP17" s="5">
        <f>(IH17+II17)-IN17</f>
        <v>0.3</v>
      </c>
      <c r="IQ17" s="1">
        <v>378</v>
      </c>
      <c r="IR17" s="30">
        <f>IQ17/992</f>
        <v>0.38104838709677419</v>
      </c>
      <c r="IS17" s="31"/>
      <c r="IT17" s="5"/>
      <c r="IU17" s="5">
        <v>1</v>
      </c>
      <c r="IV17" s="5">
        <f>(IN17+IO17)-IT17</f>
        <v>0</v>
      </c>
      <c r="IX17" s="30">
        <f>IW17/992</f>
        <v>0</v>
      </c>
      <c r="IY17" s="31"/>
      <c r="IZ17" s="5">
        <v>0.9</v>
      </c>
      <c r="JA17" s="5"/>
      <c r="JB17" s="5">
        <f>(IT17+IU17)-IZ17</f>
        <v>9.9999999999999978E-2</v>
      </c>
      <c r="JC17" s="1">
        <v>108</v>
      </c>
      <c r="JD17" s="30">
        <f>JC17/992</f>
        <v>0.10887096774193548</v>
      </c>
      <c r="JE17" s="31"/>
      <c r="JF17" s="5">
        <v>0.3</v>
      </c>
      <c r="JG17" s="5"/>
      <c r="JH17" s="5">
        <f>(IZ17+JA17)-JF17</f>
        <v>0.60000000000000009</v>
      </c>
      <c r="JI17" s="1">
        <v>198</v>
      </c>
      <c r="JJ17" s="30">
        <f>JI17/992</f>
        <v>0.19959677419354838</v>
      </c>
      <c r="JK17" s="31"/>
      <c r="JL17" s="5">
        <v>0.1</v>
      </c>
      <c r="JM17" s="5"/>
      <c r="JN17" s="5">
        <f>(JF17+JG17)-JL17</f>
        <v>0.19999999999999998</v>
      </c>
      <c r="JO17" s="1">
        <v>216</v>
      </c>
      <c r="JP17" s="30">
        <f>JO17/992</f>
        <v>0.21774193548387097</v>
      </c>
      <c r="JQ17" s="31"/>
      <c r="JR17" s="5">
        <v>0.1</v>
      </c>
      <c r="JS17" s="5">
        <v>2</v>
      </c>
      <c r="JT17" s="5">
        <f>(JL17+JM17)-JR17</f>
        <v>0</v>
      </c>
      <c r="JU17" s="1">
        <v>198</v>
      </c>
      <c r="JV17" s="30">
        <f>JU17/992</f>
        <v>0.19959677419354838</v>
      </c>
      <c r="JW17" s="31"/>
      <c r="JX17" s="5">
        <v>1.8</v>
      </c>
      <c r="JY17" s="5"/>
      <c r="JZ17" s="5">
        <f>(JR17+JS17)-JX17</f>
        <v>0.30000000000000004</v>
      </c>
      <c r="KA17" s="1">
        <v>360</v>
      </c>
      <c r="KB17" s="30">
        <f>KA17/992</f>
        <v>0.36290322580645162</v>
      </c>
      <c r="KC17" s="31"/>
      <c r="KD17" s="5">
        <v>1.5</v>
      </c>
      <c r="KE17" s="5"/>
      <c r="KF17" s="5">
        <f>(JX17+JY17)-KD17</f>
        <v>0.30000000000000004</v>
      </c>
      <c r="KG17" s="1">
        <v>252</v>
      </c>
      <c r="KH17" s="30">
        <f>KG17/992</f>
        <v>0.25403225806451613</v>
      </c>
      <c r="KI17" s="31"/>
      <c r="KJ17" s="5">
        <v>1.2</v>
      </c>
      <c r="KK17" s="5"/>
      <c r="KL17" s="5">
        <f>(KD17+KE17)-KJ17</f>
        <v>0.30000000000000004</v>
      </c>
      <c r="KM17" s="1">
        <v>252</v>
      </c>
      <c r="KN17" s="30">
        <f>KM17/992</f>
        <v>0.25403225806451613</v>
      </c>
      <c r="KO17" s="31"/>
      <c r="KP17" s="5">
        <v>0.6</v>
      </c>
      <c r="KQ17" s="5"/>
      <c r="KR17" s="5">
        <f>(KJ17+KK17)-KP17</f>
        <v>0.6</v>
      </c>
      <c r="KS17" s="1">
        <v>108</v>
      </c>
      <c r="KT17" s="30">
        <f>KS17/992</f>
        <v>0.10887096774193548</v>
      </c>
      <c r="KU17" s="31"/>
      <c r="KV17" s="5">
        <v>0.3</v>
      </c>
      <c r="KW17" s="5"/>
      <c r="KX17" s="5">
        <f>(KP17+KQ17)-KV17</f>
        <v>0.3</v>
      </c>
      <c r="KY17" s="1">
        <v>234</v>
      </c>
      <c r="KZ17" s="30">
        <f>KY17/992</f>
        <v>0.23588709677419356</v>
      </c>
      <c r="LA17" s="31"/>
      <c r="LB17" s="5">
        <v>0.1</v>
      </c>
      <c r="LC17" s="5">
        <v>1</v>
      </c>
      <c r="LD17" s="5">
        <f>(KV17+KW17)-LB17</f>
        <v>0.19999999999999998</v>
      </c>
      <c r="LE17" s="1">
        <v>198</v>
      </c>
      <c r="LF17" s="30">
        <f>LE17/992</f>
        <v>0.19959677419354838</v>
      </c>
      <c r="LG17" s="31"/>
      <c r="LH17" s="5">
        <v>0.9</v>
      </c>
      <c r="LI17" s="5"/>
      <c r="LJ17" s="5">
        <f>(LB17+LC17)-LH17</f>
        <v>0.20000000000000007</v>
      </c>
      <c r="LK17" s="1">
        <v>288</v>
      </c>
      <c r="LL17" s="30">
        <f>LK17/992</f>
        <v>0.29032258064516131</v>
      </c>
      <c r="LM17" s="31"/>
      <c r="LN17" s="5">
        <v>0.7</v>
      </c>
      <c r="LO17" s="5">
        <v>1</v>
      </c>
      <c r="LP17" s="5">
        <f>(LH17+LI17)-LN17</f>
        <v>0.20000000000000007</v>
      </c>
      <c r="LQ17" s="1">
        <v>198</v>
      </c>
      <c r="LR17" s="30">
        <f>LQ17/992</f>
        <v>0.19959677419354838</v>
      </c>
      <c r="LS17" s="31"/>
      <c r="LT17" s="5">
        <v>1.3</v>
      </c>
      <c r="LU17" s="5"/>
      <c r="LV17" s="5">
        <f>(LN17+LO17)-LT17</f>
        <v>0.39999999999999991</v>
      </c>
      <c r="LW17" s="1">
        <v>432</v>
      </c>
      <c r="LX17" s="30">
        <f>LW17/992</f>
        <v>0.43548387096774194</v>
      </c>
      <c r="LY17" s="31"/>
      <c r="LZ17" s="5">
        <v>0.9</v>
      </c>
      <c r="MA17" s="5">
        <v>1</v>
      </c>
      <c r="MB17" s="5">
        <f>(LT17+LU17)-LZ17</f>
        <v>0.4</v>
      </c>
      <c r="MC17" s="1">
        <v>288</v>
      </c>
      <c r="MD17" s="30">
        <f>MC17/992</f>
        <v>0.29032258064516131</v>
      </c>
      <c r="ME17" s="31"/>
      <c r="MF17" s="5">
        <v>1.2</v>
      </c>
      <c r="MG17" s="5"/>
      <c r="MH17" s="5">
        <f>(LZ17+MA17)-MF17</f>
        <v>0.7</v>
      </c>
      <c r="MJ17" s="30">
        <f>MI17/992</f>
        <v>0</v>
      </c>
      <c r="MK17" s="31"/>
      <c r="ML17" s="5">
        <v>1.1000000000000001</v>
      </c>
      <c r="MM17" s="5">
        <v>1</v>
      </c>
      <c r="MN17" s="5">
        <f>(MF17+MG17)-ML17</f>
        <v>9.9999999999999867E-2</v>
      </c>
      <c r="MO17" s="1">
        <v>108</v>
      </c>
      <c r="MP17" s="30">
        <f>MO17/992</f>
        <v>0.10887096774193548</v>
      </c>
      <c r="MQ17" s="31"/>
      <c r="MR17" s="5">
        <v>1.5</v>
      </c>
      <c r="MS17" s="5"/>
      <c r="MT17" s="5">
        <f>(ML17+MM17)-MR17</f>
        <v>0.60000000000000009</v>
      </c>
      <c r="MV17" s="30">
        <f>MU17/992</f>
        <v>0</v>
      </c>
      <c r="MW17" s="31"/>
      <c r="MX17" s="5">
        <v>1.3</v>
      </c>
      <c r="MY17" s="5"/>
      <c r="MZ17" s="5">
        <f>(MR17+MS17)-MX17</f>
        <v>0.19999999999999996</v>
      </c>
      <c r="NA17" s="1">
        <v>288</v>
      </c>
      <c r="NB17" s="30">
        <f>NA17/992</f>
        <v>0.29032258064516131</v>
      </c>
      <c r="NC17" s="31"/>
      <c r="ND17" s="5">
        <v>1.1000000000000001</v>
      </c>
      <c r="NE17" s="5"/>
      <c r="NF17" s="5">
        <f>(MX17+MY17)-ND17</f>
        <v>0.19999999999999996</v>
      </c>
      <c r="NH17" s="30">
        <f>NG17/992</f>
        <v>0</v>
      </c>
      <c r="NI17" s="31"/>
      <c r="NJ17" s="5">
        <v>0.8</v>
      </c>
      <c r="NK17" s="5"/>
      <c r="NL17" s="5">
        <f>(ND17+NE17)-NJ17</f>
        <v>0.30000000000000004</v>
      </c>
      <c r="NM17" s="1">
        <v>216</v>
      </c>
      <c r="NN17" s="30">
        <f>NM17/992</f>
        <v>0.21774193548387097</v>
      </c>
      <c r="NO17" s="31"/>
      <c r="NP17" s="5">
        <v>0.7</v>
      </c>
      <c r="NQ17" s="5">
        <v>1</v>
      </c>
      <c r="NR17" s="5">
        <f>(NJ17+NK17)-NP17</f>
        <v>0.10000000000000009</v>
      </c>
      <c r="NS17" s="1">
        <v>306</v>
      </c>
      <c r="NT17" s="30">
        <f>NS17/992</f>
        <v>0.30846774193548387</v>
      </c>
      <c r="NU17" s="31"/>
      <c r="NV17" s="5">
        <v>1.3</v>
      </c>
      <c r="NW17" s="5"/>
      <c r="NX17" s="5">
        <f>(NP17+NQ17)-NV17</f>
        <v>0.39999999999999991</v>
      </c>
      <c r="NY17" s="1">
        <v>306</v>
      </c>
      <c r="NZ17" s="30">
        <f>NY17/992</f>
        <v>0.30846774193548387</v>
      </c>
      <c r="OA17" s="31"/>
      <c r="OB17" s="5">
        <v>0.5</v>
      </c>
      <c r="OC17" s="5"/>
      <c r="OD17" s="5">
        <f>(NV17+NW17)-OB17</f>
        <v>0.8</v>
      </c>
      <c r="OF17" s="30">
        <f>OE17/992</f>
        <v>0</v>
      </c>
      <c r="OG17" s="31"/>
      <c r="OH17" s="5">
        <v>0.1</v>
      </c>
      <c r="OI17" s="5">
        <v>2</v>
      </c>
      <c r="OJ17" s="5">
        <f>(OB17+OC17)-OH17</f>
        <v>0.4</v>
      </c>
      <c r="OK17" s="1">
        <v>506</v>
      </c>
      <c r="OL17" s="30">
        <f>OK17/992</f>
        <v>0.51008064516129037</v>
      </c>
      <c r="OM17" s="31"/>
      <c r="ON17" s="5">
        <v>2.1</v>
      </c>
      <c r="OO17" s="5"/>
      <c r="OP17" s="5">
        <f>(OH17+OI17)-ON17</f>
        <v>0</v>
      </c>
      <c r="OR17" s="30">
        <f>OQ17/992</f>
        <v>0</v>
      </c>
      <c r="OS17" s="31"/>
      <c r="OT17" s="5">
        <v>1.5</v>
      </c>
      <c r="OU17" s="5"/>
      <c r="OV17" s="5">
        <f>(ON17+OO17)-OT17</f>
        <v>0.60000000000000009</v>
      </c>
      <c r="OW17" s="1">
        <v>144</v>
      </c>
      <c r="OX17" s="30">
        <f>OW17/992</f>
        <v>0.14516129032258066</v>
      </c>
      <c r="OY17" s="31"/>
      <c r="OZ17" s="5">
        <v>1.2</v>
      </c>
      <c r="PA17" s="5"/>
      <c r="PB17" s="5">
        <f>(OT17+OU17)-OZ17</f>
        <v>0.30000000000000004</v>
      </c>
      <c r="PC17" s="1">
        <v>270</v>
      </c>
      <c r="PD17" s="30">
        <f>PC17/992</f>
        <v>0.27217741935483869</v>
      </c>
      <c r="PE17" s="31"/>
      <c r="PF17" s="5">
        <v>1.1000000000000001</v>
      </c>
      <c r="PG17" s="5"/>
      <c r="PH17" s="5">
        <f>(OZ17+PA17)-PF17</f>
        <v>9.9999999999999867E-2</v>
      </c>
      <c r="PI17" s="1">
        <v>270</v>
      </c>
      <c r="PJ17" s="30">
        <f>PI17/992</f>
        <v>0.27217741935483869</v>
      </c>
      <c r="PK17" s="31"/>
      <c r="PL17" s="5">
        <v>0.6</v>
      </c>
      <c r="PM17" s="5"/>
      <c r="PN17" s="5">
        <f>(PF17+PG17)-PL17</f>
        <v>0.50000000000000011</v>
      </c>
      <c r="PP17" s="30">
        <f>PO17/992</f>
        <v>0</v>
      </c>
      <c r="PQ17" s="31"/>
      <c r="PR17" s="5">
        <v>0.9</v>
      </c>
      <c r="PS17" s="5"/>
      <c r="PT17" s="5">
        <f>(PL17+PM17)-PR17</f>
        <v>-0.30000000000000004</v>
      </c>
      <c r="PU17" s="1">
        <v>144</v>
      </c>
      <c r="PV17" s="30">
        <f>PU17/992</f>
        <v>0.14516129032258066</v>
      </c>
      <c r="PW17" s="31"/>
      <c r="PX17" s="5">
        <v>0.4</v>
      </c>
      <c r="PY17" s="5"/>
      <c r="PZ17" s="5">
        <f>(PR17+PS17)-PX17</f>
        <v>0.5</v>
      </c>
      <c r="QA17" s="1">
        <v>252</v>
      </c>
      <c r="QB17" s="30">
        <f>QA17/992</f>
        <v>0.25403225806451613</v>
      </c>
      <c r="QC17" s="31"/>
      <c r="QD17" s="5">
        <v>0.1</v>
      </c>
      <c r="QE17" s="5">
        <v>1</v>
      </c>
      <c r="QF17" s="5">
        <f>(PX17+PY17)-QD17</f>
        <v>0.30000000000000004</v>
      </c>
      <c r="QG17" s="1">
        <v>163</v>
      </c>
      <c r="QH17" s="30">
        <f>QG17/992</f>
        <v>0.16431451612903225</v>
      </c>
      <c r="QI17" s="31"/>
      <c r="QJ17" s="5">
        <v>0.3</v>
      </c>
      <c r="QK17" s="5"/>
      <c r="QL17" s="5">
        <f>(QD17+QE17)-QJ17</f>
        <v>0.8</v>
      </c>
      <c r="QN17" s="30">
        <f>QM17/992</f>
        <v>0</v>
      </c>
      <c r="QO17" s="31"/>
      <c r="QP17" s="5">
        <v>0.2</v>
      </c>
      <c r="QQ17" s="5"/>
      <c r="QR17" s="5">
        <f>(QJ17+QK17)-QP17</f>
        <v>9.9999999999999978E-2</v>
      </c>
      <c r="QS17" s="1">
        <v>198</v>
      </c>
      <c r="QT17" s="30">
        <f>QS17/992</f>
        <v>0.19959677419354838</v>
      </c>
      <c r="QU17" s="31"/>
      <c r="QV17" s="5">
        <v>0</v>
      </c>
      <c r="QW17" s="5"/>
      <c r="QX17" s="5">
        <f>(QP17+QQ17)-QV17</f>
        <v>0.2</v>
      </c>
      <c r="QY17" s="1">
        <v>288</v>
      </c>
      <c r="QZ17" s="30">
        <f>QY17/992</f>
        <v>0.29032258064516131</v>
      </c>
      <c r="RA17" s="31"/>
      <c r="RB17" s="5">
        <v>0</v>
      </c>
      <c r="RC17" s="5">
        <v>1</v>
      </c>
      <c r="RD17" s="5">
        <f>(QV17+QW17)-RB17</f>
        <v>0</v>
      </c>
      <c r="RF17" s="30">
        <f>RE17/992</f>
        <v>0</v>
      </c>
      <c r="RG17" s="31"/>
      <c r="RH17" s="5">
        <v>0</v>
      </c>
      <c r="RI17" s="5">
        <v>1</v>
      </c>
      <c r="RJ17" s="5">
        <f>(RB17+RC17)-RH17</f>
        <v>1</v>
      </c>
      <c r="RL17" s="30">
        <f>RK17/992</f>
        <v>0</v>
      </c>
      <c r="RM17" s="31"/>
      <c r="RN17" s="5">
        <v>0.9</v>
      </c>
      <c r="RO17" s="5"/>
      <c r="RP17" s="5">
        <f>(RH17+RI17)-RN17</f>
        <v>9.9999999999999978E-2</v>
      </c>
      <c r="RQ17" s="1">
        <v>90</v>
      </c>
      <c r="RR17" s="30">
        <f>RQ17/992</f>
        <v>9.0725806451612906E-2</v>
      </c>
      <c r="RS17" s="31"/>
      <c r="RT17" s="5">
        <v>0.7</v>
      </c>
      <c r="RU17" s="5"/>
      <c r="RV17" s="5">
        <f>(RN17+RO17)-RT17</f>
        <v>0.20000000000000007</v>
      </c>
      <c r="RW17" s="1">
        <v>162</v>
      </c>
      <c r="RX17" s="30">
        <f>RW17/992</f>
        <v>0.16330645161290322</v>
      </c>
      <c r="RY17" s="31"/>
      <c r="RZ17" s="5">
        <v>0.7</v>
      </c>
      <c r="SA17" s="5"/>
      <c r="SB17" s="5">
        <f>(RT17+RU17)-RZ17</f>
        <v>0</v>
      </c>
      <c r="SC17" s="1">
        <v>54</v>
      </c>
      <c r="SD17" s="30">
        <f>SC17/992</f>
        <v>5.4435483870967742E-2</v>
      </c>
      <c r="SE17" s="31"/>
      <c r="SF17" s="5">
        <v>0.5</v>
      </c>
      <c r="SG17" s="5"/>
      <c r="SH17" s="5">
        <f>(RZ17+SA17)-SF17</f>
        <v>0.19999999999999996</v>
      </c>
      <c r="SI17" s="1">
        <v>108</v>
      </c>
      <c r="SJ17" s="30">
        <f>SI17/992</f>
        <v>0.10887096774193548</v>
      </c>
      <c r="SK17" s="31"/>
      <c r="SL17" s="5">
        <v>0.2</v>
      </c>
      <c r="SM17" s="5">
        <v>1</v>
      </c>
      <c r="SN17" s="5">
        <f>(SF17+SG17)-SL17</f>
        <v>0.3</v>
      </c>
      <c r="SO17" s="1">
        <v>325</v>
      </c>
      <c r="SP17" s="30">
        <f>SO17/992</f>
        <v>0.3276209677419355</v>
      </c>
      <c r="SQ17" s="31"/>
      <c r="SR17" s="5">
        <v>0.9</v>
      </c>
      <c r="SS17" s="5"/>
      <c r="ST17" s="5">
        <f>(SL17+SM17)-SR17</f>
        <v>0.29999999999999993</v>
      </c>
      <c r="SU17" s="1">
        <v>126</v>
      </c>
      <c r="SV17" s="30">
        <f>SU17/992</f>
        <v>0.12701612903225806</v>
      </c>
      <c r="SW17" s="31"/>
      <c r="SX17" s="5">
        <v>0.7</v>
      </c>
      <c r="SY17" s="5">
        <v>1</v>
      </c>
      <c r="SZ17" s="5">
        <f>(SR17+SS17)-SX17</f>
        <v>0.20000000000000007</v>
      </c>
      <c r="TA17" s="1">
        <v>126</v>
      </c>
      <c r="TB17" s="30">
        <f>TA17/992</f>
        <v>0.12701612903225806</v>
      </c>
      <c r="TC17" s="31"/>
      <c r="TD17" s="5">
        <v>1.1000000000000001</v>
      </c>
      <c r="TE17" s="5"/>
      <c r="TF17" s="5">
        <f>(SX17+SY17)-TD17</f>
        <v>0.59999999999999987</v>
      </c>
      <c r="TG17" s="1">
        <v>616</v>
      </c>
      <c r="TH17" s="30">
        <f>TG17/992</f>
        <v>0.62096774193548387</v>
      </c>
      <c r="TI17" s="31"/>
      <c r="TJ17" s="5">
        <v>0.2</v>
      </c>
      <c r="TK17" s="5">
        <v>2</v>
      </c>
      <c r="TL17" s="5">
        <f>(TD17+TE17)-TJ17</f>
        <v>0.90000000000000013</v>
      </c>
      <c r="TM17" s="1">
        <v>598</v>
      </c>
      <c r="TN17" s="30">
        <f>TM17/992</f>
        <v>0.60282258064516125</v>
      </c>
      <c r="TO17" s="31"/>
      <c r="TP17" s="5">
        <v>0.8</v>
      </c>
      <c r="TQ17" s="5"/>
      <c r="TR17" s="5">
        <f>(TJ17+TK17)-TP17</f>
        <v>1.4000000000000001</v>
      </c>
      <c r="TT17" s="30">
        <f>TS17/992</f>
        <v>0</v>
      </c>
      <c r="TU17" s="31"/>
      <c r="TV17" s="5">
        <v>0.3</v>
      </c>
      <c r="TW17" s="5">
        <v>1</v>
      </c>
      <c r="TX17" s="5">
        <f>(TP17+TQ17)-TV17</f>
        <v>0.5</v>
      </c>
      <c r="TY17" s="1">
        <v>252</v>
      </c>
      <c r="TZ17" s="30">
        <f>TY17/992</f>
        <v>0.25403225806451613</v>
      </c>
      <c r="UA17" s="31"/>
      <c r="UB17" s="5">
        <v>1.1000000000000001</v>
      </c>
      <c r="UC17" s="5"/>
      <c r="UD17" s="5">
        <f>(TV17+TW17)-UB17</f>
        <v>0.19999999999999996</v>
      </c>
      <c r="UF17" s="30">
        <f>UE17/992</f>
        <v>0</v>
      </c>
      <c r="UG17" s="31"/>
      <c r="UH17" s="5">
        <v>1.1000000000000001</v>
      </c>
      <c r="UI17" s="5"/>
      <c r="UJ17" s="5">
        <f>(UB17+UC17)-UH17</f>
        <v>0</v>
      </c>
      <c r="UK17" s="1">
        <v>360</v>
      </c>
      <c r="UL17" s="30">
        <f>UK17/992</f>
        <v>0.36290322580645162</v>
      </c>
      <c r="UM17" s="31"/>
      <c r="UN17" s="5">
        <v>0.4</v>
      </c>
      <c r="UO17" s="5"/>
      <c r="UP17" s="5">
        <f>(UH17+UI17)-UN17</f>
        <v>0.70000000000000007</v>
      </c>
      <c r="UQ17" s="1">
        <v>270</v>
      </c>
      <c r="UR17" s="30">
        <f>UQ17/992</f>
        <v>0.27217741935483869</v>
      </c>
      <c r="US17" s="31"/>
      <c r="UT17" s="5">
        <v>0.6</v>
      </c>
      <c r="UU17" s="5">
        <v>1</v>
      </c>
      <c r="UV17" s="5">
        <f>(UN17+UO17)-UT17</f>
        <v>-0.19999999999999996</v>
      </c>
      <c r="UW17" s="1">
        <v>126</v>
      </c>
      <c r="UX17" s="30">
        <f>UW17/992</f>
        <v>0.12701612903225806</v>
      </c>
      <c r="UY17" s="31"/>
      <c r="UZ17" s="5">
        <v>1.2</v>
      </c>
      <c r="VA17" s="5"/>
      <c r="VB17" s="5">
        <f>(UT17+UU17)-UZ17</f>
        <v>0.40000000000000013</v>
      </c>
      <c r="VC17" s="1">
        <v>126</v>
      </c>
      <c r="VD17" s="30">
        <f>VC17/992</f>
        <v>0.12701612903225806</v>
      </c>
      <c r="VE17" s="31"/>
      <c r="VF17" s="5">
        <v>1.1000000000000001</v>
      </c>
      <c r="VG17" s="5"/>
      <c r="VH17" s="5">
        <f>(UZ17+VA17)-VF17</f>
        <v>9.9999999999999867E-2</v>
      </c>
      <c r="VI17" s="1">
        <v>324</v>
      </c>
      <c r="VJ17" s="30">
        <f>VI17/992</f>
        <v>0.32661290322580644</v>
      </c>
      <c r="VK17" s="31"/>
      <c r="VL17" s="5">
        <v>0.8</v>
      </c>
      <c r="VM17" s="5"/>
      <c r="VN17" s="5">
        <f>(VF17+VG17)-VL17</f>
        <v>0.30000000000000004</v>
      </c>
      <c r="VP17" s="30">
        <f>VO17/992</f>
        <v>0</v>
      </c>
      <c r="VQ17" s="31"/>
      <c r="VR17" s="5">
        <v>0.7</v>
      </c>
      <c r="VS17" s="5"/>
      <c r="VT17" s="5">
        <f>(VL17+VM17)-VR17</f>
        <v>0.10000000000000009</v>
      </c>
      <c r="VV17" s="30">
        <f>VU17/992</f>
        <v>0</v>
      </c>
      <c r="VW17" s="31"/>
      <c r="VX17" s="5">
        <v>0.1</v>
      </c>
      <c r="VY17" s="5"/>
      <c r="VZ17" s="5">
        <f>(VR17+VS17)-VX17</f>
        <v>0.6</v>
      </c>
      <c r="WB17" s="30">
        <f>WA17/992</f>
        <v>0</v>
      </c>
      <c r="WC17" s="31"/>
      <c r="WD17" s="5">
        <v>0</v>
      </c>
      <c r="WE17" s="5">
        <v>1</v>
      </c>
      <c r="WF17" s="5">
        <f>(VX17+VY17)-WD17</f>
        <v>0.1</v>
      </c>
      <c r="WH17" s="30">
        <f>WG17/992</f>
        <v>0</v>
      </c>
      <c r="WI17" s="31"/>
      <c r="WJ17" s="5">
        <v>0.8</v>
      </c>
      <c r="WK17" s="5"/>
      <c r="WL17" s="5">
        <f>(WD17+WE17)-WJ17</f>
        <v>0.19999999999999996</v>
      </c>
      <c r="WM17" s="1">
        <v>234</v>
      </c>
      <c r="WN17" s="30">
        <f>WM17/992</f>
        <v>0.23588709677419356</v>
      </c>
      <c r="WO17" s="31"/>
      <c r="WP17" s="5">
        <v>0</v>
      </c>
      <c r="WQ17" s="5">
        <v>1</v>
      </c>
      <c r="WR17" s="5">
        <f>(WJ17+WK17)-WP17</f>
        <v>0.8</v>
      </c>
      <c r="WS17" s="1">
        <v>418</v>
      </c>
      <c r="WT17" s="30">
        <f>WS17/992</f>
        <v>0.4213709677419355</v>
      </c>
      <c r="WU17" s="31"/>
      <c r="WV17" s="5">
        <v>0.3</v>
      </c>
      <c r="WW17" s="5"/>
      <c r="WX17" s="5">
        <f>(WP17+WQ17)-WV17</f>
        <v>0.7</v>
      </c>
      <c r="WY17" s="1">
        <v>399</v>
      </c>
      <c r="WZ17" s="30">
        <f>WY17/992</f>
        <v>0.40221774193548387</v>
      </c>
      <c r="XA17" s="31"/>
      <c r="XB17" s="5">
        <v>0.1</v>
      </c>
      <c r="XC17" s="5">
        <v>2</v>
      </c>
      <c r="XD17" s="5">
        <f>(WV17+WW17)-XB17</f>
        <v>0.19999999999999998</v>
      </c>
      <c r="XE17" s="1">
        <v>300</v>
      </c>
      <c r="XF17" s="30">
        <f>XE17/992</f>
        <v>0.30241935483870969</v>
      </c>
      <c r="XG17" s="31"/>
      <c r="XH17" s="5">
        <v>1.9</v>
      </c>
      <c r="XI17" s="5"/>
      <c r="XJ17" s="5">
        <f>(XB17+XC17)-XH17</f>
        <v>0.20000000000000018</v>
      </c>
      <c r="XK17" s="1">
        <v>172</v>
      </c>
      <c r="XL17" s="30">
        <f>XK17/992</f>
        <v>0.17338709677419356</v>
      </c>
      <c r="XM17" s="31"/>
      <c r="XN17" s="5">
        <v>1.7</v>
      </c>
      <c r="XO17" s="5"/>
      <c r="XP17" s="5">
        <f>(XH17+XI17)-XN17</f>
        <v>0.19999999999999996</v>
      </c>
      <c r="XQ17" s="1">
        <v>152</v>
      </c>
      <c r="XR17" s="30">
        <f>XQ17/992</f>
        <v>0.15322580645161291</v>
      </c>
      <c r="XS17" s="31"/>
      <c r="XT17" s="5">
        <v>1.2</v>
      </c>
      <c r="XU17" s="5"/>
      <c r="XV17" s="5">
        <f>(XN17+XO17)-XT17</f>
        <v>0.5</v>
      </c>
      <c r="XW17" s="1">
        <v>162</v>
      </c>
      <c r="XX17" s="30">
        <f>XW17/992</f>
        <v>0.16330645161290322</v>
      </c>
      <c r="XY17" s="31"/>
      <c r="XZ17" s="5">
        <v>1.1000000000000001</v>
      </c>
      <c r="YA17" s="5"/>
      <c r="YB17" s="5">
        <f>(XT17+XU17)-XZ17</f>
        <v>9.9999999999999867E-2</v>
      </c>
      <c r="YC17" s="1">
        <v>162</v>
      </c>
      <c r="YD17" s="30">
        <f>YC17/992</f>
        <v>0.16330645161290322</v>
      </c>
      <c r="YE17" s="31"/>
      <c r="YF17" s="5">
        <v>1.1000000000000001</v>
      </c>
      <c r="YG17" s="5"/>
      <c r="YH17" s="5">
        <f>(XZ17+YA17)-YF17</f>
        <v>0</v>
      </c>
      <c r="YJ17" s="30">
        <f>YI17/992</f>
        <v>0</v>
      </c>
      <c r="YK17" s="31"/>
      <c r="YL17" s="5">
        <v>0.1</v>
      </c>
      <c r="YM17" s="5">
        <v>1</v>
      </c>
      <c r="YN17" s="5">
        <f>(YF17+YG17)-YL17</f>
        <v>1</v>
      </c>
      <c r="YP17" s="30">
        <f>YO17/992</f>
        <v>0</v>
      </c>
      <c r="YQ17" s="31"/>
      <c r="YR17" s="5">
        <v>1.9</v>
      </c>
      <c r="YS17" s="5"/>
      <c r="YT17" s="5">
        <f>(YL17+YM17)-YR17</f>
        <v>-0.79999999999999982</v>
      </c>
      <c r="YV17" s="30">
        <f>YU17/992</f>
        <v>0</v>
      </c>
      <c r="YW17" s="31"/>
      <c r="YX17" s="5">
        <v>1.4</v>
      </c>
      <c r="YY17" s="5"/>
      <c r="YZ17" s="5">
        <f>(YR17+YS17)-YX17</f>
        <v>0.5</v>
      </c>
      <c r="ZA17" s="1">
        <v>198</v>
      </c>
      <c r="ZB17" s="30">
        <f>ZA17/992</f>
        <v>0.19959677419354838</v>
      </c>
      <c r="ZC17" s="31"/>
      <c r="ZD17" s="5">
        <v>1.1000000000000001</v>
      </c>
      <c r="ZE17" s="5"/>
      <c r="ZF17" s="5">
        <f>(YX17+YY17)-ZD17</f>
        <v>0.29999999999999982</v>
      </c>
      <c r="ZG17" s="1">
        <v>360</v>
      </c>
      <c r="ZH17" s="30">
        <f>ZG17/992</f>
        <v>0.36290322580645162</v>
      </c>
      <c r="ZI17" s="31"/>
      <c r="ZJ17" s="5">
        <v>0.8</v>
      </c>
      <c r="ZK17" s="5"/>
      <c r="ZL17" s="5">
        <f>(ZD17+ZE17)-ZJ17</f>
        <v>0.30000000000000004</v>
      </c>
      <c r="ZN17" s="30">
        <f>ZM17/992</f>
        <v>0</v>
      </c>
      <c r="ZO17" s="31"/>
      <c r="ZP17" s="5">
        <v>0.3</v>
      </c>
      <c r="ZQ17" s="5">
        <v>1</v>
      </c>
      <c r="ZR17" s="5">
        <f>(ZJ17+ZK17)-ZP17</f>
        <v>0.5</v>
      </c>
      <c r="ZS17" s="1">
        <v>450</v>
      </c>
      <c r="ZT17" s="30">
        <f>ZS17/992</f>
        <v>0.4536290322580645</v>
      </c>
      <c r="ZU17" s="31"/>
      <c r="ZV17" s="5">
        <v>1.1000000000000001</v>
      </c>
      <c r="ZW17" s="5"/>
      <c r="ZX17" s="5">
        <f>(ZP17+ZQ17)-ZV17</f>
        <v>0.19999999999999996</v>
      </c>
      <c r="ZY17" s="1">
        <v>72</v>
      </c>
      <c r="ZZ17" s="30">
        <f>ZY17/992</f>
        <v>7.2580645161290328E-2</v>
      </c>
      <c r="AAA17" s="31"/>
      <c r="AAB17" s="5">
        <v>0.9</v>
      </c>
      <c r="AAC17" s="5"/>
      <c r="AAD17" s="5">
        <f>(ZV17+ZW17)-AAB17</f>
        <v>0.20000000000000007</v>
      </c>
      <c r="AAF17" s="30">
        <f>AAE17/992</f>
        <v>0</v>
      </c>
      <c r="AAG17" s="31"/>
      <c r="AAH17" s="5">
        <v>0.5</v>
      </c>
      <c r="AAI17" s="5">
        <v>1</v>
      </c>
      <c r="AAJ17" s="5">
        <f>(AAB17+AAC17)-AAH17</f>
        <v>0.4</v>
      </c>
      <c r="AAK17" s="1">
        <v>198</v>
      </c>
      <c r="AAL17" s="30">
        <f>AAK17/992</f>
        <v>0.19959677419354838</v>
      </c>
      <c r="AAM17" s="31"/>
      <c r="AAN17" s="5">
        <v>1.5</v>
      </c>
      <c r="AAO17" s="5"/>
      <c r="AAP17" s="5">
        <f>(AAH17+AAI17)-AAN17</f>
        <v>0</v>
      </c>
      <c r="AAQ17" s="1">
        <v>162</v>
      </c>
      <c r="AAR17" s="30">
        <f>AAQ17/992</f>
        <v>0.16330645161290322</v>
      </c>
      <c r="AAS17" s="31"/>
      <c r="AAT17" s="5">
        <v>1.2</v>
      </c>
      <c r="AAU17" s="5"/>
      <c r="AAV17" s="5">
        <f>(AAN17+AAO17)-AAT17</f>
        <v>0.30000000000000004</v>
      </c>
      <c r="AAW17" s="1">
        <v>306</v>
      </c>
      <c r="AAX17" s="30">
        <f>AAW17/992</f>
        <v>0.30846774193548387</v>
      </c>
      <c r="AAY17" s="31"/>
      <c r="AAZ17" s="5">
        <v>1.1000000000000001</v>
      </c>
      <c r="ABA17" s="5"/>
      <c r="ABB17" s="5">
        <f>(AAT17+AAU17)-AAZ17</f>
        <v>9.9999999999999867E-2</v>
      </c>
      <c r="ABC17" s="1">
        <v>162</v>
      </c>
      <c r="ABD17" s="30">
        <f>ABC17/992</f>
        <v>0.16330645161290322</v>
      </c>
      <c r="ABE17" s="31"/>
      <c r="ABF17" s="5">
        <v>1.1000000000000001</v>
      </c>
      <c r="ABG17" s="5"/>
      <c r="ABH17" s="5">
        <f>(AAZ17+ABA17)-ABF17</f>
        <v>0</v>
      </c>
      <c r="ABI17" s="1">
        <v>90</v>
      </c>
      <c r="ABJ17" s="30">
        <f>ABI17/992</f>
        <v>9.0725806451612906E-2</v>
      </c>
      <c r="ABK17" s="31"/>
      <c r="ABL17" s="5">
        <v>0.1</v>
      </c>
      <c r="ABM17" s="5">
        <v>1</v>
      </c>
      <c r="ABN17" s="5">
        <f>(ABF17+ABG17)-ABL17</f>
        <v>1</v>
      </c>
      <c r="ABO17" s="1">
        <v>198</v>
      </c>
      <c r="ABP17" s="30">
        <f>ABO17/992</f>
        <v>0.19959677419354838</v>
      </c>
      <c r="ABQ17" s="31"/>
      <c r="ABR17" s="5">
        <v>1.3</v>
      </c>
      <c r="ABS17" s="5"/>
      <c r="ABT17" s="5">
        <f>(ABL17+ABM17)-ABR17</f>
        <v>-0.19999999999999996</v>
      </c>
      <c r="ABU17" s="1">
        <v>288</v>
      </c>
      <c r="ABV17" s="30">
        <f>ABU17/992</f>
        <v>0.29032258064516131</v>
      </c>
      <c r="ABW17" s="31"/>
      <c r="ABX17" s="5">
        <v>1.2</v>
      </c>
      <c r="ABY17" s="5"/>
      <c r="ABZ17" s="5">
        <f>(ABR17+ABS17)-ABX17</f>
        <v>0.10000000000000009</v>
      </c>
      <c r="ACA17" s="1">
        <v>252</v>
      </c>
      <c r="ACB17" s="30">
        <f>ACA17/992</f>
        <v>0.25403225806451613</v>
      </c>
      <c r="ACC17" s="31"/>
      <c r="ACD17" s="5">
        <v>1</v>
      </c>
      <c r="ACE17" s="5"/>
      <c r="ACF17" s="5">
        <f>(ABX17+ABY17)-ACD17</f>
        <v>0.19999999999999996</v>
      </c>
      <c r="ACG17" s="1">
        <v>126</v>
      </c>
      <c r="ACH17" s="30">
        <f>ACG17/992</f>
        <v>0.12701612903225806</v>
      </c>
      <c r="ACI17" s="31"/>
      <c r="ACJ17" s="5">
        <v>0.7</v>
      </c>
      <c r="ACK17" s="5">
        <v>1</v>
      </c>
      <c r="ACL17" s="5">
        <f>(ACD17+ACE17)-ACJ17</f>
        <v>0.30000000000000004</v>
      </c>
      <c r="ACM17" s="1">
        <v>252</v>
      </c>
      <c r="ACN17" s="30">
        <f>ACM17/992</f>
        <v>0.25403225806451613</v>
      </c>
      <c r="ACO17" s="31"/>
      <c r="ACP17" s="5">
        <v>1.3</v>
      </c>
      <c r="ACQ17" s="5"/>
      <c r="ACR17" s="5">
        <f>(ACJ17+ACK17)-ACP17</f>
        <v>0.39999999999999991</v>
      </c>
      <c r="ACS17" s="1">
        <v>252</v>
      </c>
      <c r="ACT17" s="30">
        <f>ACS17/992</f>
        <v>0.25403225806451613</v>
      </c>
      <c r="ACU17" s="31"/>
      <c r="ACV17" s="5">
        <v>1.3</v>
      </c>
      <c r="ACW17" s="5"/>
      <c r="ACX17" s="5">
        <f>(ACP17+ACQ17)-ACV17</f>
        <v>0</v>
      </c>
      <c r="ACY17" s="1">
        <v>270</v>
      </c>
      <c r="ACZ17" s="30">
        <f>ACY17/992</f>
        <v>0.27217741935483869</v>
      </c>
      <c r="ADA17" s="31"/>
      <c r="ADB17" s="5">
        <v>1.3</v>
      </c>
      <c r="ADC17" s="5"/>
      <c r="ADD17" s="5">
        <f>(ACV17+ACW17)-ADB17</f>
        <v>0</v>
      </c>
      <c r="ADE17" s="1">
        <v>396</v>
      </c>
      <c r="ADF17" s="30">
        <f>ADE17/992</f>
        <v>0.39919354838709675</v>
      </c>
      <c r="ADG17" s="31"/>
      <c r="ADH17" s="5">
        <v>1.4</v>
      </c>
      <c r="ADI17" s="5"/>
      <c r="ADJ17" s="5">
        <f>(ADB17+ADC17)-ADH17</f>
        <v>-9.9999999999999867E-2</v>
      </c>
      <c r="ADK17" s="1">
        <v>306</v>
      </c>
      <c r="ADL17" s="30">
        <f>ADK17/992</f>
        <v>0.30846774193548387</v>
      </c>
      <c r="ADM17" s="31"/>
      <c r="ADN17" s="5">
        <v>0</v>
      </c>
      <c r="ADO17" s="5"/>
      <c r="ADP17" s="5">
        <f>(ADH17+ADI17)-ADN17</f>
        <v>1.4</v>
      </c>
      <c r="ADR17" s="30">
        <f>ADQ17/992</f>
        <v>0</v>
      </c>
      <c r="ADS17" s="31"/>
      <c r="ADT17" s="5">
        <v>0</v>
      </c>
      <c r="ADU17" s="5">
        <v>1</v>
      </c>
      <c r="ADV17" s="5">
        <f>(ADN17+ADO17)-ADT17</f>
        <v>0</v>
      </c>
      <c r="ADW17" s="1">
        <v>108</v>
      </c>
      <c r="ADX17" s="30">
        <f>ADW17/992</f>
        <v>0.10887096774193548</v>
      </c>
      <c r="ADY17" s="31"/>
      <c r="ADZ17" s="5">
        <v>0.7</v>
      </c>
      <c r="AEA17" s="5"/>
      <c r="AEB17" s="5">
        <f>(ADT17+ADU17)-ADZ17</f>
        <v>0.30000000000000004</v>
      </c>
      <c r="AEC17" s="1">
        <v>198</v>
      </c>
      <c r="AED17" s="30">
        <f>AEC17/992</f>
        <v>0.19959677419354838</v>
      </c>
      <c r="AEE17" s="31"/>
      <c r="AEF17" s="5">
        <v>0.4</v>
      </c>
      <c r="AEG17" s="5">
        <v>1</v>
      </c>
      <c r="AEH17" s="5">
        <f>(ADZ17+AEA17)-AEF17</f>
        <v>0.29999999999999993</v>
      </c>
      <c r="AEI17" s="1">
        <v>144</v>
      </c>
      <c r="AEJ17" s="30">
        <f>AEI17/992</f>
        <v>0.14516129032258066</v>
      </c>
      <c r="AEK17" s="31"/>
      <c r="AEL17" s="5">
        <v>1.1000000000000001</v>
      </c>
      <c r="AEM17" s="5"/>
      <c r="AEN17" s="5">
        <f>(AEF17+AEG17)-AEL17</f>
        <v>0.29999999999999982</v>
      </c>
      <c r="AEO17" s="1">
        <v>468</v>
      </c>
      <c r="AEP17" s="30">
        <f>AEO17/992</f>
        <v>0.47177419354838712</v>
      </c>
      <c r="AEQ17" s="31"/>
      <c r="AER17" s="5">
        <v>0.7</v>
      </c>
      <c r="AES17" s="5"/>
      <c r="AET17" s="5">
        <f>(AEL17+AEM17)-AER17</f>
        <v>0.40000000000000013</v>
      </c>
      <c r="AEV17" s="30">
        <f>AEU17/992</f>
        <v>0</v>
      </c>
      <c r="AEW17" s="31"/>
      <c r="AEX17" s="5">
        <v>0.3</v>
      </c>
      <c r="AEY17" s="5">
        <v>1</v>
      </c>
      <c r="AEZ17" s="5">
        <f>(AER17+AES17)-AEX17</f>
        <v>0.39999999999999997</v>
      </c>
      <c r="AFA17" s="1">
        <v>198</v>
      </c>
      <c r="AFB17" s="30">
        <f>AFA17/992</f>
        <v>0.19959677419354838</v>
      </c>
      <c r="AFC17" s="31"/>
      <c r="AFD17" s="5">
        <v>1</v>
      </c>
      <c r="AFE17" s="5"/>
      <c r="AFF17" s="5">
        <f>(AEX17+AEY17)-AFD17</f>
        <v>0.30000000000000004</v>
      </c>
      <c r="AFG17" s="1">
        <v>306</v>
      </c>
      <c r="AFH17" s="30">
        <f>AFG17/992</f>
        <v>0.30846774193548387</v>
      </c>
      <c r="AFI17" s="31"/>
      <c r="AFJ17" s="5">
        <v>0.3</v>
      </c>
      <c r="AFK17" s="5"/>
      <c r="AFL17" s="5">
        <f>(AFD17+AFE17)-AFJ17</f>
        <v>0.7</v>
      </c>
      <c r="AFM17" s="1">
        <v>631</v>
      </c>
      <c r="AFN17" s="30">
        <f>AFM17/992</f>
        <v>0.63608870967741937</v>
      </c>
      <c r="AFO17" s="31"/>
      <c r="AFP17" s="5">
        <v>0.1</v>
      </c>
      <c r="AFQ17" s="5">
        <v>2</v>
      </c>
      <c r="AFR17" s="5">
        <f>(AFJ17+AFK17)-AFP17</f>
        <v>0.19999999999999998</v>
      </c>
      <c r="AFS17" s="1">
        <v>162</v>
      </c>
      <c r="AFT17" s="30">
        <f>AFS17/992</f>
        <v>0.16330645161290322</v>
      </c>
      <c r="AFU17" s="31"/>
      <c r="AFV17" s="5">
        <v>1</v>
      </c>
      <c r="AFW17" s="5"/>
      <c r="AFX17" s="5">
        <f>(AFP17+AFQ17)-AFV17</f>
        <v>1.1000000000000001</v>
      </c>
      <c r="AFZ17" s="30">
        <f>AFY17/992</f>
        <v>0</v>
      </c>
      <c r="AGA17" s="31"/>
      <c r="AGB17" s="5">
        <v>0.3</v>
      </c>
      <c r="AGC17" s="5">
        <v>1</v>
      </c>
      <c r="AGD17" s="5">
        <f>(AFV17+AFW17)-AGB17</f>
        <v>0.7</v>
      </c>
      <c r="AGE17" s="1">
        <v>342</v>
      </c>
      <c r="AGF17" s="30">
        <f>AGE17/992</f>
        <v>0.34475806451612906</v>
      </c>
      <c r="AGG17" s="31"/>
      <c r="AGH17" s="5">
        <v>1.3</v>
      </c>
      <c r="AGI17" s="5"/>
      <c r="AGJ17" s="5">
        <f>(AGB17+AGC17)-AGH17</f>
        <v>0</v>
      </c>
      <c r="AGL17" s="30">
        <f>AGK17/992</f>
        <v>0</v>
      </c>
      <c r="AGM17" s="31"/>
      <c r="AGN17" s="5">
        <v>1.3</v>
      </c>
      <c r="AGO17" s="5"/>
      <c r="AGP17" s="5">
        <f>(AGH17+AGI17)-AGN17</f>
        <v>0</v>
      </c>
      <c r="AGR17" s="30">
        <f>AGQ17/992</f>
        <v>0</v>
      </c>
      <c r="AGS17" s="31"/>
      <c r="AGT17" s="5">
        <v>1.2</v>
      </c>
      <c r="AGU17" s="5"/>
      <c r="AGV17" s="5">
        <f>(AGN17+AGO17)-AGT17</f>
        <v>0.10000000000000009</v>
      </c>
      <c r="AGX17" s="30">
        <f>AGW17/992</f>
        <v>0</v>
      </c>
      <c r="AGY17" s="31"/>
      <c r="AGZ17" s="5">
        <v>0.5</v>
      </c>
      <c r="AHA17" s="5">
        <v>1</v>
      </c>
      <c r="AHB17" s="5">
        <f>(AGT17+AGU17)-AGZ17</f>
        <v>0.7</v>
      </c>
      <c r="AHD17" s="30">
        <f>AHC17/992</f>
        <v>0</v>
      </c>
      <c r="AHE17" s="31"/>
      <c r="AHF17" s="5">
        <v>1.3</v>
      </c>
      <c r="AHG17" s="5"/>
      <c r="AHH17" s="5">
        <f>(AGZ17+AHA17)-AHF17</f>
        <v>0.19999999999999996</v>
      </c>
      <c r="AHJ17" s="30">
        <f>AHI17/992</f>
        <v>0</v>
      </c>
      <c r="AHK17" s="31"/>
      <c r="AHL17" s="5">
        <v>1.2</v>
      </c>
      <c r="AHM17" s="5"/>
      <c r="AHN17" s="5">
        <f>(AHF17+AHG17)-AHL17</f>
        <v>0.10000000000000009</v>
      </c>
      <c r="AHP17" s="30">
        <f>AHO17/992</f>
        <v>0</v>
      </c>
      <c r="AHQ17" s="31"/>
      <c r="AHR17" s="5">
        <v>1.1000000000000001</v>
      </c>
      <c r="AHS17" s="5"/>
      <c r="AHT17" s="5">
        <f>(AHL17+AHM17)-AHR17</f>
        <v>9.9999999999999867E-2</v>
      </c>
      <c r="AHV17" s="30">
        <f>AHU17/992</f>
        <v>0</v>
      </c>
      <c r="AHW17" s="31"/>
      <c r="AHX17" s="5">
        <v>0.7</v>
      </c>
      <c r="AHY17" s="5"/>
      <c r="AHZ17" s="5">
        <f>(AHR17+AHS17)-AHX17</f>
        <v>0.40000000000000013</v>
      </c>
      <c r="AIB17" s="30">
        <f>AIA17/992</f>
        <v>0</v>
      </c>
      <c r="AIC17" s="31"/>
      <c r="AID17" s="5">
        <v>0.7</v>
      </c>
      <c r="AIE17" s="5"/>
      <c r="AIF17" s="5">
        <f>(AHX17+AHY17)-AID17</f>
        <v>0</v>
      </c>
      <c r="AIH17" s="30">
        <f>AIG17/992</f>
        <v>0</v>
      </c>
      <c r="AII17" s="31"/>
      <c r="AIJ17" s="5">
        <v>0.4</v>
      </c>
      <c r="AIK17" s="5">
        <v>1</v>
      </c>
      <c r="AIL17" s="5">
        <f>(AID17+AIE17)-AIJ17</f>
        <v>0.29999999999999993</v>
      </c>
      <c r="AIN17" s="30">
        <f>AIM17/992</f>
        <v>0</v>
      </c>
      <c r="AIO17" s="31"/>
      <c r="AIP17" s="5">
        <v>1.3</v>
      </c>
      <c r="AIQ17" s="5"/>
      <c r="AIR17" s="5">
        <f>(AIJ17+AIK17)-AIP17</f>
        <v>9.9999999999999867E-2</v>
      </c>
      <c r="AIT17" s="30">
        <f>AIS17/992</f>
        <v>0</v>
      </c>
      <c r="AIU17" s="31"/>
      <c r="AIV17" s="5">
        <v>1.3</v>
      </c>
      <c r="AIW17" s="5"/>
      <c r="AIX17" s="5">
        <f>(AIP17+AIQ17)-AIV17</f>
        <v>0</v>
      </c>
      <c r="AIZ17" s="30">
        <f>AIY17/992</f>
        <v>0</v>
      </c>
      <c r="AJA17" s="31"/>
      <c r="AJB17" s="5">
        <v>2</v>
      </c>
      <c r="AJC17" s="5"/>
      <c r="AJD17" s="5">
        <f>(AIV17+AIW17)-AJB17</f>
        <v>-0.7</v>
      </c>
      <c r="AJF17" s="30">
        <f>AJE17/992</f>
        <v>0</v>
      </c>
      <c r="AJG17" s="31"/>
      <c r="AJH17" s="5">
        <v>1.5</v>
      </c>
      <c r="AJI17" s="5"/>
      <c r="AJJ17" s="5">
        <f>(AJB17+AJC17)-AJH17</f>
        <v>0.5</v>
      </c>
      <c r="AJL17" s="30">
        <f>AJK17/992</f>
        <v>0</v>
      </c>
      <c r="AJM17" s="31"/>
      <c r="AJN17" s="5">
        <v>1.8</v>
      </c>
      <c r="AJO17" s="5"/>
      <c r="AJP17" s="5">
        <f>(AJH17+AJI17)-AJN17</f>
        <v>-0.30000000000000004</v>
      </c>
      <c r="AJR17" s="30">
        <f>AJQ17/992</f>
        <v>0</v>
      </c>
      <c r="AJS17" s="31"/>
      <c r="AJT17" s="5">
        <v>1.7</v>
      </c>
      <c r="AJU17" s="5"/>
      <c r="AJV17" s="5">
        <f>(AJN17+AJO17)-AJT17</f>
        <v>0.10000000000000009</v>
      </c>
      <c r="AJX17" s="30">
        <f>AJW17/992</f>
        <v>0</v>
      </c>
      <c r="AJY17" s="31"/>
      <c r="AJZ17" s="5">
        <v>1.1000000000000001</v>
      </c>
      <c r="AKA17" s="5"/>
      <c r="AKB17" s="5">
        <f>(AJT17+AJU17)-AJZ17</f>
        <v>0.59999999999999987</v>
      </c>
      <c r="AKD17" s="30">
        <f>AKC17/992</f>
        <v>0</v>
      </c>
      <c r="AKE17" s="31"/>
      <c r="AKF17" s="5">
        <v>1</v>
      </c>
      <c r="AKG17" s="5"/>
      <c r="AKH17" s="5">
        <f>(AJZ17+AKA17)-AKF17</f>
        <v>0.10000000000000009</v>
      </c>
      <c r="AKJ17" s="30">
        <f>AKI17/992</f>
        <v>0</v>
      </c>
      <c r="AKK17" s="31"/>
      <c r="AKL17" s="5">
        <v>0.5</v>
      </c>
      <c r="AKM17" s="5"/>
      <c r="AKN17" s="5">
        <f>(AKF17+AKG17)-AKL17</f>
        <v>0.5</v>
      </c>
      <c r="AKP17" s="30">
        <f>AKO17/992</f>
        <v>0</v>
      </c>
      <c r="AKQ17" s="31"/>
      <c r="AKR17" s="5"/>
      <c r="AKS17" s="5"/>
      <c r="AKT17" s="5">
        <f>(AKL17+AKM17)-AKR17</f>
        <v>0.5</v>
      </c>
      <c r="AKV17" s="30">
        <f>AKU17/992</f>
        <v>0</v>
      </c>
      <c r="AKW17" s="31"/>
      <c r="AKX17" s="5">
        <v>0.2</v>
      </c>
      <c r="AKY17" s="5"/>
      <c r="AKZ17" s="5">
        <f>(AKR17+AKS17)-AKX17</f>
        <v>-0.2</v>
      </c>
      <c r="ALB17" s="30">
        <f>ALA17/992</f>
        <v>0</v>
      </c>
      <c r="ALC17" s="31"/>
      <c r="ALD17" s="5">
        <v>0.1</v>
      </c>
      <c r="ALE17" s="5">
        <v>1</v>
      </c>
      <c r="ALF17" s="5">
        <f>(AKX17+AKY17)-ALD17</f>
        <v>0.1</v>
      </c>
      <c r="ALH17" s="30">
        <f>ALG17/992</f>
        <v>0</v>
      </c>
      <c r="ALI17" s="31"/>
      <c r="ALJ17" s="5">
        <v>1</v>
      </c>
      <c r="ALK17" s="5"/>
      <c r="ALL17" s="5">
        <f>(ALD17+ALE17)-ALJ17</f>
        <v>0.10000000000000009</v>
      </c>
      <c r="ALN17" s="30">
        <f>ALM17/992</f>
        <v>0</v>
      </c>
      <c r="ALO17" s="31"/>
      <c r="ALP17" s="5">
        <v>1</v>
      </c>
      <c r="ALQ17" s="5"/>
      <c r="ALR17" s="5">
        <f>(ALJ17+ALK17)-ALP17</f>
        <v>0</v>
      </c>
      <c r="ALT17" s="30">
        <f>ALS17/992</f>
        <v>0</v>
      </c>
      <c r="ALU17" s="31"/>
      <c r="ALV17" s="5">
        <v>0.7</v>
      </c>
      <c r="ALW17" s="5"/>
      <c r="ALX17" s="5">
        <f>(ALP17+ALQ17)-ALV17</f>
        <v>0.30000000000000004</v>
      </c>
      <c r="ALZ17" s="30">
        <f>ALY17/992</f>
        <v>0</v>
      </c>
      <c r="AMA17" s="31"/>
      <c r="AMB17" s="5">
        <v>0.5</v>
      </c>
      <c r="AMC17" s="5"/>
      <c r="AMD17" s="5">
        <f>(ALV17+ALW17)-AMB17</f>
        <v>0.19999999999999996</v>
      </c>
      <c r="AMF17" s="30">
        <f>AME17/992</f>
        <v>0</v>
      </c>
      <c r="AMG17" s="31"/>
      <c r="AMH17" s="5">
        <v>0.4</v>
      </c>
      <c r="AMI17" s="5">
        <v>1</v>
      </c>
      <c r="AMJ17" s="5">
        <f>(AMB17+AMC17)-AMH17</f>
        <v>9.9999999999999978E-2</v>
      </c>
      <c r="AML17" s="30">
        <f>AMK17/992</f>
        <v>0</v>
      </c>
      <c r="AMM17" s="31"/>
      <c r="AMN17" s="5">
        <v>1.1000000000000001</v>
      </c>
      <c r="AMO17" s="5"/>
      <c r="AMP17" s="5">
        <f>(AMH17+AMI17)-AMN17</f>
        <v>0.29999999999999982</v>
      </c>
      <c r="AMR17" s="30">
        <f>AMQ17/992</f>
        <v>0</v>
      </c>
      <c r="AMS17" s="31"/>
      <c r="AMT17" s="5">
        <v>1.1000000000000001</v>
      </c>
      <c r="AMU17" s="5"/>
      <c r="AMV17" s="5">
        <f>(AMN17+AMO17)-AMT17</f>
        <v>0</v>
      </c>
      <c r="AMX17" s="30">
        <f>AMW17/992</f>
        <v>0</v>
      </c>
      <c r="AMY17" s="31"/>
      <c r="AMZ17" s="5">
        <v>0.8</v>
      </c>
      <c r="ANA17" s="5"/>
      <c r="ANB17" s="5">
        <f>(AMT17+AMU17)-AMZ17</f>
        <v>0.30000000000000004</v>
      </c>
      <c r="AND17" s="30">
        <f>ANC17/992</f>
        <v>0</v>
      </c>
      <c r="ANE17" s="31"/>
      <c r="ANF17" s="5">
        <v>0.5</v>
      </c>
      <c r="ANG17" s="5">
        <v>1</v>
      </c>
      <c r="ANH17" s="5">
        <f>(AMZ17+ANA17)-ANF17</f>
        <v>0.30000000000000004</v>
      </c>
      <c r="ANJ17" s="30">
        <f>ANI17/992</f>
        <v>0</v>
      </c>
      <c r="ANK17" s="31"/>
      <c r="ANL17" s="5">
        <v>1.4</v>
      </c>
      <c r="ANM17" s="5"/>
      <c r="ANN17" s="5">
        <f>(ANF17+ANG17)-ANL17</f>
        <v>0.10000000000000009</v>
      </c>
      <c r="ANP17" s="30">
        <f>ANO17/992</f>
        <v>0</v>
      </c>
      <c r="ANQ17" s="31"/>
      <c r="ANR17" s="5">
        <v>1.3</v>
      </c>
      <c r="ANS17" s="5"/>
      <c r="ANT17" s="5">
        <f>(ANL17+ANM17)-ANR17</f>
        <v>9.9999999999999867E-2</v>
      </c>
      <c r="ANV17" s="30">
        <f>ANU17/992</f>
        <v>0</v>
      </c>
      <c r="ANW17" s="31"/>
      <c r="ANX17" s="5">
        <v>1.1000000000000001</v>
      </c>
      <c r="ANY17" s="5"/>
      <c r="ANZ17" s="5">
        <f>(ANR17+ANS17)-ANX17</f>
        <v>0.19999999999999996</v>
      </c>
      <c r="AOB17" s="30">
        <f>AOA17/992</f>
        <v>0</v>
      </c>
      <c r="AOC17" s="31"/>
      <c r="AOD17" s="5">
        <v>0.4</v>
      </c>
      <c r="AOE17" s="5">
        <v>1</v>
      </c>
      <c r="AOF17" s="5">
        <f>(ANX17+ANY17)-AOD17</f>
        <v>0.70000000000000007</v>
      </c>
      <c r="AOH17" s="30">
        <f>AOG17/992</f>
        <v>0</v>
      </c>
      <c r="AOI17" s="31"/>
      <c r="AOJ17" s="5">
        <v>1.4</v>
      </c>
      <c r="AOK17" s="5"/>
      <c r="AOL17" s="5">
        <f>(AOD17+AOE17)-AOJ17</f>
        <v>0</v>
      </c>
      <c r="AON17" s="30">
        <f>AOM17/992</f>
        <v>0</v>
      </c>
      <c r="AOO17" s="31"/>
      <c r="AOP17" s="5">
        <v>1.3</v>
      </c>
      <c r="AOQ17" s="5"/>
      <c r="AOR17" s="5">
        <f>(AOJ17+AOK17)-AOP17</f>
        <v>9.9999999999999867E-2</v>
      </c>
      <c r="AOT17" s="30">
        <f>AOS17/992</f>
        <v>0</v>
      </c>
      <c r="AOU17" s="31"/>
      <c r="AOV17" s="5">
        <v>1.4</v>
      </c>
      <c r="AOW17" s="5"/>
      <c r="AOX17" s="5">
        <f>(AOP17+AOQ17)-AOV17</f>
        <v>-9.9999999999999867E-2</v>
      </c>
      <c r="AOZ17" s="30">
        <f>AOY17/992</f>
        <v>0</v>
      </c>
    </row>
    <row r="18" spans="1:1024 1026:1092" x14ac:dyDescent="0.25">
      <c r="A18" s="3" t="s">
        <v>64</v>
      </c>
      <c r="B18" s="44">
        <f>AVERAGEIF($3:$3,"VAR",18:18)*2.5</f>
        <v>0.24378980709310849</v>
      </c>
      <c r="C18" s="44">
        <v>0.5</v>
      </c>
      <c r="E18" s="5">
        <v>0.8</v>
      </c>
      <c r="F18" s="5"/>
      <c r="H18" s="5">
        <v>0.6</v>
      </c>
      <c r="I18" s="5"/>
      <c r="J18" s="5">
        <f t="shared" ref="J18:J19" si="550">E18+F18-H18</f>
        <v>0.20000000000000007</v>
      </c>
      <c r="M18" s="31"/>
      <c r="N18" s="5">
        <v>0</v>
      </c>
      <c r="O18" s="5"/>
      <c r="P18" s="5">
        <f>(H18+I18)-N18</f>
        <v>0.6</v>
      </c>
      <c r="Q18" s="29"/>
      <c r="S18" s="31"/>
      <c r="T18" s="5">
        <v>0</v>
      </c>
      <c r="U18" s="5"/>
      <c r="V18" s="5">
        <f>(N18+O18)-T18</f>
        <v>0</v>
      </c>
      <c r="W18" s="29"/>
      <c r="Y18" s="31"/>
      <c r="Z18" s="5">
        <v>0</v>
      </c>
      <c r="AA18" s="5">
        <v>1</v>
      </c>
      <c r="AB18" s="5">
        <f>(T18+U18)-Z18</f>
        <v>0</v>
      </c>
      <c r="AC18" s="29"/>
      <c r="AE18" s="31"/>
      <c r="AF18" s="5">
        <v>0.9</v>
      </c>
      <c r="AG18" s="5"/>
      <c r="AH18" s="5">
        <f>(Z18+AA18)-AF18</f>
        <v>9.9999999999999978E-2</v>
      </c>
      <c r="AI18" s="29">
        <v>162</v>
      </c>
      <c r="AJ18" s="30">
        <f>AI18/1984</f>
        <v>8.165322580645161E-2</v>
      </c>
      <c r="AK18" s="31"/>
      <c r="AL18" s="5">
        <v>0.7</v>
      </c>
      <c r="AM18" s="5"/>
      <c r="AN18" s="5">
        <f>(AF18+AG18)-AL18</f>
        <v>0.20000000000000007</v>
      </c>
      <c r="AO18" s="29">
        <v>414</v>
      </c>
      <c r="AP18" s="30">
        <f>AO18/1984</f>
        <v>0.20866935483870969</v>
      </c>
      <c r="AQ18" s="31"/>
      <c r="AR18" s="5">
        <v>0.5</v>
      </c>
      <c r="AS18" s="5"/>
      <c r="AT18" s="5">
        <f>(AL18+AM18)-AR18</f>
        <v>0.19999999999999996</v>
      </c>
      <c r="AU18" s="29">
        <v>340</v>
      </c>
      <c r="AV18" s="30">
        <f>AU18/1984</f>
        <v>0.17137096774193547</v>
      </c>
      <c r="AW18" s="31"/>
      <c r="AX18" s="5">
        <v>0.1</v>
      </c>
      <c r="AY18" s="5"/>
      <c r="AZ18" s="5">
        <f>(AR18+AS18)-AX18</f>
        <v>0.4</v>
      </c>
      <c r="BA18" s="29">
        <v>450</v>
      </c>
      <c r="BB18" s="30">
        <f>BA18/1984</f>
        <v>0.22681451612903225</v>
      </c>
      <c r="BC18" s="31"/>
      <c r="BD18" s="5">
        <v>0</v>
      </c>
      <c r="BE18" s="5"/>
      <c r="BF18" s="5">
        <f>(AX18+AY18)-BD18</f>
        <v>0.1</v>
      </c>
      <c r="BG18" s="29"/>
      <c r="BH18" s="30">
        <f>BG18/1984</f>
        <v>0</v>
      </c>
      <c r="BI18" s="31"/>
      <c r="BJ18" s="5">
        <v>0</v>
      </c>
      <c r="BK18" s="5">
        <v>1</v>
      </c>
      <c r="BL18" s="5">
        <f>(BD18+BE18)-BJ18</f>
        <v>0</v>
      </c>
      <c r="BM18" s="29">
        <v>0</v>
      </c>
      <c r="BN18" s="30">
        <f>BM18/1984</f>
        <v>0</v>
      </c>
      <c r="BO18" s="31"/>
      <c r="BP18" s="5">
        <v>0.8</v>
      </c>
      <c r="BQ18" s="5">
        <v>1</v>
      </c>
      <c r="BR18" s="5">
        <f>(BJ18+BK18)-BP18</f>
        <v>0.19999999999999996</v>
      </c>
      <c r="BS18" s="29">
        <v>108</v>
      </c>
      <c r="BT18" s="30">
        <f>BS18/1984</f>
        <v>5.4435483870967742E-2</v>
      </c>
      <c r="BU18" s="31"/>
      <c r="BV18" s="5">
        <v>1.8</v>
      </c>
      <c r="BW18" s="5"/>
      <c r="BX18" s="5">
        <f>(BP18+BQ18)-BV18</f>
        <v>0</v>
      </c>
      <c r="BY18" s="29">
        <v>90</v>
      </c>
      <c r="BZ18" s="30">
        <f>BY18/1984</f>
        <v>4.5362903225806453E-2</v>
      </c>
      <c r="CA18" s="31"/>
      <c r="CB18" s="5">
        <v>1.5</v>
      </c>
      <c r="CC18" s="5"/>
      <c r="CD18" s="5">
        <f>(BV18+BW18)-CB18</f>
        <v>0.30000000000000004</v>
      </c>
      <c r="CF18" s="30">
        <f>CE18/1984</f>
        <v>0</v>
      </c>
      <c r="CG18" s="31"/>
      <c r="CH18" s="5">
        <v>1.8</v>
      </c>
      <c r="CI18" s="5"/>
      <c r="CJ18" s="5">
        <f>(CB18+CC18)-CH18</f>
        <v>-0.30000000000000004</v>
      </c>
      <c r="CK18" s="1">
        <v>162</v>
      </c>
      <c r="CL18" s="30">
        <f>CK18/1984</f>
        <v>8.165322580645161E-2</v>
      </c>
      <c r="CM18" s="31"/>
      <c r="CN18" s="5">
        <v>1.1000000000000001</v>
      </c>
      <c r="CO18" s="5"/>
      <c r="CP18" s="5">
        <f>(CH18+CI18)-CN18</f>
        <v>0.7</v>
      </c>
      <c r="CQ18" s="1">
        <v>594</v>
      </c>
      <c r="CR18" s="30">
        <f>CQ18/1984</f>
        <v>0.29939516129032256</v>
      </c>
      <c r="CS18" s="31"/>
      <c r="CT18" s="5">
        <v>0.8</v>
      </c>
      <c r="CU18" s="5">
        <v>1</v>
      </c>
      <c r="CV18" s="5">
        <f>(CN18+CO18)-CT18</f>
        <v>0.30000000000000004</v>
      </c>
      <c r="CX18" s="30">
        <f>CW18/1984</f>
        <v>0</v>
      </c>
      <c r="CY18" s="31"/>
      <c r="CZ18" s="5">
        <v>0.8</v>
      </c>
      <c r="DA18" s="5"/>
      <c r="DB18" s="5">
        <f>(CT18+CU18)-CZ18</f>
        <v>1</v>
      </c>
      <c r="DD18" s="30">
        <f>DC18/1984</f>
        <v>0</v>
      </c>
      <c r="DE18" s="31"/>
      <c r="DF18" s="5">
        <v>1.3</v>
      </c>
      <c r="DG18" s="5"/>
      <c r="DH18" s="5">
        <f>(CZ18+DA18)-DF18</f>
        <v>-0.5</v>
      </c>
      <c r="DJ18" s="30">
        <f>DI18/1984</f>
        <v>0</v>
      </c>
      <c r="DK18" s="31"/>
      <c r="DL18" s="5">
        <v>0.5</v>
      </c>
      <c r="DM18" s="5"/>
      <c r="DN18" s="5">
        <f>(DF18+DG18)-DL18</f>
        <v>0.8</v>
      </c>
      <c r="DP18" s="30">
        <f>DO18/1984</f>
        <v>0</v>
      </c>
      <c r="DQ18" s="31"/>
      <c r="DR18" s="5">
        <v>0.8</v>
      </c>
      <c r="DS18" s="5"/>
      <c r="DT18" s="5">
        <f>(DL18+DM18)-DR18</f>
        <v>-0.30000000000000004</v>
      </c>
      <c r="DV18" s="30">
        <f>DU18/1984</f>
        <v>0</v>
      </c>
      <c r="DW18" s="31"/>
      <c r="DX18" s="5">
        <v>0.6</v>
      </c>
      <c r="DY18" s="5"/>
      <c r="DZ18" s="5">
        <f>(DR18+DS18)-DX18</f>
        <v>0.20000000000000007</v>
      </c>
      <c r="EA18" s="1">
        <v>484</v>
      </c>
      <c r="EB18" s="30">
        <f>EA18/1984</f>
        <v>0.24395161290322581</v>
      </c>
      <c r="EC18" s="31"/>
      <c r="ED18" s="5">
        <v>0.5</v>
      </c>
      <c r="EE18" s="5">
        <v>1</v>
      </c>
      <c r="EF18" s="5">
        <f>(DX18+DY18)-ED18</f>
        <v>9.9999999999999978E-2</v>
      </c>
      <c r="EG18" s="1">
        <v>196</v>
      </c>
      <c r="EH18" s="30">
        <f>EG18/1984</f>
        <v>9.8790322580645157E-2</v>
      </c>
      <c r="EI18" s="31"/>
      <c r="EJ18" s="5">
        <v>1.2</v>
      </c>
      <c r="EK18" s="5"/>
      <c r="EL18" s="5">
        <f>(ED18+EE18)-EJ18</f>
        <v>0.30000000000000004</v>
      </c>
      <c r="EM18" s="1">
        <v>432</v>
      </c>
      <c r="EN18" s="30">
        <f>EM18/1984</f>
        <v>0.21774193548387097</v>
      </c>
      <c r="EO18" s="31"/>
      <c r="EP18" s="5">
        <v>1</v>
      </c>
      <c r="EQ18" s="5"/>
      <c r="ER18" s="5">
        <f>(EJ18+EK18)-EP18</f>
        <v>0.19999999999999996</v>
      </c>
      <c r="ES18" s="1">
        <v>162</v>
      </c>
      <c r="ET18" s="30">
        <f>ES18/1984</f>
        <v>8.165322580645161E-2</v>
      </c>
      <c r="EU18" s="31"/>
      <c r="EV18" s="5">
        <v>0.8</v>
      </c>
      <c r="EW18" s="5"/>
      <c r="EX18" s="5">
        <f>(EP18+EQ18)-EV18</f>
        <v>0.19999999999999996</v>
      </c>
      <c r="EY18" s="1">
        <v>414</v>
      </c>
      <c r="EZ18" s="30">
        <f>EY18/1984</f>
        <v>0.20866935483870969</v>
      </c>
      <c r="FA18" s="31"/>
      <c r="FB18" s="5">
        <v>0.7</v>
      </c>
      <c r="FC18" s="5"/>
      <c r="FD18" s="5">
        <f>(EV18+EW18)-FB18</f>
        <v>0.10000000000000009</v>
      </c>
      <c r="FE18" s="1">
        <v>162</v>
      </c>
      <c r="FF18" s="30">
        <f>FE18/1984</f>
        <v>8.165322580645161E-2</v>
      </c>
      <c r="FG18" s="31"/>
      <c r="FH18" s="5">
        <v>0.6</v>
      </c>
      <c r="FI18" s="5"/>
      <c r="FJ18" s="5">
        <f>(FB18+FC18)-FH18</f>
        <v>9.9999999999999978E-2</v>
      </c>
      <c r="FK18" s="1">
        <v>108</v>
      </c>
      <c r="FL18" s="30">
        <f>FK18/1984</f>
        <v>5.4435483870967742E-2</v>
      </c>
      <c r="FM18" s="31"/>
      <c r="FN18" s="5">
        <v>0.4</v>
      </c>
      <c r="FO18" s="5"/>
      <c r="FP18" s="5">
        <f>(FH18+FI18)-FN18</f>
        <v>0.19999999999999996</v>
      </c>
      <c r="FQ18" s="1">
        <v>288</v>
      </c>
      <c r="FR18" s="30">
        <f>FQ18/1984</f>
        <v>0.14516129032258066</v>
      </c>
      <c r="FS18" s="31"/>
      <c r="FT18" s="5">
        <v>0.3</v>
      </c>
      <c r="FU18" s="5"/>
      <c r="FV18" s="5">
        <f>(FN18+FO18)-FT18</f>
        <v>0.10000000000000003</v>
      </c>
      <c r="FW18" s="1">
        <v>212</v>
      </c>
      <c r="FX18" s="30">
        <f>FW18/1984</f>
        <v>0.10685483870967742</v>
      </c>
      <c r="FY18" s="31"/>
      <c r="FZ18" s="5">
        <v>0.3</v>
      </c>
      <c r="GA18" s="5">
        <v>1</v>
      </c>
      <c r="GB18" s="5">
        <f>(FT18+FU18)-FZ18</f>
        <v>0</v>
      </c>
      <c r="GC18" s="1">
        <v>162</v>
      </c>
      <c r="GD18" s="30">
        <f>GC18/1984</f>
        <v>8.165322580645161E-2</v>
      </c>
      <c r="GE18" s="31"/>
      <c r="GF18" s="5">
        <v>0.9</v>
      </c>
      <c r="GG18" s="5"/>
      <c r="GH18" s="5">
        <f>(FZ18+GA18)-GF18</f>
        <v>0.4</v>
      </c>
      <c r="GI18" s="1">
        <v>505</v>
      </c>
      <c r="GJ18" s="30">
        <f>GI18/1984</f>
        <v>0.25453629032258063</v>
      </c>
      <c r="GK18" s="31"/>
      <c r="GL18" s="5">
        <v>0.5</v>
      </c>
      <c r="GM18" s="5">
        <v>1</v>
      </c>
      <c r="GN18" s="5">
        <f>(GF18+GG18)-GL18</f>
        <v>0.4</v>
      </c>
      <c r="GO18" s="1">
        <v>668</v>
      </c>
      <c r="GP18" s="30">
        <f>GO18/1984</f>
        <v>0.33669354838709675</v>
      </c>
      <c r="GQ18" s="31"/>
      <c r="GR18" s="5">
        <v>1.2</v>
      </c>
      <c r="GS18" s="5"/>
      <c r="GT18" s="5">
        <f>(GL18+GM18)-GR18</f>
        <v>0.30000000000000004</v>
      </c>
      <c r="GU18" s="1">
        <v>397</v>
      </c>
      <c r="GV18" s="30">
        <f>GU18/1984</f>
        <v>0.20010080645161291</v>
      </c>
      <c r="GW18" s="31"/>
      <c r="GX18" s="5">
        <v>0.8</v>
      </c>
      <c r="GY18" s="5"/>
      <c r="GZ18" s="5">
        <f>(GR18+GS18)-GX18</f>
        <v>0.39999999999999991</v>
      </c>
      <c r="HA18" s="1">
        <v>288</v>
      </c>
      <c r="HB18" s="30">
        <f>HA18/1984</f>
        <v>0.14516129032258066</v>
      </c>
      <c r="HC18" s="31"/>
      <c r="HD18" s="5">
        <v>0.8</v>
      </c>
      <c r="HE18" s="5"/>
      <c r="HF18" s="5">
        <f>(GX18+GY18)-HD18</f>
        <v>0</v>
      </c>
      <c r="HG18" s="1">
        <v>236</v>
      </c>
      <c r="HH18" s="30">
        <f>HG18/1984</f>
        <v>0.11895161290322581</v>
      </c>
      <c r="HI18" s="31"/>
      <c r="HJ18" s="5">
        <v>0.5</v>
      </c>
      <c r="HK18" s="5">
        <v>1</v>
      </c>
      <c r="HL18" s="5">
        <f>(HD18+HE18)-HJ18</f>
        <v>0.30000000000000004</v>
      </c>
      <c r="HM18" s="1">
        <v>702</v>
      </c>
      <c r="HN18" s="30">
        <f>HM18/1984</f>
        <v>0.35383064516129031</v>
      </c>
      <c r="HO18" s="31"/>
      <c r="HP18" s="45">
        <v>0.2</v>
      </c>
      <c r="HQ18" s="5"/>
      <c r="HR18" s="5">
        <f>(HJ18+HK18)-HP18</f>
        <v>1.3</v>
      </c>
      <c r="HS18" s="1">
        <v>252</v>
      </c>
      <c r="HT18" s="30">
        <f>HS18/1984</f>
        <v>0.12701612903225806</v>
      </c>
      <c r="HU18" s="31"/>
      <c r="HV18" s="45">
        <v>0.9</v>
      </c>
      <c r="HW18" s="5"/>
      <c r="HX18" s="5">
        <f>(HP18+HQ18)-HV18</f>
        <v>-0.7</v>
      </c>
      <c r="HY18" s="1">
        <v>252</v>
      </c>
      <c r="HZ18" s="30">
        <f>HY18/1984</f>
        <v>0.12701612903225806</v>
      </c>
      <c r="IA18" s="31"/>
      <c r="IB18" s="45">
        <v>0.9</v>
      </c>
      <c r="IC18" s="5"/>
      <c r="ID18" s="5">
        <f>(HV18+HW18)-IB18</f>
        <v>0</v>
      </c>
      <c r="IE18" s="1">
        <v>630</v>
      </c>
      <c r="IF18" s="30">
        <f>IE18/1984</f>
        <v>0.31754032258064518</v>
      </c>
      <c r="IG18" s="31"/>
      <c r="IH18" s="45">
        <v>0.9</v>
      </c>
      <c r="II18" s="5"/>
      <c r="IJ18" s="5">
        <f>(IB18+IC18)-IH18</f>
        <v>0</v>
      </c>
      <c r="IK18" s="1">
        <v>414</v>
      </c>
      <c r="IL18" s="30">
        <f>IK18/1984</f>
        <v>0.20866935483870969</v>
      </c>
      <c r="IM18" s="31"/>
      <c r="IN18" s="45">
        <v>0.4</v>
      </c>
      <c r="IO18" s="5"/>
      <c r="IP18" s="5">
        <f>(IH18+II18)-IN18</f>
        <v>0.5</v>
      </c>
      <c r="IQ18" s="1">
        <v>342</v>
      </c>
      <c r="IR18" s="30">
        <f>IQ18/1984</f>
        <v>0.17237903225806453</v>
      </c>
      <c r="IS18" s="31"/>
      <c r="IT18" s="5"/>
      <c r="IU18" s="5">
        <v>1</v>
      </c>
      <c r="IV18" s="5">
        <f>(IN18+IO18)-IT18</f>
        <v>0.4</v>
      </c>
      <c r="IW18" s="1">
        <v>290</v>
      </c>
      <c r="IX18" s="30">
        <f>IW18/1984</f>
        <v>0.14616935483870969</v>
      </c>
      <c r="IY18" s="31"/>
      <c r="IZ18" s="5">
        <v>0.9</v>
      </c>
      <c r="JA18" s="5"/>
      <c r="JB18" s="5">
        <f>(IT18+IU18)-IZ18</f>
        <v>9.9999999999999978E-2</v>
      </c>
      <c r="JC18" s="1">
        <v>162</v>
      </c>
      <c r="JD18" s="30">
        <f>JC18/1984</f>
        <v>8.165322580645161E-2</v>
      </c>
      <c r="JE18" s="31"/>
      <c r="JF18" s="5">
        <v>0.7</v>
      </c>
      <c r="JG18" s="5"/>
      <c r="JH18" s="5">
        <f>(IZ18+JA18)-JF18</f>
        <v>0.20000000000000007</v>
      </c>
      <c r="JI18" s="1">
        <v>450</v>
      </c>
      <c r="JJ18" s="30">
        <f>JI18/1984</f>
        <v>0.22681451612903225</v>
      </c>
      <c r="JK18" s="31"/>
      <c r="JL18" s="5">
        <v>0.2</v>
      </c>
      <c r="JM18" s="5"/>
      <c r="JN18" s="5">
        <f>(JF18+JG18)-JL18</f>
        <v>0.49999999999999994</v>
      </c>
      <c r="JO18" s="1">
        <v>487</v>
      </c>
      <c r="JP18" s="30">
        <f>JO18/1984</f>
        <v>0.24546370967741934</v>
      </c>
      <c r="JQ18" s="31"/>
      <c r="JR18" s="5">
        <v>0.2</v>
      </c>
      <c r="JS18" s="5">
        <v>1</v>
      </c>
      <c r="JT18" s="5">
        <f>(JL18+JM18)-JR18</f>
        <v>0</v>
      </c>
      <c r="JU18" s="1">
        <v>252</v>
      </c>
      <c r="JV18" s="30">
        <f>JU18/1984</f>
        <v>0.12701612903225806</v>
      </c>
      <c r="JW18" s="31"/>
      <c r="JX18" s="5">
        <v>0.9</v>
      </c>
      <c r="JY18" s="5"/>
      <c r="JZ18" s="5">
        <f>(JR18+JS18)-JX18</f>
        <v>0.29999999999999993</v>
      </c>
      <c r="KA18" s="1">
        <v>486</v>
      </c>
      <c r="KB18" s="30">
        <f>KA18/1984</f>
        <v>0.24495967741935484</v>
      </c>
      <c r="KC18" s="31"/>
      <c r="KD18" s="5">
        <v>0.6</v>
      </c>
      <c r="KE18" s="5"/>
      <c r="KF18" s="5">
        <f>(JX18+JY18)-KD18</f>
        <v>0.30000000000000004</v>
      </c>
      <c r="KG18" s="1">
        <v>216</v>
      </c>
      <c r="KH18" s="30">
        <f>KG18/1984</f>
        <v>0.10887096774193548</v>
      </c>
      <c r="KI18" s="31"/>
      <c r="KJ18" s="5">
        <v>0.9</v>
      </c>
      <c r="KK18" s="5"/>
      <c r="KL18" s="5">
        <f>(KD18+KE18)-KJ18</f>
        <v>-0.30000000000000004</v>
      </c>
      <c r="KM18" s="1">
        <v>378</v>
      </c>
      <c r="KN18" s="30">
        <f>KM18/1984</f>
        <v>0.19052419354838709</v>
      </c>
      <c r="KO18" s="31"/>
      <c r="KP18" s="5">
        <v>0.4</v>
      </c>
      <c r="KQ18" s="5">
        <v>1</v>
      </c>
      <c r="KR18" s="5">
        <f>(KJ18+KK18)-KP18</f>
        <v>0.5</v>
      </c>
      <c r="KS18" s="1">
        <v>506</v>
      </c>
      <c r="KT18" s="30">
        <f>KS18/1984</f>
        <v>0.25504032258064518</v>
      </c>
      <c r="KU18" s="31"/>
      <c r="KV18" s="5">
        <v>1.3</v>
      </c>
      <c r="KW18" s="5"/>
      <c r="KX18" s="5">
        <f>(KP18+KQ18)-KV18</f>
        <v>9.9999999999999867E-2</v>
      </c>
      <c r="KY18" s="1">
        <v>432</v>
      </c>
      <c r="KZ18" s="30">
        <f>KY18/1984</f>
        <v>0.21774193548387097</v>
      </c>
      <c r="LA18" s="31"/>
      <c r="LB18" s="5">
        <v>0.6</v>
      </c>
      <c r="LC18" s="5"/>
      <c r="LD18" s="5">
        <f>(KV18+KW18)-LB18</f>
        <v>0.70000000000000007</v>
      </c>
      <c r="LE18" s="1">
        <v>397</v>
      </c>
      <c r="LF18" s="30">
        <f>LE18/1984</f>
        <v>0.20010080645161291</v>
      </c>
      <c r="LG18" s="31"/>
      <c r="LH18" s="5">
        <v>0.6</v>
      </c>
      <c r="LI18" s="5"/>
      <c r="LJ18" s="5">
        <f>(LB18+LC18)-LH18</f>
        <v>0</v>
      </c>
      <c r="LK18" s="1">
        <v>270</v>
      </c>
      <c r="LL18" s="30">
        <f>LK18/1984</f>
        <v>0.13608870967741934</v>
      </c>
      <c r="LM18" s="31"/>
      <c r="LN18" s="5">
        <v>0.4</v>
      </c>
      <c r="LO18" s="5">
        <v>1</v>
      </c>
      <c r="LP18" s="5">
        <f>(LH18+LI18)-LN18</f>
        <v>0.19999999999999996</v>
      </c>
      <c r="LQ18" s="1">
        <v>306</v>
      </c>
      <c r="LR18" s="30">
        <f>LQ18/1984</f>
        <v>0.15423387096774194</v>
      </c>
      <c r="LS18" s="31"/>
      <c r="LT18" s="5">
        <v>1.3</v>
      </c>
      <c r="LU18" s="5"/>
      <c r="LV18" s="5">
        <f>(LN18+LO18)-LT18</f>
        <v>9.9999999999999867E-2</v>
      </c>
      <c r="LW18" s="1">
        <v>469</v>
      </c>
      <c r="LX18" s="30">
        <f>LW18/1984</f>
        <v>0.23639112903225806</v>
      </c>
      <c r="LY18" s="31"/>
      <c r="LZ18" s="5">
        <v>1.3</v>
      </c>
      <c r="MA18" s="5"/>
      <c r="MB18" s="5">
        <f>(LT18+LU18)-LZ18</f>
        <v>0</v>
      </c>
      <c r="MC18" s="1">
        <v>324</v>
      </c>
      <c r="MD18" s="30">
        <f>MC18/1984</f>
        <v>0.16330645161290322</v>
      </c>
      <c r="ME18" s="31"/>
      <c r="MF18" s="5">
        <v>0.9</v>
      </c>
      <c r="MG18" s="5"/>
      <c r="MH18" s="5">
        <f>(LZ18+MA18)-MF18</f>
        <v>0.4</v>
      </c>
      <c r="MJ18" s="30">
        <f>MI18/1984</f>
        <v>0</v>
      </c>
      <c r="MK18" s="31"/>
      <c r="ML18" s="5">
        <v>0.9</v>
      </c>
      <c r="MM18" s="5"/>
      <c r="MN18" s="5">
        <f>(MF18+MG18)-ML18</f>
        <v>0</v>
      </c>
      <c r="MO18" s="1">
        <v>108</v>
      </c>
      <c r="MP18" s="30">
        <f>MO18/1984</f>
        <v>5.4435483870967742E-2</v>
      </c>
      <c r="MQ18" s="31"/>
      <c r="MR18" s="5">
        <v>0.8</v>
      </c>
      <c r="MS18" s="5"/>
      <c r="MT18" s="5">
        <f>(ML18+MM18)-MR18</f>
        <v>9.9999999999999978E-2</v>
      </c>
      <c r="MV18" s="30">
        <f>MU18/1984</f>
        <v>0</v>
      </c>
      <c r="MW18" s="31"/>
      <c r="MX18" s="5">
        <v>0.7</v>
      </c>
      <c r="MY18" s="5">
        <v>1</v>
      </c>
      <c r="MZ18" s="5">
        <f>(MR18+MS18)-MX18</f>
        <v>0.10000000000000009</v>
      </c>
      <c r="NA18" s="1">
        <v>306</v>
      </c>
      <c r="NB18" s="30">
        <f>NA18/1984</f>
        <v>0.15423387096774194</v>
      </c>
      <c r="NC18" s="31"/>
      <c r="ND18" s="5">
        <v>1.3</v>
      </c>
      <c r="NE18" s="5"/>
      <c r="NF18" s="5">
        <f>(MX18+MY18)-ND18</f>
        <v>0.39999999999999991</v>
      </c>
      <c r="NH18" s="30">
        <f>NG18/1984</f>
        <v>0</v>
      </c>
      <c r="NI18" s="31"/>
      <c r="NJ18" s="5">
        <v>1.3</v>
      </c>
      <c r="NK18" s="5"/>
      <c r="NL18" s="5">
        <f>(ND18+NE18)-NJ18</f>
        <v>0</v>
      </c>
      <c r="NM18" s="1">
        <v>253</v>
      </c>
      <c r="NN18" s="30">
        <f>NM18/1984</f>
        <v>0.12752016129032259</v>
      </c>
      <c r="NO18" s="31"/>
      <c r="NP18" s="5">
        <v>1.1000000000000001</v>
      </c>
      <c r="NQ18" s="5"/>
      <c r="NR18" s="5">
        <f>(NJ18+NK18)-NP18</f>
        <v>0.19999999999999996</v>
      </c>
      <c r="NS18" s="1">
        <v>360</v>
      </c>
      <c r="NT18" s="30">
        <f>NS18/1984</f>
        <v>0.18145161290322581</v>
      </c>
      <c r="NU18" s="31"/>
      <c r="NV18" s="5">
        <v>0.9</v>
      </c>
      <c r="NW18" s="5"/>
      <c r="NX18" s="5">
        <f>(NP18+NQ18)-NV18</f>
        <v>0.20000000000000007</v>
      </c>
      <c r="NY18" s="1">
        <v>144</v>
      </c>
      <c r="NZ18" s="30">
        <f>NY18/1984</f>
        <v>7.2580645161290328E-2</v>
      </c>
      <c r="OA18" s="31"/>
      <c r="OB18" s="5">
        <v>0.9</v>
      </c>
      <c r="OC18" s="5"/>
      <c r="OD18" s="5">
        <f>(NV18+NW18)-OB18</f>
        <v>0</v>
      </c>
      <c r="OF18" s="30">
        <f>OE18/1984</f>
        <v>0</v>
      </c>
      <c r="OG18" s="31"/>
      <c r="OH18" s="5">
        <v>0.8</v>
      </c>
      <c r="OI18" s="5">
        <v>1</v>
      </c>
      <c r="OJ18" s="5">
        <f>(OB18+OC18)-OH18</f>
        <v>9.9999999999999978E-2</v>
      </c>
      <c r="OK18" s="1">
        <v>379</v>
      </c>
      <c r="OL18" s="30">
        <f>OK18/1984</f>
        <v>0.19102822580645162</v>
      </c>
      <c r="OM18" s="31"/>
      <c r="ON18" s="5">
        <v>1.5</v>
      </c>
      <c r="OO18" s="5"/>
      <c r="OP18" s="5">
        <f>(OH18+OI18)-ON18</f>
        <v>0.30000000000000004</v>
      </c>
      <c r="OR18" s="30">
        <f>OQ18/1984</f>
        <v>0</v>
      </c>
      <c r="OS18" s="31"/>
      <c r="OT18" s="5">
        <v>1.2</v>
      </c>
      <c r="OU18" s="5"/>
      <c r="OV18" s="5">
        <f>(ON18+OO18)-OT18</f>
        <v>0.30000000000000004</v>
      </c>
      <c r="OW18" s="1">
        <v>306</v>
      </c>
      <c r="OX18" s="30">
        <f>OW18/1984</f>
        <v>0.15423387096774194</v>
      </c>
      <c r="OY18" s="31"/>
      <c r="OZ18" s="5">
        <v>1.1000000000000001</v>
      </c>
      <c r="PA18" s="5"/>
      <c r="PB18" s="5">
        <f>(OT18+OU18)-OZ18</f>
        <v>9.9999999999999867E-2</v>
      </c>
      <c r="PC18" s="1">
        <v>288</v>
      </c>
      <c r="PD18" s="30">
        <f>PC18/1984</f>
        <v>0.14516129032258066</v>
      </c>
      <c r="PE18" s="31"/>
      <c r="PF18" s="5">
        <v>0.9</v>
      </c>
      <c r="PG18" s="5"/>
      <c r="PH18" s="5">
        <f>(OZ18+PA18)-PF18</f>
        <v>0.20000000000000007</v>
      </c>
      <c r="PI18" s="1">
        <v>252</v>
      </c>
      <c r="PJ18" s="30">
        <f>PI18/1984</f>
        <v>0.12701612903225806</v>
      </c>
      <c r="PK18" s="31"/>
      <c r="PL18" s="5">
        <v>0.8</v>
      </c>
      <c r="PM18" s="5"/>
      <c r="PN18" s="5">
        <f>(PF18+PG18)-PL18</f>
        <v>9.9999999999999978E-2</v>
      </c>
      <c r="PP18" s="30">
        <f>PO18/1984</f>
        <v>0</v>
      </c>
      <c r="PQ18" s="31"/>
      <c r="PR18" s="5">
        <v>0.9</v>
      </c>
      <c r="PS18" s="5"/>
      <c r="PT18" s="5">
        <f>(PL18+PM18)-PR18</f>
        <v>-9.9999999999999978E-2</v>
      </c>
      <c r="PU18" s="1">
        <v>126</v>
      </c>
      <c r="PV18" s="30">
        <f>PU18/1984</f>
        <v>6.3508064516129031E-2</v>
      </c>
      <c r="PW18" s="31"/>
      <c r="PX18" s="5">
        <v>0.5</v>
      </c>
      <c r="PY18" s="5"/>
      <c r="PZ18" s="5">
        <f>(PR18+PS18)-PX18</f>
        <v>0.4</v>
      </c>
      <c r="QA18" s="1">
        <v>632</v>
      </c>
      <c r="QB18" s="30">
        <f>QA18/1984</f>
        <v>0.31854838709677419</v>
      </c>
      <c r="QC18" s="31"/>
      <c r="QD18" s="5">
        <v>0.2</v>
      </c>
      <c r="QE18" s="5">
        <v>1</v>
      </c>
      <c r="QF18" s="5">
        <f>(PX18+PY18)-QD18</f>
        <v>0.3</v>
      </c>
      <c r="QG18" s="1">
        <v>360</v>
      </c>
      <c r="QH18" s="30">
        <f>QG18/1984</f>
        <v>0.18145161290322581</v>
      </c>
      <c r="QI18" s="31"/>
      <c r="QJ18" s="5">
        <v>1.2</v>
      </c>
      <c r="QK18" s="5"/>
      <c r="QL18" s="5">
        <f>(QD18+QE18)-QJ18</f>
        <v>0</v>
      </c>
      <c r="QN18" s="30">
        <f>QM18/1984</f>
        <v>0</v>
      </c>
      <c r="QO18" s="31"/>
      <c r="QP18" s="5">
        <v>0.9</v>
      </c>
      <c r="QQ18" s="5"/>
      <c r="QR18" s="5">
        <f>(QJ18+QK18)-QP18</f>
        <v>0.29999999999999993</v>
      </c>
      <c r="QS18" s="1">
        <v>378</v>
      </c>
      <c r="QT18" s="30">
        <f>QS18/1984</f>
        <v>0.19052419354838709</v>
      </c>
      <c r="QU18" s="31"/>
      <c r="QV18" s="5">
        <v>0.9</v>
      </c>
      <c r="QW18" s="5"/>
      <c r="QX18" s="5">
        <f>(QP18+QQ18)-QV18</f>
        <v>0</v>
      </c>
      <c r="QY18" s="1">
        <v>576</v>
      </c>
      <c r="QZ18" s="30">
        <f>QY18/1984</f>
        <v>0.29032258064516131</v>
      </c>
      <c r="RA18" s="31"/>
      <c r="RB18" s="5">
        <v>0.6</v>
      </c>
      <c r="RC18" s="5">
        <v>1</v>
      </c>
      <c r="RD18" s="5">
        <f>(QV18+QW18)-RB18</f>
        <v>0.30000000000000004</v>
      </c>
      <c r="RF18" s="30">
        <f>RE18/1984</f>
        <v>0</v>
      </c>
      <c r="RG18" s="31"/>
      <c r="RH18" s="5">
        <v>0.1</v>
      </c>
      <c r="RI18" s="5">
        <v>1</v>
      </c>
      <c r="RJ18" s="5">
        <f>(RB18+RC18)-RH18</f>
        <v>1.5</v>
      </c>
      <c r="RL18" s="30">
        <f>RK18/1984</f>
        <v>0</v>
      </c>
      <c r="RM18" s="31"/>
      <c r="RN18" s="5">
        <v>0.8</v>
      </c>
      <c r="RO18" s="5">
        <v>1</v>
      </c>
      <c r="RP18" s="5">
        <f>(RH18+RI18)-RN18</f>
        <v>0.30000000000000004</v>
      </c>
      <c r="RQ18" s="1">
        <v>342</v>
      </c>
      <c r="RR18" s="30">
        <f>RQ18/1984</f>
        <v>0.17237903225806453</v>
      </c>
      <c r="RS18" s="31"/>
      <c r="RT18" s="5">
        <v>1.7</v>
      </c>
      <c r="RU18" s="5"/>
      <c r="RV18" s="5">
        <f>(RN18+RO18)-RT18</f>
        <v>0.10000000000000009</v>
      </c>
      <c r="RW18" s="1">
        <v>361</v>
      </c>
      <c r="RX18" s="30">
        <f>RW18/1984</f>
        <v>0.18195564516129031</v>
      </c>
      <c r="RY18" s="31"/>
      <c r="RZ18" s="5">
        <v>1.6</v>
      </c>
      <c r="SA18" s="5"/>
      <c r="SB18" s="5">
        <f>(RT18+RU18)-RZ18</f>
        <v>9.9999999999999867E-2</v>
      </c>
      <c r="SC18" s="1">
        <v>360</v>
      </c>
      <c r="SD18" s="30">
        <f>SC18/1984</f>
        <v>0.18145161290322581</v>
      </c>
      <c r="SE18" s="31"/>
      <c r="SF18" s="5">
        <v>1.2</v>
      </c>
      <c r="SG18" s="5"/>
      <c r="SH18" s="5">
        <f>(RZ18+SA18)-SF18</f>
        <v>0.40000000000000013</v>
      </c>
      <c r="SI18" s="1">
        <v>144</v>
      </c>
      <c r="SJ18" s="30">
        <f>SI18/1984</f>
        <v>7.2580645161290328E-2</v>
      </c>
      <c r="SK18" s="31"/>
      <c r="SL18" s="5">
        <v>0.9</v>
      </c>
      <c r="SM18" s="5"/>
      <c r="SN18" s="5">
        <f>(SF18+SG18)-SL18</f>
        <v>0.29999999999999993</v>
      </c>
      <c r="SO18" s="1">
        <v>612</v>
      </c>
      <c r="SP18" s="30">
        <f>SO18/1984</f>
        <v>0.30846774193548387</v>
      </c>
      <c r="SQ18" s="31"/>
      <c r="SR18" s="5">
        <v>0.9</v>
      </c>
      <c r="SS18" s="5"/>
      <c r="ST18" s="5">
        <f>(SL18+SM18)-SR18</f>
        <v>0</v>
      </c>
      <c r="SU18" s="1">
        <v>540</v>
      </c>
      <c r="SV18" s="30">
        <f>SU18/1984</f>
        <v>0.27217741935483869</v>
      </c>
      <c r="SW18" s="31"/>
      <c r="SX18" s="5">
        <v>0.8</v>
      </c>
      <c r="SY18" s="5">
        <v>1</v>
      </c>
      <c r="SZ18" s="5">
        <f>(SR18+SS18)-SX18</f>
        <v>9.9999999999999978E-2</v>
      </c>
      <c r="TA18" s="1">
        <v>198</v>
      </c>
      <c r="TB18" s="30">
        <f>TA18/1984</f>
        <v>9.9798387096774188E-2</v>
      </c>
      <c r="TC18" s="31"/>
      <c r="TD18" s="5">
        <v>1.1000000000000001</v>
      </c>
      <c r="TE18" s="5"/>
      <c r="TF18" s="5">
        <f>(SX18+SY18)-TD18</f>
        <v>0.7</v>
      </c>
      <c r="TG18" s="1">
        <v>342</v>
      </c>
      <c r="TH18" s="30">
        <f>TG18/1984</f>
        <v>0.17237903225806453</v>
      </c>
      <c r="TI18" s="31"/>
      <c r="TJ18" s="5">
        <v>0.6</v>
      </c>
      <c r="TK18" s="5"/>
      <c r="TL18" s="5">
        <f>(TD18+TE18)-TJ18</f>
        <v>0.50000000000000011</v>
      </c>
      <c r="TM18" s="1">
        <v>487</v>
      </c>
      <c r="TN18" s="30">
        <f>TM18/1984</f>
        <v>0.24546370967741934</v>
      </c>
      <c r="TO18" s="31"/>
      <c r="TP18" s="5">
        <v>0.5</v>
      </c>
      <c r="TQ18" s="5"/>
      <c r="TR18" s="5">
        <f>(TJ18+TK18)-TP18</f>
        <v>9.9999999999999978E-2</v>
      </c>
      <c r="TT18" s="30">
        <f>TS18/1984</f>
        <v>0</v>
      </c>
      <c r="TU18" s="31"/>
      <c r="TV18" s="5">
        <v>0.2</v>
      </c>
      <c r="TW18" s="5">
        <v>1</v>
      </c>
      <c r="TX18" s="5">
        <f>(TP18+TQ18)-TV18</f>
        <v>0.3</v>
      </c>
      <c r="TY18" s="1">
        <v>126</v>
      </c>
      <c r="TZ18" s="30">
        <f>TY18/1984</f>
        <v>6.3508064516129031E-2</v>
      </c>
      <c r="UA18" s="31"/>
      <c r="UB18" s="5">
        <v>1.2</v>
      </c>
      <c r="UC18" s="5"/>
      <c r="UD18" s="5">
        <f>(TV18+TW18)-UB18</f>
        <v>0</v>
      </c>
      <c r="UF18" s="30">
        <f>UE18/1984</f>
        <v>0</v>
      </c>
      <c r="UG18" s="31"/>
      <c r="UH18" s="5">
        <v>0.9</v>
      </c>
      <c r="UI18" s="5">
        <v>1</v>
      </c>
      <c r="UJ18" s="5">
        <f>(UB18+UC18)-UH18</f>
        <v>0.29999999999999993</v>
      </c>
      <c r="UK18" s="1">
        <v>324</v>
      </c>
      <c r="UL18" s="30">
        <f>UK18/1984</f>
        <v>0.16330645161290322</v>
      </c>
      <c r="UM18" s="31"/>
      <c r="UN18" s="5">
        <v>1.7</v>
      </c>
      <c r="UO18" s="5"/>
      <c r="UP18" s="5">
        <f>(UH18+UI18)-UN18</f>
        <v>0.19999999999999996</v>
      </c>
      <c r="UQ18" s="1">
        <v>594</v>
      </c>
      <c r="UR18" s="30">
        <f>UQ18/1984</f>
        <v>0.29939516129032256</v>
      </c>
      <c r="US18" s="31"/>
      <c r="UT18" s="5">
        <v>1.4</v>
      </c>
      <c r="UU18" s="5">
        <v>1</v>
      </c>
      <c r="UV18" s="5">
        <f>(UN18+UO18)-UT18</f>
        <v>0.30000000000000004</v>
      </c>
      <c r="UW18" s="1">
        <v>252</v>
      </c>
      <c r="UX18" s="30">
        <f>UW18/1984</f>
        <v>0.12701612903225806</v>
      </c>
      <c r="UY18" s="31"/>
      <c r="UZ18" s="5">
        <v>2.4</v>
      </c>
      <c r="VA18" s="5"/>
      <c r="VB18" s="5">
        <f>(UT18+UU18)-UZ18</f>
        <v>0</v>
      </c>
      <c r="VC18" s="1">
        <v>252</v>
      </c>
      <c r="VD18" s="30">
        <f>VC18/1984</f>
        <v>0.12701612903225806</v>
      </c>
      <c r="VE18" s="31"/>
      <c r="VF18" s="5">
        <v>2.1</v>
      </c>
      <c r="VG18" s="5"/>
      <c r="VH18" s="5">
        <f>(UZ18+VA18)-VF18</f>
        <v>0.29999999999999982</v>
      </c>
      <c r="VI18" s="1">
        <v>253</v>
      </c>
      <c r="VJ18" s="30">
        <f>VI18/1984</f>
        <v>0.12752016129032259</v>
      </c>
      <c r="VK18" s="31"/>
      <c r="VL18" s="5">
        <v>1.8</v>
      </c>
      <c r="VM18" s="5"/>
      <c r="VN18" s="5">
        <f>(VF18+VG18)-VL18</f>
        <v>0.30000000000000004</v>
      </c>
      <c r="VP18" s="30">
        <f>VO18/1984</f>
        <v>0</v>
      </c>
      <c r="VQ18" s="31"/>
      <c r="VR18" s="5">
        <v>1.5</v>
      </c>
      <c r="VS18" s="5"/>
      <c r="VT18" s="5">
        <f>(VL18+VM18)-VR18</f>
        <v>0.30000000000000004</v>
      </c>
      <c r="VV18" s="30">
        <f>VU18/1984</f>
        <v>0</v>
      </c>
      <c r="VW18" s="31"/>
      <c r="VX18" s="5">
        <v>1.1000000000000001</v>
      </c>
      <c r="VY18" s="5"/>
      <c r="VZ18" s="5">
        <f>(VR18+VS18)-VX18</f>
        <v>0.39999999999999991</v>
      </c>
      <c r="WB18" s="30">
        <f>WA18/1984</f>
        <v>0</v>
      </c>
      <c r="WC18" s="31"/>
      <c r="WD18" s="5">
        <v>1</v>
      </c>
      <c r="WE18" s="5"/>
      <c r="WF18" s="5">
        <f>(VX18+VY18)-WD18</f>
        <v>0.10000000000000009</v>
      </c>
      <c r="WH18" s="30">
        <f>WG18/1984</f>
        <v>0</v>
      </c>
      <c r="WI18" s="31"/>
      <c r="WJ18" s="5">
        <v>0.9</v>
      </c>
      <c r="WK18" s="5"/>
      <c r="WL18" s="5">
        <f>(WD18+WE18)-WJ18</f>
        <v>9.9999999999999978E-2</v>
      </c>
      <c r="WM18" s="1">
        <v>216</v>
      </c>
      <c r="WN18" s="30">
        <f>WM18/1984</f>
        <v>0.10887096774193548</v>
      </c>
      <c r="WO18" s="31"/>
      <c r="WP18" s="5">
        <v>0.8</v>
      </c>
      <c r="WQ18" s="5">
        <v>1</v>
      </c>
      <c r="WR18" s="5">
        <f>(WJ18+WK18)-WP18</f>
        <v>9.9999999999999978E-2</v>
      </c>
      <c r="WS18" s="1">
        <v>352</v>
      </c>
      <c r="WT18" s="30">
        <f>WS18/1984</f>
        <v>0.17741935483870969</v>
      </c>
      <c r="WU18" s="31"/>
      <c r="WV18" s="5">
        <v>1.5</v>
      </c>
      <c r="WW18" s="5"/>
      <c r="WX18" s="5">
        <f>(WP18+WQ18)-WV18</f>
        <v>0.30000000000000004</v>
      </c>
      <c r="WY18" s="1">
        <v>176</v>
      </c>
      <c r="WZ18" s="30">
        <f>WY18/1984</f>
        <v>8.8709677419354843E-2</v>
      </c>
      <c r="XA18" s="31"/>
      <c r="XB18" s="5">
        <v>1.4</v>
      </c>
      <c r="XC18" s="5"/>
      <c r="XD18" s="5">
        <f>(WV18+WW18)-XB18</f>
        <v>0.10000000000000009</v>
      </c>
      <c r="XE18" s="1">
        <v>186</v>
      </c>
      <c r="XF18" s="30">
        <f>XE18/1984</f>
        <v>9.375E-2</v>
      </c>
      <c r="XG18" s="31"/>
      <c r="XH18" s="5">
        <v>1.3</v>
      </c>
      <c r="XI18" s="5"/>
      <c r="XJ18" s="5">
        <f>(XB18+XC18)-XH18</f>
        <v>9.9999999999999867E-2</v>
      </c>
      <c r="XK18" s="1">
        <v>176</v>
      </c>
      <c r="XL18" s="30">
        <f>XK18/1984</f>
        <v>8.8709677419354843E-2</v>
      </c>
      <c r="XM18" s="31"/>
      <c r="XN18" s="5">
        <v>1.2</v>
      </c>
      <c r="XO18" s="5">
        <v>1</v>
      </c>
      <c r="XP18" s="5">
        <f>(XH18+XI18)-XN18</f>
        <v>0.10000000000000009</v>
      </c>
      <c r="XQ18" s="1">
        <v>90</v>
      </c>
      <c r="XR18" s="30">
        <f>XQ18/1984</f>
        <v>4.5362903225806453E-2</v>
      </c>
      <c r="XS18" s="31"/>
      <c r="XT18" s="5">
        <v>1.9</v>
      </c>
      <c r="XU18" s="5"/>
      <c r="XV18" s="5">
        <f>(XN18+XO18)-XT18</f>
        <v>0.30000000000000027</v>
      </c>
      <c r="XW18" s="1">
        <v>342</v>
      </c>
      <c r="XX18" s="30">
        <f>XW18/1984</f>
        <v>0.17237903225806453</v>
      </c>
      <c r="XY18" s="31"/>
      <c r="XZ18" s="5">
        <v>1.8</v>
      </c>
      <c r="YA18" s="5"/>
      <c r="YB18" s="5">
        <f>(XT18+XU18)-XZ18</f>
        <v>9.9999999999999867E-2</v>
      </c>
      <c r="YC18" s="1">
        <v>450</v>
      </c>
      <c r="YD18" s="30">
        <f>YC18/1984</f>
        <v>0.22681451612903225</v>
      </c>
      <c r="YE18" s="31"/>
      <c r="YF18" s="5">
        <v>1.9</v>
      </c>
      <c r="YG18" s="5"/>
      <c r="YH18" s="5">
        <f>(XZ18+YA18)-YF18</f>
        <v>-9.9999999999999867E-2</v>
      </c>
      <c r="YJ18" s="30">
        <f>YI18/1984</f>
        <v>0</v>
      </c>
      <c r="YK18" s="31"/>
      <c r="YL18" s="5">
        <v>1.9</v>
      </c>
      <c r="YM18" s="5"/>
      <c r="YN18" s="5">
        <f>(YF18+YG18)-YL18</f>
        <v>0</v>
      </c>
      <c r="YP18" s="30">
        <f>YO18/1984</f>
        <v>0</v>
      </c>
      <c r="YQ18" s="31"/>
      <c r="YR18" s="5">
        <v>1.6</v>
      </c>
      <c r="YS18" s="5"/>
      <c r="YT18" s="5">
        <f>(YL18+YM18)-YR18</f>
        <v>0.29999999999999982</v>
      </c>
      <c r="YV18" s="30">
        <f>YU18/1984</f>
        <v>0</v>
      </c>
      <c r="YW18" s="31"/>
      <c r="YX18" s="5">
        <v>1.3</v>
      </c>
      <c r="YY18" s="5"/>
      <c r="YZ18" s="5">
        <f>(YR18+YS18)-YX18</f>
        <v>0.30000000000000004</v>
      </c>
      <c r="ZA18" s="1">
        <v>234</v>
      </c>
      <c r="ZB18" s="30">
        <f>ZA18/1984</f>
        <v>0.11794354838709678</v>
      </c>
      <c r="ZC18" s="31"/>
      <c r="ZD18" s="5">
        <v>0.9</v>
      </c>
      <c r="ZE18" s="5"/>
      <c r="ZF18" s="5">
        <f>(YX18+YY18)-ZD18</f>
        <v>0.4</v>
      </c>
      <c r="ZG18" s="1">
        <v>396</v>
      </c>
      <c r="ZH18" s="30">
        <f>ZG18/1984</f>
        <v>0.19959677419354838</v>
      </c>
      <c r="ZI18" s="31"/>
      <c r="ZJ18" s="5">
        <v>0.9</v>
      </c>
      <c r="ZK18" s="5"/>
      <c r="ZL18" s="5">
        <f>(ZD18+ZE18)-ZJ18</f>
        <v>0</v>
      </c>
      <c r="ZN18" s="30">
        <f>ZM18/1984</f>
        <v>0</v>
      </c>
      <c r="ZO18" s="31"/>
      <c r="ZP18" s="5">
        <v>0.9</v>
      </c>
      <c r="ZQ18" s="5"/>
      <c r="ZR18" s="5">
        <f>(ZJ18+ZK18)-ZP18</f>
        <v>0</v>
      </c>
      <c r="ZS18" s="1">
        <v>396</v>
      </c>
      <c r="ZT18" s="30">
        <f>ZS18/1984</f>
        <v>0.19959677419354838</v>
      </c>
      <c r="ZU18" s="31"/>
      <c r="ZV18" s="5">
        <v>0.5</v>
      </c>
      <c r="ZW18" s="5"/>
      <c r="ZX18" s="5">
        <f>(ZP18+ZQ18)-ZV18</f>
        <v>0.4</v>
      </c>
      <c r="ZY18" s="1">
        <v>270</v>
      </c>
      <c r="ZZ18" s="30">
        <f>ZY18/1984</f>
        <v>0.13608870967741934</v>
      </c>
      <c r="AAA18" s="31"/>
      <c r="AAB18" s="5">
        <v>0.4</v>
      </c>
      <c r="AAC18" s="5"/>
      <c r="AAD18" s="5">
        <f>(ZV18+ZW18)-AAB18</f>
        <v>9.9999999999999978E-2</v>
      </c>
      <c r="AAF18" s="30">
        <f>AAE18/1984</f>
        <v>0</v>
      </c>
      <c r="AAG18" s="31"/>
      <c r="AAH18" s="5">
        <v>0.3</v>
      </c>
      <c r="AAI18" s="5">
        <v>1</v>
      </c>
      <c r="AAJ18" s="5">
        <f>(AAB18+AAC18)-AAH18</f>
        <v>0.10000000000000003</v>
      </c>
      <c r="AAK18" s="1">
        <v>144</v>
      </c>
      <c r="AAL18" s="30">
        <f>AAK18/1984</f>
        <v>7.2580645161290328E-2</v>
      </c>
      <c r="AAM18" s="31"/>
      <c r="AAN18" s="5">
        <v>1.3</v>
      </c>
      <c r="AAO18" s="5"/>
      <c r="AAP18" s="5">
        <f>(AAH18+AAI18)-AAN18</f>
        <v>0</v>
      </c>
      <c r="AAQ18" s="1">
        <v>360</v>
      </c>
      <c r="AAR18" s="30">
        <f>AAQ18/1984</f>
        <v>0.18145161290322581</v>
      </c>
      <c r="AAS18" s="31"/>
      <c r="AAT18" s="5">
        <v>1.2</v>
      </c>
      <c r="AAU18" s="5"/>
      <c r="AAV18" s="5">
        <f>(AAN18+AAO18)-AAT18</f>
        <v>0.10000000000000009</v>
      </c>
      <c r="AAW18" s="1">
        <v>126</v>
      </c>
      <c r="AAX18" s="30">
        <f>AAW18/1984</f>
        <v>6.3508064516129031E-2</v>
      </c>
      <c r="AAY18" s="31"/>
      <c r="AAZ18" s="5">
        <v>0.9</v>
      </c>
      <c r="ABA18" s="5"/>
      <c r="ABB18" s="5">
        <f>(AAT18+AAU18)-AAZ18</f>
        <v>0.29999999999999993</v>
      </c>
      <c r="ABC18" s="1">
        <v>180</v>
      </c>
      <c r="ABD18" s="30">
        <f>ABC18/1984</f>
        <v>9.0725806451612906E-2</v>
      </c>
      <c r="ABE18" s="31"/>
      <c r="ABF18" s="5">
        <v>0.9</v>
      </c>
      <c r="ABG18" s="5"/>
      <c r="ABH18" s="5">
        <f>(AAZ18+ABA18)-ABF18</f>
        <v>0</v>
      </c>
      <c r="ABI18" s="1">
        <v>234</v>
      </c>
      <c r="ABJ18" s="30">
        <f>ABI18/1984</f>
        <v>0.11794354838709678</v>
      </c>
      <c r="ABK18" s="31"/>
      <c r="ABL18" s="5">
        <v>0.9</v>
      </c>
      <c r="ABM18" s="5"/>
      <c r="ABN18" s="5">
        <f>(ABF18+ABG18)-ABL18</f>
        <v>0</v>
      </c>
      <c r="ABO18" s="1">
        <v>468</v>
      </c>
      <c r="ABP18" s="30">
        <f>ABO18/1984</f>
        <v>0.23588709677419356</v>
      </c>
      <c r="ABQ18" s="31"/>
      <c r="ABR18" s="5">
        <v>0.5</v>
      </c>
      <c r="ABS18" s="5"/>
      <c r="ABT18" s="5">
        <f>(ABL18+ABM18)-ABR18</f>
        <v>0.4</v>
      </c>
      <c r="ABU18" s="1">
        <v>80</v>
      </c>
      <c r="ABV18" s="30">
        <f>ABU18/1984</f>
        <v>4.0322580645161289E-2</v>
      </c>
      <c r="ABW18" s="31"/>
      <c r="ABX18" s="5">
        <v>0.5</v>
      </c>
      <c r="ABY18" s="5"/>
      <c r="ABZ18" s="5">
        <f>(ABR18+ABS18)-ABX18</f>
        <v>0</v>
      </c>
      <c r="ACA18" s="1">
        <v>288</v>
      </c>
      <c r="ACB18" s="30">
        <f>ACA18/1984</f>
        <v>0.14516129032258066</v>
      </c>
      <c r="ACC18" s="31"/>
      <c r="ACD18" s="5">
        <v>0.4</v>
      </c>
      <c r="ACE18" s="5">
        <v>1</v>
      </c>
      <c r="ACF18" s="5">
        <f>(ABX18+ABY18)-ACD18</f>
        <v>9.9999999999999978E-2</v>
      </c>
      <c r="ACG18" s="1">
        <v>126</v>
      </c>
      <c r="ACH18" s="30">
        <f>ACG18/1984</f>
        <v>6.3508064516129031E-2</v>
      </c>
      <c r="ACI18" s="31"/>
      <c r="ACJ18" s="5">
        <v>1.3</v>
      </c>
      <c r="ACK18" s="5"/>
      <c r="ACL18" s="5">
        <f>(ACD18+ACE18)-ACJ18</f>
        <v>9.9999999999999867E-2</v>
      </c>
      <c r="ACM18" s="1">
        <v>324</v>
      </c>
      <c r="ACN18" s="30">
        <f>ACM18/1984</f>
        <v>0.16330645161290322</v>
      </c>
      <c r="ACO18" s="31"/>
      <c r="ACP18" s="5">
        <v>1.1000000000000001</v>
      </c>
      <c r="ACQ18" s="5"/>
      <c r="ACR18" s="5">
        <f>(ACJ18+ACK18)-ACP18</f>
        <v>0.19999999999999996</v>
      </c>
      <c r="ACS18" s="1">
        <v>306</v>
      </c>
      <c r="ACT18" s="30">
        <f>ACS18/1984</f>
        <v>0.15423387096774194</v>
      </c>
      <c r="ACU18" s="31"/>
      <c r="ACV18" s="5">
        <v>0.8</v>
      </c>
      <c r="ACW18" s="5"/>
      <c r="ACX18" s="5">
        <f>(ACP18+ACQ18)-ACV18</f>
        <v>0.30000000000000004</v>
      </c>
      <c r="ACY18" s="1">
        <v>252</v>
      </c>
      <c r="ACZ18" s="30">
        <f>ACY18/1984</f>
        <v>0.12701612903225806</v>
      </c>
      <c r="ADA18" s="31"/>
      <c r="ADB18" s="5">
        <v>0.7</v>
      </c>
      <c r="ADC18" s="5"/>
      <c r="ADD18" s="5">
        <f>(ACV18+ACW18)-ADB18</f>
        <v>0.10000000000000009</v>
      </c>
      <c r="ADE18" s="1">
        <v>216</v>
      </c>
      <c r="ADF18" s="30">
        <f>ADE18/1984</f>
        <v>0.10887096774193548</v>
      </c>
      <c r="ADG18" s="31"/>
      <c r="ADH18" s="5">
        <v>0.8</v>
      </c>
      <c r="ADI18" s="5"/>
      <c r="ADJ18" s="5">
        <f>(ADB18+ADC18)-ADH18</f>
        <v>-0.10000000000000009</v>
      </c>
      <c r="ADK18" s="1">
        <v>289</v>
      </c>
      <c r="ADL18" s="30">
        <f>ADK18/1984</f>
        <v>0.14566532258064516</v>
      </c>
      <c r="ADM18" s="31"/>
      <c r="ADN18" s="5">
        <v>0.6</v>
      </c>
      <c r="ADO18" s="5"/>
      <c r="ADP18" s="5">
        <f>(ADH18+ADI18)-ADN18</f>
        <v>0.20000000000000007</v>
      </c>
      <c r="ADR18" s="30">
        <f>ADQ18/1984</f>
        <v>0</v>
      </c>
      <c r="ADS18" s="31"/>
      <c r="ADT18" s="5">
        <v>0.3</v>
      </c>
      <c r="ADU18" s="5"/>
      <c r="ADV18" s="5">
        <f>(ADN18+ADO18)-ADT18</f>
        <v>0.3</v>
      </c>
      <c r="ADW18" s="1">
        <v>379</v>
      </c>
      <c r="ADX18" s="30">
        <f>ADW18/1984</f>
        <v>0.19102822580645162</v>
      </c>
      <c r="ADY18" s="31"/>
      <c r="ADZ18" s="5">
        <v>0.2</v>
      </c>
      <c r="AEA18" s="5"/>
      <c r="AEB18" s="5">
        <f>(ADT18+ADU18)-ADZ18</f>
        <v>9.9999999999999978E-2</v>
      </c>
      <c r="AEC18" s="1">
        <v>271</v>
      </c>
      <c r="AED18" s="30">
        <f>AEC18/1984</f>
        <v>0.13659274193548387</v>
      </c>
      <c r="AEE18" s="31"/>
      <c r="AEF18" s="5">
        <v>0</v>
      </c>
      <c r="AEG18" s="5">
        <v>1</v>
      </c>
      <c r="AEH18" s="5">
        <f>(ADZ18+AEA18)-AEF18</f>
        <v>0.2</v>
      </c>
      <c r="AEI18" s="1">
        <v>126</v>
      </c>
      <c r="AEJ18" s="30">
        <f>AEI18/1984</f>
        <v>6.3508064516129031E-2</v>
      </c>
      <c r="AEK18" s="31"/>
      <c r="AEL18" s="5">
        <v>1.1000000000000001</v>
      </c>
      <c r="AEM18" s="5"/>
      <c r="AEN18" s="5">
        <f>(AEF18+AEG18)-AEL18</f>
        <v>-0.10000000000000009</v>
      </c>
      <c r="AEO18" s="1">
        <v>18</v>
      </c>
      <c r="AEP18" s="30">
        <f>AEO18/1984</f>
        <v>9.0725806451612909E-3</v>
      </c>
      <c r="AEQ18" s="31"/>
      <c r="AER18" s="5">
        <v>0.7</v>
      </c>
      <c r="AES18" s="5"/>
      <c r="AET18" s="5">
        <f>(AEL18+AEM18)-AER18</f>
        <v>0.40000000000000013</v>
      </c>
      <c r="AEV18" s="30">
        <f>AEU18/1984</f>
        <v>0</v>
      </c>
      <c r="AEW18" s="31"/>
      <c r="AEX18" s="5">
        <v>0.9</v>
      </c>
      <c r="AEY18" s="5"/>
      <c r="AEZ18" s="5">
        <f>(AER18+AES18)-AEX18</f>
        <v>-0.20000000000000007</v>
      </c>
      <c r="AFA18" s="1">
        <v>378</v>
      </c>
      <c r="AFB18" s="30">
        <f>AFA18/1984</f>
        <v>0.19052419354838709</v>
      </c>
      <c r="AFC18" s="31"/>
      <c r="AFD18" s="5">
        <v>0.7</v>
      </c>
      <c r="AFE18" s="5"/>
      <c r="AFF18" s="5">
        <f>(AEX18+AEY18)-AFD18</f>
        <v>0.20000000000000007</v>
      </c>
      <c r="AFG18" s="1">
        <v>380</v>
      </c>
      <c r="AFH18" s="30">
        <f>AFG18/1984</f>
        <v>0.19153225806451613</v>
      </c>
      <c r="AFI18" s="31"/>
      <c r="AFJ18" s="5">
        <v>0.5</v>
      </c>
      <c r="AFK18" s="5"/>
      <c r="AFL18" s="5">
        <f>(AFD18+AFE18)-AFJ18</f>
        <v>0.19999999999999996</v>
      </c>
      <c r="AFM18" s="1">
        <v>450</v>
      </c>
      <c r="AFN18" s="30">
        <f>AFM18/1984</f>
        <v>0.22681451612903225</v>
      </c>
      <c r="AFO18" s="31"/>
      <c r="AFP18" s="5">
        <v>0.4</v>
      </c>
      <c r="AFQ18" s="5">
        <v>1</v>
      </c>
      <c r="AFR18" s="5">
        <f>(AFJ18+AFK18)-AFP18</f>
        <v>9.9999999999999978E-2</v>
      </c>
      <c r="AFS18" s="1">
        <v>270</v>
      </c>
      <c r="AFT18" s="30">
        <f>AFS18/1984</f>
        <v>0.13608870967741934</v>
      </c>
      <c r="AFU18" s="31"/>
      <c r="AFV18" s="5">
        <v>1.3</v>
      </c>
      <c r="AFW18" s="5"/>
      <c r="AFX18" s="5">
        <f>(AFP18+AFQ18)-AFV18</f>
        <v>9.9999999999999867E-2</v>
      </c>
      <c r="AFZ18" s="30">
        <f>AFY18/1984</f>
        <v>0</v>
      </c>
      <c r="AGA18" s="31"/>
      <c r="AGB18" s="5">
        <v>1</v>
      </c>
      <c r="AGC18" s="5"/>
      <c r="AGD18" s="5">
        <f>(AFV18+AFW18)-AGB18</f>
        <v>0.30000000000000004</v>
      </c>
      <c r="AGE18" s="1">
        <v>234</v>
      </c>
      <c r="AGF18" s="30">
        <f>AGE18/1984</f>
        <v>0.11794354838709678</v>
      </c>
      <c r="AGG18" s="31"/>
      <c r="AGH18" s="5">
        <v>0.7</v>
      </c>
      <c r="AGI18" s="5"/>
      <c r="AGJ18" s="5">
        <f>(AGB18+AGC18)-AGH18</f>
        <v>0.30000000000000004</v>
      </c>
      <c r="AGL18" s="30">
        <f>AGK18/1984</f>
        <v>0</v>
      </c>
      <c r="AGM18" s="31"/>
      <c r="AGN18" s="5">
        <v>0.8</v>
      </c>
      <c r="AGO18" s="5">
        <v>1</v>
      </c>
      <c r="AGP18" s="5">
        <f>(AGH18+AGI18)-AGN18</f>
        <v>-0.10000000000000009</v>
      </c>
      <c r="AGR18" s="30">
        <f>AGQ18/1984</f>
        <v>0</v>
      </c>
      <c r="AGS18" s="31"/>
      <c r="AGT18" s="5">
        <v>1.5</v>
      </c>
      <c r="AGU18" s="5"/>
      <c r="AGV18" s="5">
        <f>(AGN18+AGO18)-AGT18</f>
        <v>0.30000000000000004</v>
      </c>
      <c r="AGX18" s="30">
        <f>AGW18/1984</f>
        <v>0</v>
      </c>
      <c r="AGY18" s="31"/>
      <c r="AGZ18" s="5">
        <v>1.7</v>
      </c>
      <c r="AHA18" s="5"/>
      <c r="AHB18" s="5">
        <f>(AGT18+AGU18)-AGZ18</f>
        <v>-0.19999999999999996</v>
      </c>
      <c r="AHD18" s="30">
        <f>AHC18/1984</f>
        <v>0</v>
      </c>
      <c r="AHE18" s="31"/>
      <c r="AHF18" s="5">
        <v>1.4</v>
      </c>
      <c r="AHG18" s="5"/>
      <c r="AHH18" s="5">
        <f>(AGZ18+AHA18)-AHF18</f>
        <v>0.30000000000000004</v>
      </c>
      <c r="AHJ18" s="30">
        <f>AHI18/1984</f>
        <v>0</v>
      </c>
      <c r="AHK18" s="31"/>
      <c r="AHL18" s="5">
        <v>1</v>
      </c>
      <c r="AHM18" s="5"/>
      <c r="AHN18" s="5">
        <f>(AHF18+AHG18)-AHL18</f>
        <v>0.39999999999999991</v>
      </c>
      <c r="AHP18" s="30">
        <f>AHO18/1984</f>
        <v>0</v>
      </c>
      <c r="AHQ18" s="31"/>
      <c r="AHR18" s="5">
        <v>0.8</v>
      </c>
      <c r="AHS18" s="5"/>
      <c r="AHT18" s="5">
        <f>(AHL18+AHM18)-AHR18</f>
        <v>0.19999999999999996</v>
      </c>
      <c r="AHV18" s="30">
        <f>AHU18/1984</f>
        <v>0</v>
      </c>
      <c r="AHW18" s="31"/>
      <c r="AHX18" s="5">
        <v>0.7</v>
      </c>
      <c r="AHY18" s="5"/>
      <c r="AHZ18" s="5">
        <f>(AHR18+AHS18)-AHX18</f>
        <v>0.10000000000000009</v>
      </c>
      <c r="AIB18" s="30">
        <f>AIA18/1984</f>
        <v>0</v>
      </c>
      <c r="AIC18" s="31"/>
      <c r="AID18" s="5">
        <v>0.6</v>
      </c>
      <c r="AIE18" s="5"/>
      <c r="AIF18" s="5">
        <f>(AHX18+AHY18)-AID18</f>
        <v>9.9999999999999978E-2</v>
      </c>
      <c r="AIH18" s="30">
        <f>AIG18/1984</f>
        <v>0</v>
      </c>
      <c r="AII18" s="31"/>
      <c r="AIJ18" s="5">
        <v>0.7</v>
      </c>
      <c r="AIK18" s="5"/>
      <c r="AIL18" s="5">
        <f>(AID18+AIE18)-AIJ18</f>
        <v>-9.9999999999999978E-2</v>
      </c>
      <c r="AIM18" s="1">
        <v>162</v>
      </c>
      <c r="AIN18" s="30">
        <f>AIM18/1984</f>
        <v>8.165322580645161E-2</v>
      </c>
      <c r="AIO18" s="31"/>
      <c r="AIP18" s="5">
        <v>0.8</v>
      </c>
      <c r="AIQ18" s="5"/>
      <c r="AIR18" s="5">
        <f>(AIJ18+AIK18)-AIP18</f>
        <v>-0.10000000000000009</v>
      </c>
      <c r="AIT18" s="30">
        <f>AIS18/1984</f>
        <v>0</v>
      </c>
      <c r="AIU18" s="31"/>
      <c r="AIV18" s="5">
        <v>0.7</v>
      </c>
      <c r="AIW18" s="5"/>
      <c r="AIX18" s="5">
        <f>(AIP18+AIQ18)-AIV18</f>
        <v>0.10000000000000009</v>
      </c>
      <c r="AIZ18" s="30">
        <f>AIY18/1984</f>
        <v>0</v>
      </c>
      <c r="AJA18" s="31"/>
      <c r="AJB18" s="5">
        <v>0.7</v>
      </c>
      <c r="AJC18" s="5"/>
      <c r="AJD18" s="5">
        <f>(AIV18+AIW18)-AJB18</f>
        <v>0</v>
      </c>
      <c r="AJF18" s="30">
        <f>AJE18/1984</f>
        <v>0</v>
      </c>
      <c r="AJG18" s="31"/>
      <c r="AJH18" s="5">
        <v>0.3</v>
      </c>
      <c r="AJI18" s="5">
        <v>1</v>
      </c>
      <c r="AJJ18" s="5">
        <f>(AJB18+AJC18)-AJH18</f>
        <v>0.39999999999999997</v>
      </c>
      <c r="AJL18" s="30">
        <f>AJK18/1984</f>
        <v>0</v>
      </c>
      <c r="AJM18" s="31"/>
      <c r="AJN18" s="5">
        <v>1.3</v>
      </c>
      <c r="AJO18" s="5"/>
      <c r="AJP18" s="5">
        <f>(AJH18+AJI18)-AJN18</f>
        <v>0</v>
      </c>
      <c r="AJR18" s="30">
        <f>AJQ18/1984</f>
        <v>0</v>
      </c>
      <c r="AJS18" s="31"/>
      <c r="AJT18" s="5">
        <v>1.3</v>
      </c>
      <c r="AJU18" s="5"/>
      <c r="AJV18" s="5">
        <f>(AJN18+AJO18)-AJT18</f>
        <v>0</v>
      </c>
      <c r="AJX18" s="30">
        <f>AJW18/1984</f>
        <v>0</v>
      </c>
      <c r="AJY18" s="31"/>
      <c r="AJZ18" s="5">
        <v>0.9</v>
      </c>
      <c r="AKA18" s="5"/>
      <c r="AKB18" s="5">
        <f>(AJT18+AJU18)-AJZ18</f>
        <v>0.4</v>
      </c>
      <c r="AKD18" s="30">
        <f>AKC18/1984</f>
        <v>0</v>
      </c>
      <c r="AKE18" s="31"/>
      <c r="AKF18" s="5">
        <v>1</v>
      </c>
      <c r="AKG18" s="5"/>
      <c r="AKH18" s="5">
        <f>(AJZ18+AKA18)-AKF18</f>
        <v>-9.9999999999999978E-2</v>
      </c>
      <c r="AKJ18" s="30">
        <f>AKI18/1984</f>
        <v>0</v>
      </c>
      <c r="AKK18" s="31"/>
      <c r="AKL18" s="5">
        <v>1</v>
      </c>
      <c r="AKM18" s="5"/>
      <c r="AKN18" s="5">
        <f>(AKF18+AKG18)-AKL18</f>
        <v>0</v>
      </c>
      <c r="AKP18" s="30">
        <f>AKO18/1984</f>
        <v>0</v>
      </c>
      <c r="AKQ18" s="31"/>
      <c r="AKR18" s="5"/>
      <c r="AKS18" s="5"/>
      <c r="AKT18" s="5">
        <f>(AKL18+AKM18)-AKR18</f>
        <v>1</v>
      </c>
      <c r="AKV18" s="30">
        <f>AKU18/1984</f>
        <v>0</v>
      </c>
      <c r="AKW18" s="31"/>
      <c r="AKX18" s="5">
        <v>0.4</v>
      </c>
      <c r="AKY18" s="5"/>
      <c r="AKZ18" s="5">
        <f>(AKR18+AKS18)-AKX18</f>
        <v>-0.4</v>
      </c>
      <c r="ALB18" s="30">
        <f>ALA18/1984</f>
        <v>0</v>
      </c>
      <c r="ALC18" s="31"/>
      <c r="ALD18" s="5">
        <v>0.3</v>
      </c>
      <c r="ALE18" s="5">
        <v>1</v>
      </c>
      <c r="ALF18" s="5">
        <f>(AKX18+AKY18)-ALD18</f>
        <v>0.10000000000000003</v>
      </c>
      <c r="ALH18" s="30">
        <f>ALG18/1984</f>
        <v>0</v>
      </c>
      <c r="ALI18" s="31"/>
      <c r="ALJ18" s="5">
        <v>1.2</v>
      </c>
      <c r="ALK18" s="5"/>
      <c r="ALL18" s="5">
        <f>(ALD18+ALE18)-ALJ18</f>
        <v>0.10000000000000009</v>
      </c>
      <c r="ALN18" s="30">
        <f>ALM18/1984</f>
        <v>0</v>
      </c>
      <c r="ALO18" s="31"/>
      <c r="ALP18" s="5">
        <v>1</v>
      </c>
      <c r="ALQ18" s="5"/>
      <c r="ALR18" s="5">
        <f>(ALJ18+ALK18)-ALP18</f>
        <v>0.19999999999999996</v>
      </c>
      <c r="ALT18" s="30">
        <f>ALS18/1984</f>
        <v>0</v>
      </c>
      <c r="ALU18" s="31"/>
      <c r="ALV18" s="5">
        <v>1</v>
      </c>
      <c r="ALW18" s="5"/>
      <c r="ALX18" s="5">
        <f>(ALP18+ALQ18)-ALV18</f>
        <v>0</v>
      </c>
      <c r="ALZ18" s="30">
        <f>ALY18/1984</f>
        <v>0</v>
      </c>
      <c r="AMA18" s="31"/>
      <c r="AMB18" s="5">
        <v>1</v>
      </c>
      <c r="AMC18" s="5"/>
      <c r="AMD18" s="5">
        <f>(ALV18+ALW18)-AMB18</f>
        <v>0</v>
      </c>
      <c r="AMF18" s="30">
        <f>AME18/1984</f>
        <v>0</v>
      </c>
      <c r="AMG18" s="31"/>
      <c r="AMH18" s="5">
        <v>0.9</v>
      </c>
      <c r="AMI18" s="5"/>
      <c r="AMJ18" s="5">
        <f>(AMB18+AMC18)-AMH18</f>
        <v>9.9999999999999978E-2</v>
      </c>
      <c r="AML18" s="30">
        <f>AMK18/1984</f>
        <v>0</v>
      </c>
      <c r="AMM18" s="31"/>
      <c r="AMN18" s="5">
        <v>1</v>
      </c>
      <c r="AMO18" s="5"/>
      <c r="AMP18" s="5">
        <f>(AMH18+AMI18)-AMN18</f>
        <v>-9.9999999999999978E-2</v>
      </c>
      <c r="AMR18" s="30">
        <f>AMQ18/1984</f>
        <v>0</v>
      </c>
      <c r="AMS18" s="31"/>
      <c r="AMT18" s="5">
        <v>0.7</v>
      </c>
      <c r="AMU18" s="5"/>
      <c r="AMV18" s="5">
        <f>(AMN18+AMO18)-AMT18</f>
        <v>0.30000000000000004</v>
      </c>
      <c r="AMX18" s="30">
        <f>AMW18/1984</f>
        <v>0</v>
      </c>
      <c r="AMY18" s="31"/>
      <c r="AMZ18" s="5">
        <v>0.4</v>
      </c>
      <c r="ANA18" s="5">
        <v>1</v>
      </c>
      <c r="ANB18" s="5">
        <f>(AMT18+AMU18)-AMZ18</f>
        <v>0.29999999999999993</v>
      </c>
      <c r="AND18" s="30">
        <f>ANC18/1984</f>
        <v>0</v>
      </c>
      <c r="ANE18" s="31"/>
      <c r="ANF18" s="5">
        <v>1.2</v>
      </c>
      <c r="ANG18" s="5"/>
      <c r="ANH18" s="5">
        <f>(AMZ18+ANA18)-ANF18</f>
        <v>0.19999999999999996</v>
      </c>
      <c r="ANJ18" s="30">
        <f>ANI18/1984</f>
        <v>0</v>
      </c>
      <c r="ANK18" s="31"/>
      <c r="ANL18" s="5">
        <v>0.9</v>
      </c>
      <c r="ANM18" s="5"/>
      <c r="ANN18" s="5">
        <f>(ANF18+ANG18)-ANL18</f>
        <v>0.29999999999999993</v>
      </c>
      <c r="ANP18" s="30">
        <f>ANO18/1984</f>
        <v>0</v>
      </c>
      <c r="ANQ18" s="31"/>
      <c r="ANR18" s="5">
        <v>0.6</v>
      </c>
      <c r="ANS18" s="5">
        <v>1</v>
      </c>
      <c r="ANT18" s="5">
        <f>(ANL18+ANM18)-ANR18</f>
        <v>0.30000000000000004</v>
      </c>
      <c r="ANV18" s="30">
        <f>ANU18/1984</f>
        <v>0</v>
      </c>
      <c r="ANW18" s="31"/>
      <c r="ANX18" s="5">
        <v>1.7</v>
      </c>
      <c r="ANY18" s="5"/>
      <c r="ANZ18" s="5">
        <f>(ANR18+ANS18)-ANX18</f>
        <v>-9.9999999999999867E-2</v>
      </c>
      <c r="AOB18" s="30">
        <f>AOA18/1984</f>
        <v>0</v>
      </c>
      <c r="AOC18" s="31"/>
      <c r="AOD18" s="5">
        <v>1.7</v>
      </c>
      <c r="AOE18" s="5"/>
      <c r="AOF18" s="5">
        <f>(ANX18+ANY18)-AOD18</f>
        <v>0</v>
      </c>
      <c r="AOH18" s="30">
        <f>AOG18/1984</f>
        <v>0</v>
      </c>
      <c r="AOI18" s="31"/>
      <c r="AOJ18" s="5">
        <v>1.8</v>
      </c>
      <c r="AOK18" s="5"/>
      <c r="AOL18" s="5">
        <f>(AOD18+AOE18)-AOJ18</f>
        <v>-0.10000000000000009</v>
      </c>
      <c r="AON18" s="30">
        <f>AOM18/1984</f>
        <v>0</v>
      </c>
      <c r="AOO18" s="31"/>
      <c r="AOP18" s="5">
        <v>1.5</v>
      </c>
      <c r="AOQ18" s="5"/>
      <c r="AOR18" s="5">
        <f>(AOJ18+AOK18)-AOP18</f>
        <v>0.30000000000000004</v>
      </c>
      <c r="AOT18" s="30">
        <f>AOS18/1984</f>
        <v>0</v>
      </c>
      <c r="AOU18" s="31"/>
      <c r="AOV18" s="5">
        <v>1.7</v>
      </c>
      <c r="AOW18" s="5"/>
      <c r="AOX18" s="5">
        <f>(AOP18+AOQ18)-AOV18</f>
        <v>-0.19999999999999996</v>
      </c>
      <c r="AOZ18" s="30">
        <f>AOY18/1984</f>
        <v>0</v>
      </c>
    </row>
    <row r="19" spans="1:1024 1026:1092" x14ac:dyDescent="0.25">
      <c r="A19" s="3" t="s">
        <v>65</v>
      </c>
      <c r="B19" s="44">
        <f>AVERAGEIF($3:$3,"VAR",19:19)*2.5</f>
        <v>0.11031756879897942</v>
      </c>
      <c r="C19" s="44">
        <v>0.4</v>
      </c>
      <c r="E19" s="5">
        <v>1.1000000000000001</v>
      </c>
      <c r="F19" s="5"/>
      <c r="H19" s="5">
        <v>1.1000000000000001</v>
      </c>
      <c r="I19" s="5"/>
      <c r="J19" s="5">
        <f t="shared" si="550"/>
        <v>0</v>
      </c>
      <c r="M19" s="31"/>
      <c r="N19" s="5">
        <v>0.9</v>
      </c>
      <c r="O19" s="5"/>
      <c r="P19" s="5">
        <f>(H19+I19)-N19</f>
        <v>0.20000000000000007</v>
      </c>
      <c r="Q19" s="29"/>
      <c r="S19" s="31"/>
      <c r="T19" s="5">
        <v>0.9</v>
      </c>
      <c r="U19" s="5"/>
      <c r="V19" s="5">
        <f>(N19+O19)-T19</f>
        <v>0</v>
      </c>
      <c r="W19" s="29"/>
      <c r="Y19" s="31"/>
      <c r="Z19" s="5">
        <v>0.2</v>
      </c>
      <c r="AA19" s="5"/>
      <c r="AB19" s="5">
        <f>(T19+U19)-Z19</f>
        <v>0.7</v>
      </c>
      <c r="AC19" s="29">
        <v>180</v>
      </c>
      <c r="AD19" s="30">
        <f>AC19/992</f>
        <v>0.18145161290322581</v>
      </c>
      <c r="AE19" s="31"/>
      <c r="AF19" s="5">
        <v>0.2</v>
      </c>
      <c r="AG19" s="5"/>
      <c r="AH19" s="5">
        <f>(Z19+AA19)-AF19</f>
        <v>0</v>
      </c>
      <c r="AI19" s="29">
        <v>90</v>
      </c>
      <c r="AJ19" s="30">
        <f>AI19/992</f>
        <v>9.0725806451612906E-2</v>
      </c>
      <c r="AK19" s="31"/>
      <c r="AL19" s="5">
        <v>0.1</v>
      </c>
      <c r="AM19" s="5">
        <v>1</v>
      </c>
      <c r="AN19" s="5">
        <f>(AF19+AG19)-AL19</f>
        <v>0.1</v>
      </c>
      <c r="AO19" s="29">
        <v>54</v>
      </c>
      <c r="AP19" s="30">
        <f>AO19/992</f>
        <v>5.4435483870967742E-2</v>
      </c>
      <c r="AQ19" s="31"/>
      <c r="AR19" s="5">
        <v>0.9</v>
      </c>
      <c r="AS19" s="5"/>
      <c r="AT19" s="5">
        <f>(AL19+AM19)-AR19</f>
        <v>0.20000000000000007</v>
      </c>
      <c r="AU19" s="29"/>
      <c r="AV19" s="30">
        <f>AU19/992</f>
        <v>0</v>
      </c>
      <c r="AW19" s="31"/>
      <c r="AX19" s="5">
        <v>0.9</v>
      </c>
      <c r="AY19" s="5"/>
      <c r="AZ19" s="5">
        <f>(AR19+AS19)-AX19</f>
        <v>0</v>
      </c>
      <c r="BA19" s="29"/>
      <c r="BB19" s="30">
        <f>BA19/992</f>
        <v>0</v>
      </c>
      <c r="BC19" s="31"/>
      <c r="BD19" s="5">
        <v>0.3</v>
      </c>
      <c r="BE19" s="5"/>
      <c r="BF19" s="5">
        <f>(AX19+AY19)-BD19</f>
        <v>0.60000000000000009</v>
      </c>
      <c r="BG19" s="29"/>
      <c r="BH19" s="30">
        <f>BG19/992</f>
        <v>0</v>
      </c>
      <c r="BI19" s="31"/>
      <c r="BJ19" s="5">
        <v>0.2</v>
      </c>
      <c r="BK19" s="5"/>
      <c r="BL19" s="5">
        <f>(BD19+BE19)-BJ19</f>
        <v>9.9999999999999978E-2</v>
      </c>
      <c r="BM19" s="29">
        <v>162</v>
      </c>
      <c r="BN19" s="30">
        <f>BM19/992</f>
        <v>0.16330645161290322</v>
      </c>
      <c r="BO19" s="31"/>
      <c r="BP19" s="5">
        <v>0.2</v>
      </c>
      <c r="BQ19" s="5"/>
      <c r="BR19" s="5">
        <f>(BJ19+BK19)-BP19</f>
        <v>0</v>
      </c>
      <c r="BS19" s="29">
        <v>216</v>
      </c>
      <c r="BT19" s="30">
        <f>BS19/992</f>
        <v>0.21774193548387097</v>
      </c>
      <c r="BU19" s="31"/>
      <c r="BV19" s="5">
        <v>0.1</v>
      </c>
      <c r="BW19" s="5"/>
      <c r="BX19" s="5">
        <f>(BP19+BQ19)-BV19</f>
        <v>0.1</v>
      </c>
      <c r="BY19" s="29">
        <v>322</v>
      </c>
      <c r="BZ19" s="30">
        <f>BY19/992</f>
        <v>0.32459677419354838</v>
      </c>
      <c r="CA19" s="31"/>
      <c r="CB19" s="5">
        <v>0</v>
      </c>
      <c r="CC19" s="5"/>
      <c r="CD19" s="5">
        <f>(BV19+BW19)-CB19</f>
        <v>0.1</v>
      </c>
      <c r="CF19" s="30">
        <f>CE19/992</f>
        <v>0</v>
      </c>
      <c r="CG19" s="31"/>
      <c r="CH19" s="5"/>
      <c r="CI19" s="5"/>
      <c r="CJ19" s="5">
        <f>(CB19+CC19)-CH19</f>
        <v>0</v>
      </c>
      <c r="CK19" s="1">
        <v>72</v>
      </c>
      <c r="CL19" s="30">
        <f>CK19/992</f>
        <v>7.2580645161290328E-2</v>
      </c>
      <c r="CM19" s="31"/>
      <c r="CN19" s="5">
        <v>0</v>
      </c>
      <c r="CO19" s="5"/>
      <c r="CP19" s="5">
        <f>(CH19+CI19)-CN19</f>
        <v>0</v>
      </c>
      <c r="CR19" s="30">
        <f>CQ19/992</f>
        <v>0</v>
      </c>
      <c r="CS19" s="31"/>
      <c r="CT19" s="5">
        <v>0</v>
      </c>
      <c r="CU19" s="5"/>
      <c r="CV19" s="5">
        <f>(CN19+CO19)-CT19</f>
        <v>0</v>
      </c>
      <c r="CX19" s="30">
        <f>CW19/992</f>
        <v>0</v>
      </c>
      <c r="CY19" s="31"/>
      <c r="CZ19" s="5">
        <v>0</v>
      </c>
      <c r="DA19" s="5"/>
      <c r="DB19" s="5">
        <f>(CT19+CU19)-CZ19</f>
        <v>0</v>
      </c>
      <c r="DD19" s="30">
        <f>DC19/992</f>
        <v>0</v>
      </c>
      <c r="DE19" s="31"/>
      <c r="DF19" s="5">
        <v>0</v>
      </c>
      <c r="DG19" s="5"/>
      <c r="DH19" s="5">
        <f>(CZ19+DA19)-DF19</f>
        <v>0</v>
      </c>
      <c r="DJ19" s="30">
        <f>DI19/992</f>
        <v>0</v>
      </c>
      <c r="DK19" s="31"/>
      <c r="DL19" s="5">
        <v>0</v>
      </c>
      <c r="DM19" s="5"/>
      <c r="DN19" s="5">
        <f>(DF19+DG19)-DL19</f>
        <v>0</v>
      </c>
      <c r="DP19" s="30">
        <f>DO19/992</f>
        <v>0</v>
      </c>
      <c r="DQ19" s="31"/>
      <c r="DR19" s="5">
        <v>0</v>
      </c>
      <c r="DS19" s="5"/>
      <c r="DT19" s="5">
        <f>(DL19+DM19)-DR19</f>
        <v>0</v>
      </c>
      <c r="DV19" s="30">
        <f>DU19/992</f>
        <v>0</v>
      </c>
      <c r="DW19" s="31"/>
      <c r="DX19" s="5"/>
      <c r="DY19" s="5"/>
      <c r="DZ19" s="5">
        <f>(DR19+DS19)-DX19</f>
        <v>0</v>
      </c>
      <c r="EB19" s="30">
        <f>EA19/992</f>
        <v>0</v>
      </c>
      <c r="EC19" s="31"/>
      <c r="ED19" s="5">
        <v>0</v>
      </c>
      <c r="EE19" s="5"/>
      <c r="EF19" s="5">
        <f>(DX19+DY19)-ED19</f>
        <v>0</v>
      </c>
      <c r="EH19" s="30">
        <f>EG19/992</f>
        <v>0</v>
      </c>
      <c r="EI19" s="31"/>
      <c r="EJ19" s="5">
        <v>0</v>
      </c>
      <c r="EK19" s="5"/>
      <c r="EL19" s="5">
        <f>(ED19+EE19)-EJ19</f>
        <v>0</v>
      </c>
      <c r="EN19" s="30">
        <f>EM19/992</f>
        <v>0</v>
      </c>
      <c r="EO19" s="31"/>
      <c r="EP19" s="5">
        <v>0</v>
      </c>
      <c r="EQ19" s="5"/>
      <c r="ER19" s="5">
        <f>(EJ19+EK19)-EP19</f>
        <v>0</v>
      </c>
      <c r="ET19" s="30">
        <f>ES19/992</f>
        <v>0</v>
      </c>
      <c r="EU19" s="31"/>
      <c r="EV19" s="5"/>
      <c r="EW19" s="5"/>
      <c r="EX19" s="5">
        <f>(EP19+EQ19)-EV19</f>
        <v>0</v>
      </c>
      <c r="EZ19" s="30">
        <f>EY19/992</f>
        <v>0</v>
      </c>
      <c r="FA19" s="31"/>
      <c r="FB19" s="5">
        <v>0</v>
      </c>
      <c r="FC19" s="5"/>
      <c r="FD19" s="5">
        <f>(EV19+EW19)-FB19</f>
        <v>0</v>
      </c>
      <c r="FF19" s="30">
        <f>FE19/992</f>
        <v>0</v>
      </c>
      <c r="FG19" s="31"/>
      <c r="FH19" s="5">
        <v>0</v>
      </c>
      <c r="FI19" s="5"/>
      <c r="FJ19" s="5">
        <f>(FB19+FC19)-FH19</f>
        <v>0</v>
      </c>
      <c r="FL19" s="30">
        <f>FK19/992</f>
        <v>0</v>
      </c>
      <c r="FM19" s="31"/>
      <c r="FN19" s="5">
        <v>0</v>
      </c>
      <c r="FO19" s="5"/>
      <c r="FP19" s="5">
        <f>(FH19+FI19)-FN19</f>
        <v>0</v>
      </c>
      <c r="FR19" s="30">
        <f>FQ19/992</f>
        <v>0</v>
      </c>
      <c r="FS19" s="31"/>
      <c r="FT19" s="5">
        <v>0</v>
      </c>
      <c r="FU19" s="5"/>
      <c r="FV19" s="5">
        <f>(FN19+FO19)-FT19</f>
        <v>0</v>
      </c>
      <c r="FX19" s="30">
        <f>FW19/992</f>
        <v>0</v>
      </c>
      <c r="FY19" s="31"/>
      <c r="FZ19" s="5">
        <v>0</v>
      </c>
      <c r="GA19" s="5"/>
      <c r="GB19" s="5">
        <f>(FT19+FU19)-FZ19</f>
        <v>0</v>
      </c>
      <c r="GD19" s="30">
        <f>GC19/992</f>
        <v>0</v>
      </c>
      <c r="GE19" s="31"/>
      <c r="GF19" s="5">
        <v>0</v>
      </c>
      <c r="GG19" s="5"/>
      <c r="GH19" s="5">
        <f>(FZ19+GA19)-GF19</f>
        <v>0</v>
      </c>
      <c r="GJ19" s="30">
        <f>GI19/992</f>
        <v>0</v>
      </c>
      <c r="GK19" s="31"/>
      <c r="GL19" s="5"/>
      <c r="GM19" s="5"/>
      <c r="GN19" s="5">
        <f>(GF19+GG19)-GL19</f>
        <v>0</v>
      </c>
      <c r="GP19" s="30">
        <f>GO19/992</f>
        <v>0</v>
      </c>
      <c r="GQ19" s="31"/>
      <c r="GR19" s="5"/>
      <c r="GS19" s="5"/>
      <c r="GT19" s="5">
        <f>(GL19+GM19)-GR19</f>
        <v>0</v>
      </c>
      <c r="GV19" s="30">
        <f>GU19/992</f>
        <v>0</v>
      </c>
      <c r="GW19" s="31"/>
      <c r="GX19" s="5">
        <v>0</v>
      </c>
      <c r="GY19" s="5"/>
      <c r="GZ19" s="5">
        <f>(GR19+GS19)-GX19</f>
        <v>0</v>
      </c>
      <c r="HB19" s="30">
        <f>HA19/992</f>
        <v>0</v>
      </c>
      <c r="HC19" s="31"/>
      <c r="HD19" s="5"/>
      <c r="HE19" s="5"/>
      <c r="HF19" s="5">
        <f>(GX19+GY19)-HD19</f>
        <v>0</v>
      </c>
      <c r="HH19" s="30">
        <f>HG19/992</f>
        <v>0</v>
      </c>
      <c r="HI19" s="31"/>
      <c r="HJ19" s="5">
        <v>0</v>
      </c>
      <c r="HK19" s="5"/>
      <c r="HL19" s="5">
        <f>(HD19+HE19)-HJ19</f>
        <v>0</v>
      </c>
      <c r="HN19" s="30">
        <f>HM19/992</f>
        <v>0</v>
      </c>
      <c r="HO19" s="31"/>
      <c r="HP19" s="5">
        <v>0</v>
      </c>
      <c r="HQ19" s="5"/>
      <c r="HR19" s="5">
        <f>(HJ19+HK19)-HP19</f>
        <v>0</v>
      </c>
      <c r="HT19" s="30">
        <f>HS19/992</f>
        <v>0</v>
      </c>
      <c r="HU19" s="31"/>
      <c r="HV19" s="5">
        <v>0</v>
      </c>
      <c r="HW19" s="5"/>
      <c r="HX19" s="5">
        <f>(HP19+HQ19)-HV19</f>
        <v>0</v>
      </c>
      <c r="HZ19" s="30">
        <f>HY19/992</f>
        <v>0</v>
      </c>
      <c r="IA19" s="31"/>
      <c r="IB19" s="5">
        <v>0</v>
      </c>
      <c r="IC19" s="5"/>
      <c r="ID19" s="5">
        <f>(HV19+HW19)-IB19</f>
        <v>0</v>
      </c>
      <c r="IF19" s="30">
        <f>IE19/992</f>
        <v>0</v>
      </c>
      <c r="IG19" s="31"/>
      <c r="IH19" s="5">
        <v>0</v>
      </c>
      <c r="II19" s="5"/>
      <c r="IJ19" s="5">
        <f>(IB19+IC19)-IH19</f>
        <v>0</v>
      </c>
      <c r="IL19" s="30">
        <f>IK19/992</f>
        <v>0</v>
      </c>
      <c r="IM19" s="31"/>
      <c r="IN19" s="5">
        <v>0</v>
      </c>
      <c r="IO19" s="5"/>
      <c r="IP19" s="5">
        <f>(IH19+II19)-IN19</f>
        <v>0</v>
      </c>
      <c r="IR19" s="30">
        <f>IQ19/992</f>
        <v>0</v>
      </c>
      <c r="IS19" s="31"/>
      <c r="IT19" s="5"/>
      <c r="IU19" s="5"/>
      <c r="IV19" s="5">
        <f>(IN19+IO19)-IT19</f>
        <v>0</v>
      </c>
      <c r="IX19" s="30">
        <f>IW19/992</f>
        <v>0</v>
      </c>
      <c r="IY19" s="31"/>
      <c r="IZ19" s="5"/>
      <c r="JA19" s="5">
        <v>1</v>
      </c>
      <c r="JB19" s="5">
        <f>(IT19+IU19)-IZ19</f>
        <v>0</v>
      </c>
      <c r="JD19" s="30">
        <f>JC19/992</f>
        <v>0</v>
      </c>
      <c r="JE19" s="31"/>
      <c r="JF19" s="5">
        <v>0.9</v>
      </c>
      <c r="JG19" s="5"/>
      <c r="JH19" s="5">
        <f>(IZ19+JA19)-JF19</f>
        <v>9.9999999999999978E-2</v>
      </c>
      <c r="JI19" s="1">
        <v>0</v>
      </c>
      <c r="JJ19" s="30">
        <f>JI19/992</f>
        <v>0</v>
      </c>
      <c r="JK19" s="31"/>
      <c r="JL19" s="5">
        <v>0.3</v>
      </c>
      <c r="JM19" s="5"/>
      <c r="JN19" s="5">
        <f>(JF19+JG19)-JL19</f>
        <v>0.60000000000000009</v>
      </c>
      <c r="JO19" s="1">
        <v>234</v>
      </c>
      <c r="JP19" s="30">
        <f>JO19/992</f>
        <v>0.23588709677419356</v>
      </c>
      <c r="JQ19" s="31"/>
      <c r="JR19" s="5">
        <v>0.3</v>
      </c>
      <c r="JS19" s="5"/>
      <c r="JT19" s="5">
        <f>(JL19+JM19)-JR19</f>
        <v>0</v>
      </c>
      <c r="JV19" s="30">
        <f>JU19/992</f>
        <v>0</v>
      </c>
      <c r="JW19" s="31"/>
      <c r="JX19" s="5">
        <v>0.3</v>
      </c>
      <c r="JY19" s="5"/>
      <c r="JZ19" s="5">
        <f>(JR19+JS19)-JX19</f>
        <v>0</v>
      </c>
      <c r="KA19" s="1">
        <v>72</v>
      </c>
      <c r="KB19" s="30">
        <f>KA19/992</f>
        <v>7.2580645161290328E-2</v>
      </c>
      <c r="KC19" s="31"/>
      <c r="KD19" s="5">
        <v>0.6</v>
      </c>
      <c r="KE19" s="5">
        <v>1</v>
      </c>
      <c r="KF19" s="5">
        <f>(JX19+JY19)-KD19</f>
        <v>-0.3</v>
      </c>
      <c r="KH19" s="30">
        <f>KG19/992</f>
        <v>0</v>
      </c>
      <c r="KI19" s="31"/>
      <c r="KJ19" s="5">
        <v>1.1000000000000001</v>
      </c>
      <c r="KK19" s="5"/>
      <c r="KL19" s="5">
        <f>(KD19+KE19)-KJ19</f>
        <v>0.5</v>
      </c>
      <c r="KM19" s="1">
        <v>126</v>
      </c>
      <c r="KN19" s="30">
        <f>KM19/992</f>
        <v>0.12701612903225806</v>
      </c>
      <c r="KO19" s="31"/>
      <c r="KP19" s="5">
        <v>1.1000000000000001</v>
      </c>
      <c r="KQ19" s="5"/>
      <c r="KR19" s="5">
        <f>(KJ19+KK19)-KP19</f>
        <v>0</v>
      </c>
      <c r="KS19" s="1">
        <v>18</v>
      </c>
      <c r="KT19" s="30">
        <f>KS19/992</f>
        <v>1.8145161290322582E-2</v>
      </c>
      <c r="KU19" s="31"/>
      <c r="KV19" s="5">
        <v>1.1000000000000001</v>
      </c>
      <c r="KW19" s="5"/>
      <c r="KX19" s="5">
        <f>(KP19+KQ19)-KV19</f>
        <v>0</v>
      </c>
      <c r="KY19" s="1">
        <v>54</v>
      </c>
      <c r="KZ19" s="30">
        <f>KY19/992</f>
        <v>5.4435483870967742E-2</v>
      </c>
      <c r="LA19" s="31"/>
      <c r="LB19" s="5">
        <v>1.1000000000000001</v>
      </c>
      <c r="LC19" s="5"/>
      <c r="LD19" s="5">
        <f>(KV19+KW19)-LB19</f>
        <v>0</v>
      </c>
      <c r="LE19" s="1">
        <v>36</v>
      </c>
      <c r="LF19" s="30">
        <f>LE19/992</f>
        <v>3.6290322580645164E-2</v>
      </c>
      <c r="LG19" s="31"/>
      <c r="LH19" s="5">
        <v>0.9</v>
      </c>
      <c r="LI19" s="5"/>
      <c r="LJ19" s="5">
        <f>(LB19+LC19)-LH19</f>
        <v>0.20000000000000007</v>
      </c>
      <c r="LK19" s="1">
        <v>180</v>
      </c>
      <c r="LL19" s="30">
        <f>LK19/992</f>
        <v>0.18145161290322581</v>
      </c>
      <c r="LM19" s="31"/>
      <c r="LN19" s="5">
        <v>0.8</v>
      </c>
      <c r="LO19" s="5"/>
      <c r="LP19" s="5">
        <f>(LH19+LI19)-LN19</f>
        <v>9.9999999999999978E-2</v>
      </c>
      <c r="LQ19" s="1">
        <v>36</v>
      </c>
      <c r="LR19" s="30">
        <f>LQ19/992</f>
        <v>3.6290322580645164E-2</v>
      </c>
      <c r="LS19" s="31"/>
      <c r="LT19" s="5">
        <v>0.8</v>
      </c>
      <c r="LU19" s="5"/>
      <c r="LV19" s="5">
        <f>(LN19+LO19)-LT19</f>
        <v>0</v>
      </c>
      <c r="LW19" s="1">
        <v>18</v>
      </c>
      <c r="LX19" s="30">
        <f>LW19/992</f>
        <v>1.8145161290322582E-2</v>
      </c>
      <c r="LY19" s="31"/>
      <c r="LZ19" s="5">
        <v>0.8</v>
      </c>
      <c r="MA19" s="5"/>
      <c r="MB19" s="5">
        <f>(LT19+LU19)-LZ19</f>
        <v>0</v>
      </c>
      <c r="MC19" s="1">
        <v>90</v>
      </c>
      <c r="MD19" s="30">
        <f>MC19/992</f>
        <v>9.0725806451612906E-2</v>
      </c>
      <c r="ME19" s="31"/>
      <c r="MF19" s="5">
        <v>0.8</v>
      </c>
      <c r="MG19" s="5"/>
      <c r="MH19" s="5">
        <f>(LZ19+MA19)-MF19</f>
        <v>0</v>
      </c>
      <c r="MJ19" s="30">
        <f>MI19/992</f>
        <v>0</v>
      </c>
      <c r="MK19" s="31"/>
      <c r="ML19" s="5">
        <v>0.8</v>
      </c>
      <c r="MM19" s="5"/>
      <c r="MN19" s="5">
        <f>(MF19+MG19)-ML19</f>
        <v>0</v>
      </c>
      <c r="MO19" s="1">
        <v>72</v>
      </c>
      <c r="MP19" s="30">
        <f>MO19/992</f>
        <v>7.2580645161290328E-2</v>
      </c>
      <c r="MQ19" s="31"/>
      <c r="MR19" s="5">
        <v>0.6</v>
      </c>
      <c r="MS19" s="5"/>
      <c r="MT19" s="5">
        <f>(ML19+MM19)-MR19</f>
        <v>0.20000000000000007</v>
      </c>
      <c r="MV19" s="30">
        <f>MU19/992</f>
        <v>0</v>
      </c>
      <c r="MW19" s="31"/>
      <c r="MX19" s="5">
        <v>0.6</v>
      </c>
      <c r="MY19" s="5"/>
      <c r="MZ19" s="5">
        <f>(MR19+MS19)-MX19</f>
        <v>0</v>
      </c>
      <c r="NA19" s="1">
        <v>36</v>
      </c>
      <c r="NB19" s="30">
        <f>NA19/992</f>
        <v>3.6290322580645164E-2</v>
      </c>
      <c r="NC19" s="31"/>
      <c r="ND19" s="5">
        <v>0.1</v>
      </c>
      <c r="NE19" s="5"/>
      <c r="NF19" s="5">
        <f>(MX19+MY19)-ND19</f>
        <v>0.5</v>
      </c>
      <c r="NH19" s="30">
        <f>NG19/992</f>
        <v>0</v>
      </c>
      <c r="NI19" s="31"/>
      <c r="NJ19" s="5">
        <v>0.1</v>
      </c>
      <c r="NK19" s="5"/>
      <c r="NL19" s="5">
        <f>(ND19+NE19)-NJ19</f>
        <v>0</v>
      </c>
      <c r="NM19" s="1">
        <v>36</v>
      </c>
      <c r="NN19" s="30">
        <f>NM19/992</f>
        <v>3.6290322580645164E-2</v>
      </c>
      <c r="NO19" s="31"/>
      <c r="NP19" s="5">
        <v>0</v>
      </c>
      <c r="NQ19" s="5">
        <v>1</v>
      </c>
      <c r="NR19" s="5">
        <f>(NJ19+NK19)-NP19</f>
        <v>0.1</v>
      </c>
      <c r="NS19" s="1">
        <v>144</v>
      </c>
      <c r="NT19" s="30">
        <f>NS19/992</f>
        <v>0.14516129032258066</v>
      </c>
      <c r="NU19" s="31"/>
      <c r="NV19" s="5">
        <v>0.9</v>
      </c>
      <c r="NW19" s="5"/>
      <c r="NX19" s="5">
        <f>(NP19+NQ19)-NV19</f>
        <v>9.9999999999999978E-2</v>
      </c>
      <c r="NY19" s="1">
        <v>90</v>
      </c>
      <c r="NZ19" s="30">
        <f>NY19/992</f>
        <v>9.0725806451612906E-2</v>
      </c>
      <c r="OA19" s="31"/>
      <c r="OB19" s="5">
        <v>0.8</v>
      </c>
      <c r="OC19" s="5"/>
      <c r="OD19" s="5">
        <f>(NV19+NW19)-OB19</f>
        <v>9.9999999999999978E-2</v>
      </c>
      <c r="OF19" s="30">
        <f>OE19/992</f>
        <v>0</v>
      </c>
      <c r="OG19" s="31"/>
      <c r="OH19" s="5">
        <v>0.2</v>
      </c>
      <c r="OI19" s="5">
        <v>1</v>
      </c>
      <c r="OJ19" s="5">
        <f>(OB19+OC19)-OH19</f>
        <v>0.60000000000000009</v>
      </c>
      <c r="OK19" s="1">
        <v>180</v>
      </c>
      <c r="OL19" s="30">
        <f>OK19/992</f>
        <v>0.18145161290322581</v>
      </c>
      <c r="OM19" s="31"/>
      <c r="ON19" s="5">
        <v>1.1000000000000001</v>
      </c>
      <c r="OO19" s="5"/>
      <c r="OP19" s="5">
        <f>(OH19+OI19)-ON19</f>
        <v>9.9999999999999867E-2</v>
      </c>
      <c r="OR19" s="30">
        <f>OQ19/992</f>
        <v>0</v>
      </c>
      <c r="OS19" s="31"/>
      <c r="OT19" s="5">
        <v>1.1000000000000001</v>
      </c>
      <c r="OU19" s="5"/>
      <c r="OV19" s="5">
        <f>(ON19+OO19)-OT19</f>
        <v>0</v>
      </c>
      <c r="OW19" s="1">
        <v>0</v>
      </c>
      <c r="OX19" s="30">
        <f>OW19/992</f>
        <v>0</v>
      </c>
      <c r="OY19" s="31"/>
      <c r="OZ19" s="5">
        <v>0.9</v>
      </c>
      <c r="PA19" s="5"/>
      <c r="PB19" s="5">
        <f>(OT19+OU19)-OZ19</f>
        <v>0.20000000000000007</v>
      </c>
      <c r="PC19" s="1">
        <v>0</v>
      </c>
      <c r="PD19" s="30">
        <f>PC19/992</f>
        <v>0</v>
      </c>
      <c r="PE19" s="31"/>
      <c r="PF19" s="5">
        <v>1.2</v>
      </c>
      <c r="PG19" s="5"/>
      <c r="PH19" s="5">
        <f>(OZ19+PA19)-PF19</f>
        <v>-0.29999999999999993</v>
      </c>
      <c r="PI19" s="1">
        <v>36</v>
      </c>
      <c r="PJ19" s="30">
        <f>PI19/992</f>
        <v>3.6290322580645164E-2</v>
      </c>
      <c r="PK19" s="31"/>
      <c r="PL19" s="5">
        <v>0.9</v>
      </c>
      <c r="PM19" s="5"/>
      <c r="PN19" s="5">
        <f>(PF19+PG19)-PL19</f>
        <v>0.29999999999999993</v>
      </c>
      <c r="PP19" s="30">
        <f>PO19/992</f>
        <v>0</v>
      </c>
      <c r="PQ19" s="31"/>
      <c r="PR19" s="5">
        <v>0.3</v>
      </c>
      <c r="PS19" s="5"/>
      <c r="PT19" s="5">
        <f>(PL19+PM19)-PR19</f>
        <v>0.60000000000000009</v>
      </c>
      <c r="PU19" s="1">
        <v>126</v>
      </c>
      <c r="PV19" s="30">
        <f>PU19/992</f>
        <v>0.12701612903225806</v>
      </c>
      <c r="PW19" s="31"/>
      <c r="PX19" s="5">
        <v>1.2</v>
      </c>
      <c r="PY19" s="5"/>
      <c r="PZ19" s="5">
        <f>(PR19+PS19)-PX19</f>
        <v>-0.89999999999999991</v>
      </c>
      <c r="QA19" s="1">
        <v>54</v>
      </c>
      <c r="QB19" s="30">
        <f>QA19/992</f>
        <v>5.4435483870967742E-2</v>
      </c>
      <c r="QC19" s="31"/>
      <c r="QD19" s="5">
        <v>0.9</v>
      </c>
      <c r="QE19" s="5"/>
      <c r="QF19" s="5">
        <f>(PX19+PY19)-QD19</f>
        <v>0.29999999999999993</v>
      </c>
      <c r="QG19" s="1">
        <v>72</v>
      </c>
      <c r="QH19" s="30">
        <f>QG19/992</f>
        <v>7.2580645161290328E-2</v>
      </c>
      <c r="QI19" s="31"/>
      <c r="QJ19" s="5">
        <v>0.8</v>
      </c>
      <c r="QK19" s="5"/>
      <c r="QL19" s="5">
        <f>(QD19+QE19)-QJ19</f>
        <v>9.9999999999999978E-2</v>
      </c>
      <c r="QN19" s="30">
        <f>QM19/992</f>
        <v>0</v>
      </c>
      <c r="QO19" s="31"/>
      <c r="QP19" s="5">
        <v>0.6</v>
      </c>
      <c r="QQ19" s="5"/>
      <c r="QR19" s="5">
        <f>(QJ19+QK19)-QP19</f>
        <v>0.20000000000000007</v>
      </c>
      <c r="QS19" s="1">
        <v>90</v>
      </c>
      <c r="QT19" s="30">
        <f>QS19/992</f>
        <v>9.0725806451612906E-2</v>
      </c>
      <c r="QU19" s="31"/>
      <c r="QV19" s="5">
        <v>0.2</v>
      </c>
      <c r="QW19" s="5"/>
      <c r="QX19" s="5">
        <f>(QP19+QQ19)-QV19</f>
        <v>0.39999999999999997</v>
      </c>
      <c r="QY19" s="1">
        <v>18</v>
      </c>
      <c r="QZ19" s="30">
        <f>QY19/992</f>
        <v>1.8145161290322582E-2</v>
      </c>
      <c r="RA19" s="31"/>
      <c r="RB19" s="5">
        <v>0.5</v>
      </c>
      <c r="RC19" s="5"/>
      <c r="RD19" s="5">
        <f>(QV19+QW19)-RB19</f>
        <v>-0.3</v>
      </c>
      <c r="RF19" s="30">
        <f>RE19/992</f>
        <v>0</v>
      </c>
      <c r="RG19" s="31"/>
      <c r="RH19" s="5">
        <v>0</v>
      </c>
      <c r="RI19" s="5">
        <v>1</v>
      </c>
      <c r="RJ19" s="5">
        <f>(RB19+RC19)-RH19</f>
        <v>0.5</v>
      </c>
      <c r="RL19" s="30">
        <f>RK19/992</f>
        <v>0</v>
      </c>
      <c r="RM19" s="31"/>
      <c r="RN19" s="5">
        <v>1.1000000000000001</v>
      </c>
      <c r="RO19" s="5"/>
      <c r="RP19" s="5">
        <f>(RH19+RI19)-RN19</f>
        <v>-0.10000000000000009</v>
      </c>
      <c r="RQ19" s="1">
        <v>216</v>
      </c>
      <c r="RR19" s="30">
        <f>RQ19/992</f>
        <v>0.21774193548387097</v>
      </c>
      <c r="RS19" s="31"/>
      <c r="RT19" s="5">
        <v>0.8</v>
      </c>
      <c r="RU19" s="5"/>
      <c r="RV19" s="5">
        <f>(RN19+RO19)-RT19</f>
        <v>0.30000000000000004</v>
      </c>
      <c r="RW19" s="1">
        <v>36</v>
      </c>
      <c r="RX19" s="30">
        <f>RW19/992</f>
        <v>3.6290322580645164E-2</v>
      </c>
      <c r="RY19" s="31"/>
      <c r="RZ19" s="5">
        <v>0.8</v>
      </c>
      <c r="SA19" s="5"/>
      <c r="SB19" s="5">
        <f>(RT19+RU19)-RZ19</f>
        <v>0</v>
      </c>
      <c r="SC19" s="1">
        <v>18</v>
      </c>
      <c r="SD19" s="30">
        <f>SC19/992</f>
        <v>1.8145161290322582E-2</v>
      </c>
      <c r="SE19" s="31"/>
      <c r="SF19" s="5">
        <v>0.4</v>
      </c>
      <c r="SG19" s="5"/>
      <c r="SH19" s="5">
        <f>(RZ19+SA19)-SF19</f>
        <v>0.4</v>
      </c>
      <c r="SI19" s="1">
        <v>18</v>
      </c>
      <c r="SJ19" s="30">
        <f>SI19/992</f>
        <v>1.8145161290322582E-2</v>
      </c>
      <c r="SK19" s="31"/>
      <c r="SL19" s="5">
        <v>0.3</v>
      </c>
      <c r="SM19" s="5">
        <v>1</v>
      </c>
      <c r="SN19" s="5">
        <f>(SF19+SG19)-SL19</f>
        <v>0.10000000000000003</v>
      </c>
      <c r="SO19" s="1">
        <v>126</v>
      </c>
      <c r="SP19" s="30">
        <f>SO19/992</f>
        <v>0.12701612903225806</v>
      </c>
      <c r="SQ19" s="31"/>
      <c r="SR19" s="5">
        <v>0.3</v>
      </c>
      <c r="SS19" s="5"/>
      <c r="ST19" s="5">
        <f>(SL19+SM19)-SR19</f>
        <v>1</v>
      </c>
      <c r="SU19" s="1">
        <v>36</v>
      </c>
      <c r="SV19" s="30">
        <f>SU19/992</f>
        <v>3.6290322580645164E-2</v>
      </c>
      <c r="SW19" s="31"/>
      <c r="SX19" s="5">
        <v>0.2</v>
      </c>
      <c r="SY19" s="5"/>
      <c r="SZ19" s="5">
        <f>(SR19+SS19)-SX19</f>
        <v>9.9999999999999978E-2</v>
      </c>
      <c r="TA19" s="1">
        <v>54</v>
      </c>
      <c r="TB19" s="30">
        <f>TA19/992</f>
        <v>5.4435483870967742E-2</v>
      </c>
      <c r="TC19" s="31"/>
      <c r="TD19" s="5">
        <v>1</v>
      </c>
      <c r="TE19" s="5"/>
      <c r="TF19" s="5">
        <f>(SX19+SY19)-TD19</f>
        <v>-0.8</v>
      </c>
      <c r="TG19" s="1">
        <v>216</v>
      </c>
      <c r="TH19" s="30">
        <f>TG19/992</f>
        <v>0.21774193548387097</v>
      </c>
      <c r="TI19" s="31"/>
      <c r="TJ19" s="5">
        <v>1.2</v>
      </c>
      <c r="TK19" s="5"/>
      <c r="TL19" s="5">
        <f>(TD19+TE19)-TJ19</f>
        <v>-0.19999999999999996</v>
      </c>
      <c r="TM19" s="1">
        <v>182</v>
      </c>
      <c r="TN19" s="30">
        <f>TM19/992</f>
        <v>0.18346774193548387</v>
      </c>
      <c r="TO19" s="31"/>
      <c r="TP19" s="5">
        <v>0.9</v>
      </c>
      <c r="TQ19" s="5"/>
      <c r="TR19" s="5">
        <f>(TJ19+TK19)-TP19</f>
        <v>0.29999999999999993</v>
      </c>
      <c r="TT19" s="30">
        <f>TS19/992</f>
        <v>0</v>
      </c>
      <c r="TU19" s="31"/>
      <c r="TV19" s="5">
        <v>0.9</v>
      </c>
      <c r="TW19" s="5"/>
      <c r="TX19" s="5">
        <f>(TP19+TQ19)-TV19</f>
        <v>0</v>
      </c>
      <c r="TY19" s="1">
        <v>90</v>
      </c>
      <c r="TZ19" s="30">
        <f>TY19/992</f>
        <v>9.0725806451612906E-2</v>
      </c>
      <c r="UA19" s="31"/>
      <c r="UB19" s="5">
        <v>0.6</v>
      </c>
      <c r="UC19" s="5"/>
      <c r="UD19" s="5">
        <f>(TV19+TW19)-UB19</f>
        <v>0.30000000000000004</v>
      </c>
      <c r="UF19" s="30">
        <f>UE19/992</f>
        <v>0</v>
      </c>
      <c r="UG19" s="31"/>
      <c r="UH19" s="5">
        <v>0.5</v>
      </c>
      <c r="UI19" s="5"/>
      <c r="UJ19" s="5">
        <f>(UB19+UC19)-UH19</f>
        <v>9.9999999999999978E-2</v>
      </c>
      <c r="UK19" s="1">
        <v>90</v>
      </c>
      <c r="UL19" s="30">
        <f>UK19/992</f>
        <v>9.0725806451612906E-2</v>
      </c>
      <c r="UM19" s="31"/>
      <c r="UN19" s="5">
        <v>0.3</v>
      </c>
      <c r="UO19" s="5"/>
      <c r="UP19" s="5">
        <f>(UH19+UI19)-UN19</f>
        <v>0.2</v>
      </c>
      <c r="UQ19" s="1">
        <v>162</v>
      </c>
      <c r="UR19" s="30">
        <f>UQ19/992</f>
        <v>0.16330645161290322</v>
      </c>
      <c r="US19" s="31"/>
      <c r="UT19" s="5">
        <v>0.9</v>
      </c>
      <c r="UU19" s="5"/>
      <c r="UV19" s="5">
        <f>(UN19+UO19)-UT19</f>
        <v>-0.60000000000000009</v>
      </c>
      <c r="UW19" s="1">
        <v>36</v>
      </c>
      <c r="UX19" s="30">
        <f>UW19/992</f>
        <v>3.6290322580645164E-2</v>
      </c>
      <c r="UY19" s="31"/>
      <c r="UZ19" s="5">
        <v>0.2</v>
      </c>
      <c r="VA19" s="5"/>
      <c r="VB19" s="5">
        <f>(UT19+UU19)-UZ19</f>
        <v>0.7</v>
      </c>
      <c r="VC19" s="1">
        <v>108</v>
      </c>
      <c r="VD19" s="30">
        <f>VC19/992</f>
        <v>0.10887096774193548</v>
      </c>
      <c r="VE19" s="31"/>
      <c r="VF19" s="5">
        <v>0.1</v>
      </c>
      <c r="VG19" s="5">
        <v>1</v>
      </c>
      <c r="VH19" s="5">
        <f>(UZ19+VA19)-VF19</f>
        <v>0.1</v>
      </c>
      <c r="VI19" s="1">
        <v>54</v>
      </c>
      <c r="VJ19" s="30">
        <f>VI19/992</f>
        <v>5.4435483870967742E-2</v>
      </c>
      <c r="VK19" s="31"/>
      <c r="VL19" s="5">
        <v>1.1000000000000001</v>
      </c>
      <c r="VM19" s="5"/>
      <c r="VN19" s="5">
        <f>(VF19+VG19)-VL19</f>
        <v>0</v>
      </c>
      <c r="VP19" s="30">
        <f>VO19/992</f>
        <v>0</v>
      </c>
      <c r="VQ19" s="31"/>
      <c r="VR19" s="5">
        <v>1.1000000000000001</v>
      </c>
      <c r="VS19" s="5"/>
      <c r="VT19" s="5">
        <f>(VL19+VM19)-VR19</f>
        <v>0</v>
      </c>
      <c r="VV19" s="30">
        <f>VU19/992</f>
        <v>0</v>
      </c>
      <c r="VW19" s="31"/>
      <c r="VX19" s="5">
        <v>0.7</v>
      </c>
      <c r="VY19" s="5"/>
      <c r="VZ19" s="5">
        <f>(VR19+VS19)-VX19</f>
        <v>0.40000000000000013</v>
      </c>
      <c r="WB19" s="30">
        <f>WA19/992</f>
        <v>0</v>
      </c>
      <c r="WC19" s="31"/>
      <c r="WD19" s="5">
        <v>0</v>
      </c>
      <c r="WE19" s="5"/>
      <c r="WF19" s="5">
        <f>(VX19+VY19)-WD19</f>
        <v>0.7</v>
      </c>
      <c r="WH19" s="30">
        <f>WG19/992</f>
        <v>0</v>
      </c>
      <c r="WI19" s="31"/>
      <c r="WJ19" s="5">
        <v>0.4</v>
      </c>
      <c r="WK19" s="5"/>
      <c r="WL19" s="5">
        <f>(WD19+WE19)-WJ19</f>
        <v>-0.4</v>
      </c>
      <c r="WM19" s="1">
        <v>180</v>
      </c>
      <c r="WN19" s="30">
        <f>WM19/992</f>
        <v>0.18145161290322581</v>
      </c>
      <c r="WO19" s="31"/>
      <c r="WP19" s="5">
        <v>0.3</v>
      </c>
      <c r="WQ19" s="5"/>
      <c r="WR19" s="5">
        <f>(WJ19+WK19)-WP19</f>
        <v>0.10000000000000003</v>
      </c>
      <c r="WS19" s="1">
        <v>114</v>
      </c>
      <c r="WT19" s="30">
        <f>WS19/992</f>
        <v>0.11491935483870967</v>
      </c>
      <c r="WU19" s="31"/>
      <c r="WV19" s="5">
        <v>0.3</v>
      </c>
      <c r="WW19" s="5"/>
      <c r="WX19" s="5">
        <f>(WP19+WQ19)-WV19</f>
        <v>0</v>
      </c>
      <c r="WY19" s="1">
        <v>0</v>
      </c>
      <c r="WZ19" s="30">
        <f>WY19/992</f>
        <v>0</v>
      </c>
      <c r="XA19" s="31"/>
      <c r="XB19" s="5">
        <v>0.2</v>
      </c>
      <c r="XC19" s="5">
        <v>1</v>
      </c>
      <c r="XD19" s="5">
        <f>(WV19+WW19)-XB19</f>
        <v>9.9999999999999978E-2</v>
      </c>
      <c r="XE19" s="1">
        <v>68</v>
      </c>
      <c r="XF19" s="30">
        <f>XE19/992</f>
        <v>6.8548387096774188E-2</v>
      </c>
      <c r="XG19" s="31"/>
      <c r="XH19" s="5">
        <v>1.1000000000000001</v>
      </c>
      <c r="XI19" s="5"/>
      <c r="XJ19" s="5">
        <f>(XB19+XC19)-XH19</f>
        <v>9.9999999999999867E-2</v>
      </c>
      <c r="XK19" s="1">
        <v>160</v>
      </c>
      <c r="XL19" s="30">
        <f>XK19/992</f>
        <v>0.16129032258064516</v>
      </c>
      <c r="XM19" s="31"/>
      <c r="XN19" s="5">
        <v>1.1000000000000001</v>
      </c>
      <c r="XO19" s="5"/>
      <c r="XP19" s="5">
        <f>(XH19+XI19)-XN19</f>
        <v>0</v>
      </c>
      <c r="XQ19" s="1">
        <v>118</v>
      </c>
      <c r="XR19" s="30">
        <f>XQ19/992</f>
        <v>0.11895161290322581</v>
      </c>
      <c r="XS19" s="31"/>
      <c r="XT19" s="5">
        <v>0.9</v>
      </c>
      <c r="XU19" s="5"/>
      <c r="XV19" s="5">
        <f>(XN19+XO19)-XT19</f>
        <v>0.20000000000000007</v>
      </c>
      <c r="XW19" s="1">
        <v>126</v>
      </c>
      <c r="XX19" s="30">
        <f>XW19/992</f>
        <v>0.12701612903225806</v>
      </c>
      <c r="XY19" s="31"/>
      <c r="XZ19" s="5">
        <v>0.7</v>
      </c>
      <c r="YA19" s="5"/>
      <c r="YB19" s="5">
        <f>(XT19+XU19)-XZ19</f>
        <v>0.20000000000000007</v>
      </c>
      <c r="YC19" s="1">
        <v>126</v>
      </c>
      <c r="YD19" s="30">
        <f>YC19/992</f>
        <v>0.12701612903225806</v>
      </c>
      <c r="YE19" s="31"/>
      <c r="YF19" s="5">
        <v>0.5</v>
      </c>
      <c r="YG19" s="5"/>
      <c r="YH19" s="5">
        <f>(XZ19+YA19)-YF19</f>
        <v>0.19999999999999996</v>
      </c>
      <c r="YJ19" s="30">
        <f>YI19/992</f>
        <v>0</v>
      </c>
      <c r="YK19" s="31"/>
      <c r="YL19" s="5">
        <v>0.5</v>
      </c>
      <c r="YM19" s="5"/>
      <c r="YN19" s="5">
        <f>(YF19+YG19)-YL19</f>
        <v>0</v>
      </c>
      <c r="YP19" s="30">
        <f>YO19/992</f>
        <v>0</v>
      </c>
      <c r="YQ19" s="31"/>
      <c r="YR19" s="5">
        <v>0.4</v>
      </c>
      <c r="YS19" s="5"/>
      <c r="YT19" s="5">
        <f>(YL19+YM19)-YR19</f>
        <v>9.9999999999999978E-2</v>
      </c>
      <c r="YV19" s="30">
        <f>YU19/992</f>
        <v>0</v>
      </c>
      <c r="YW19" s="31"/>
      <c r="YX19" s="5">
        <v>0.3</v>
      </c>
      <c r="YY19" s="5">
        <v>1</v>
      </c>
      <c r="YZ19" s="5">
        <f>(YR19+YS19)-YX19</f>
        <v>0.10000000000000003</v>
      </c>
      <c r="ZA19" s="1">
        <v>72</v>
      </c>
      <c r="ZB19" s="30">
        <f>ZA19/992</f>
        <v>7.2580645161290328E-2</v>
      </c>
      <c r="ZC19" s="31"/>
      <c r="ZD19" s="5">
        <v>1.1000000000000001</v>
      </c>
      <c r="ZE19" s="5"/>
      <c r="ZF19" s="5">
        <f>(YX19+YY19)-ZD19</f>
        <v>0.19999999999999996</v>
      </c>
      <c r="ZG19" s="1">
        <v>90</v>
      </c>
      <c r="ZH19" s="30">
        <f>ZG19/992</f>
        <v>9.0725806451612906E-2</v>
      </c>
      <c r="ZI19" s="31"/>
      <c r="ZJ19" s="5">
        <v>1.1000000000000001</v>
      </c>
      <c r="ZK19" s="5"/>
      <c r="ZL19" s="5">
        <f>(ZD19+ZE19)-ZJ19</f>
        <v>0</v>
      </c>
      <c r="ZN19" s="30">
        <f>ZM19/992</f>
        <v>0</v>
      </c>
      <c r="ZO19" s="31"/>
      <c r="ZP19" s="5">
        <v>1.1000000000000001</v>
      </c>
      <c r="ZQ19" s="5"/>
      <c r="ZR19" s="5">
        <f>(ZJ19+ZK19)-ZP19</f>
        <v>0</v>
      </c>
      <c r="ZS19" s="1">
        <v>126</v>
      </c>
      <c r="ZT19" s="30">
        <f>ZS19/992</f>
        <v>0.12701612903225806</v>
      </c>
      <c r="ZU19" s="31"/>
      <c r="ZV19" s="5">
        <v>0.3</v>
      </c>
      <c r="ZW19" s="5"/>
      <c r="ZX19" s="5">
        <f>(ZP19+ZQ19)-ZV19</f>
        <v>0.8</v>
      </c>
      <c r="ZY19" s="1">
        <v>180</v>
      </c>
      <c r="ZZ19" s="30">
        <f>ZY19/992</f>
        <v>0.18145161290322581</v>
      </c>
      <c r="AAA19" s="31"/>
      <c r="AAB19" s="5">
        <v>0.1</v>
      </c>
      <c r="AAC19" s="5"/>
      <c r="AAD19" s="5">
        <f>(ZV19+ZW19)-AAB19</f>
        <v>0.19999999999999998</v>
      </c>
      <c r="AAF19" s="30">
        <f>AAE19/992</f>
        <v>0</v>
      </c>
      <c r="AAG19" s="31"/>
      <c r="AAH19" s="5">
        <v>0.5</v>
      </c>
      <c r="AAI19" s="5"/>
      <c r="AAJ19" s="5">
        <f>(AAB19+AAC19)-AAH19</f>
        <v>-0.4</v>
      </c>
      <c r="AAK19" s="1">
        <v>54</v>
      </c>
      <c r="AAL19" s="30">
        <f>AAK19/992</f>
        <v>5.4435483870967742E-2</v>
      </c>
      <c r="AAM19" s="31"/>
      <c r="AAN19" s="5">
        <v>0.4</v>
      </c>
      <c r="AAO19" s="5"/>
      <c r="AAP19" s="5">
        <f>(AAH19+AAI19)-AAN19</f>
        <v>9.9999999999999978E-2</v>
      </c>
      <c r="AAQ19" s="1">
        <v>54</v>
      </c>
      <c r="AAR19" s="30">
        <f>AAQ19/992</f>
        <v>5.4435483870967742E-2</v>
      </c>
      <c r="AAS19" s="31"/>
      <c r="AAT19" s="5">
        <v>0.2</v>
      </c>
      <c r="AAU19" s="5">
        <v>1</v>
      </c>
      <c r="AAV19" s="5">
        <f>(AAN19+AAO19)-AAT19</f>
        <v>0.2</v>
      </c>
      <c r="AAW19" s="1">
        <v>108</v>
      </c>
      <c r="AAX19" s="30">
        <f>AAW19/992</f>
        <v>0.10887096774193548</v>
      </c>
      <c r="AAY19" s="31"/>
      <c r="AAZ19" s="5">
        <v>1.2</v>
      </c>
      <c r="ABA19" s="5"/>
      <c r="ABB19" s="5">
        <f>(AAT19+AAU19)-AAZ19</f>
        <v>0</v>
      </c>
      <c r="ABC19" s="1">
        <v>16</v>
      </c>
      <c r="ABD19" s="30">
        <f>ABC19/992</f>
        <v>1.6129032258064516E-2</v>
      </c>
      <c r="ABE19" s="31"/>
      <c r="ABF19" s="5">
        <v>1.2</v>
      </c>
      <c r="ABG19" s="5"/>
      <c r="ABH19" s="5">
        <f>(AAZ19+ABA19)-ABF19</f>
        <v>0</v>
      </c>
      <c r="ABI19" s="1">
        <v>54</v>
      </c>
      <c r="ABJ19" s="30">
        <f>ABI19/992</f>
        <v>5.4435483870967742E-2</v>
      </c>
      <c r="ABK19" s="31"/>
      <c r="ABL19" s="5">
        <v>1.8</v>
      </c>
      <c r="ABM19" s="5"/>
      <c r="ABN19" s="5">
        <f>(ABF19+ABG19)-ABL19</f>
        <v>-0.60000000000000009</v>
      </c>
      <c r="ABO19" s="1">
        <v>126</v>
      </c>
      <c r="ABP19" s="30">
        <f>ABO19/992</f>
        <v>0.12701612903225806</v>
      </c>
      <c r="ABQ19" s="31"/>
      <c r="ABR19" s="5">
        <v>0.7</v>
      </c>
      <c r="ABS19" s="5"/>
      <c r="ABT19" s="5">
        <f>(ABL19+ABM19)-ABR19</f>
        <v>1.1000000000000001</v>
      </c>
      <c r="ABU19" s="1">
        <v>270</v>
      </c>
      <c r="ABV19" s="30">
        <f>ABU19/992</f>
        <v>0.27217741935483869</v>
      </c>
      <c r="ABW19" s="31"/>
      <c r="ABX19" s="5">
        <v>0.4</v>
      </c>
      <c r="ABY19" s="5"/>
      <c r="ABZ19" s="5">
        <f>(ABR19+ABS19)-ABX19</f>
        <v>0.29999999999999993</v>
      </c>
      <c r="ACA19" s="1">
        <v>18</v>
      </c>
      <c r="ACB19" s="30">
        <f>ACA19/992</f>
        <v>1.8145161290322582E-2</v>
      </c>
      <c r="ACC19" s="31"/>
      <c r="ACD19" s="5">
        <v>0.2</v>
      </c>
      <c r="ACE19" s="5"/>
      <c r="ACF19" s="5">
        <f>(ABX19+ABY19)-ACD19</f>
        <v>0.2</v>
      </c>
      <c r="ACG19" s="1">
        <v>180</v>
      </c>
      <c r="ACH19" s="30">
        <f>ACG19/992</f>
        <v>0.18145161290322581</v>
      </c>
      <c r="ACI19" s="31"/>
      <c r="ACJ19" s="5">
        <v>0.3</v>
      </c>
      <c r="ACK19" s="5">
        <v>1</v>
      </c>
      <c r="ACL19" s="5">
        <f>(ACD19+ACE19)-ACJ19</f>
        <v>-9.9999999999999978E-2</v>
      </c>
      <c r="ACM19" s="1">
        <v>90</v>
      </c>
      <c r="ACN19" s="30">
        <f>ACM19/992</f>
        <v>9.0725806451612906E-2</v>
      </c>
      <c r="ACO19" s="31"/>
      <c r="ACP19" s="5">
        <v>2.2000000000000002</v>
      </c>
      <c r="ACQ19" s="5"/>
      <c r="ACR19" s="5">
        <f>(ACJ19+ACK19)-ACP19</f>
        <v>-0.90000000000000013</v>
      </c>
      <c r="ACS19" s="1">
        <v>72</v>
      </c>
      <c r="ACT19" s="30">
        <f>ACS19/992</f>
        <v>7.2580645161290328E-2</v>
      </c>
      <c r="ACU19" s="31"/>
      <c r="ACV19" s="5">
        <v>2.2000000000000002</v>
      </c>
      <c r="ACW19" s="5"/>
      <c r="ACX19" s="5">
        <f>(ACP19+ACQ19)-ACV19</f>
        <v>0</v>
      </c>
      <c r="ACY19" s="1">
        <v>18</v>
      </c>
      <c r="ACZ19" s="30">
        <f>ACY19/992</f>
        <v>1.8145161290322582E-2</v>
      </c>
      <c r="ADA19" s="31"/>
      <c r="ADB19" s="5">
        <v>2</v>
      </c>
      <c r="ADC19" s="5"/>
      <c r="ADD19" s="5">
        <f>(ACV19+ACW19)-ADB19</f>
        <v>0.20000000000000018</v>
      </c>
      <c r="ADE19" s="1">
        <v>126</v>
      </c>
      <c r="ADF19" s="30">
        <f>ADE19/992</f>
        <v>0.12701612903225806</v>
      </c>
      <c r="ADG19" s="31"/>
      <c r="ADH19" s="5">
        <v>1.1000000000000001</v>
      </c>
      <c r="ADI19" s="5"/>
      <c r="ADJ19" s="5">
        <f>(ADB19+ADC19)-ADH19</f>
        <v>0.89999999999999991</v>
      </c>
      <c r="ADK19" s="1">
        <v>36</v>
      </c>
      <c r="ADL19" s="30">
        <f>ADK19/992</f>
        <v>3.6290322580645164E-2</v>
      </c>
      <c r="ADM19" s="31"/>
      <c r="ADN19" s="5">
        <v>1.7</v>
      </c>
      <c r="ADO19" s="5"/>
      <c r="ADP19" s="5">
        <f>(ADH19+ADI19)-ADN19</f>
        <v>-0.59999999999999987</v>
      </c>
      <c r="ADR19" s="30">
        <f>ADQ19/992</f>
        <v>0</v>
      </c>
      <c r="ADS19" s="31"/>
      <c r="ADT19" s="5">
        <v>1.3</v>
      </c>
      <c r="ADU19" s="5"/>
      <c r="ADV19" s="5">
        <f>(ADN19+ADO19)-ADT19</f>
        <v>0.39999999999999991</v>
      </c>
      <c r="ADW19" s="1">
        <v>144</v>
      </c>
      <c r="ADX19" s="30">
        <f>ADW19/992</f>
        <v>0.14516129032258066</v>
      </c>
      <c r="ADY19" s="31"/>
      <c r="ADZ19" s="5">
        <v>1.4</v>
      </c>
      <c r="AEA19" s="5"/>
      <c r="AEB19" s="5">
        <f>(ADT19+ADU19)-ADZ19</f>
        <v>-9.9999999999999867E-2</v>
      </c>
      <c r="AEC19" s="1">
        <v>90</v>
      </c>
      <c r="AED19" s="30">
        <f>AEC19/992</f>
        <v>9.0725806451612906E-2</v>
      </c>
      <c r="AEE19" s="31"/>
      <c r="AEF19" s="5">
        <v>1.2</v>
      </c>
      <c r="AEG19" s="5"/>
      <c r="AEH19" s="5">
        <f>(ADZ19+AEA19)-AEF19</f>
        <v>0.19999999999999996</v>
      </c>
      <c r="AEI19" s="1">
        <v>90</v>
      </c>
      <c r="AEJ19" s="30">
        <f>AEI19/992</f>
        <v>9.0725806451612906E-2</v>
      </c>
      <c r="AEK19" s="31"/>
      <c r="AEL19" s="5">
        <v>1.3</v>
      </c>
      <c r="AEM19" s="5"/>
      <c r="AEN19" s="5">
        <f>(AEF19+AEG19)-AEL19</f>
        <v>-0.10000000000000009</v>
      </c>
      <c r="AEO19" s="1">
        <v>198</v>
      </c>
      <c r="AEP19" s="30">
        <f>AEO19/992</f>
        <v>0.19959677419354838</v>
      </c>
      <c r="AEQ19" s="31"/>
      <c r="AER19" s="5">
        <v>1.3</v>
      </c>
      <c r="AES19" s="5"/>
      <c r="AET19" s="5">
        <f>(AEL19+AEM19)-AER19</f>
        <v>0</v>
      </c>
      <c r="AEV19" s="30">
        <f>AEU19/992</f>
        <v>0</v>
      </c>
      <c r="AEW19" s="31"/>
      <c r="AEX19" s="5">
        <v>1.2</v>
      </c>
      <c r="AEY19" s="5"/>
      <c r="AEZ19" s="5">
        <f>(AER19+AES19)-AEX19</f>
        <v>0.10000000000000009</v>
      </c>
      <c r="AFA19" s="1">
        <v>18</v>
      </c>
      <c r="AFB19" s="30">
        <f>AFA19/992</f>
        <v>1.8145161290322582E-2</v>
      </c>
      <c r="AFC19" s="31"/>
      <c r="AFD19" s="5">
        <v>1</v>
      </c>
      <c r="AFE19" s="5"/>
      <c r="AFF19" s="5">
        <f>(AEX19+AEY19)-AFD19</f>
        <v>0.19999999999999996</v>
      </c>
      <c r="AFG19" s="1">
        <v>54</v>
      </c>
      <c r="AFH19" s="30">
        <f>AFG19/992</f>
        <v>5.4435483870967742E-2</v>
      </c>
      <c r="AFI19" s="31"/>
      <c r="AFJ19" s="5">
        <v>0.8</v>
      </c>
      <c r="AFK19" s="5"/>
      <c r="AFL19" s="5">
        <f>(AFD19+AFE19)-AFJ19</f>
        <v>0.19999999999999996</v>
      </c>
      <c r="AFM19" s="1">
        <v>72</v>
      </c>
      <c r="AFN19" s="30">
        <f>AFM19/992</f>
        <v>7.2580645161290328E-2</v>
      </c>
      <c r="AFO19" s="31"/>
      <c r="AFP19" s="5">
        <v>0.6</v>
      </c>
      <c r="AFQ19" s="5"/>
      <c r="AFR19" s="5">
        <f>(AFJ19+AFK19)-AFP19</f>
        <v>0.20000000000000007</v>
      </c>
      <c r="AFS19" s="1">
        <v>72</v>
      </c>
      <c r="AFT19" s="30">
        <f>AFS19/992</f>
        <v>7.2580645161290328E-2</v>
      </c>
      <c r="AFU19" s="31"/>
      <c r="AFV19" s="5">
        <v>1</v>
      </c>
      <c r="AFW19" s="5"/>
      <c r="AFX19" s="5">
        <f>(AFP19+AFQ19)-AFV19</f>
        <v>-0.4</v>
      </c>
      <c r="AFZ19" s="30">
        <f>AFY19/992</f>
        <v>0</v>
      </c>
      <c r="AGA19" s="31"/>
      <c r="AGB19" s="5">
        <v>0.3</v>
      </c>
      <c r="AGC19" s="5"/>
      <c r="AGD19" s="5">
        <f>(AFV19+AFW19)-AGB19</f>
        <v>0.7</v>
      </c>
      <c r="AGE19" s="1">
        <v>72</v>
      </c>
      <c r="AGF19" s="30">
        <f>AGE19/992</f>
        <v>7.2580645161290328E-2</v>
      </c>
      <c r="AGG19" s="31"/>
      <c r="AGH19" s="5">
        <v>0.5</v>
      </c>
      <c r="AGI19" s="5"/>
      <c r="AGJ19" s="5">
        <f>(AGB19+AGC19)-AGH19</f>
        <v>-0.2</v>
      </c>
      <c r="AGL19" s="30">
        <f>AGK19/992</f>
        <v>0</v>
      </c>
      <c r="AGM19" s="31"/>
      <c r="AGN19" s="5">
        <v>0.3</v>
      </c>
      <c r="AGO19" s="5">
        <v>1</v>
      </c>
      <c r="AGP19" s="5">
        <f>(AGH19+AGI19)-AGN19</f>
        <v>0.2</v>
      </c>
      <c r="AGR19" s="30">
        <f>AGQ19/992</f>
        <v>0</v>
      </c>
      <c r="AGS19" s="31"/>
      <c r="AGT19" s="5">
        <v>1.3</v>
      </c>
      <c r="AGU19" s="5"/>
      <c r="AGV19" s="5">
        <f>(AGN19+AGO19)-AGT19</f>
        <v>0</v>
      </c>
      <c r="AGX19" s="30">
        <f>AGW19/992</f>
        <v>0</v>
      </c>
      <c r="AGY19" s="31"/>
      <c r="AGZ19" s="5">
        <v>1.3</v>
      </c>
      <c r="AHA19" s="5"/>
      <c r="AHB19" s="5">
        <f>(AGT19+AGU19)-AGZ19</f>
        <v>0</v>
      </c>
      <c r="AHD19" s="30">
        <f>AHC19/992</f>
        <v>0</v>
      </c>
      <c r="AHE19" s="31"/>
      <c r="AHF19" s="5">
        <v>1.1000000000000001</v>
      </c>
      <c r="AHG19" s="5"/>
      <c r="AHH19" s="5">
        <f>(AGZ19+AHA19)-AHF19</f>
        <v>0.19999999999999996</v>
      </c>
      <c r="AHJ19" s="30">
        <f>AHI19/992</f>
        <v>0</v>
      </c>
      <c r="AHK19" s="31"/>
      <c r="AHL19" s="5">
        <v>1.1000000000000001</v>
      </c>
      <c r="AHM19" s="5"/>
      <c r="AHN19" s="5">
        <f>(AHF19+AHG19)-AHL19</f>
        <v>0</v>
      </c>
      <c r="AHP19" s="30">
        <f>AHO19/992</f>
        <v>0</v>
      </c>
      <c r="AHQ19" s="31"/>
      <c r="AHR19" s="5">
        <v>0.1</v>
      </c>
      <c r="AHS19" s="5"/>
      <c r="AHT19" s="5">
        <f>(AHL19+AHM19)-AHR19</f>
        <v>1</v>
      </c>
      <c r="AHV19" s="30">
        <f>AHU19/992</f>
        <v>0</v>
      </c>
      <c r="AHW19" s="31"/>
      <c r="AHX19" s="5">
        <v>1</v>
      </c>
      <c r="AHY19" s="5"/>
      <c r="AHZ19" s="5">
        <f>(AHR19+AHS19)-AHX19</f>
        <v>-0.9</v>
      </c>
      <c r="AIB19" s="30">
        <f>AIA19/992</f>
        <v>0</v>
      </c>
      <c r="AIC19" s="31"/>
      <c r="AID19" s="5">
        <v>0.8</v>
      </c>
      <c r="AIE19" s="5"/>
      <c r="AIF19" s="5">
        <f>(AHX19+AHY19)-AID19</f>
        <v>0.19999999999999996</v>
      </c>
      <c r="AIH19" s="30">
        <f>AIG19/992</f>
        <v>0</v>
      </c>
      <c r="AII19" s="31"/>
      <c r="AIJ19" s="5">
        <v>0.5</v>
      </c>
      <c r="AIK19" s="5"/>
      <c r="AIL19" s="5">
        <f>(AID19+AIE19)-AIJ19</f>
        <v>0.30000000000000004</v>
      </c>
      <c r="AIN19" s="30">
        <f>AIM19/992</f>
        <v>0</v>
      </c>
      <c r="AIO19" s="31"/>
      <c r="AIP19" s="5">
        <v>0.7</v>
      </c>
      <c r="AIQ19" s="5"/>
      <c r="AIR19" s="5">
        <f>(AIJ19+AIK19)-AIP19</f>
        <v>-0.19999999999999996</v>
      </c>
      <c r="AIT19" s="30">
        <f>AIS19/992</f>
        <v>0</v>
      </c>
      <c r="AIU19" s="31"/>
      <c r="AIV19" s="5">
        <v>0.6</v>
      </c>
      <c r="AIW19" s="5"/>
      <c r="AIX19" s="5">
        <f>(AIP19+AIQ19)-AIV19</f>
        <v>9.9999999999999978E-2</v>
      </c>
      <c r="AIZ19" s="30">
        <f>AIY19/992</f>
        <v>0</v>
      </c>
      <c r="AJA19" s="31"/>
      <c r="AJB19" s="5">
        <v>0.3</v>
      </c>
      <c r="AJC19" s="5"/>
      <c r="AJD19" s="5">
        <f>(AIV19+AIW19)-AJB19</f>
        <v>0.3</v>
      </c>
      <c r="AJF19" s="30">
        <f>AJE19/992</f>
        <v>0</v>
      </c>
      <c r="AJG19" s="31"/>
      <c r="AJH19" s="5">
        <v>0.4</v>
      </c>
      <c r="AJI19" s="5">
        <v>1</v>
      </c>
      <c r="AJJ19" s="5">
        <f>(AJB19+AJC19)-AJH19</f>
        <v>-0.10000000000000003</v>
      </c>
      <c r="AJL19" s="30">
        <f>AJK19/992</f>
        <v>0</v>
      </c>
      <c r="AJM19" s="31"/>
      <c r="AJN19" s="5">
        <v>1.3</v>
      </c>
      <c r="AJO19" s="5"/>
      <c r="AJP19" s="5">
        <f>(AJH19+AJI19)-AJN19</f>
        <v>9.9999999999999867E-2</v>
      </c>
      <c r="AJR19" s="30">
        <f>AJQ19/992</f>
        <v>0</v>
      </c>
      <c r="AJS19" s="31"/>
      <c r="AJT19" s="5">
        <v>1.1000000000000001</v>
      </c>
      <c r="AJU19" s="5"/>
      <c r="AJV19" s="5">
        <f>(AJN19+AJO19)-AJT19</f>
        <v>0.19999999999999996</v>
      </c>
      <c r="AJX19" s="30">
        <f>AJW19/992</f>
        <v>0</v>
      </c>
      <c r="AJY19" s="31"/>
      <c r="AJZ19" s="5">
        <v>0</v>
      </c>
      <c r="AKA19" s="5"/>
      <c r="AKB19" s="5">
        <f>(AJT19+AJU19)-AJZ19</f>
        <v>1.1000000000000001</v>
      </c>
      <c r="AKD19" s="30">
        <f>AKC19/992</f>
        <v>0</v>
      </c>
      <c r="AKE19" s="31"/>
      <c r="AKF19" s="5">
        <v>1</v>
      </c>
      <c r="AKG19" s="5"/>
      <c r="AKH19" s="5">
        <f>(AJZ19+AKA19)-AKF19</f>
        <v>-1</v>
      </c>
      <c r="AKJ19" s="30">
        <f>AKI19/992</f>
        <v>0</v>
      </c>
      <c r="AKK19" s="31"/>
      <c r="AKL19" s="5">
        <v>0.5</v>
      </c>
      <c r="AKM19" s="5"/>
      <c r="AKN19" s="5">
        <f>(AKF19+AKG19)-AKL19</f>
        <v>0.5</v>
      </c>
      <c r="AKP19" s="30">
        <f>AKO19/992</f>
        <v>0</v>
      </c>
      <c r="AKQ19" s="31"/>
      <c r="AKR19" s="5"/>
      <c r="AKS19" s="5"/>
      <c r="AKT19" s="5">
        <f>(AKL19+AKM19)-AKR19</f>
        <v>0.5</v>
      </c>
      <c r="AKV19" s="30">
        <f>AKU19/992</f>
        <v>0</v>
      </c>
      <c r="AKW19" s="31"/>
      <c r="AKX19" s="5">
        <v>0.5</v>
      </c>
      <c r="AKY19" s="5"/>
      <c r="AKZ19" s="5">
        <f>(AKR19+AKS19)-AKX19</f>
        <v>-0.5</v>
      </c>
      <c r="ALB19" s="30">
        <f>ALA19/992</f>
        <v>0</v>
      </c>
      <c r="ALC19" s="31"/>
      <c r="ALD19" s="5">
        <v>0.4</v>
      </c>
      <c r="ALE19" s="5">
        <v>1</v>
      </c>
      <c r="ALF19" s="5">
        <f>(AKX19+AKY19)-ALD19</f>
        <v>9.9999999999999978E-2</v>
      </c>
      <c r="ALH19" s="30">
        <f>ALG19/992</f>
        <v>0</v>
      </c>
      <c r="ALI19" s="31"/>
      <c r="ALJ19" s="5">
        <v>1.5</v>
      </c>
      <c r="ALK19" s="5"/>
      <c r="ALL19" s="5">
        <f>(ALD19+ALE19)-ALJ19</f>
        <v>-0.10000000000000009</v>
      </c>
      <c r="ALN19" s="30">
        <f>ALM19/992</f>
        <v>0</v>
      </c>
      <c r="ALO19" s="31"/>
      <c r="ALP19" s="5">
        <v>1.3</v>
      </c>
      <c r="ALQ19" s="5"/>
      <c r="ALR19" s="5">
        <f>(ALJ19+ALK19)-ALP19</f>
        <v>0.19999999999999996</v>
      </c>
      <c r="ALT19" s="30">
        <f>ALS19/992</f>
        <v>0</v>
      </c>
      <c r="ALU19" s="31"/>
      <c r="ALV19" s="5">
        <v>1.3</v>
      </c>
      <c r="ALW19" s="5"/>
      <c r="ALX19" s="5">
        <f>(ALP19+ALQ19)-ALV19</f>
        <v>0</v>
      </c>
      <c r="ALZ19" s="30">
        <f>ALY19/992</f>
        <v>0</v>
      </c>
      <c r="AMA19" s="31"/>
      <c r="AMB19" s="5">
        <v>1.2</v>
      </c>
      <c r="AMC19" s="5"/>
      <c r="AMD19" s="5">
        <f>(ALV19+ALW19)-AMB19</f>
        <v>0.10000000000000009</v>
      </c>
      <c r="AMF19" s="30">
        <f>AME19/992</f>
        <v>0</v>
      </c>
      <c r="AMG19" s="31"/>
      <c r="AMH19" s="5">
        <v>1.2</v>
      </c>
      <c r="AMI19" s="5"/>
      <c r="AMJ19" s="5">
        <f>(AMB19+AMC19)-AMH19</f>
        <v>0</v>
      </c>
      <c r="AML19" s="30">
        <f>AMK19/992</f>
        <v>0</v>
      </c>
      <c r="AMM19" s="31"/>
      <c r="AMN19" s="5">
        <v>1.1000000000000001</v>
      </c>
      <c r="AMO19" s="5"/>
      <c r="AMP19" s="5">
        <f>(AMH19+AMI19)-AMN19</f>
        <v>9.9999999999999867E-2</v>
      </c>
      <c r="AMR19" s="30">
        <f>AMQ19/992</f>
        <v>0</v>
      </c>
      <c r="AMS19" s="31"/>
      <c r="AMT19" s="5">
        <v>1</v>
      </c>
      <c r="AMU19" s="5"/>
      <c r="AMV19" s="5">
        <f>(AMN19+AMO19)-AMT19</f>
        <v>0.10000000000000009</v>
      </c>
      <c r="AMX19" s="30">
        <f>AMW19/992</f>
        <v>0</v>
      </c>
      <c r="AMY19" s="31"/>
      <c r="AMZ19" s="5">
        <v>1</v>
      </c>
      <c r="ANA19" s="5"/>
      <c r="ANB19" s="5">
        <f>(AMT19+AMU19)-AMZ19</f>
        <v>0</v>
      </c>
      <c r="AND19" s="30">
        <f>ANC19/992</f>
        <v>0</v>
      </c>
      <c r="ANE19" s="31"/>
      <c r="ANF19" s="5">
        <v>0.7</v>
      </c>
      <c r="ANG19" s="5"/>
      <c r="ANH19" s="5">
        <f>(AMZ19+ANA19)-ANF19</f>
        <v>0.30000000000000004</v>
      </c>
      <c r="ANJ19" s="30">
        <f>ANI19/992</f>
        <v>0</v>
      </c>
      <c r="ANK19" s="31"/>
      <c r="ANL19" s="5">
        <v>0.8</v>
      </c>
      <c r="ANM19" s="5"/>
      <c r="ANN19" s="5">
        <f>(ANF19+ANG19)-ANL19</f>
        <v>-0.10000000000000009</v>
      </c>
      <c r="ANP19" s="30">
        <f>ANO19/992</f>
        <v>0</v>
      </c>
      <c r="ANQ19" s="31"/>
      <c r="ANR19" s="5">
        <v>0.7</v>
      </c>
      <c r="ANS19" s="5"/>
      <c r="ANT19" s="5">
        <f>(ANL19+ANM19)-ANR19</f>
        <v>0.10000000000000009</v>
      </c>
      <c r="ANV19" s="30">
        <f>ANU19/992</f>
        <v>0</v>
      </c>
      <c r="ANW19" s="31"/>
      <c r="ANX19" s="5">
        <v>0.5</v>
      </c>
      <c r="ANY19" s="37"/>
      <c r="ANZ19" s="5">
        <f>(ANR19+ANS19)-ANX19</f>
        <v>0.19999999999999996</v>
      </c>
      <c r="AOB19" s="30">
        <f>AOA19/992</f>
        <v>0</v>
      </c>
      <c r="AOC19" s="31"/>
      <c r="AOD19" s="5">
        <v>0.3</v>
      </c>
      <c r="AOE19" s="37"/>
      <c r="AOF19" s="5">
        <f>(ANX19+ANY19)-AOD19</f>
        <v>0.2</v>
      </c>
      <c r="AOH19" s="30">
        <f>AOG19/992</f>
        <v>0</v>
      </c>
      <c r="AOI19" s="31"/>
      <c r="AOJ19" s="5">
        <v>0.3</v>
      </c>
      <c r="AOK19" s="37"/>
      <c r="AOL19" s="5">
        <f>(AOD19+AOE19)-AOJ19</f>
        <v>0</v>
      </c>
      <c r="AON19" s="30">
        <f>AOM19/992</f>
        <v>0</v>
      </c>
      <c r="AOO19" s="31"/>
      <c r="AOP19" s="5">
        <v>0.3</v>
      </c>
      <c r="AOQ19" s="37"/>
      <c r="AOR19" s="5">
        <f>(AOJ19+AOK19)-AOP19</f>
        <v>0</v>
      </c>
      <c r="AOT19" s="30">
        <f>AOS19/992</f>
        <v>0</v>
      </c>
      <c r="AOU19" s="31"/>
      <c r="AOV19" s="5">
        <v>0.7</v>
      </c>
      <c r="AOW19" s="37"/>
      <c r="AOX19" s="5">
        <f>(AOP19+AOQ19)-AOV19</f>
        <v>-0.39999999999999997</v>
      </c>
      <c r="AOZ19" s="30">
        <f>AOY19/992</f>
        <v>0</v>
      </c>
    </row>
    <row r="21" spans="1:1024 1026:1092" x14ac:dyDescent="0.25">
      <c r="A21" s="62" t="s">
        <v>66</v>
      </c>
    </row>
  </sheetData>
  <mergeCells count="321">
    <mergeCell ref="W2:X2"/>
    <mergeCell ref="AA2:AB2"/>
    <mergeCell ref="AC2:AD2"/>
    <mergeCell ref="AG2:AH2"/>
    <mergeCell ref="AI2:AJ2"/>
    <mergeCell ref="AM2:AN2"/>
    <mergeCell ref="A1:C2"/>
    <mergeCell ref="I2:J2"/>
    <mergeCell ref="K2:L2"/>
    <mergeCell ref="O2:P2"/>
    <mergeCell ref="Q2:R2"/>
    <mergeCell ref="U2:V2"/>
    <mergeCell ref="BG2:BH2"/>
    <mergeCell ref="BK2:BL2"/>
    <mergeCell ref="BM2:BN2"/>
    <mergeCell ref="BQ2:BR2"/>
    <mergeCell ref="BS2:BT2"/>
    <mergeCell ref="BW2:BX2"/>
    <mergeCell ref="AO2:AP2"/>
    <mergeCell ref="AS2:AT2"/>
    <mergeCell ref="AU2:AV2"/>
    <mergeCell ref="AY2:AZ2"/>
    <mergeCell ref="BA2:BB2"/>
    <mergeCell ref="BE2:BF2"/>
    <mergeCell ref="CQ2:CR2"/>
    <mergeCell ref="CU2:CV2"/>
    <mergeCell ref="CW2:CX2"/>
    <mergeCell ref="DA2:DB2"/>
    <mergeCell ref="DC2:DD2"/>
    <mergeCell ref="DG2:DH2"/>
    <mergeCell ref="BY2:BZ2"/>
    <mergeCell ref="CC2:CD2"/>
    <mergeCell ref="CE2:CF2"/>
    <mergeCell ref="CI2:CJ2"/>
    <mergeCell ref="CK2:CL2"/>
    <mergeCell ref="CO2:CP2"/>
    <mergeCell ref="EA2:EB2"/>
    <mergeCell ref="EE2:EF2"/>
    <mergeCell ref="EG2:EH2"/>
    <mergeCell ref="EK2:EL2"/>
    <mergeCell ref="EM2:EN2"/>
    <mergeCell ref="EQ2:ER2"/>
    <mergeCell ref="DI2:DJ2"/>
    <mergeCell ref="DM2:DN2"/>
    <mergeCell ref="DO2:DP2"/>
    <mergeCell ref="DS2:DT2"/>
    <mergeCell ref="DU2:DV2"/>
    <mergeCell ref="DY2:DZ2"/>
    <mergeCell ref="FK2:FL2"/>
    <mergeCell ref="FO2:FP2"/>
    <mergeCell ref="FQ2:FR2"/>
    <mergeCell ref="FU2:FV2"/>
    <mergeCell ref="FW2:FX2"/>
    <mergeCell ref="GA2:GB2"/>
    <mergeCell ref="ES2:ET2"/>
    <mergeCell ref="EW2:EX2"/>
    <mergeCell ref="EY2:EZ2"/>
    <mergeCell ref="FC2:FD2"/>
    <mergeCell ref="FE2:FF2"/>
    <mergeCell ref="FI2:FJ2"/>
    <mergeCell ref="GU2:GV2"/>
    <mergeCell ref="GY2:GZ2"/>
    <mergeCell ref="HA2:HB2"/>
    <mergeCell ref="HE2:HF2"/>
    <mergeCell ref="HG2:HH2"/>
    <mergeCell ref="HK2:HL2"/>
    <mergeCell ref="GC2:GD2"/>
    <mergeCell ref="GG2:GH2"/>
    <mergeCell ref="GI2:GJ2"/>
    <mergeCell ref="GM2:GN2"/>
    <mergeCell ref="GO2:GP2"/>
    <mergeCell ref="GS2:GT2"/>
    <mergeCell ref="IE2:IF2"/>
    <mergeCell ref="II2:IJ2"/>
    <mergeCell ref="IK2:IL2"/>
    <mergeCell ref="IO2:IP2"/>
    <mergeCell ref="IQ2:IR2"/>
    <mergeCell ref="IU2:IV2"/>
    <mergeCell ref="HM2:HN2"/>
    <mergeCell ref="HQ2:HR2"/>
    <mergeCell ref="HS2:HT2"/>
    <mergeCell ref="HW2:HX2"/>
    <mergeCell ref="HY2:HZ2"/>
    <mergeCell ref="IC2:ID2"/>
    <mergeCell ref="JO2:JP2"/>
    <mergeCell ref="JS2:JT2"/>
    <mergeCell ref="JU2:JV2"/>
    <mergeCell ref="JY2:JZ2"/>
    <mergeCell ref="KA2:KB2"/>
    <mergeCell ref="KE2:KF2"/>
    <mergeCell ref="IW2:IX2"/>
    <mergeCell ref="JA2:JB2"/>
    <mergeCell ref="JC2:JD2"/>
    <mergeCell ref="JG2:JH2"/>
    <mergeCell ref="JI2:JJ2"/>
    <mergeCell ref="JM2:JN2"/>
    <mergeCell ref="KY2:KZ2"/>
    <mergeCell ref="LC2:LD2"/>
    <mergeCell ref="LE2:LF2"/>
    <mergeCell ref="LI2:LJ2"/>
    <mergeCell ref="LK2:LL2"/>
    <mergeCell ref="LO2:LP2"/>
    <mergeCell ref="KG2:KH2"/>
    <mergeCell ref="KK2:KL2"/>
    <mergeCell ref="KM2:KN2"/>
    <mergeCell ref="KQ2:KR2"/>
    <mergeCell ref="KS2:KT2"/>
    <mergeCell ref="KW2:KX2"/>
    <mergeCell ref="MI2:MJ2"/>
    <mergeCell ref="MM2:MN2"/>
    <mergeCell ref="MO2:MP2"/>
    <mergeCell ref="MS2:MT2"/>
    <mergeCell ref="MU2:MV2"/>
    <mergeCell ref="MY2:MZ2"/>
    <mergeCell ref="LQ2:LR2"/>
    <mergeCell ref="LU2:LV2"/>
    <mergeCell ref="LW2:LX2"/>
    <mergeCell ref="MA2:MB2"/>
    <mergeCell ref="MC2:MD2"/>
    <mergeCell ref="MG2:MH2"/>
    <mergeCell ref="NS2:NT2"/>
    <mergeCell ref="NW2:NX2"/>
    <mergeCell ref="NY2:NZ2"/>
    <mergeCell ref="OC2:OD2"/>
    <mergeCell ref="OE2:OF2"/>
    <mergeCell ref="OI2:OJ2"/>
    <mergeCell ref="NA2:NB2"/>
    <mergeCell ref="NE2:NF2"/>
    <mergeCell ref="NG2:NH2"/>
    <mergeCell ref="NK2:NL2"/>
    <mergeCell ref="NM2:NN2"/>
    <mergeCell ref="NQ2:NR2"/>
    <mergeCell ref="PC2:PD2"/>
    <mergeCell ref="PG2:PH2"/>
    <mergeCell ref="PI2:PJ2"/>
    <mergeCell ref="PM2:PN2"/>
    <mergeCell ref="PO2:PP2"/>
    <mergeCell ref="PS2:PT2"/>
    <mergeCell ref="OK2:OL2"/>
    <mergeCell ref="OO2:OP2"/>
    <mergeCell ref="OQ2:OR2"/>
    <mergeCell ref="OU2:OV2"/>
    <mergeCell ref="OW2:OX2"/>
    <mergeCell ref="PA2:PB2"/>
    <mergeCell ref="QM2:QN2"/>
    <mergeCell ref="QQ2:QR2"/>
    <mergeCell ref="QS2:QT2"/>
    <mergeCell ref="QW2:QX2"/>
    <mergeCell ref="QY2:QZ2"/>
    <mergeCell ref="RC2:RD2"/>
    <mergeCell ref="PU2:PV2"/>
    <mergeCell ref="PY2:PZ2"/>
    <mergeCell ref="QA2:QB2"/>
    <mergeCell ref="QE2:QF2"/>
    <mergeCell ref="QG2:QH2"/>
    <mergeCell ref="QK2:QL2"/>
    <mergeCell ref="RW2:RX2"/>
    <mergeCell ref="SA2:SB2"/>
    <mergeCell ref="SC2:SD2"/>
    <mergeCell ref="SG2:SH2"/>
    <mergeCell ref="SI2:SJ2"/>
    <mergeCell ref="SM2:SN2"/>
    <mergeCell ref="RE2:RF2"/>
    <mergeCell ref="RI2:RJ2"/>
    <mergeCell ref="RK2:RL2"/>
    <mergeCell ref="RO2:RP2"/>
    <mergeCell ref="RQ2:RR2"/>
    <mergeCell ref="RU2:RV2"/>
    <mergeCell ref="TG2:TH2"/>
    <mergeCell ref="TK2:TL2"/>
    <mergeCell ref="TM2:TN2"/>
    <mergeCell ref="TQ2:TR2"/>
    <mergeCell ref="TS2:TT2"/>
    <mergeCell ref="TW2:TX2"/>
    <mergeCell ref="SO2:SP2"/>
    <mergeCell ref="SS2:ST2"/>
    <mergeCell ref="SU2:SV2"/>
    <mergeCell ref="SY2:SZ2"/>
    <mergeCell ref="TA2:TB2"/>
    <mergeCell ref="TE2:TF2"/>
    <mergeCell ref="UQ2:UR2"/>
    <mergeCell ref="UU2:UV2"/>
    <mergeCell ref="UW2:UX2"/>
    <mergeCell ref="VA2:VB2"/>
    <mergeCell ref="VC2:VD2"/>
    <mergeCell ref="VG2:VH2"/>
    <mergeCell ref="TY2:TZ2"/>
    <mergeCell ref="UC2:UD2"/>
    <mergeCell ref="UE2:UF2"/>
    <mergeCell ref="UI2:UJ2"/>
    <mergeCell ref="UK2:UL2"/>
    <mergeCell ref="UO2:UP2"/>
    <mergeCell ref="WA2:WB2"/>
    <mergeCell ref="WE2:WF2"/>
    <mergeCell ref="WG2:WH2"/>
    <mergeCell ref="WK2:WL2"/>
    <mergeCell ref="WM2:WN2"/>
    <mergeCell ref="WQ2:WR2"/>
    <mergeCell ref="VI2:VJ2"/>
    <mergeCell ref="VM2:VN2"/>
    <mergeCell ref="VO2:VP2"/>
    <mergeCell ref="VS2:VT2"/>
    <mergeCell ref="VU2:VV2"/>
    <mergeCell ref="VY2:VZ2"/>
    <mergeCell ref="XK2:XL2"/>
    <mergeCell ref="XO2:XP2"/>
    <mergeCell ref="XQ2:XR2"/>
    <mergeCell ref="XU2:XV2"/>
    <mergeCell ref="XW2:XX2"/>
    <mergeCell ref="YA2:YB2"/>
    <mergeCell ref="WS2:WT2"/>
    <mergeCell ref="WW2:WX2"/>
    <mergeCell ref="WY2:WZ2"/>
    <mergeCell ref="XC2:XD2"/>
    <mergeCell ref="XE2:XF2"/>
    <mergeCell ref="XI2:XJ2"/>
    <mergeCell ref="YU2:YV2"/>
    <mergeCell ref="YY2:YZ2"/>
    <mergeCell ref="ZA2:ZB2"/>
    <mergeCell ref="ZE2:ZF2"/>
    <mergeCell ref="ZG2:ZH2"/>
    <mergeCell ref="ZK2:ZL2"/>
    <mergeCell ref="YC2:YD2"/>
    <mergeCell ref="YG2:YH2"/>
    <mergeCell ref="YI2:YJ2"/>
    <mergeCell ref="YM2:YN2"/>
    <mergeCell ref="YO2:YP2"/>
    <mergeCell ref="YS2:YT2"/>
    <mergeCell ref="AAE2:AAF2"/>
    <mergeCell ref="AAI2:AAJ2"/>
    <mergeCell ref="AAK2:AAL2"/>
    <mergeCell ref="AAO2:AAP2"/>
    <mergeCell ref="AAQ2:AAR2"/>
    <mergeCell ref="AAU2:AAV2"/>
    <mergeCell ref="ZM2:ZN2"/>
    <mergeCell ref="ZQ2:ZR2"/>
    <mergeCell ref="ZS2:ZT2"/>
    <mergeCell ref="ZW2:ZX2"/>
    <mergeCell ref="ZY2:ZZ2"/>
    <mergeCell ref="AAC2:AAD2"/>
    <mergeCell ref="ABO2:ABP2"/>
    <mergeCell ref="ABS2:ABT2"/>
    <mergeCell ref="ABU2:ABV2"/>
    <mergeCell ref="ABY2:ABZ2"/>
    <mergeCell ref="ACA2:ACB2"/>
    <mergeCell ref="ACE2:ACF2"/>
    <mergeCell ref="AAW2:AAX2"/>
    <mergeCell ref="ABA2:ABB2"/>
    <mergeCell ref="ABC2:ABD2"/>
    <mergeCell ref="ABG2:ABH2"/>
    <mergeCell ref="ABI2:ABJ2"/>
    <mergeCell ref="ABM2:ABN2"/>
    <mergeCell ref="ACY2:ACZ2"/>
    <mergeCell ref="ADC2:ADD2"/>
    <mergeCell ref="ADE2:ADF2"/>
    <mergeCell ref="ADI2:ADJ2"/>
    <mergeCell ref="ADK2:ADL2"/>
    <mergeCell ref="ADO2:ADP2"/>
    <mergeCell ref="ACG2:ACH2"/>
    <mergeCell ref="ACK2:ACL2"/>
    <mergeCell ref="ACM2:ACN2"/>
    <mergeCell ref="ACQ2:ACR2"/>
    <mergeCell ref="ACS2:ACT2"/>
    <mergeCell ref="ACW2:ACX2"/>
    <mergeCell ref="AEI2:AEJ2"/>
    <mergeCell ref="AEM2:AEN2"/>
    <mergeCell ref="AEO2:AEP2"/>
    <mergeCell ref="AES2:AET2"/>
    <mergeCell ref="AEU2:AEV2"/>
    <mergeCell ref="AEY2:AEZ2"/>
    <mergeCell ref="ADQ2:ADR2"/>
    <mergeCell ref="ADU2:ADV2"/>
    <mergeCell ref="ADW2:ADX2"/>
    <mergeCell ref="AEA2:AEB2"/>
    <mergeCell ref="AEC2:AED2"/>
    <mergeCell ref="AEG2:AEH2"/>
    <mergeCell ref="AFS2:AFT2"/>
    <mergeCell ref="AFW2:AFX2"/>
    <mergeCell ref="AFY2:AFZ2"/>
    <mergeCell ref="AGC2:AGD2"/>
    <mergeCell ref="AGE2:AGF2"/>
    <mergeCell ref="AGI2:AGJ2"/>
    <mergeCell ref="AFA2:AFB2"/>
    <mergeCell ref="AFE2:AFF2"/>
    <mergeCell ref="AFG2:AFH2"/>
    <mergeCell ref="AFK2:AFL2"/>
    <mergeCell ref="AFM2:AFN2"/>
    <mergeCell ref="AFQ2:AFR2"/>
    <mergeCell ref="AHC2:AHD2"/>
    <mergeCell ref="AHG2:AHH2"/>
    <mergeCell ref="AHI2:AHJ2"/>
    <mergeCell ref="AHM2:AHN2"/>
    <mergeCell ref="AHO2:AHP2"/>
    <mergeCell ref="AHS2:AHT2"/>
    <mergeCell ref="AGK2:AGL2"/>
    <mergeCell ref="AGO2:AGP2"/>
    <mergeCell ref="AGQ2:AGR2"/>
    <mergeCell ref="AGU2:AGV2"/>
    <mergeCell ref="AGW2:AGX2"/>
    <mergeCell ref="AHA2:AHB2"/>
    <mergeCell ref="AIM2:AIN2"/>
    <mergeCell ref="AIQ2:AIR2"/>
    <mergeCell ref="AIS2:AIT2"/>
    <mergeCell ref="AIW2:AIX2"/>
    <mergeCell ref="AIY2:AIZ2"/>
    <mergeCell ref="AJC2:AJD2"/>
    <mergeCell ref="AHU2:AHV2"/>
    <mergeCell ref="AHY2:AHZ2"/>
    <mergeCell ref="AIA2:AIB2"/>
    <mergeCell ref="AIE2:AIF2"/>
    <mergeCell ref="AIG2:AIH2"/>
    <mergeCell ref="AIK2:AIL2"/>
    <mergeCell ref="AJW2:AJX2"/>
    <mergeCell ref="AKA2:AKB2"/>
    <mergeCell ref="AKC2:AKD2"/>
    <mergeCell ref="AJE2:AJF2"/>
    <mergeCell ref="AJI2:AJJ2"/>
    <mergeCell ref="AJK2:AJL2"/>
    <mergeCell ref="AJO2:AJP2"/>
    <mergeCell ref="AJQ2:AJR2"/>
    <mergeCell ref="AJU2:AJV2"/>
  </mergeCells>
  <conditionalFormatting sqref="R4:R13 X4:X13 AD4:AD13 AJ4:AJ13">
    <cfRule type="cellIs" dxfId="452" priority="104" operator="equal">
      <formula>0</formula>
    </cfRule>
  </conditionalFormatting>
  <conditionalFormatting sqref="AP4:AP13">
    <cfRule type="cellIs" dxfId="451" priority="103" operator="equal">
      <formula>0</formula>
    </cfRule>
  </conditionalFormatting>
  <conditionalFormatting sqref="AV4:AV13">
    <cfRule type="cellIs" dxfId="450" priority="102" operator="equal">
      <formula>0</formula>
    </cfRule>
  </conditionalFormatting>
  <conditionalFormatting sqref="BB4:BB13">
    <cfRule type="cellIs" dxfId="449" priority="101" operator="equal">
      <formula>0</formula>
    </cfRule>
  </conditionalFormatting>
  <conditionalFormatting sqref="BH4:BH13">
    <cfRule type="cellIs" dxfId="448" priority="100" operator="equal">
      <formula>0</formula>
    </cfRule>
  </conditionalFormatting>
  <conditionalFormatting sqref="BN4:BN13">
    <cfRule type="cellIs" dxfId="447" priority="99" operator="equal">
      <formula>0</formula>
    </cfRule>
  </conditionalFormatting>
  <conditionalFormatting sqref="BT4:BT13">
    <cfRule type="cellIs" dxfId="446" priority="98" operator="equal">
      <formula>0</formula>
    </cfRule>
  </conditionalFormatting>
  <conditionalFormatting sqref="BZ4:BZ13">
    <cfRule type="cellIs" dxfId="445" priority="97" operator="equal">
      <formula>0</formula>
    </cfRule>
  </conditionalFormatting>
  <conditionalFormatting sqref="CF4:CF13">
    <cfRule type="cellIs" dxfId="444" priority="96" operator="equal">
      <formula>0</formula>
    </cfRule>
  </conditionalFormatting>
  <conditionalFormatting sqref="CL4:CL13">
    <cfRule type="cellIs" dxfId="443" priority="95" operator="equal">
      <formula>0</formula>
    </cfRule>
  </conditionalFormatting>
  <conditionalFormatting sqref="CR4:CR13">
    <cfRule type="cellIs" dxfId="442" priority="94" operator="equal">
      <formula>0</formula>
    </cfRule>
  </conditionalFormatting>
  <conditionalFormatting sqref="CX4:CX13">
    <cfRule type="cellIs" dxfId="441" priority="93" operator="equal">
      <formula>0</formula>
    </cfRule>
  </conditionalFormatting>
  <conditionalFormatting sqref="DD4:DD13">
    <cfRule type="cellIs" dxfId="440" priority="92" operator="equal">
      <formula>0</formula>
    </cfRule>
  </conditionalFormatting>
  <conditionalFormatting sqref="DJ4:DJ13">
    <cfRule type="cellIs" dxfId="439" priority="91" operator="equal">
      <formula>0</formula>
    </cfRule>
  </conditionalFormatting>
  <conditionalFormatting sqref="DP4:DP13">
    <cfRule type="cellIs" dxfId="438" priority="90" operator="equal">
      <formula>0</formula>
    </cfRule>
  </conditionalFormatting>
  <conditionalFormatting sqref="DV4:DV13">
    <cfRule type="cellIs" dxfId="437" priority="89" operator="equal">
      <formula>0</formula>
    </cfRule>
  </conditionalFormatting>
  <conditionalFormatting sqref="EB4:EB13">
    <cfRule type="cellIs" dxfId="436" priority="88" operator="equal">
      <formula>0</formula>
    </cfRule>
  </conditionalFormatting>
  <conditionalFormatting sqref="EH4:EH13">
    <cfRule type="cellIs" dxfId="435" priority="87" operator="equal">
      <formula>0</formula>
    </cfRule>
  </conditionalFormatting>
  <conditionalFormatting sqref="EN4:EN13">
    <cfRule type="cellIs" dxfId="434" priority="86" operator="equal">
      <formula>0</formula>
    </cfRule>
  </conditionalFormatting>
  <conditionalFormatting sqref="ET4:ET13">
    <cfRule type="cellIs" dxfId="433" priority="85" operator="equal">
      <formula>0</formula>
    </cfRule>
  </conditionalFormatting>
  <conditionalFormatting sqref="EZ4:EZ13">
    <cfRule type="cellIs" dxfId="432" priority="84" operator="equal">
      <formula>0</formula>
    </cfRule>
  </conditionalFormatting>
  <conditionalFormatting sqref="FF4:FF13">
    <cfRule type="cellIs" dxfId="431" priority="83" operator="equal">
      <formula>0</formula>
    </cfRule>
  </conditionalFormatting>
  <conditionalFormatting sqref="FL4:FL13">
    <cfRule type="cellIs" dxfId="430" priority="82" operator="equal">
      <formula>0</formula>
    </cfRule>
  </conditionalFormatting>
  <conditionalFormatting sqref="FR4:FR13">
    <cfRule type="cellIs" dxfId="429" priority="81" operator="equal">
      <formula>0</formula>
    </cfRule>
  </conditionalFormatting>
  <conditionalFormatting sqref="FX4:FX13">
    <cfRule type="cellIs" dxfId="428" priority="80" operator="equal">
      <formula>0</formula>
    </cfRule>
  </conditionalFormatting>
  <conditionalFormatting sqref="GD4:GD13">
    <cfRule type="cellIs" dxfId="427" priority="79" operator="equal">
      <formula>0</formula>
    </cfRule>
  </conditionalFormatting>
  <conditionalFormatting sqref="GJ4:GJ13">
    <cfRule type="cellIs" dxfId="426" priority="78" operator="equal">
      <formula>0</formula>
    </cfRule>
  </conditionalFormatting>
  <conditionalFormatting sqref="GP4:GP13">
    <cfRule type="cellIs" dxfId="425" priority="77" operator="equal">
      <formula>0</formula>
    </cfRule>
  </conditionalFormatting>
  <conditionalFormatting sqref="GV4:GV13">
    <cfRule type="cellIs" dxfId="424" priority="76" operator="equal">
      <formula>0</formula>
    </cfRule>
  </conditionalFormatting>
  <conditionalFormatting sqref="HB4:HB13">
    <cfRule type="cellIs" dxfId="423" priority="75" operator="equal">
      <formula>0</formula>
    </cfRule>
  </conditionalFormatting>
  <conditionalFormatting sqref="HH4:HH13">
    <cfRule type="cellIs" dxfId="422" priority="74" operator="equal">
      <formula>0</formula>
    </cfRule>
  </conditionalFormatting>
  <conditionalFormatting sqref="HN4:HN13">
    <cfRule type="cellIs" dxfId="421" priority="73" operator="equal">
      <formula>0</formula>
    </cfRule>
  </conditionalFormatting>
  <conditionalFormatting sqref="HT4:HT13">
    <cfRule type="cellIs" dxfId="420" priority="72" operator="equal">
      <formula>0</formula>
    </cfRule>
  </conditionalFormatting>
  <conditionalFormatting sqref="HZ4:HZ13">
    <cfRule type="cellIs" dxfId="419" priority="71" operator="equal">
      <formula>0</formula>
    </cfRule>
  </conditionalFormatting>
  <conditionalFormatting sqref="IF4:IF13">
    <cfRule type="cellIs" dxfId="418" priority="70" operator="equal">
      <formula>0</formula>
    </cfRule>
  </conditionalFormatting>
  <conditionalFormatting sqref="IL4:IL13">
    <cfRule type="cellIs" dxfId="417" priority="69" operator="equal">
      <formula>0</formula>
    </cfRule>
  </conditionalFormatting>
  <conditionalFormatting sqref="IR4:IR13">
    <cfRule type="cellIs" dxfId="416" priority="68" operator="equal">
      <formula>0</formula>
    </cfRule>
  </conditionalFormatting>
  <conditionalFormatting sqref="IX4:IX13">
    <cfRule type="cellIs" dxfId="415" priority="67" operator="equal">
      <formula>0</formula>
    </cfRule>
  </conditionalFormatting>
  <conditionalFormatting sqref="JD4:JD13">
    <cfRule type="cellIs" dxfId="414" priority="66" operator="equal">
      <formula>0</formula>
    </cfRule>
  </conditionalFormatting>
  <conditionalFormatting sqref="JJ4:JJ13">
    <cfRule type="cellIs" dxfId="413" priority="65" operator="equal">
      <formula>0</formula>
    </cfRule>
  </conditionalFormatting>
  <conditionalFormatting sqref="JP4:JP13">
    <cfRule type="cellIs" dxfId="412" priority="64" operator="equal">
      <formula>0</formula>
    </cfRule>
  </conditionalFormatting>
  <conditionalFormatting sqref="JV4:JV13">
    <cfRule type="cellIs" dxfId="411" priority="63" operator="equal">
      <formula>0</formula>
    </cfRule>
  </conditionalFormatting>
  <conditionalFormatting sqref="KB4:KB13">
    <cfRule type="cellIs" dxfId="410" priority="62" operator="equal">
      <formula>0</formula>
    </cfRule>
  </conditionalFormatting>
  <conditionalFormatting sqref="KH4:KH13">
    <cfRule type="cellIs" dxfId="409" priority="61" operator="equal">
      <formula>0</formula>
    </cfRule>
  </conditionalFormatting>
  <conditionalFormatting sqref="KN4:KN13">
    <cfRule type="cellIs" dxfId="408" priority="60" operator="equal">
      <formula>0</formula>
    </cfRule>
  </conditionalFormatting>
  <conditionalFormatting sqref="KT4:KT13">
    <cfRule type="cellIs" dxfId="407" priority="59" operator="equal">
      <formula>0</formula>
    </cfRule>
  </conditionalFormatting>
  <conditionalFormatting sqref="KZ4:KZ13">
    <cfRule type="cellIs" dxfId="406" priority="58" operator="equal">
      <formula>0</formula>
    </cfRule>
  </conditionalFormatting>
  <conditionalFormatting sqref="LF4:LF13">
    <cfRule type="cellIs" dxfId="405" priority="57" operator="equal">
      <formula>0</formula>
    </cfRule>
  </conditionalFormatting>
  <conditionalFormatting sqref="LL4:LL13">
    <cfRule type="cellIs" dxfId="404" priority="56" operator="equal">
      <formula>0</formula>
    </cfRule>
  </conditionalFormatting>
  <conditionalFormatting sqref="LR4:LR13">
    <cfRule type="cellIs" dxfId="403" priority="55" operator="equal">
      <formula>0</formula>
    </cfRule>
  </conditionalFormatting>
  <conditionalFormatting sqref="LX4:LX13">
    <cfRule type="cellIs" dxfId="402" priority="54" operator="equal">
      <formula>0</formula>
    </cfRule>
  </conditionalFormatting>
  <conditionalFormatting sqref="MD4:MD13">
    <cfRule type="cellIs" dxfId="401" priority="53" operator="equal">
      <formula>0</formula>
    </cfRule>
  </conditionalFormatting>
  <conditionalFormatting sqref="MJ4:MJ13">
    <cfRule type="cellIs" dxfId="400" priority="52" operator="equal">
      <formula>0</formula>
    </cfRule>
  </conditionalFormatting>
  <conditionalFormatting sqref="MP4:MP13">
    <cfRule type="cellIs" dxfId="399" priority="51" operator="equal">
      <formula>0</formula>
    </cfRule>
  </conditionalFormatting>
  <conditionalFormatting sqref="MV4:MV13">
    <cfRule type="cellIs" dxfId="398" priority="50" operator="equal">
      <formula>0</formula>
    </cfRule>
  </conditionalFormatting>
  <conditionalFormatting sqref="NB4:NB13">
    <cfRule type="cellIs" dxfId="397" priority="49" operator="equal">
      <formula>0</formula>
    </cfRule>
  </conditionalFormatting>
  <conditionalFormatting sqref="NH4:NH13">
    <cfRule type="cellIs" dxfId="396" priority="48" operator="equal">
      <formula>0</formula>
    </cfRule>
  </conditionalFormatting>
  <conditionalFormatting sqref="NN4:NN13">
    <cfRule type="cellIs" dxfId="395" priority="47" operator="equal">
      <formula>0</formula>
    </cfRule>
  </conditionalFormatting>
  <conditionalFormatting sqref="NT4:NT13">
    <cfRule type="cellIs" dxfId="394" priority="46" operator="equal">
      <formula>0</formula>
    </cfRule>
  </conditionalFormatting>
  <conditionalFormatting sqref="NZ4:NZ13">
    <cfRule type="cellIs" dxfId="393" priority="45" operator="equal">
      <formula>0</formula>
    </cfRule>
  </conditionalFormatting>
  <conditionalFormatting sqref="OF4:OF13">
    <cfRule type="cellIs" dxfId="392" priority="44" operator="equal">
      <formula>0</formula>
    </cfRule>
  </conditionalFormatting>
  <conditionalFormatting sqref="OL4:OL13">
    <cfRule type="cellIs" dxfId="391" priority="43" operator="equal">
      <formula>0</formula>
    </cfRule>
  </conditionalFormatting>
  <conditionalFormatting sqref="OR4:OR13">
    <cfRule type="cellIs" dxfId="390" priority="42" operator="equal">
      <formula>0</formula>
    </cfRule>
  </conditionalFormatting>
  <conditionalFormatting sqref="OX4:OX13">
    <cfRule type="cellIs" dxfId="389" priority="41" operator="equal">
      <formula>0</formula>
    </cfRule>
  </conditionalFormatting>
  <conditionalFormatting sqref="PD4:PD13">
    <cfRule type="cellIs" dxfId="388" priority="40" operator="equal">
      <formula>0</formula>
    </cfRule>
  </conditionalFormatting>
  <conditionalFormatting sqref="PJ4:PJ13">
    <cfRule type="cellIs" dxfId="387" priority="39" operator="equal">
      <formula>0</formula>
    </cfRule>
  </conditionalFormatting>
  <conditionalFormatting sqref="PP4:PP13">
    <cfRule type="cellIs" dxfId="386" priority="38" operator="equal">
      <formula>0</formula>
    </cfRule>
  </conditionalFormatting>
  <conditionalFormatting sqref="PV4:PV13">
    <cfRule type="cellIs" dxfId="385" priority="37" operator="equal">
      <formula>0</formula>
    </cfRule>
  </conditionalFormatting>
  <conditionalFormatting sqref="QB4:QB13">
    <cfRule type="cellIs" dxfId="384" priority="36" operator="equal">
      <formula>0</formula>
    </cfRule>
  </conditionalFormatting>
  <conditionalFormatting sqref="QH4:QH13">
    <cfRule type="cellIs" dxfId="383" priority="35" operator="equal">
      <formula>0</formula>
    </cfRule>
  </conditionalFormatting>
  <conditionalFormatting sqref="QN4:QN13">
    <cfRule type="cellIs" dxfId="382" priority="34" operator="equal">
      <formula>0</formula>
    </cfRule>
  </conditionalFormatting>
  <conditionalFormatting sqref="QT4:QT13">
    <cfRule type="cellIs" dxfId="381" priority="33" operator="equal">
      <formula>0</formula>
    </cfRule>
  </conditionalFormatting>
  <conditionalFormatting sqref="QZ4:QZ13">
    <cfRule type="cellIs" dxfId="380" priority="32" operator="equal">
      <formula>0</formula>
    </cfRule>
  </conditionalFormatting>
  <conditionalFormatting sqref="RF4:RF13">
    <cfRule type="cellIs" dxfId="379" priority="31" operator="equal">
      <formula>0</formula>
    </cfRule>
  </conditionalFormatting>
  <conditionalFormatting sqref="RL4:RL13">
    <cfRule type="cellIs" dxfId="378" priority="30" operator="equal">
      <formula>0</formula>
    </cfRule>
  </conditionalFormatting>
  <conditionalFormatting sqref="RR4:RR13">
    <cfRule type="cellIs" dxfId="377" priority="29" operator="equal">
      <formula>0</formula>
    </cfRule>
  </conditionalFormatting>
  <conditionalFormatting sqref="RX4:RX13">
    <cfRule type="cellIs" dxfId="376" priority="28" operator="equal">
      <formula>0</formula>
    </cfRule>
  </conditionalFormatting>
  <conditionalFormatting sqref="SD4:SD13">
    <cfRule type="cellIs" dxfId="375" priority="27" operator="equal">
      <formula>0</formula>
    </cfRule>
  </conditionalFormatting>
  <conditionalFormatting sqref="SJ4:SJ13">
    <cfRule type="cellIs" dxfId="374" priority="26" operator="equal">
      <formula>0</formula>
    </cfRule>
  </conditionalFormatting>
  <conditionalFormatting sqref="SP4:SP13">
    <cfRule type="cellIs" dxfId="373" priority="25" operator="equal">
      <formula>0</formula>
    </cfRule>
  </conditionalFormatting>
  <conditionalFormatting sqref="SV4:SV13">
    <cfRule type="cellIs" dxfId="372" priority="24" operator="equal">
      <formula>0</formula>
    </cfRule>
  </conditionalFormatting>
  <conditionalFormatting sqref="TB4:TB13">
    <cfRule type="cellIs" dxfId="371" priority="23" operator="equal">
      <formula>0</formula>
    </cfRule>
  </conditionalFormatting>
  <conditionalFormatting sqref="TH4:TH13">
    <cfRule type="cellIs" dxfId="370" priority="22" operator="equal">
      <formula>0</formula>
    </cfRule>
  </conditionalFormatting>
  <conditionalFormatting sqref="TN4:TN13">
    <cfRule type="cellIs" dxfId="369" priority="21" operator="equal">
      <formula>0</formula>
    </cfRule>
  </conditionalFormatting>
  <conditionalFormatting sqref="TT4:TT13">
    <cfRule type="cellIs" dxfId="368" priority="20" operator="equal">
      <formula>0</formula>
    </cfRule>
  </conditionalFormatting>
  <conditionalFormatting sqref="TZ4:TZ13">
    <cfRule type="cellIs" dxfId="367" priority="19" operator="equal">
      <formula>0</formula>
    </cfRule>
  </conditionalFormatting>
  <conditionalFormatting sqref="UF4:UF13">
    <cfRule type="cellIs" dxfId="366" priority="18" operator="equal">
      <formula>0</formula>
    </cfRule>
  </conditionalFormatting>
  <conditionalFormatting sqref="UL4:UL13">
    <cfRule type="cellIs" dxfId="365" priority="17" operator="equal">
      <formula>0</formula>
    </cfRule>
  </conditionalFormatting>
  <conditionalFormatting sqref="UR4:UR13">
    <cfRule type="cellIs" dxfId="364" priority="16" operator="equal">
      <formula>0</formula>
    </cfRule>
  </conditionalFormatting>
  <conditionalFormatting sqref="UX4:UX13">
    <cfRule type="cellIs" dxfId="363" priority="15" operator="equal">
      <formula>0</formula>
    </cfRule>
  </conditionalFormatting>
  <conditionalFormatting sqref="VD4:VD13">
    <cfRule type="cellIs" dxfId="362" priority="14" operator="equal">
      <formula>0</formula>
    </cfRule>
  </conditionalFormatting>
  <conditionalFormatting sqref="VJ4:VJ13">
    <cfRule type="cellIs" dxfId="361" priority="13" operator="equal">
      <formula>0</formula>
    </cfRule>
  </conditionalFormatting>
  <conditionalFormatting sqref="VP4:VP13">
    <cfRule type="cellIs" dxfId="360" priority="12" operator="equal">
      <formula>0</formula>
    </cfRule>
  </conditionalFormatting>
  <conditionalFormatting sqref="VV4:VV13">
    <cfRule type="cellIs" dxfId="359" priority="11" operator="equal">
      <formula>0</formula>
    </cfRule>
  </conditionalFormatting>
  <conditionalFormatting sqref="WB4:WB13">
    <cfRule type="cellIs" dxfId="358" priority="10" operator="equal">
      <formula>0</formula>
    </cfRule>
  </conditionalFormatting>
  <conditionalFormatting sqref="WH4:WH13">
    <cfRule type="cellIs" dxfId="357" priority="9" operator="equal">
      <formula>0</formula>
    </cfRule>
  </conditionalFormatting>
  <conditionalFormatting sqref="WN4:WN13">
    <cfRule type="cellIs" dxfId="356" priority="8" operator="equal">
      <formula>0</formula>
    </cfRule>
  </conditionalFormatting>
  <conditionalFormatting sqref="WT4:WT13">
    <cfRule type="cellIs" dxfId="355" priority="7" operator="equal">
      <formula>0</formula>
    </cfRule>
  </conditionalFormatting>
  <conditionalFormatting sqref="WZ4:WZ13">
    <cfRule type="cellIs" dxfId="354" priority="6" operator="equal">
      <formula>0</formula>
    </cfRule>
  </conditionalFormatting>
  <conditionalFormatting sqref="XF4:XF13">
    <cfRule type="cellIs" dxfId="353" priority="5" operator="equal">
      <formula>0</formula>
    </cfRule>
  </conditionalFormatting>
  <conditionalFormatting sqref="XL4:XL13">
    <cfRule type="cellIs" dxfId="352" priority="4" operator="equal">
      <formula>0</formula>
    </cfRule>
  </conditionalFormatting>
  <conditionalFormatting sqref="XR4:XR13">
    <cfRule type="cellIs" dxfId="351" priority="3" operator="equal">
      <formula>0</formula>
    </cfRule>
  </conditionalFormatting>
  <conditionalFormatting sqref="XX4:XX13 YD4:YD13 YJ4:YJ13 YP4:YP13 YV4:YV13 ZB4:ZB13 ZH4:ZH13 ZN4:ZN13 ZT4:ZT13 ZZ4:ZZ13 AAF4:AAF13 AAL4:AAL13 AAR4:AAR13 AAX4:AAX13 ABD4:ABD13 ABJ4:ABJ13 ABP4:ABP13 ABV4:ABV13 ACB4:ACB13 ACH4:ACH13 ACN4:ACN13 ACT4:ACT13 ACZ4:ACZ13 ADF4:ADF13 ADL4:ADL13 ADR4:ADR13 ADX4:ADX13 AED4:AED13 AEJ4:AEJ13 AEP4:AEP13 AEV4:AEV13 AFB4:AFB13 AFH4:AFH13 AFN4:AFN13 AFT4:AFT13 AFZ4:AFZ13 AGF4:AGF13 AGL4:AGL13 AGR4:AGR13 AGX4:AGX13 AHD4:AHD13 AHJ4:AHJ13 AHP4:AHP13 AHV4:AHV13 AIB4:AIB13 AIH4:AIH13 AIN4:AIN13 AIT4:AIT13 AIZ4:AIZ13 AJF4:AJF13 AJL4:AJL13 AJR4:AJR13 AJX4:AJX13 AKD4:AKD13 AKJ4:AKJ13 AKP4:AKP13 AKV4:AKV13 ALB4:ALB13 ALH4:ALH13 ALN4:ALN13 ALT4:ALT13 ALZ4:ALZ13 AMF4:AMF13 AML4:AML13 AMR4:AMR13 AMX4:AMX13 AND4:AND13 ANJ4:ANJ13 ANP4:ANP13 ANV4:ANV13 AOB4:AOB13 AOH4:AOH13 AON4:AON13 AOT4:AOT13 AOZ4:AOZ13">
    <cfRule type="cellIs" dxfId="350" priority="2" operator="equal">
      <formula>0</formula>
    </cfRule>
  </conditionalFormatting>
  <pageMargins left="0.47916666666666669" right="0.60416666666666663" top="0.8125" bottom="0.75" header="0.3" footer="0.3"/>
  <pageSetup orientation="landscape" r:id="rId1"/>
  <headerFooter>
    <oddHeader>&amp;L&amp;"-,Bold"&amp;16NORTH&amp;C&amp;"-,Bold"&amp;16BEER USAGE&amp;R&amp;"-,Bold"&amp;16MON for TUE - &amp;UAS&amp;"-,Regular"&amp;11&amp;U
GV 7/7/2020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E7E4D-901B-4AB8-995A-D881ACA180FD}">
  <sheetPr>
    <tabColor theme="9" tint="0.79998168889431442"/>
  </sheetPr>
  <dimension ref="A1:QB56"/>
  <sheetViews>
    <sheetView tabSelected="1" view="pageLayout" zoomScale="115" zoomScaleNormal="100" zoomScalePageLayoutView="115" workbookViewId="0">
      <selection activeCell="QA1" sqref="QA1:QB1"/>
    </sheetView>
  </sheetViews>
  <sheetFormatPr defaultRowHeight="12.75" customHeight="1" x14ac:dyDescent="0.2"/>
  <cols>
    <col min="1" max="1" width="9.140625" style="91"/>
    <col min="2" max="2" width="17.7109375" style="91" bestFit="1" customWidth="1"/>
    <col min="3" max="3" width="3.85546875" style="91" bestFit="1" customWidth="1"/>
    <col min="4" max="4" width="5.28515625" style="103" bestFit="1" customWidth="1"/>
    <col min="5" max="5" width="2.5703125" style="91" hidden="1" customWidth="1"/>
    <col min="6" max="6" width="5.140625" style="91" hidden="1" customWidth="1"/>
    <col min="7" max="7" width="5.140625" style="104" hidden="1" customWidth="1"/>
    <col min="8" max="8" width="5.140625" style="114" hidden="1" customWidth="1"/>
    <col min="9" max="9" width="2.5703125" style="91" hidden="1" customWidth="1"/>
    <col min="10" max="10" width="5.140625" style="91" hidden="1" customWidth="1"/>
    <col min="11" max="11" width="5.140625" style="104" hidden="1" customWidth="1"/>
    <col min="12" max="12" width="5.140625" style="91" hidden="1" customWidth="1"/>
    <col min="13" max="13" width="2.5703125" style="91" hidden="1" customWidth="1"/>
    <col min="14" max="14" width="5.140625" style="91" hidden="1" customWidth="1"/>
    <col min="15" max="15" width="5.140625" style="104" hidden="1" customWidth="1"/>
    <col min="16" max="16" width="5.140625" style="91" hidden="1" customWidth="1"/>
    <col min="17" max="17" width="2.5703125" style="91" hidden="1" customWidth="1"/>
    <col min="18" max="18" width="5.140625" style="91" hidden="1" customWidth="1"/>
    <col min="19" max="19" width="5.140625" style="104" hidden="1" customWidth="1"/>
    <col min="20" max="20" width="5.140625" style="91" hidden="1" customWidth="1"/>
    <col min="21" max="21" width="2.5703125" style="91" hidden="1" customWidth="1"/>
    <col min="22" max="22" width="5.140625" style="91" hidden="1" customWidth="1"/>
    <col min="23" max="23" width="5.140625" style="104" hidden="1" customWidth="1"/>
    <col min="24" max="24" width="5.140625" style="91" hidden="1" customWidth="1"/>
    <col min="25" max="25" width="2.5703125" style="91" hidden="1" customWidth="1"/>
    <col min="26" max="26" width="5.140625" style="91" hidden="1" customWidth="1"/>
    <col min="27" max="27" width="5.140625" style="104" hidden="1" customWidth="1"/>
    <col min="28" max="28" width="5.140625" style="91" hidden="1" customWidth="1"/>
    <col min="29" max="29" width="2.5703125" style="91" hidden="1" customWidth="1"/>
    <col min="30" max="30" width="5.140625" style="91" hidden="1" customWidth="1"/>
    <col min="31" max="31" width="5.140625" style="104" hidden="1" customWidth="1"/>
    <col min="32" max="32" width="5.140625" style="91" hidden="1" customWidth="1"/>
    <col min="33" max="33" width="2.5703125" style="91" hidden="1" customWidth="1"/>
    <col min="34" max="34" width="5.140625" style="91" hidden="1" customWidth="1"/>
    <col min="35" max="35" width="5.140625" style="104" hidden="1" customWidth="1"/>
    <col min="36" max="36" width="5.140625" style="91" hidden="1" customWidth="1"/>
    <col min="37" max="37" width="2.5703125" style="91" hidden="1" customWidth="1"/>
    <col min="38" max="38" width="5.140625" style="91" hidden="1" customWidth="1"/>
    <col min="39" max="39" width="5.140625" style="104" hidden="1" customWidth="1"/>
    <col min="40" max="40" width="5.140625" style="91" hidden="1" customWidth="1"/>
    <col min="41" max="41" width="2.5703125" style="91" hidden="1" customWidth="1"/>
    <col min="42" max="42" width="5.140625" style="91" hidden="1" customWidth="1"/>
    <col min="43" max="43" width="5.140625" style="104" hidden="1" customWidth="1"/>
    <col min="44" max="44" width="5.140625" style="91" hidden="1" customWidth="1"/>
    <col min="45" max="45" width="2.5703125" style="91" hidden="1" customWidth="1"/>
    <col min="46" max="46" width="5.140625" style="91" hidden="1" customWidth="1"/>
    <col min="47" max="47" width="5.140625" style="104" hidden="1" customWidth="1"/>
    <col min="48" max="48" width="5.140625" style="91" hidden="1" customWidth="1"/>
    <col min="49" max="49" width="2.5703125" style="91" hidden="1" customWidth="1"/>
    <col min="50" max="50" width="5.140625" style="91" hidden="1" customWidth="1"/>
    <col min="51" max="51" width="5.140625" style="104" hidden="1" customWidth="1"/>
    <col min="52" max="52" width="5.140625" style="91" hidden="1" customWidth="1"/>
    <col min="53" max="53" width="2.5703125" style="91" hidden="1" customWidth="1"/>
    <col min="54" max="54" width="5.140625" style="91" hidden="1" customWidth="1"/>
    <col min="55" max="55" width="5.140625" style="104" hidden="1" customWidth="1"/>
    <col min="56" max="56" width="5.140625" style="91" hidden="1" customWidth="1"/>
    <col min="57" max="57" width="2.5703125" style="91" hidden="1" customWidth="1"/>
    <col min="58" max="58" width="5.140625" style="91" hidden="1" customWidth="1"/>
    <col min="59" max="59" width="5.140625" style="104" hidden="1" customWidth="1"/>
    <col min="60" max="60" width="5.140625" style="91" hidden="1" customWidth="1"/>
    <col min="61" max="61" width="2.5703125" style="91" hidden="1" customWidth="1"/>
    <col min="62" max="62" width="5.140625" style="91" hidden="1" customWidth="1"/>
    <col min="63" max="63" width="5.140625" style="104" hidden="1" customWidth="1"/>
    <col min="64" max="64" width="5.140625" style="91" hidden="1" customWidth="1"/>
    <col min="65" max="65" width="2.5703125" style="91" hidden="1" customWidth="1"/>
    <col min="66" max="66" width="5.140625" style="91" hidden="1" customWidth="1"/>
    <col min="67" max="67" width="5.140625" style="104" hidden="1" customWidth="1"/>
    <col min="68" max="68" width="5.140625" style="91" hidden="1" customWidth="1"/>
    <col min="69" max="69" width="2.5703125" style="91" hidden="1" customWidth="1"/>
    <col min="70" max="70" width="5.140625" style="91" hidden="1" customWidth="1"/>
    <col min="71" max="71" width="5.140625" style="104" hidden="1" customWidth="1"/>
    <col min="72" max="72" width="5.140625" style="91" hidden="1" customWidth="1"/>
    <col min="73" max="73" width="2.5703125" style="91" hidden="1" customWidth="1"/>
    <col min="74" max="74" width="5.140625" style="91" hidden="1" customWidth="1"/>
    <col min="75" max="75" width="5.140625" style="104" hidden="1" customWidth="1"/>
    <col min="76" max="76" width="5.140625" style="91" hidden="1" customWidth="1"/>
    <col min="77" max="77" width="2.5703125" style="91" hidden="1" customWidth="1"/>
    <col min="78" max="78" width="5.140625" style="91" hidden="1" customWidth="1"/>
    <col min="79" max="79" width="5.140625" style="104" hidden="1" customWidth="1"/>
    <col min="80" max="80" width="5.140625" style="91" hidden="1" customWidth="1"/>
    <col min="81" max="81" width="2.5703125" style="91" hidden="1" customWidth="1"/>
    <col min="82" max="82" width="5.140625" style="91" hidden="1" customWidth="1"/>
    <col min="83" max="83" width="5.140625" style="104" hidden="1" customWidth="1"/>
    <col min="84" max="84" width="5.140625" style="91" hidden="1" customWidth="1"/>
    <col min="85" max="85" width="2.5703125" style="91" hidden="1" customWidth="1"/>
    <col min="86" max="86" width="5.140625" style="91" hidden="1" customWidth="1"/>
    <col min="87" max="87" width="5.140625" style="104" hidden="1" customWidth="1"/>
    <col min="88" max="88" width="5.140625" style="91" hidden="1" customWidth="1"/>
    <col min="89" max="89" width="2.5703125" style="91" hidden="1" customWidth="1"/>
    <col min="90" max="90" width="5.140625" style="91" hidden="1" customWidth="1"/>
    <col min="91" max="91" width="5.140625" style="104" hidden="1" customWidth="1"/>
    <col min="92" max="92" width="5.140625" style="91" hidden="1" customWidth="1"/>
    <col min="93" max="93" width="2.5703125" style="91" hidden="1" customWidth="1"/>
    <col min="94" max="94" width="5.140625" style="91" hidden="1" customWidth="1"/>
    <col min="95" max="95" width="5.140625" style="104" hidden="1" customWidth="1"/>
    <col min="96" max="96" width="5.140625" style="91" hidden="1" customWidth="1"/>
    <col min="97" max="97" width="2.5703125" style="91" hidden="1" customWidth="1"/>
    <col min="98" max="98" width="5.140625" style="91" hidden="1" customWidth="1"/>
    <col min="99" max="99" width="5.140625" style="104" hidden="1" customWidth="1"/>
    <col min="100" max="100" width="5.140625" style="91" hidden="1" customWidth="1"/>
    <col min="101" max="101" width="2.5703125" style="91" hidden="1" customWidth="1"/>
    <col min="102" max="102" width="5.140625" style="91" hidden="1" customWidth="1"/>
    <col min="103" max="103" width="5.140625" style="104" hidden="1" customWidth="1"/>
    <col min="104" max="104" width="5.140625" style="91" hidden="1" customWidth="1"/>
    <col min="105" max="105" width="2.5703125" style="91" hidden="1" customWidth="1"/>
    <col min="106" max="106" width="5.140625" style="91" hidden="1" customWidth="1"/>
    <col min="107" max="107" width="5.140625" style="104" hidden="1" customWidth="1"/>
    <col min="108" max="108" width="5.140625" style="91" hidden="1" customWidth="1"/>
    <col min="109" max="109" width="2.5703125" style="91" hidden="1" customWidth="1"/>
    <col min="110" max="110" width="5.140625" style="91" hidden="1" customWidth="1"/>
    <col min="111" max="111" width="5.140625" style="104" hidden="1" customWidth="1"/>
    <col min="112" max="112" width="5.140625" style="91" hidden="1" customWidth="1"/>
    <col min="113" max="113" width="2.5703125" style="91" hidden="1" customWidth="1"/>
    <col min="114" max="114" width="5.140625" style="91" hidden="1" customWidth="1"/>
    <col min="115" max="115" width="5.140625" style="104" hidden="1" customWidth="1"/>
    <col min="116" max="116" width="5.140625" style="91" hidden="1" customWidth="1"/>
    <col min="117" max="117" width="2.5703125" style="91" hidden="1" customWidth="1"/>
    <col min="118" max="118" width="5.140625" style="91" hidden="1" customWidth="1"/>
    <col min="119" max="119" width="5.140625" style="104" hidden="1" customWidth="1"/>
    <col min="120" max="120" width="5.140625" style="91" hidden="1" customWidth="1"/>
    <col min="121" max="121" width="2.5703125" style="91" hidden="1" customWidth="1"/>
    <col min="122" max="122" width="5.140625" style="91" hidden="1" customWidth="1"/>
    <col min="123" max="123" width="5.140625" style="104" hidden="1" customWidth="1"/>
    <col min="124" max="124" width="5.140625" style="91" hidden="1" customWidth="1"/>
    <col min="125" max="125" width="2.5703125" style="91" hidden="1" customWidth="1"/>
    <col min="126" max="126" width="5.140625" style="91" hidden="1" customWidth="1"/>
    <col min="127" max="127" width="5.140625" style="104" hidden="1" customWidth="1"/>
    <col min="128" max="128" width="5.140625" style="91" hidden="1" customWidth="1"/>
    <col min="129" max="129" width="2.5703125" style="91" hidden="1" customWidth="1"/>
    <col min="130" max="130" width="5.140625" style="91" hidden="1" customWidth="1"/>
    <col min="131" max="131" width="5.140625" style="104" hidden="1" customWidth="1"/>
    <col min="132" max="132" width="5.140625" style="91" hidden="1" customWidth="1"/>
    <col min="133" max="133" width="2.5703125" style="91" hidden="1" customWidth="1"/>
    <col min="134" max="134" width="5.140625" style="91" hidden="1" customWidth="1"/>
    <col min="135" max="135" width="5.140625" style="104" hidden="1" customWidth="1"/>
    <col min="136" max="136" width="5.140625" style="91" hidden="1" customWidth="1"/>
    <col min="137" max="137" width="2.5703125" style="91" hidden="1" customWidth="1"/>
    <col min="138" max="138" width="5.140625" style="91" hidden="1" customWidth="1"/>
    <col min="139" max="139" width="5.140625" style="104" hidden="1" customWidth="1"/>
    <col min="140" max="140" width="5.140625" style="91" hidden="1" customWidth="1"/>
    <col min="141" max="141" width="2.5703125" style="91" hidden="1" customWidth="1"/>
    <col min="142" max="142" width="5.140625" style="91" hidden="1" customWidth="1"/>
    <col min="143" max="143" width="5.140625" style="104" hidden="1" customWidth="1"/>
    <col min="144" max="144" width="5.140625" style="91" hidden="1" customWidth="1"/>
    <col min="145" max="145" width="2.5703125" style="91" hidden="1" customWidth="1"/>
    <col min="146" max="146" width="5.140625" style="91" hidden="1" customWidth="1"/>
    <col min="147" max="147" width="5.140625" style="104" hidden="1" customWidth="1"/>
    <col min="148" max="148" width="5.140625" style="91" hidden="1" customWidth="1"/>
    <col min="149" max="149" width="2.5703125" style="91" hidden="1" customWidth="1"/>
    <col min="150" max="150" width="5.140625" style="91" hidden="1" customWidth="1"/>
    <col min="151" max="151" width="5.140625" style="104" hidden="1" customWidth="1"/>
    <col min="152" max="152" width="5.140625" style="91" hidden="1" customWidth="1"/>
    <col min="153" max="153" width="2.5703125" style="91" hidden="1" customWidth="1"/>
    <col min="154" max="154" width="5.140625" style="91" hidden="1" customWidth="1"/>
    <col min="155" max="155" width="5.140625" style="104" hidden="1" customWidth="1"/>
    <col min="156" max="156" width="5.140625" style="91" hidden="1" customWidth="1"/>
    <col min="157" max="157" width="1.28515625" style="91" hidden="1" customWidth="1"/>
    <col min="158" max="158" width="5.140625" style="91" hidden="1" customWidth="1"/>
    <col min="159" max="159" width="4.42578125" style="104" hidden="1" customWidth="1"/>
    <col min="160" max="160" width="5.140625" style="91" hidden="1" customWidth="1"/>
    <col min="161" max="161" width="1.28515625" style="91" hidden="1" customWidth="1"/>
    <col min="162" max="162" width="5.140625" style="91" hidden="1" customWidth="1"/>
    <col min="163" max="163" width="4.5703125" style="104" hidden="1" customWidth="1"/>
    <col min="164" max="164" width="5.140625" style="91" hidden="1" customWidth="1"/>
    <col min="165" max="165" width="1.28515625" style="91" hidden="1" customWidth="1"/>
    <col min="166" max="166" width="5.140625" style="91" hidden="1" customWidth="1"/>
    <col min="167" max="167" width="4" style="104" hidden="1" customWidth="1"/>
    <col min="168" max="168" width="4.85546875" style="91" hidden="1" customWidth="1"/>
    <col min="169" max="169" width="1" style="91" hidden="1" customWidth="1"/>
    <col min="170" max="170" width="5.140625" style="91" hidden="1" customWidth="1"/>
    <col min="171" max="171" width="5.140625" style="104" hidden="1" customWidth="1"/>
    <col min="172" max="172" width="4.85546875" style="91" hidden="1" customWidth="1"/>
    <col min="173" max="173" width="1" style="91" hidden="1" customWidth="1"/>
    <col min="174" max="174" width="5.140625" style="91" hidden="1" customWidth="1"/>
    <col min="175" max="175" width="5.140625" style="104" hidden="1" customWidth="1"/>
    <col min="176" max="176" width="5.140625" style="91" hidden="1" customWidth="1"/>
    <col min="177" max="177" width="1.140625" style="91" hidden="1" customWidth="1"/>
    <col min="178" max="178" width="5.140625" style="91" hidden="1" customWidth="1"/>
    <col min="179" max="179" width="5.140625" style="104" hidden="1" customWidth="1"/>
    <col min="180" max="180" width="5.140625" style="91" hidden="1" customWidth="1"/>
    <col min="181" max="181" width="1" style="91" hidden="1" customWidth="1"/>
    <col min="182" max="182" width="4.85546875" style="91" hidden="1" customWidth="1"/>
    <col min="183" max="183" width="4.85546875" style="104" hidden="1" customWidth="1"/>
    <col min="184" max="184" width="4.85546875" style="91" hidden="1" customWidth="1"/>
    <col min="185" max="185" width="1" style="91" hidden="1" customWidth="1"/>
    <col min="186" max="186" width="4.85546875" style="91" hidden="1" customWidth="1"/>
    <col min="187" max="187" width="4.85546875" style="104" hidden="1" customWidth="1"/>
    <col min="188" max="188" width="4.85546875" style="91" hidden="1" customWidth="1"/>
    <col min="189" max="189" width="1" style="91" hidden="1" customWidth="1"/>
    <col min="190" max="190" width="4.85546875" style="91" hidden="1" customWidth="1"/>
    <col min="191" max="191" width="4.85546875" style="104" hidden="1" customWidth="1"/>
    <col min="192" max="192" width="4.85546875" style="91" hidden="1" customWidth="1"/>
    <col min="193" max="193" width="1.7109375" style="91" hidden="1" customWidth="1"/>
    <col min="194" max="194" width="5" style="91" hidden="1" customWidth="1"/>
    <col min="195" max="195" width="5" style="104" hidden="1" customWidth="1"/>
    <col min="196" max="196" width="5" style="91" hidden="1" customWidth="1"/>
    <col min="197" max="197" width="1.28515625" style="91" hidden="1" customWidth="1"/>
    <col min="198" max="198" width="5" style="91" hidden="1" customWidth="1"/>
    <col min="199" max="199" width="5" style="104" hidden="1" customWidth="1"/>
    <col min="200" max="200" width="5" style="91" hidden="1" customWidth="1"/>
    <col min="201" max="201" width="1.140625" style="91" hidden="1" customWidth="1"/>
    <col min="202" max="202" width="5" style="91" hidden="1" customWidth="1"/>
    <col min="203" max="203" width="5" style="104" hidden="1" customWidth="1"/>
    <col min="204" max="204" width="5" style="91" hidden="1" customWidth="1"/>
    <col min="205" max="205" width="1.7109375" style="91" hidden="1" customWidth="1"/>
    <col min="206" max="206" width="5" style="91" hidden="1" customWidth="1"/>
    <col min="207" max="207" width="5" style="104" hidden="1" customWidth="1"/>
    <col min="208" max="208" width="5" style="91" hidden="1" customWidth="1"/>
    <col min="209" max="209" width="1.140625" style="91" hidden="1" customWidth="1"/>
    <col min="210" max="210" width="5" style="91" hidden="1" customWidth="1"/>
    <col min="211" max="211" width="5" style="104" hidden="1" customWidth="1"/>
    <col min="212" max="212" width="5" style="91" hidden="1" customWidth="1"/>
    <col min="213" max="213" width="1.28515625" style="91" hidden="1" customWidth="1"/>
    <col min="214" max="214" width="5" style="91" hidden="1" customWidth="1"/>
    <col min="215" max="215" width="5" style="104" hidden="1" customWidth="1"/>
    <col min="216" max="216" width="5" style="91" hidden="1" customWidth="1"/>
    <col min="217" max="217" width="1.28515625" style="91" hidden="1" customWidth="1"/>
    <col min="218" max="218" width="5" style="91" hidden="1" customWidth="1"/>
    <col min="219" max="219" width="5" style="104" hidden="1" customWidth="1"/>
    <col min="220" max="220" width="5" style="91" hidden="1" customWidth="1"/>
    <col min="221" max="221" width="1.42578125" style="91" hidden="1" customWidth="1"/>
    <col min="222" max="222" width="5" style="91" hidden="1" customWidth="1"/>
    <col min="223" max="223" width="5" style="104" hidden="1" customWidth="1"/>
    <col min="224" max="224" width="5" style="91" hidden="1" customWidth="1"/>
    <col min="225" max="225" width="1.140625" style="91" hidden="1" customWidth="1"/>
    <col min="226" max="226" width="5" style="91" hidden="1" customWidth="1"/>
    <col min="227" max="227" width="5" style="104" hidden="1" customWidth="1"/>
    <col min="228" max="228" width="5" style="91" hidden="1" customWidth="1"/>
    <col min="229" max="229" width="1.5703125" style="91" hidden="1" customWidth="1"/>
    <col min="230" max="230" width="5" style="91" hidden="1" customWidth="1"/>
    <col min="231" max="231" width="5" style="104" hidden="1" customWidth="1"/>
    <col min="232" max="232" width="5" style="91" hidden="1" customWidth="1"/>
    <col min="233" max="233" width="1.42578125" style="91" hidden="1" customWidth="1"/>
    <col min="234" max="234" width="5" style="91" hidden="1" customWidth="1"/>
    <col min="235" max="235" width="5" style="104" hidden="1" customWidth="1"/>
    <col min="236" max="236" width="5" style="91" hidden="1" customWidth="1"/>
    <col min="237" max="237" width="1.140625" style="91" hidden="1" customWidth="1"/>
    <col min="238" max="238" width="5" style="91" hidden="1" customWidth="1"/>
    <col min="239" max="239" width="5" style="104" hidden="1" customWidth="1"/>
    <col min="240" max="240" width="5.140625" style="91" hidden="1" customWidth="1"/>
    <col min="241" max="241" width="1.28515625" style="91" hidden="1" customWidth="1"/>
    <col min="242" max="242" width="5" style="91" hidden="1" customWidth="1"/>
    <col min="243" max="243" width="5" style="104" hidden="1" customWidth="1"/>
    <col min="244" max="244" width="5" style="91" hidden="1" customWidth="1"/>
    <col min="245" max="245" width="1.28515625" style="91" hidden="1" customWidth="1"/>
    <col min="246" max="246" width="5" style="91" hidden="1" customWidth="1"/>
    <col min="247" max="247" width="5" style="104" hidden="1" customWidth="1"/>
    <col min="248" max="248" width="5" style="91" hidden="1" customWidth="1"/>
    <col min="249" max="249" width="1.28515625" style="91" hidden="1" customWidth="1"/>
    <col min="250" max="250" width="5" style="91" hidden="1" customWidth="1"/>
    <col min="251" max="251" width="5" style="104" hidden="1" customWidth="1"/>
    <col min="252" max="252" width="5" style="91" hidden="1" customWidth="1"/>
    <col min="253" max="253" width="1.28515625" style="91" hidden="1" customWidth="1"/>
    <col min="254" max="254" width="5" style="91" hidden="1" customWidth="1"/>
    <col min="255" max="255" width="5" style="104" hidden="1" customWidth="1"/>
    <col min="256" max="256" width="5" style="91" hidden="1" customWidth="1"/>
    <col min="257" max="257" width="1.28515625" style="91" hidden="1" customWidth="1"/>
    <col min="258" max="258" width="5" style="91" hidden="1" customWidth="1"/>
    <col min="259" max="259" width="5" style="104" hidden="1" customWidth="1"/>
    <col min="260" max="260" width="5" style="91" hidden="1" customWidth="1"/>
    <col min="261" max="261" width="1.28515625" style="91" hidden="1" customWidth="1"/>
    <col min="262" max="262" width="5" style="91" hidden="1" customWidth="1"/>
    <col min="263" max="263" width="5" style="104" hidden="1" customWidth="1"/>
    <col min="264" max="264" width="5" style="91" hidden="1" customWidth="1"/>
    <col min="265" max="265" width="1.28515625" style="91" hidden="1" customWidth="1"/>
    <col min="266" max="266" width="5" style="91" hidden="1" customWidth="1"/>
    <col min="267" max="267" width="5" style="104" hidden="1" customWidth="1"/>
    <col min="268" max="268" width="5" style="91" hidden="1" customWidth="1"/>
    <col min="269" max="269" width="1.28515625" style="91" hidden="1" customWidth="1"/>
    <col min="270" max="270" width="5" style="91" hidden="1" customWidth="1"/>
    <col min="271" max="271" width="5" style="104" hidden="1" customWidth="1"/>
    <col min="272" max="272" width="5" style="91" hidden="1" customWidth="1"/>
    <col min="273" max="273" width="1.28515625" style="91" hidden="1" customWidth="1"/>
    <col min="274" max="274" width="5" style="91" hidden="1" customWidth="1"/>
    <col min="275" max="275" width="5" style="104" hidden="1" customWidth="1"/>
    <col min="276" max="276" width="5" style="91" hidden="1" customWidth="1"/>
    <col min="277" max="277" width="1.28515625" style="91" hidden="1" customWidth="1"/>
    <col min="278" max="278" width="5" style="91" hidden="1" customWidth="1"/>
    <col min="279" max="279" width="5" style="104" hidden="1" customWidth="1"/>
    <col min="280" max="280" width="5" style="91" hidden="1" customWidth="1"/>
    <col min="281" max="281" width="1.28515625" style="91" hidden="1" customWidth="1"/>
    <col min="282" max="282" width="5" style="91" hidden="1" customWidth="1"/>
    <col min="283" max="283" width="5" style="104" hidden="1" customWidth="1"/>
    <col min="284" max="284" width="5" style="91" hidden="1" customWidth="1"/>
    <col min="285" max="285" width="1.28515625" style="91" hidden="1" customWidth="1"/>
    <col min="286" max="286" width="5" style="91" hidden="1" customWidth="1"/>
    <col min="287" max="287" width="5" style="104" hidden="1" customWidth="1"/>
    <col min="288" max="288" width="5" style="91" hidden="1" customWidth="1"/>
    <col min="289" max="289" width="1.28515625" style="91" hidden="1" customWidth="1"/>
    <col min="290" max="290" width="5" style="91" hidden="1" customWidth="1"/>
    <col min="291" max="291" width="5" style="104" hidden="1" customWidth="1"/>
    <col min="292" max="292" width="5" style="91" hidden="1" customWidth="1"/>
    <col min="293" max="293" width="1.28515625" style="91" hidden="1" customWidth="1"/>
    <col min="294" max="294" width="5" style="91" hidden="1" customWidth="1"/>
    <col min="295" max="295" width="5" style="104" hidden="1" customWidth="1"/>
    <col min="296" max="296" width="5" style="91" hidden="1" customWidth="1"/>
    <col min="297" max="297" width="1.28515625" style="91" hidden="1" customWidth="1"/>
    <col min="298" max="298" width="5" style="91" hidden="1" customWidth="1"/>
    <col min="299" max="299" width="5" style="104" hidden="1" customWidth="1"/>
    <col min="300" max="300" width="5" style="91" hidden="1" customWidth="1"/>
    <col min="301" max="301" width="1.28515625" style="91" hidden="1" customWidth="1"/>
    <col min="302" max="302" width="5" style="91" hidden="1" customWidth="1"/>
    <col min="303" max="303" width="5" style="104" hidden="1" customWidth="1"/>
    <col min="304" max="304" width="5" style="91" hidden="1" customWidth="1"/>
    <col min="305" max="305" width="1.28515625" style="91" hidden="1" customWidth="1"/>
    <col min="306" max="306" width="5" style="91" hidden="1" customWidth="1"/>
    <col min="307" max="307" width="5" style="104" hidden="1" customWidth="1"/>
    <col min="308" max="308" width="5" style="91" hidden="1" customWidth="1"/>
    <col min="309" max="309" width="1.28515625" style="91" hidden="1" customWidth="1"/>
    <col min="310" max="310" width="5" style="91" hidden="1" customWidth="1"/>
    <col min="311" max="311" width="5" style="104" hidden="1" customWidth="1"/>
    <col min="312" max="312" width="5" style="91" hidden="1" customWidth="1"/>
    <col min="313" max="313" width="1.28515625" style="91" hidden="1" customWidth="1"/>
    <col min="314" max="314" width="5" style="91" hidden="1" customWidth="1"/>
    <col min="315" max="315" width="5" style="104" hidden="1" customWidth="1"/>
    <col min="316" max="316" width="5" style="91" hidden="1" customWidth="1"/>
    <col min="317" max="317" width="1.28515625" style="91" hidden="1" customWidth="1"/>
    <col min="318" max="318" width="5" style="91" hidden="1" customWidth="1"/>
    <col min="319" max="319" width="5" style="104" hidden="1" customWidth="1"/>
    <col min="320" max="320" width="5" style="91" hidden="1" customWidth="1"/>
    <col min="321" max="321" width="1.28515625" style="91" hidden="1" customWidth="1"/>
    <col min="322" max="322" width="5" style="91" hidden="1" customWidth="1"/>
    <col min="323" max="323" width="5" style="104" hidden="1" customWidth="1"/>
    <col min="324" max="324" width="5" style="91" hidden="1" customWidth="1"/>
    <col min="325" max="325" width="1.28515625" style="91" hidden="1" customWidth="1"/>
    <col min="326" max="326" width="5" style="91" hidden="1" customWidth="1"/>
    <col min="327" max="327" width="5" style="104" hidden="1" customWidth="1"/>
    <col min="328" max="328" width="5" style="91" hidden="1" customWidth="1"/>
    <col min="329" max="329" width="1.28515625" style="91" hidden="1" customWidth="1"/>
    <col min="330" max="330" width="5" style="91" hidden="1" customWidth="1"/>
    <col min="331" max="331" width="5" style="104" hidden="1" customWidth="1"/>
    <col min="332" max="332" width="5" style="91" hidden="1" customWidth="1"/>
    <col min="333" max="333" width="1.28515625" style="91" hidden="1" customWidth="1"/>
    <col min="334" max="334" width="5" style="91" hidden="1" customWidth="1"/>
    <col min="335" max="335" width="5" style="104" hidden="1" customWidth="1"/>
    <col min="336" max="336" width="5" style="91" hidden="1" customWidth="1"/>
    <col min="337" max="337" width="1.28515625" style="91" hidden="1" customWidth="1"/>
    <col min="338" max="338" width="5" style="91" hidden="1" customWidth="1"/>
    <col min="339" max="339" width="5" style="104" hidden="1" customWidth="1"/>
    <col min="340" max="340" width="5" style="91" hidden="1" customWidth="1"/>
    <col min="341" max="341" width="1.28515625" style="91" hidden="1" customWidth="1"/>
    <col min="342" max="342" width="5" style="91" hidden="1" customWidth="1"/>
    <col min="343" max="343" width="5" style="104" hidden="1" customWidth="1"/>
    <col min="344" max="344" width="5" style="91" hidden="1" customWidth="1"/>
    <col min="345" max="345" width="1.28515625" style="91" hidden="1" customWidth="1"/>
    <col min="346" max="346" width="5" style="91" hidden="1" customWidth="1"/>
    <col min="347" max="347" width="5" style="104" hidden="1" customWidth="1"/>
    <col min="348" max="348" width="5" style="91" hidden="1" customWidth="1"/>
    <col min="349" max="349" width="1.28515625" style="91" hidden="1" customWidth="1"/>
    <col min="350" max="350" width="5" style="91" hidden="1" customWidth="1"/>
    <col min="351" max="351" width="5" style="104" hidden="1" customWidth="1"/>
    <col min="352" max="352" width="5" style="91" hidden="1" customWidth="1"/>
    <col min="353" max="353" width="1.28515625" style="91" hidden="1" customWidth="1"/>
    <col min="354" max="354" width="5" style="91" hidden="1" customWidth="1"/>
    <col min="355" max="355" width="5" style="104" hidden="1" customWidth="1"/>
    <col min="356" max="356" width="5" style="91" hidden="1" customWidth="1"/>
    <col min="357" max="357" width="1.28515625" style="91" hidden="1" customWidth="1"/>
    <col min="358" max="358" width="5" style="91" hidden="1" customWidth="1"/>
    <col min="359" max="359" width="5" style="104" hidden="1" customWidth="1"/>
    <col min="360" max="360" width="5" style="91" hidden="1" customWidth="1"/>
    <col min="361" max="361" width="1.28515625" style="91" hidden="1" customWidth="1"/>
    <col min="362" max="362" width="5" style="91" hidden="1" customWidth="1"/>
    <col min="363" max="363" width="5" style="104" hidden="1" customWidth="1"/>
    <col min="364" max="364" width="5" style="91" hidden="1" customWidth="1"/>
    <col min="365" max="365" width="1.28515625" style="91" hidden="1" customWidth="1"/>
    <col min="366" max="366" width="5" style="91" hidden="1" customWidth="1"/>
    <col min="367" max="367" width="5" style="104" hidden="1" customWidth="1"/>
    <col min="368" max="368" width="5" style="91" hidden="1" customWidth="1"/>
    <col min="369" max="369" width="1.28515625" style="91" hidden="1" customWidth="1"/>
    <col min="370" max="370" width="5" style="91" hidden="1" customWidth="1"/>
    <col min="371" max="371" width="5" style="104" hidden="1" customWidth="1"/>
    <col min="372" max="372" width="5" style="91" hidden="1" customWidth="1"/>
    <col min="373" max="373" width="1.28515625" style="91" hidden="1" customWidth="1"/>
    <col min="374" max="374" width="5" style="91" hidden="1" customWidth="1"/>
    <col min="375" max="375" width="5" style="104" hidden="1" customWidth="1"/>
    <col min="376" max="376" width="5" style="91" hidden="1" customWidth="1"/>
    <col min="377" max="377" width="1.28515625" style="91" hidden="1" customWidth="1"/>
    <col min="378" max="378" width="5" style="91" hidden="1" customWidth="1"/>
    <col min="379" max="379" width="5" style="104" hidden="1" customWidth="1"/>
    <col min="380" max="380" width="5" style="91" hidden="1" customWidth="1"/>
    <col min="381" max="381" width="1.28515625" style="91" hidden="1" customWidth="1"/>
    <col min="382" max="382" width="5" style="91" hidden="1" customWidth="1"/>
    <col min="383" max="383" width="5" style="104" hidden="1" customWidth="1"/>
    <col min="384" max="384" width="5" style="91" hidden="1" customWidth="1"/>
    <col min="385" max="385" width="1.28515625" style="91" hidden="1" customWidth="1"/>
    <col min="386" max="386" width="5" style="91" hidden="1" customWidth="1"/>
    <col min="387" max="387" width="5" style="104" hidden="1" customWidth="1"/>
    <col min="388" max="388" width="5" style="91" hidden="1" customWidth="1"/>
    <col min="389" max="389" width="1.28515625" style="91" hidden="1" customWidth="1"/>
    <col min="390" max="390" width="5" style="91" hidden="1" customWidth="1"/>
    <col min="391" max="391" width="5" style="104" hidden="1" customWidth="1"/>
    <col min="392" max="392" width="5" style="91" hidden="1" customWidth="1"/>
    <col min="393" max="393" width="1.28515625" style="91" hidden="1" customWidth="1"/>
    <col min="394" max="394" width="5" style="91" hidden="1" customWidth="1"/>
    <col min="395" max="395" width="5" style="104" hidden="1" customWidth="1"/>
    <col min="396" max="396" width="5" style="91" hidden="1" customWidth="1"/>
    <col min="397" max="397" width="1.28515625" style="91" hidden="1" customWidth="1"/>
    <col min="398" max="398" width="5" style="91" hidden="1" customWidth="1"/>
    <col min="399" max="399" width="5" style="104" hidden="1" customWidth="1"/>
    <col min="400" max="400" width="5" style="91" hidden="1" customWidth="1"/>
    <col min="401" max="401" width="1.28515625" style="91" hidden="1" customWidth="1"/>
    <col min="402" max="402" width="5" style="91" hidden="1" customWidth="1"/>
    <col min="403" max="403" width="5" style="104" hidden="1" customWidth="1"/>
    <col min="404" max="404" width="5" style="91" hidden="1" customWidth="1"/>
    <col min="405" max="405" width="1.28515625" style="91" hidden="1" customWidth="1"/>
    <col min="406" max="406" width="5" style="91" hidden="1" customWidth="1"/>
    <col min="407" max="407" width="5" style="104" hidden="1" customWidth="1"/>
    <col min="408" max="408" width="5" style="91" hidden="1" customWidth="1"/>
    <col min="409" max="409" width="1.28515625" style="91" hidden="1" customWidth="1"/>
    <col min="410" max="410" width="5" style="91" hidden="1" customWidth="1"/>
    <col min="411" max="411" width="5" style="104" hidden="1" customWidth="1"/>
    <col min="412" max="412" width="5" style="91" hidden="1" customWidth="1"/>
    <col min="413" max="413" width="1.28515625" style="91" hidden="1" customWidth="1"/>
    <col min="414" max="414" width="5" style="91" hidden="1" customWidth="1"/>
    <col min="415" max="415" width="5" style="104" hidden="1" customWidth="1"/>
    <col min="416" max="416" width="5" style="91" hidden="1" customWidth="1"/>
    <col min="417" max="417" width="1.28515625" style="91" hidden="1" customWidth="1"/>
    <col min="418" max="418" width="5" style="91" hidden="1" customWidth="1"/>
    <col min="419" max="419" width="5" style="104" hidden="1" customWidth="1"/>
    <col min="420" max="420" width="5" style="91" hidden="1" customWidth="1"/>
    <col min="421" max="421" width="1.28515625" style="91" hidden="1" customWidth="1"/>
    <col min="422" max="422" width="5" style="91" hidden="1" customWidth="1"/>
    <col min="423" max="423" width="5" style="104" hidden="1" customWidth="1"/>
    <col min="424" max="424" width="5" style="91" hidden="1" customWidth="1"/>
    <col min="425" max="425" width="1.28515625" style="91" hidden="1" customWidth="1"/>
    <col min="426" max="426" width="5" style="91" hidden="1" customWidth="1"/>
    <col min="427" max="427" width="5" style="104" hidden="1" customWidth="1"/>
    <col min="428" max="428" width="5" style="91" hidden="1" customWidth="1"/>
    <col min="429" max="429" width="1.28515625" style="91" customWidth="1"/>
    <col min="430" max="430" width="5" style="91" customWidth="1"/>
    <col min="431" max="431" width="5" style="104" customWidth="1"/>
    <col min="432" max="432" width="5" style="91" customWidth="1"/>
    <col min="433" max="433" width="1.28515625" style="91" customWidth="1"/>
    <col min="434" max="434" width="5" style="91" customWidth="1"/>
    <col min="435" max="435" width="5" style="104" customWidth="1"/>
    <col min="436" max="436" width="5" style="91" customWidth="1"/>
    <col min="437" max="437" width="1.28515625" style="91" customWidth="1"/>
    <col min="438" max="438" width="5" style="91" customWidth="1"/>
    <col min="439" max="439" width="5" style="104" customWidth="1"/>
    <col min="440" max="440" width="5" style="91" customWidth="1"/>
    <col min="441" max="441" width="1.28515625" style="91" customWidth="1"/>
    <col min="442" max="442" width="5" style="91" customWidth="1"/>
    <col min="443" max="443" width="5" style="104" customWidth="1"/>
    <col min="444" max="444" width="5" style="91" customWidth="1"/>
    <col min="445" max="16384" width="9.140625" style="91"/>
  </cols>
  <sheetData>
    <row r="1" spans="1:444" ht="12" x14ac:dyDescent="0.2">
      <c r="F1" s="111" t="s">
        <v>2</v>
      </c>
      <c r="G1" s="154"/>
      <c r="H1" s="154"/>
      <c r="J1" s="111" t="s">
        <v>2</v>
      </c>
      <c r="K1" s="154"/>
      <c r="L1" s="154"/>
      <c r="N1" s="111" t="s">
        <v>2</v>
      </c>
      <c r="O1" s="165" t="s">
        <v>67</v>
      </c>
      <c r="P1" s="165"/>
      <c r="R1" s="111" t="s">
        <v>2</v>
      </c>
      <c r="S1" s="155" t="s">
        <v>67</v>
      </c>
      <c r="T1" s="155"/>
      <c r="V1" s="111" t="s">
        <v>2</v>
      </c>
      <c r="W1" s="155" t="s">
        <v>67</v>
      </c>
      <c r="X1" s="155"/>
      <c r="Z1" s="111" t="s">
        <v>2</v>
      </c>
      <c r="AA1" s="165" t="s">
        <v>67</v>
      </c>
      <c r="AB1" s="165"/>
      <c r="AD1" s="111" t="s">
        <v>2</v>
      </c>
      <c r="AE1" s="160" t="s">
        <v>67</v>
      </c>
      <c r="AF1" s="160"/>
      <c r="AH1" s="111" t="s">
        <v>2</v>
      </c>
      <c r="AI1" s="164" t="s">
        <v>67</v>
      </c>
      <c r="AJ1" s="164"/>
      <c r="AL1" s="111" t="s">
        <v>2</v>
      </c>
      <c r="AM1" s="149" t="s">
        <v>67</v>
      </c>
      <c r="AN1" s="149"/>
      <c r="AP1" s="111" t="s">
        <v>2</v>
      </c>
      <c r="AQ1" s="149" t="s">
        <v>67</v>
      </c>
      <c r="AR1" s="149"/>
      <c r="AT1" s="111" t="s">
        <v>2</v>
      </c>
      <c r="AU1" s="147" t="s">
        <v>67</v>
      </c>
      <c r="AV1" s="147"/>
      <c r="AX1" s="111" t="s">
        <v>2</v>
      </c>
      <c r="AY1" s="147" t="s">
        <v>67</v>
      </c>
      <c r="AZ1" s="147"/>
      <c r="BB1" s="111" t="s">
        <v>2</v>
      </c>
      <c r="BC1" s="147" t="s">
        <v>67</v>
      </c>
      <c r="BD1" s="147"/>
      <c r="BF1" s="111" t="s">
        <v>2</v>
      </c>
      <c r="BG1" s="147" t="s">
        <v>68</v>
      </c>
      <c r="BH1" s="147"/>
      <c r="BJ1" s="111" t="s">
        <v>2</v>
      </c>
      <c r="BK1" s="147" t="s">
        <v>69</v>
      </c>
      <c r="BL1" s="147"/>
      <c r="BN1" s="111" t="s">
        <v>2</v>
      </c>
      <c r="BO1" s="147" t="s">
        <v>67</v>
      </c>
      <c r="BP1" s="147"/>
      <c r="BR1" s="111" t="s">
        <v>2</v>
      </c>
      <c r="BS1" s="147" t="s">
        <v>67</v>
      </c>
      <c r="BT1" s="147"/>
      <c r="BV1" s="111" t="s">
        <v>2</v>
      </c>
      <c r="BW1" s="149" t="s">
        <v>67</v>
      </c>
      <c r="BX1" s="149"/>
      <c r="BZ1" s="111" t="s">
        <v>2</v>
      </c>
      <c r="CA1" s="147" t="s">
        <v>67</v>
      </c>
      <c r="CB1" s="147"/>
      <c r="CD1" s="111" t="s">
        <v>2</v>
      </c>
      <c r="CE1" s="147" t="s">
        <v>67</v>
      </c>
      <c r="CF1" s="147"/>
      <c r="CH1" s="111" t="s">
        <v>2</v>
      </c>
      <c r="CI1" s="147" t="s">
        <v>67</v>
      </c>
      <c r="CJ1" s="147"/>
      <c r="CL1" s="111" t="s">
        <v>2</v>
      </c>
      <c r="CM1" s="147" t="s">
        <v>67</v>
      </c>
      <c r="CN1" s="147"/>
      <c r="CP1" s="111" t="s">
        <v>2</v>
      </c>
      <c r="CQ1" s="147" t="s">
        <v>70</v>
      </c>
      <c r="CR1" s="147"/>
      <c r="CT1" s="111" t="s">
        <v>2</v>
      </c>
      <c r="CU1" s="147" t="s">
        <v>67</v>
      </c>
      <c r="CV1" s="147"/>
      <c r="CX1" s="111" t="s">
        <v>2</v>
      </c>
      <c r="CY1" s="147" t="s">
        <v>67</v>
      </c>
      <c r="CZ1" s="147"/>
      <c r="DB1" s="111" t="s">
        <v>2</v>
      </c>
      <c r="DC1" s="147" t="s">
        <v>67</v>
      </c>
      <c r="DD1" s="147"/>
      <c r="DF1" s="111" t="s">
        <v>2</v>
      </c>
      <c r="DG1" s="147" t="s">
        <v>67</v>
      </c>
      <c r="DH1" s="147"/>
      <c r="DJ1" s="111" t="s">
        <v>2</v>
      </c>
      <c r="DK1" s="147" t="s">
        <v>67</v>
      </c>
      <c r="DL1" s="147"/>
      <c r="DN1" s="111" t="s">
        <v>2</v>
      </c>
      <c r="DO1" s="147" t="s">
        <v>67</v>
      </c>
      <c r="DP1" s="147"/>
      <c r="DR1" s="111" t="s">
        <v>2</v>
      </c>
      <c r="DS1" s="147" t="s">
        <v>67</v>
      </c>
      <c r="DT1" s="147"/>
      <c r="DV1" s="111" t="s">
        <v>2</v>
      </c>
      <c r="DW1" s="147" t="s">
        <v>70</v>
      </c>
      <c r="DX1" s="147"/>
      <c r="DZ1" s="111" t="s">
        <v>2</v>
      </c>
      <c r="EA1" s="147" t="s">
        <v>67</v>
      </c>
      <c r="EB1" s="147"/>
      <c r="ED1" s="111" t="s">
        <v>2</v>
      </c>
      <c r="EE1" s="147" t="s">
        <v>67</v>
      </c>
      <c r="EF1" s="147"/>
      <c r="EH1" s="111" t="s">
        <v>2</v>
      </c>
      <c r="EI1" s="147" t="s">
        <v>67</v>
      </c>
      <c r="EJ1" s="147"/>
      <c r="EL1" s="111" t="s">
        <v>2</v>
      </c>
      <c r="EM1" s="147" t="s">
        <v>68</v>
      </c>
      <c r="EN1" s="147"/>
      <c r="EP1" s="111" t="s">
        <v>2</v>
      </c>
      <c r="EQ1" s="147" t="s">
        <v>67</v>
      </c>
      <c r="ER1" s="147"/>
      <c r="ET1" s="111" t="s">
        <v>2</v>
      </c>
      <c r="EU1" s="147" t="s">
        <v>67</v>
      </c>
      <c r="EV1" s="147"/>
      <c r="EX1" s="111" t="s">
        <v>2</v>
      </c>
      <c r="EY1" s="147" t="s">
        <v>67</v>
      </c>
      <c r="EZ1" s="147"/>
      <c r="FB1" s="111" t="s">
        <v>2</v>
      </c>
      <c r="FC1" s="147" t="s">
        <v>67</v>
      </c>
      <c r="FD1" s="147"/>
      <c r="FF1" s="111" t="s">
        <v>2</v>
      </c>
      <c r="FG1" s="147" t="s">
        <v>67</v>
      </c>
      <c r="FH1" s="147"/>
      <c r="FJ1" s="111" t="s">
        <v>2</v>
      </c>
      <c r="FK1" s="147" t="s">
        <v>67</v>
      </c>
      <c r="FL1" s="147"/>
      <c r="FN1" s="111" t="s">
        <v>2</v>
      </c>
      <c r="FO1" s="147" t="s">
        <v>67</v>
      </c>
      <c r="FP1" s="147"/>
      <c r="FR1" s="111" t="s">
        <v>2</v>
      </c>
      <c r="FS1" s="147" t="s">
        <v>67</v>
      </c>
      <c r="FT1" s="147"/>
      <c r="FV1" s="111" t="s">
        <v>2</v>
      </c>
      <c r="FW1" s="147" t="s">
        <v>67</v>
      </c>
      <c r="FX1" s="147"/>
      <c r="FZ1" s="111" t="s">
        <v>2</v>
      </c>
      <c r="GA1" s="147" t="s">
        <v>67</v>
      </c>
      <c r="GB1" s="147"/>
      <c r="GD1" s="111" t="s">
        <v>2</v>
      </c>
      <c r="GE1" s="147" t="s">
        <v>67</v>
      </c>
      <c r="GF1" s="147"/>
      <c r="GH1" s="111" t="s">
        <v>2</v>
      </c>
      <c r="GI1" s="149" t="s">
        <v>67</v>
      </c>
      <c r="GJ1" s="149"/>
      <c r="GL1" s="111" t="s">
        <v>2</v>
      </c>
      <c r="GM1" s="149" t="s">
        <v>67</v>
      </c>
      <c r="GN1" s="149"/>
      <c r="GP1" s="111" t="s">
        <v>2</v>
      </c>
      <c r="GQ1" s="147" t="s">
        <v>68</v>
      </c>
      <c r="GR1" s="147"/>
      <c r="GT1" s="111" t="s">
        <v>2</v>
      </c>
      <c r="GU1" s="147" t="s">
        <v>113</v>
      </c>
      <c r="GV1" s="147"/>
      <c r="GX1" s="111" t="s">
        <v>2</v>
      </c>
      <c r="GY1" s="147" t="s">
        <v>113</v>
      </c>
      <c r="GZ1" s="147"/>
      <c r="HB1" s="111" t="s">
        <v>2</v>
      </c>
      <c r="HC1" s="147" t="s">
        <v>113</v>
      </c>
      <c r="HD1" s="147"/>
      <c r="HF1" s="111" t="s">
        <v>2</v>
      </c>
      <c r="HG1" s="147" t="s">
        <v>113</v>
      </c>
      <c r="HH1" s="147"/>
      <c r="HJ1" s="111" t="s">
        <v>2</v>
      </c>
      <c r="HK1" s="147" t="s">
        <v>113</v>
      </c>
      <c r="HL1" s="147"/>
      <c r="HN1" s="111" t="s">
        <v>2</v>
      </c>
      <c r="HO1" s="147" t="s">
        <v>114</v>
      </c>
      <c r="HP1" s="147"/>
      <c r="HR1" s="111" t="s">
        <v>2</v>
      </c>
      <c r="HS1" s="147" t="s">
        <v>113</v>
      </c>
      <c r="HT1" s="147"/>
      <c r="HV1" s="111" t="s">
        <v>2</v>
      </c>
      <c r="HW1" s="147" t="s">
        <v>113</v>
      </c>
      <c r="HX1" s="147"/>
      <c r="HZ1" s="111" t="s">
        <v>2</v>
      </c>
      <c r="IA1" s="147" t="s">
        <v>115</v>
      </c>
      <c r="IB1" s="147"/>
      <c r="ID1" s="111" t="s">
        <v>2</v>
      </c>
      <c r="IE1" s="147" t="s">
        <v>116</v>
      </c>
      <c r="IF1" s="147"/>
      <c r="IH1" s="111" t="s">
        <v>2</v>
      </c>
      <c r="II1" s="147" t="s">
        <v>113</v>
      </c>
      <c r="IJ1" s="147"/>
      <c r="IL1" s="111" t="s">
        <v>2</v>
      </c>
      <c r="IM1" s="147" t="s">
        <v>113</v>
      </c>
      <c r="IN1" s="147"/>
      <c r="IP1" s="111" t="s">
        <v>2</v>
      </c>
      <c r="IQ1" s="147" t="s">
        <v>113</v>
      </c>
      <c r="IR1" s="147"/>
      <c r="IT1" s="111" t="s">
        <v>2</v>
      </c>
      <c r="IU1" s="147" t="s">
        <v>113</v>
      </c>
      <c r="IV1" s="147"/>
      <c r="IX1" s="111" t="s">
        <v>2</v>
      </c>
      <c r="IY1" s="147" t="s">
        <v>121</v>
      </c>
      <c r="IZ1" s="147"/>
      <c r="JB1" s="111" t="s">
        <v>2</v>
      </c>
      <c r="JC1" s="147" t="s">
        <v>113</v>
      </c>
      <c r="JD1" s="147"/>
      <c r="JF1" s="111" t="s">
        <v>2</v>
      </c>
      <c r="JG1" s="147" t="s">
        <v>113</v>
      </c>
      <c r="JH1" s="147"/>
      <c r="JJ1" s="111" t="s">
        <v>2</v>
      </c>
      <c r="JK1" s="147" t="s">
        <v>113</v>
      </c>
      <c r="JL1" s="147"/>
      <c r="JN1" s="111" t="s">
        <v>2</v>
      </c>
      <c r="JO1" s="147" t="s">
        <v>113</v>
      </c>
      <c r="JP1" s="147"/>
      <c r="JR1" s="111" t="s">
        <v>2</v>
      </c>
      <c r="JS1" s="147" t="s">
        <v>113</v>
      </c>
      <c r="JT1" s="147"/>
      <c r="JV1" s="111" t="s">
        <v>2</v>
      </c>
      <c r="JW1" s="147" t="s">
        <v>113</v>
      </c>
      <c r="JX1" s="147"/>
      <c r="JZ1" s="111" t="s">
        <v>2</v>
      </c>
      <c r="KA1" s="147" t="s">
        <v>113</v>
      </c>
      <c r="KB1" s="147"/>
      <c r="KD1" s="111" t="s">
        <v>2</v>
      </c>
      <c r="KE1" s="147" t="s">
        <v>113</v>
      </c>
      <c r="KF1" s="147"/>
      <c r="KH1" s="111" t="s">
        <v>2</v>
      </c>
      <c r="KI1" s="147" t="s">
        <v>68</v>
      </c>
      <c r="KJ1" s="147"/>
      <c r="KL1" s="111" t="s">
        <v>2</v>
      </c>
      <c r="KM1" s="147" t="s">
        <v>123</v>
      </c>
      <c r="KN1" s="147"/>
      <c r="KP1" s="111" t="s">
        <v>2</v>
      </c>
      <c r="KQ1" s="147" t="s">
        <v>123</v>
      </c>
      <c r="KR1" s="147"/>
      <c r="KT1" s="111" t="s">
        <v>2</v>
      </c>
      <c r="KU1" s="147" t="s">
        <v>124</v>
      </c>
      <c r="KV1" s="147"/>
      <c r="KX1" s="111" t="s">
        <v>2</v>
      </c>
      <c r="KY1" s="147" t="s">
        <v>113</v>
      </c>
      <c r="KZ1" s="147"/>
      <c r="LB1" s="111" t="s">
        <v>2</v>
      </c>
      <c r="LC1" s="147" t="s">
        <v>124</v>
      </c>
      <c r="LD1" s="147"/>
      <c r="LF1" s="111" t="s">
        <v>2</v>
      </c>
      <c r="LG1" s="147" t="s">
        <v>124</v>
      </c>
      <c r="LH1" s="147"/>
      <c r="LJ1" s="111" t="s">
        <v>2</v>
      </c>
      <c r="LK1" s="147" t="s">
        <v>67</v>
      </c>
      <c r="LL1" s="147"/>
      <c r="LN1" s="111" t="s">
        <v>2</v>
      </c>
      <c r="LO1" s="147" t="s">
        <v>127</v>
      </c>
      <c r="LP1" s="147"/>
      <c r="LR1" s="111" t="s">
        <v>2</v>
      </c>
      <c r="LS1" s="149" t="s">
        <v>127</v>
      </c>
      <c r="LT1" s="149"/>
      <c r="LV1" s="111" t="s">
        <v>2</v>
      </c>
      <c r="LW1" s="149" t="s">
        <v>127</v>
      </c>
      <c r="LX1" s="149"/>
      <c r="LZ1" s="111" t="s">
        <v>2</v>
      </c>
      <c r="MA1" s="147" t="s">
        <v>113</v>
      </c>
      <c r="MB1" s="147"/>
      <c r="MD1" s="111" t="s">
        <v>2</v>
      </c>
      <c r="ME1" s="147" t="s">
        <v>127</v>
      </c>
      <c r="MF1" s="147"/>
      <c r="MH1" s="111" t="s">
        <v>2</v>
      </c>
      <c r="MI1" s="147" t="s">
        <v>127</v>
      </c>
      <c r="MJ1" s="147"/>
      <c r="ML1" s="111" t="s">
        <v>2</v>
      </c>
      <c r="MM1" s="147" t="s">
        <v>68</v>
      </c>
      <c r="MN1" s="147"/>
      <c r="MP1" s="111" t="s">
        <v>2</v>
      </c>
      <c r="MQ1" s="147" t="s">
        <v>127</v>
      </c>
      <c r="MR1" s="147"/>
      <c r="MT1" s="111" t="s">
        <v>2</v>
      </c>
      <c r="MU1" s="147" t="s">
        <v>127</v>
      </c>
      <c r="MV1" s="147"/>
      <c r="MX1" s="111" t="s">
        <v>2</v>
      </c>
      <c r="MY1" s="147" t="s">
        <v>127</v>
      </c>
      <c r="MZ1" s="147"/>
      <c r="NB1" s="111" t="s">
        <v>2</v>
      </c>
      <c r="NC1" s="147" t="s">
        <v>127</v>
      </c>
      <c r="ND1" s="147"/>
      <c r="NF1" s="111" t="s">
        <v>2</v>
      </c>
      <c r="NG1" s="149" t="s">
        <v>127</v>
      </c>
      <c r="NH1" s="149"/>
      <c r="NJ1" s="111" t="s">
        <v>2</v>
      </c>
      <c r="NK1" s="147" t="s">
        <v>127</v>
      </c>
      <c r="NL1" s="147"/>
      <c r="NN1" s="111" t="s">
        <v>2</v>
      </c>
      <c r="NO1" s="147" t="s">
        <v>127</v>
      </c>
      <c r="NP1" s="147"/>
      <c r="NR1" s="111" t="s">
        <v>2</v>
      </c>
      <c r="NS1" s="147" t="s">
        <v>127</v>
      </c>
      <c r="NT1" s="147"/>
      <c r="NV1" s="111" t="s">
        <v>2</v>
      </c>
      <c r="NW1" s="147" t="s">
        <v>142</v>
      </c>
      <c r="NX1" s="147"/>
      <c r="NZ1" s="111" t="s">
        <v>2</v>
      </c>
      <c r="OA1" s="147" t="s">
        <v>127</v>
      </c>
      <c r="OB1" s="147"/>
      <c r="OD1" s="111" t="s">
        <v>2</v>
      </c>
      <c r="OE1" s="147" t="s">
        <v>127</v>
      </c>
      <c r="OF1" s="147"/>
      <c r="OH1" s="111" t="s">
        <v>2</v>
      </c>
      <c r="OI1" s="149" t="s">
        <v>127</v>
      </c>
      <c r="OJ1" s="149"/>
      <c r="OL1" s="111" t="s">
        <v>2</v>
      </c>
      <c r="OM1" s="147" t="s">
        <v>127</v>
      </c>
      <c r="ON1" s="147"/>
      <c r="OP1" s="111" t="s">
        <v>2</v>
      </c>
      <c r="OQ1" s="149" t="s">
        <v>127</v>
      </c>
      <c r="OR1" s="149"/>
      <c r="OT1" s="111" t="s">
        <v>2</v>
      </c>
      <c r="OU1" s="147" t="s">
        <v>127</v>
      </c>
      <c r="OV1" s="147"/>
      <c r="OX1" s="111" t="s">
        <v>2</v>
      </c>
      <c r="OY1" s="149" t="s">
        <v>127</v>
      </c>
      <c r="OZ1" s="149"/>
      <c r="PB1" s="111" t="s">
        <v>2</v>
      </c>
      <c r="PC1" s="147" t="s">
        <v>127</v>
      </c>
      <c r="PD1" s="147"/>
      <c r="PF1" s="111" t="s">
        <v>2</v>
      </c>
      <c r="PG1" s="147" t="s">
        <v>127</v>
      </c>
      <c r="PH1" s="147"/>
      <c r="PJ1" s="111" t="s">
        <v>2</v>
      </c>
      <c r="PK1" s="149" t="s">
        <v>127</v>
      </c>
      <c r="PL1" s="149"/>
      <c r="PN1" s="111" t="s">
        <v>2</v>
      </c>
      <c r="PO1" s="149" t="s">
        <v>153</v>
      </c>
      <c r="PP1" s="149"/>
      <c r="PR1" s="111" t="s">
        <v>2</v>
      </c>
      <c r="PS1" s="147" t="s">
        <v>155</v>
      </c>
      <c r="PT1" s="147"/>
      <c r="PV1" s="182" t="s">
        <v>2</v>
      </c>
      <c r="PW1" s="183" t="s">
        <v>155</v>
      </c>
      <c r="PX1" s="183"/>
      <c r="PZ1" s="132" t="s">
        <v>2</v>
      </c>
      <c r="QA1" s="149"/>
      <c r="QB1" s="149"/>
    </row>
    <row r="2" spans="1:444" ht="12" x14ac:dyDescent="0.2">
      <c r="F2" s="111" t="s">
        <v>1</v>
      </c>
      <c r="G2" s="148">
        <v>45521</v>
      </c>
      <c r="H2" s="148"/>
      <c r="J2" s="111" t="s">
        <v>1</v>
      </c>
      <c r="K2" s="159">
        <v>45528</v>
      </c>
      <c r="L2" s="159"/>
      <c r="N2" s="111" t="s">
        <v>1</v>
      </c>
      <c r="O2" s="153">
        <v>45535</v>
      </c>
      <c r="P2" s="153"/>
      <c r="R2" s="111" t="s">
        <v>1</v>
      </c>
      <c r="S2" s="159">
        <v>45542</v>
      </c>
      <c r="T2" s="159"/>
      <c r="V2" s="111" t="s">
        <v>1</v>
      </c>
      <c r="W2" s="159">
        <v>45549</v>
      </c>
      <c r="X2" s="159"/>
      <c r="Z2" s="111" t="s">
        <v>1</v>
      </c>
      <c r="AA2" s="153">
        <v>45556</v>
      </c>
      <c r="AB2" s="153"/>
      <c r="AD2" s="111" t="s">
        <v>1</v>
      </c>
      <c r="AE2" s="150">
        <v>45563</v>
      </c>
      <c r="AF2" s="150"/>
      <c r="AH2" s="111" t="s">
        <v>1</v>
      </c>
      <c r="AI2" s="148">
        <v>45570</v>
      </c>
      <c r="AJ2" s="148"/>
      <c r="AL2" s="111" t="s">
        <v>1</v>
      </c>
      <c r="AM2" s="150">
        <v>45577</v>
      </c>
      <c r="AN2" s="150"/>
      <c r="AP2" s="111" t="s">
        <v>1</v>
      </c>
      <c r="AQ2" s="150">
        <v>45584</v>
      </c>
      <c r="AR2" s="150"/>
      <c r="AT2" s="111" t="s">
        <v>1</v>
      </c>
      <c r="AU2" s="148">
        <v>45591</v>
      </c>
      <c r="AV2" s="148"/>
      <c r="AX2" s="111" t="s">
        <v>1</v>
      </c>
      <c r="AY2" s="148">
        <v>45598</v>
      </c>
      <c r="AZ2" s="148"/>
      <c r="BB2" s="111" t="s">
        <v>1</v>
      </c>
      <c r="BC2" s="148">
        <v>45605</v>
      </c>
      <c r="BD2" s="148"/>
      <c r="BF2" s="111" t="s">
        <v>1</v>
      </c>
      <c r="BG2" s="148">
        <v>45612</v>
      </c>
      <c r="BH2" s="148"/>
      <c r="BJ2" s="111" t="s">
        <v>1</v>
      </c>
      <c r="BK2" s="148">
        <v>45615</v>
      </c>
      <c r="BL2" s="148"/>
      <c r="BN2" s="111" t="s">
        <v>1</v>
      </c>
      <c r="BO2" s="148">
        <v>45619</v>
      </c>
      <c r="BP2" s="148"/>
      <c r="BR2" s="111" t="s">
        <v>1</v>
      </c>
      <c r="BS2" s="148">
        <v>45626</v>
      </c>
      <c r="BT2" s="148"/>
      <c r="BV2" s="111" t="s">
        <v>1</v>
      </c>
      <c r="BW2" s="150">
        <v>45633</v>
      </c>
      <c r="BX2" s="150"/>
      <c r="BZ2" s="111" t="s">
        <v>1</v>
      </c>
      <c r="CA2" s="148">
        <v>45640</v>
      </c>
      <c r="CB2" s="148"/>
      <c r="CD2" s="111" t="s">
        <v>1</v>
      </c>
      <c r="CE2" s="148">
        <v>45647</v>
      </c>
      <c r="CF2" s="148"/>
      <c r="CH2" s="111" t="s">
        <v>1</v>
      </c>
      <c r="CI2" s="148">
        <v>45654</v>
      </c>
      <c r="CJ2" s="148"/>
      <c r="CL2" s="111" t="s">
        <v>1</v>
      </c>
      <c r="CM2" s="148">
        <v>45661</v>
      </c>
      <c r="CN2" s="148"/>
      <c r="CP2" s="111" t="s">
        <v>1</v>
      </c>
      <c r="CQ2" s="148">
        <v>45668</v>
      </c>
      <c r="CR2" s="148"/>
      <c r="CT2" s="111" t="s">
        <v>1</v>
      </c>
      <c r="CU2" s="148">
        <v>45675</v>
      </c>
      <c r="CV2" s="148"/>
      <c r="CX2" s="111" t="s">
        <v>1</v>
      </c>
      <c r="CY2" s="148">
        <v>45682</v>
      </c>
      <c r="CZ2" s="148"/>
      <c r="DB2" s="111" t="s">
        <v>1</v>
      </c>
      <c r="DC2" s="148">
        <v>45689</v>
      </c>
      <c r="DD2" s="148"/>
      <c r="DF2" s="111" t="s">
        <v>1</v>
      </c>
      <c r="DG2" s="148">
        <v>45696</v>
      </c>
      <c r="DH2" s="148"/>
      <c r="DJ2" s="111" t="s">
        <v>1</v>
      </c>
      <c r="DK2" s="148">
        <v>45703</v>
      </c>
      <c r="DL2" s="148"/>
      <c r="DN2" s="111" t="s">
        <v>1</v>
      </c>
      <c r="DO2" s="148">
        <v>45710</v>
      </c>
      <c r="DP2" s="148"/>
      <c r="DR2" s="111" t="s">
        <v>1</v>
      </c>
      <c r="DS2" s="148">
        <v>45717</v>
      </c>
      <c r="DT2" s="148"/>
      <c r="DV2" s="111" t="s">
        <v>1</v>
      </c>
      <c r="DW2" s="148">
        <v>45724</v>
      </c>
      <c r="DX2" s="148"/>
      <c r="DZ2" s="111" t="s">
        <v>1</v>
      </c>
      <c r="EA2" s="148">
        <v>45731</v>
      </c>
      <c r="EB2" s="148"/>
      <c r="ED2" s="111" t="s">
        <v>1</v>
      </c>
      <c r="EE2" s="148">
        <v>45738</v>
      </c>
      <c r="EF2" s="148"/>
      <c r="EH2" s="111" t="s">
        <v>1</v>
      </c>
      <c r="EI2" s="148">
        <v>45745</v>
      </c>
      <c r="EJ2" s="148"/>
      <c r="EL2" s="111" t="s">
        <v>1</v>
      </c>
      <c r="EM2" s="148" t="s">
        <v>71</v>
      </c>
      <c r="EN2" s="148"/>
      <c r="EP2" s="111" t="s">
        <v>1</v>
      </c>
      <c r="EQ2" s="148" t="s">
        <v>72</v>
      </c>
      <c r="ER2" s="148"/>
      <c r="ET2" s="111" t="s">
        <v>1</v>
      </c>
      <c r="EU2" s="148">
        <v>45766</v>
      </c>
      <c r="EV2" s="148"/>
      <c r="EX2" s="111" t="s">
        <v>1</v>
      </c>
      <c r="EY2" s="148">
        <v>45773</v>
      </c>
      <c r="EZ2" s="148"/>
      <c r="FB2" s="111" t="s">
        <v>1</v>
      </c>
      <c r="FC2" s="148">
        <v>45780</v>
      </c>
      <c r="FD2" s="148"/>
      <c r="FF2" s="111" t="s">
        <v>1</v>
      </c>
      <c r="FG2" s="148">
        <v>45787</v>
      </c>
      <c r="FH2" s="148"/>
      <c r="FJ2" s="111" t="s">
        <v>1</v>
      </c>
      <c r="FK2" s="148">
        <v>45794</v>
      </c>
      <c r="FL2" s="148"/>
      <c r="FN2" s="111" t="s">
        <v>1</v>
      </c>
      <c r="FO2" s="148">
        <v>45801</v>
      </c>
      <c r="FP2" s="148"/>
      <c r="FR2" s="111" t="s">
        <v>1</v>
      </c>
      <c r="FS2" s="148">
        <v>45808</v>
      </c>
      <c r="FT2" s="148"/>
      <c r="FV2" s="111" t="s">
        <v>1</v>
      </c>
      <c r="FW2" s="148">
        <v>45815</v>
      </c>
      <c r="FX2" s="148"/>
      <c r="FZ2" s="111" t="s">
        <v>1</v>
      </c>
      <c r="GA2" s="148">
        <v>45822</v>
      </c>
      <c r="GB2" s="148"/>
      <c r="GD2" s="111" t="s">
        <v>1</v>
      </c>
      <c r="GE2" s="148">
        <v>45829</v>
      </c>
      <c r="GF2" s="148"/>
      <c r="GH2" s="111" t="s">
        <v>1</v>
      </c>
      <c r="GI2" s="150">
        <v>45836</v>
      </c>
      <c r="GJ2" s="150"/>
      <c r="GL2" s="111" t="s">
        <v>1</v>
      </c>
      <c r="GM2" s="150">
        <v>45851</v>
      </c>
      <c r="GN2" s="150"/>
      <c r="GP2" s="111" t="s">
        <v>1</v>
      </c>
      <c r="GQ2" s="148" t="s">
        <v>112</v>
      </c>
      <c r="GR2" s="148"/>
      <c r="GT2" s="111" t="s">
        <v>1</v>
      </c>
      <c r="GU2" s="148">
        <v>45871</v>
      </c>
      <c r="GV2" s="148"/>
      <c r="GX2" s="111" t="s">
        <v>1</v>
      </c>
      <c r="GY2" s="148">
        <v>45878</v>
      </c>
      <c r="GZ2" s="148"/>
      <c r="HB2" s="111" t="s">
        <v>1</v>
      </c>
      <c r="HC2" s="148">
        <v>45885</v>
      </c>
      <c r="HD2" s="148"/>
      <c r="HF2" s="111" t="s">
        <v>1</v>
      </c>
      <c r="HG2" s="148">
        <v>45891</v>
      </c>
      <c r="HH2" s="148"/>
      <c r="HJ2" s="111" t="s">
        <v>1</v>
      </c>
      <c r="HK2" s="148">
        <v>45899</v>
      </c>
      <c r="HL2" s="148"/>
      <c r="HN2" s="111" t="s">
        <v>1</v>
      </c>
      <c r="HO2" s="148">
        <v>45906</v>
      </c>
      <c r="HP2" s="148"/>
      <c r="HR2" s="111" t="s">
        <v>1</v>
      </c>
      <c r="HS2" s="148">
        <v>45913</v>
      </c>
      <c r="HT2" s="148"/>
      <c r="HV2" s="111" t="s">
        <v>1</v>
      </c>
      <c r="HW2" s="148">
        <v>45920</v>
      </c>
      <c r="HX2" s="148"/>
      <c r="HZ2" s="111" t="s">
        <v>1</v>
      </c>
      <c r="IA2" s="148">
        <v>45929</v>
      </c>
      <c r="IB2" s="148"/>
      <c r="ID2" s="111" t="s">
        <v>1</v>
      </c>
      <c r="IE2" s="148">
        <v>45934</v>
      </c>
      <c r="IF2" s="148"/>
      <c r="IH2" s="111" t="s">
        <v>1</v>
      </c>
      <c r="II2" s="148">
        <v>45941</v>
      </c>
      <c r="IJ2" s="148"/>
      <c r="IL2" s="111" t="s">
        <v>1</v>
      </c>
      <c r="IM2" s="148">
        <v>45948</v>
      </c>
      <c r="IN2" s="148"/>
      <c r="IP2" s="111" t="s">
        <v>1</v>
      </c>
      <c r="IQ2" s="148">
        <v>45955</v>
      </c>
      <c r="IR2" s="148"/>
      <c r="IT2" s="111" t="s">
        <v>1</v>
      </c>
      <c r="IU2" s="148">
        <v>45962</v>
      </c>
      <c r="IV2" s="148"/>
      <c r="IX2" s="111" t="s">
        <v>1</v>
      </c>
      <c r="IY2" s="148">
        <v>45969</v>
      </c>
      <c r="IZ2" s="148"/>
      <c r="JB2" s="111" t="s">
        <v>1</v>
      </c>
      <c r="JC2" s="148">
        <v>45976</v>
      </c>
      <c r="JD2" s="148"/>
      <c r="JF2" s="111" t="s">
        <v>1</v>
      </c>
      <c r="JG2" s="148">
        <v>45983</v>
      </c>
      <c r="JH2" s="148"/>
      <c r="JJ2" s="111" t="s">
        <v>1</v>
      </c>
      <c r="JK2" s="148">
        <v>45990</v>
      </c>
      <c r="JL2" s="148"/>
      <c r="JN2" s="111" t="s">
        <v>1</v>
      </c>
      <c r="JO2" s="148">
        <v>45997</v>
      </c>
      <c r="JP2" s="148"/>
      <c r="JR2" s="111" t="s">
        <v>1</v>
      </c>
      <c r="JS2" s="148">
        <v>46004</v>
      </c>
      <c r="JT2" s="148"/>
      <c r="JV2" s="111" t="s">
        <v>1</v>
      </c>
      <c r="JW2" s="148">
        <v>46011</v>
      </c>
      <c r="JX2" s="148"/>
      <c r="JZ2" s="111" t="s">
        <v>1</v>
      </c>
      <c r="KA2" s="148">
        <v>46018</v>
      </c>
      <c r="KB2" s="148"/>
      <c r="KD2" s="111" t="s">
        <v>1</v>
      </c>
      <c r="KE2" s="148">
        <v>46025</v>
      </c>
      <c r="KF2" s="148"/>
      <c r="KH2" s="111" t="s">
        <v>1</v>
      </c>
      <c r="KI2" s="148" t="s">
        <v>122</v>
      </c>
      <c r="KJ2" s="148"/>
      <c r="KL2" s="111" t="s">
        <v>1</v>
      </c>
      <c r="KM2" s="148">
        <v>46039</v>
      </c>
      <c r="KN2" s="148"/>
      <c r="KP2" s="111" t="s">
        <v>1</v>
      </c>
      <c r="KQ2" s="148">
        <v>46046</v>
      </c>
      <c r="KR2" s="148"/>
      <c r="KT2" s="111" t="s">
        <v>1</v>
      </c>
      <c r="KU2" s="148" t="s">
        <v>125</v>
      </c>
      <c r="KV2" s="148"/>
      <c r="KX2" s="111" t="s">
        <v>1</v>
      </c>
      <c r="KY2" s="148" t="s">
        <v>126</v>
      </c>
      <c r="KZ2" s="148"/>
      <c r="LB2" s="111" t="s">
        <v>1</v>
      </c>
      <c r="LC2" s="148">
        <v>46067</v>
      </c>
      <c r="LD2" s="148"/>
      <c r="LF2" s="111" t="s">
        <v>1</v>
      </c>
      <c r="LG2" s="148">
        <v>46079</v>
      </c>
      <c r="LH2" s="148"/>
      <c r="LJ2" s="111" t="s">
        <v>1</v>
      </c>
      <c r="LK2" s="148">
        <v>46081</v>
      </c>
      <c r="LL2" s="148"/>
      <c r="LN2" s="111" t="s">
        <v>1</v>
      </c>
      <c r="LO2" s="148">
        <v>46088</v>
      </c>
      <c r="LP2" s="148"/>
      <c r="LR2" s="111" t="s">
        <v>1</v>
      </c>
      <c r="LS2" s="150">
        <v>46095</v>
      </c>
      <c r="LT2" s="150"/>
      <c r="LV2" s="111" t="s">
        <v>1</v>
      </c>
      <c r="LW2" s="150">
        <v>46102</v>
      </c>
      <c r="LX2" s="150"/>
      <c r="LZ2" s="111" t="s">
        <v>1</v>
      </c>
      <c r="MA2" s="148">
        <v>46109</v>
      </c>
      <c r="MB2" s="148"/>
      <c r="MD2" s="111" t="s">
        <v>1</v>
      </c>
      <c r="ME2" s="148" t="s">
        <v>128</v>
      </c>
      <c r="MF2" s="148"/>
      <c r="MH2" s="111" t="s">
        <v>1</v>
      </c>
      <c r="MI2" s="148" t="s">
        <v>129</v>
      </c>
      <c r="MJ2" s="148"/>
      <c r="ML2" s="111" t="s">
        <v>1</v>
      </c>
      <c r="MM2" s="148" t="s">
        <v>130</v>
      </c>
      <c r="MN2" s="148"/>
      <c r="MP2" s="111" t="s">
        <v>1</v>
      </c>
      <c r="MQ2" s="148" t="s">
        <v>131</v>
      </c>
      <c r="MR2" s="148"/>
      <c r="MT2" s="111" t="s">
        <v>1</v>
      </c>
      <c r="MU2" s="148" t="s">
        <v>134</v>
      </c>
      <c r="MV2" s="148"/>
      <c r="MX2" s="111" t="s">
        <v>1</v>
      </c>
      <c r="MY2" s="148" t="s">
        <v>135</v>
      </c>
      <c r="MZ2" s="148"/>
      <c r="NB2" s="111" t="s">
        <v>1</v>
      </c>
      <c r="NC2" s="148" t="s">
        <v>136</v>
      </c>
      <c r="ND2" s="148"/>
      <c r="NF2" s="111" t="s">
        <v>1</v>
      </c>
      <c r="NG2" s="150" t="s">
        <v>137</v>
      </c>
      <c r="NH2" s="150"/>
      <c r="NJ2" s="111" t="s">
        <v>1</v>
      </c>
      <c r="NK2" s="148" t="s">
        <v>138</v>
      </c>
      <c r="NL2" s="148"/>
      <c r="NN2" s="111" t="s">
        <v>1</v>
      </c>
      <c r="NO2" s="148" t="s">
        <v>139</v>
      </c>
      <c r="NP2" s="148"/>
      <c r="NR2" s="111" t="s">
        <v>1</v>
      </c>
      <c r="NS2" s="148" t="s">
        <v>140</v>
      </c>
      <c r="NT2" s="148"/>
      <c r="NV2" s="111" t="s">
        <v>1</v>
      </c>
      <c r="NW2" s="148" t="s">
        <v>141</v>
      </c>
      <c r="NX2" s="148"/>
      <c r="NZ2" s="111" t="s">
        <v>1</v>
      </c>
      <c r="OA2" s="148" t="s">
        <v>143</v>
      </c>
      <c r="OB2" s="148"/>
      <c r="OD2" s="111" t="s">
        <v>1</v>
      </c>
      <c r="OE2" s="148" t="s">
        <v>144</v>
      </c>
      <c r="OF2" s="148"/>
      <c r="OH2" s="111" t="s">
        <v>1</v>
      </c>
      <c r="OI2" s="150" t="s">
        <v>145</v>
      </c>
      <c r="OJ2" s="150"/>
      <c r="OL2" s="111" t="s">
        <v>1</v>
      </c>
      <c r="OM2" s="148" t="s">
        <v>146</v>
      </c>
      <c r="ON2" s="148"/>
      <c r="OP2" s="111" t="s">
        <v>1</v>
      </c>
      <c r="OQ2" s="150" t="s">
        <v>147</v>
      </c>
      <c r="OR2" s="150"/>
      <c r="OT2" s="111" t="s">
        <v>1</v>
      </c>
      <c r="OU2" s="148" t="s">
        <v>148</v>
      </c>
      <c r="OV2" s="148"/>
      <c r="OX2" s="111" t="s">
        <v>1</v>
      </c>
      <c r="OY2" s="150" t="s">
        <v>149</v>
      </c>
      <c r="OZ2" s="150"/>
      <c r="PB2" s="111" t="s">
        <v>1</v>
      </c>
      <c r="PC2" s="148" t="s">
        <v>150</v>
      </c>
      <c r="PD2" s="148"/>
      <c r="PF2" s="111" t="s">
        <v>1</v>
      </c>
      <c r="PG2" s="148" t="s">
        <v>151</v>
      </c>
      <c r="PH2" s="148"/>
      <c r="PJ2" s="111" t="s">
        <v>1</v>
      </c>
      <c r="PK2" s="150" t="s">
        <v>152</v>
      </c>
      <c r="PL2" s="150"/>
      <c r="PN2" s="111" t="s">
        <v>1</v>
      </c>
      <c r="PO2" s="150" t="s">
        <v>154</v>
      </c>
      <c r="PP2" s="150"/>
      <c r="PR2" s="111" t="s">
        <v>1</v>
      </c>
      <c r="PS2" s="148" t="s">
        <v>156</v>
      </c>
      <c r="PT2" s="148"/>
      <c r="PV2" s="182" t="s">
        <v>1</v>
      </c>
      <c r="PW2" s="184" t="s">
        <v>157</v>
      </c>
      <c r="PX2" s="184"/>
      <c r="PZ2" s="132" t="s">
        <v>1</v>
      </c>
      <c r="QA2" s="150"/>
      <c r="QB2" s="150"/>
    </row>
    <row r="3" spans="1:444" ht="12" x14ac:dyDescent="0.2">
      <c r="A3" s="111" t="s">
        <v>73</v>
      </c>
      <c r="B3" s="161" t="s">
        <v>92</v>
      </c>
      <c r="C3" s="162"/>
      <c r="D3" s="163"/>
      <c r="F3" s="111"/>
      <c r="G3" s="134"/>
      <c r="H3" s="134"/>
      <c r="J3" s="111"/>
      <c r="K3" s="136"/>
      <c r="L3" s="136"/>
      <c r="N3" s="111"/>
      <c r="O3" s="137"/>
      <c r="P3" s="137"/>
      <c r="R3" s="111"/>
      <c r="S3" s="136"/>
      <c r="T3" s="136"/>
      <c r="V3" s="111"/>
      <c r="W3" s="136"/>
      <c r="X3" s="136"/>
      <c r="Z3" s="111"/>
      <c r="AA3" s="137"/>
      <c r="AB3" s="137"/>
      <c r="AD3" s="111"/>
      <c r="AE3" s="135"/>
      <c r="AF3" s="135"/>
      <c r="AH3" s="111"/>
      <c r="AI3" s="134"/>
      <c r="AJ3" s="134"/>
      <c r="AL3" s="111"/>
      <c r="AM3" s="135"/>
      <c r="AN3" s="135"/>
      <c r="AP3" s="111"/>
      <c r="AQ3" s="135"/>
      <c r="AR3" s="135"/>
      <c r="AT3" s="111"/>
      <c r="AU3" s="134"/>
      <c r="AV3" s="134"/>
      <c r="AX3" s="111"/>
      <c r="AY3" s="134"/>
      <c r="AZ3" s="134"/>
      <c r="BB3" s="111"/>
      <c r="BC3" s="134"/>
      <c r="BD3" s="134"/>
      <c r="BF3" s="111"/>
      <c r="BG3" s="134"/>
      <c r="BH3" s="134"/>
      <c r="BJ3" s="111"/>
      <c r="BK3" s="134"/>
      <c r="BL3" s="134"/>
      <c r="BN3" s="111"/>
      <c r="BO3" s="134"/>
      <c r="BP3" s="134"/>
      <c r="BR3" s="111"/>
      <c r="BS3" s="134"/>
      <c r="BT3" s="134"/>
      <c r="BV3" s="111"/>
      <c r="BW3" s="135"/>
      <c r="BX3" s="135"/>
      <c r="BZ3" s="111"/>
      <c r="CA3" s="134"/>
      <c r="CB3" s="134"/>
      <c r="CD3" s="111"/>
      <c r="CE3" s="134"/>
      <c r="CF3" s="134"/>
      <c r="CH3" s="111"/>
      <c r="CI3" s="134"/>
      <c r="CJ3" s="134"/>
      <c r="CL3" s="111"/>
      <c r="CM3" s="134"/>
      <c r="CN3" s="134"/>
      <c r="CP3" s="111"/>
      <c r="CQ3" s="134"/>
      <c r="CR3" s="134"/>
      <c r="CT3" s="111"/>
      <c r="CU3" s="134"/>
      <c r="CV3" s="134"/>
      <c r="CX3" s="111"/>
      <c r="CY3" s="134"/>
      <c r="CZ3" s="134"/>
      <c r="DB3" s="111"/>
      <c r="DC3" s="134"/>
      <c r="DD3" s="134"/>
      <c r="DF3" s="111"/>
      <c r="DG3" s="134"/>
      <c r="DH3" s="134"/>
      <c r="DJ3" s="111"/>
      <c r="DK3" s="134"/>
      <c r="DL3" s="134"/>
      <c r="DN3" s="111"/>
      <c r="DO3" s="134"/>
      <c r="DP3" s="134"/>
      <c r="DR3" s="111"/>
      <c r="DS3" s="134"/>
      <c r="DT3" s="134"/>
      <c r="DV3" s="111"/>
      <c r="DW3" s="134"/>
      <c r="DX3" s="134"/>
      <c r="DZ3" s="111"/>
      <c r="EA3" s="134"/>
      <c r="EB3" s="134"/>
      <c r="ED3" s="111"/>
      <c r="EE3" s="134"/>
      <c r="EF3" s="134"/>
      <c r="EH3" s="111"/>
      <c r="EI3" s="134"/>
      <c r="EJ3" s="134"/>
      <c r="EL3" s="111"/>
      <c r="EM3" s="134"/>
      <c r="EN3" s="134"/>
      <c r="EP3" s="111"/>
      <c r="EQ3" s="134"/>
      <c r="ER3" s="134"/>
      <c r="ET3" s="111"/>
      <c r="EU3" s="134"/>
      <c r="EV3" s="134"/>
      <c r="EX3" s="111"/>
      <c r="EY3" s="134"/>
      <c r="EZ3" s="134"/>
      <c r="FB3" s="111"/>
      <c r="FC3" s="134"/>
      <c r="FD3" s="134"/>
      <c r="FF3" s="111"/>
      <c r="FG3" s="134"/>
      <c r="FH3" s="134"/>
      <c r="FJ3" s="111"/>
      <c r="FK3" s="134"/>
      <c r="FL3" s="134"/>
      <c r="FN3" s="111"/>
      <c r="FO3" s="134"/>
      <c r="FP3" s="134"/>
      <c r="FR3" s="111"/>
      <c r="FS3" s="134"/>
      <c r="FT3" s="134"/>
      <c r="FV3" s="111"/>
      <c r="FW3" s="134"/>
      <c r="FX3" s="134"/>
      <c r="FZ3" s="111"/>
      <c r="GA3" s="134"/>
      <c r="GB3" s="134"/>
      <c r="GD3" s="111"/>
      <c r="GE3" s="134"/>
      <c r="GF3" s="134"/>
      <c r="GH3" s="111"/>
      <c r="GI3" s="135"/>
      <c r="GJ3" s="135"/>
      <c r="GL3" s="111"/>
      <c r="GM3" s="135"/>
      <c r="GN3" s="135"/>
      <c r="GP3" s="111"/>
      <c r="GQ3" s="134"/>
      <c r="GR3" s="134"/>
      <c r="GT3" s="111"/>
      <c r="GU3" s="134"/>
      <c r="GV3" s="134"/>
      <c r="GX3" s="111"/>
      <c r="GY3" s="134"/>
      <c r="GZ3" s="134"/>
      <c r="HB3" s="111"/>
      <c r="HC3" s="134"/>
      <c r="HD3" s="134"/>
      <c r="HF3" s="111"/>
      <c r="HG3" s="134"/>
      <c r="HH3" s="134"/>
      <c r="HJ3" s="111"/>
      <c r="HK3" s="134"/>
      <c r="HL3" s="134"/>
      <c r="HN3" s="111"/>
      <c r="HO3" s="134"/>
      <c r="HP3" s="134"/>
      <c r="HR3" s="111"/>
      <c r="HS3" s="134"/>
      <c r="HT3" s="134"/>
      <c r="HV3" s="143" t="s">
        <v>76</v>
      </c>
      <c r="HW3" s="144"/>
      <c r="HX3" s="92" t="s">
        <v>12</v>
      </c>
      <c r="HZ3" s="143" t="s">
        <v>76</v>
      </c>
      <c r="IA3" s="144"/>
      <c r="IB3" s="92" t="s">
        <v>12</v>
      </c>
      <c r="ID3" s="143" t="s">
        <v>76</v>
      </c>
      <c r="IE3" s="144"/>
      <c r="IF3" s="92" t="s">
        <v>12</v>
      </c>
      <c r="IH3" s="143" t="s">
        <v>76</v>
      </c>
      <c r="II3" s="144"/>
      <c r="IJ3" s="92" t="s">
        <v>12</v>
      </c>
      <c r="IL3" s="143" t="s">
        <v>76</v>
      </c>
      <c r="IM3" s="144"/>
      <c r="IN3" s="92" t="s">
        <v>12</v>
      </c>
      <c r="IP3" s="143" t="s">
        <v>76</v>
      </c>
      <c r="IQ3" s="144"/>
      <c r="IR3" s="92" t="s">
        <v>12</v>
      </c>
      <c r="IT3" s="143" t="s">
        <v>76</v>
      </c>
      <c r="IU3" s="144"/>
      <c r="IV3" s="92" t="s">
        <v>12</v>
      </c>
      <c r="IX3" s="143" t="s">
        <v>76</v>
      </c>
      <c r="IY3" s="144"/>
      <c r="IZ3" s="92" t="s">
        <v>12</v>
      </c>
      <c r="JB3" s="143" t="s">
        <v>76</v>
      </c>
      <c r="JC3" s="144"/>
      <c r="JD3" s="92" t="s">
        <v>12</v>
      </c>
      <c r="JF3" s="143" t="s">
        <v>76</v>
      </c>
      <c r="JG3" s="144"/>
      <c r="JH3" s="92" t="s">
        <v>12</v>
      </c>
      <c r="JJ3" s="143" t="s">
        <v>76</v>
      </c>
      <c r="JK3" s="144"/>
      <c r="JL3" s="92" t="s">
        <v>12</v>
      </c>
      <c r="JN3" s="143" t="s">
        <v>76</v>
      </c>
      <c r="JO3" s="144"/>
      <c r="JP3" s="92" t="s">
        <v>12</v>
      </c>
      <c r="JR3" s="143" t="s">
        <v>76</v>
      </c>
      <c r="JS3" s="144"/>
      <c r="JT3" s="92" t="s">
        <v>12</v>
      </c>
      <c r="JV3" s="143" t="s">
        <v>76</v>
      </c>
      <c r="JW3" s="144"/>
      <c r="JX3" s="92" t="s">
        <v>12</v>
      </c>
      <c r="JZ3" s="143" t="s">
        <v>76</v>
      </c>
      <c r="KA3" s="144"/>
      <c r="KB3" s="92" t="s">
        <v>12</v>
      </c>
      <c r="KD3" s="143" t="s">
        <v>76</v>
      </c>
      <c r="KE3" s="144"/>
      <c r="KF3" s="92" t="s">
        <v>12</v>
      </c>
      <c r="KH3" s="143" t="s">
        <v>76</v>
      </c>
      <c r="KI3" s="144"/>
      <c r="KJ3" s="92" t="s">
        <v>12</v>
      </c>
      <c r="KL3" s="143" t="s">
        <v>76</v>
      </c>
      <c r="KM3" s="144"/>
      <c r="KN3" s="92" t="s">
        <v>12</v>
      </c>
      <c r="KP3" s="143" t="s">
        <v>76</v>
      </c>
      <c r="KQ3" s="144"/>
      <c r="KR3" s="92" t="s">
        <v>12</v>
      </c>
      <c r="KT3" s="143" t="s">
        <v>76</v>
      </c>
      <c r="KU3" s="144"/>
      <c r="KV3" s="92" t="s">
        <v>12</v>
      </c>
      <c r="KX3" s="143" t="s">
        <v>76</v>
      </c>
      <c r="KY3" s="144"/>
      <c r="KZ3" s="92" t="s">
        <v>12</v>
      </c>
      <c r="LB3" s="143" t="s">
        <v>76</v>
      </c>
      <c r="LC3" s="144"/>
      <c r="LD3" s="92" t="s">
        <v>12</v>
      </c>
      <c r="LF3" s="143" t="s">
        <v>76</v>
      </c>
      <c r="LG3" s="144"/>
      <c r="LH3" s="92" t="s">
        <v>12</v>
      </c>
      <c r="LJ3" s="143" t="s">
        <v>76</v>
      </c>
      <c r="LK3" s="144"/>
      <c r="LL3" s="92" t="s">
        <v>12</v>
      </c>
      <c r="LN3" s="143" t="s">
        <v>76</v>
      </c>
      <c r="LO3" s="144"/>
      <c r="LP3" s="92" t="s">
        <v>12</v>
      </c>
      <c r="LR3" s="143" t="s">
        <v>76</v>
      </c>
      <c r="LS3" s="144"/>
      <c r="LT3" s="92" t="s">
        <v>12</v>
      </c>
      <c r="LV3" s="143" t="s">
        <v>76</v>
      </c>
      <c r="LW3" s="144"/>
      <c r="LX3" s="92" t="s">
        <v>12</v>
      </c>
      <c r="LZ3" s="143" t="s">
        <v>76</v>
      </c>
      <c r="MA3" s="144"/>
      <c r="MB3" s="92" t="s">
        <v>12</v>
      </c>
      <c r="MD3" s="143" t="s">
        <v>76</v>
      </c>
      <c r="ME3" s="144"/>
      <c r="MF3" s="92" t="s">
        <v>12</v>
      </c>
      <c r="MH3" s="143" t="s">
        <v>76</v>
      </c>
      <c r="MI3" s="144"/>
      <c r="MJ3" s="92" t="s">
        <v>12</v>
      </c>
      <c r="ML3" s="143" t="s">
        <v>76</v>
      </c>
      <c r="MM3" s="144"/>
      <c r="MN3" s="92" t="s">
        <v>12</v>
      </c>
      <c r="MP3" s="143" t="s">
        <v>76</v>
      </c>
      <c r="MQ3" s="144"/>
      <c r="MR3" s="92" t="s">
        <v>12</v>
      </c>
      <c r="MT3" s="143" t="s">
        <v>76</v>
      </c>
      <c r="MU3" s="144"/>
      <c r="MV3" s="92" t="s">
        <v>12</v>
      </c>
      <c r="MX3" s="143" t="s">
        <v>76</v>
      </c>
      <c r="MY3" s="144"/>
      <c r="MZ3" s="92" t="s">
        <v>12</v>
      </c>
      <c r="NB3" s="143" t="s">
        <v>76</v>
      </c>
      <c r="NC3" s="144"/>
      <c r="ND3" s="92" t="s">
        <v>12</v>
      </c>
      <c r="NF3" s="143" t="s">
        <v>76</v>
      </c>
      <c r="NG3" s="144"/>
      <c r="NH3" s="92" t="s">
        <v>12</v>
      </c>
      <c r="NJ3" s="143" t="s">
        <v>76</v>
      </c>
      <c r="NK3" s="144"/>
      <c r="NL3" s="92" t="s">
        <v>12</v>
      </c>
      <c r="NN3" s="143" t="s">
        <v>76</v>
      </c>
      <c r="NO3" s="144"/>
      <c r="NP3" s="92" t="s">
        <v>12</v>
      </c>
      <c r="NR3" s="143" t="s">
        <v>76</v>
      </c>
      <c r="NS3" s="144"/>
      <c r="NT3" s="92" t="s">
        <v>12</v>
      </c>
      <c r="NV3" s="143" t="s">
        <v>76</v>
      </c>
      <c r="NW3" s="144"/>
      <c r="NX3" s="92" t="s">
        <v>12</v>
      </c>
      <c r="NZ3" s="143" t="s">
        <v>76</v>
      </c>
      <c r="OA3" s="144"/>
      <c r="OB3" s="92" t="s">
        <v>12</v>
      </c>
      <c r="OD3" s="143" t="s">
        <v>76</v>
      </c>
      <c r="OE3" s="144"/>
      <c r="OF3" s="92" t="s">
        <v>12</v>
      </c>
      <c r="OH3" s="143" t="s">
        <v>76</v>
      </c>
      <c r="OI3" s="144"/>
      <c r="OJ3" s="92" t="s">
        <v>12</v>
      </c>
      <c r="OL3" s="143" t="s">
        <v>76</v>
      </c>
      <c r="OM3" s="144"/>
      <c r="ON3" s="92" t="s">
        <v>12</v>
      </c>
      <c r="OP3" s="143" t="s">
        <v>76</v>
      </c>
      <c r="OQ3" s="144"/>
      <c r="OR3" s="92" t="s">
        <v>12</v>
      </c>
      <c r="OT3" s="143" t="s">
        <v>76</v>
      </c>
      <c r="OU3" s="144"/>
      <c r="OV3" s="92" t="s">
        <v>12</v>
      </c>
      <c r="OX3" s="143" t="s">
        <v>76</v>
      </c>
      <c r="OY3" s="144"/>
      <c r="OZ3" s="92" t="s">
        <v>12</v>
      </c>
      <c r="PB3" s="143" t="s">
        <v>76</v>
      </c>
      <c r="PC3" s="144"/>
      <c r="PD3" s="92" t="s">
        <v>12</v>
      </c>
      <c r="PF3" s="143" t="s">
        <v>76</v>
      </c>
      <c r="PG3" s="144"/>
      <c r="PH3" s="92" t="s">
        <v>12</v>
      </c>
      <c r="PJ3" s="143" t="s">
        <v>76</v>
      </c>
      <c r="PK3" s="144"/>
      <c r="PL3" s="92" t="s">
        <v>12</v>
      </c>
      <c r="PN3" s="143" t="s">
        <v>76</v>
      </c>
      <c r="PO3" s="144"/>
      <c r="PP3" s="92" t="s">
        <v>12</v>
      </c>
      <c r="PR3" s="143" t="s">
        <v>76</v>
      </c>
      <c r="PS3" s="144"/>
      <c r="PT3" s="92" t="s">
        <v>12</v>
      </c>
      <c r="PV3" s="185" t="s">
        <v>76</v>
      </c>
      <c r="PW3" s="186"/>
      <c r="PX3" s="187" t="s">
        <v>12</v>
      </c>
      <c r="PZ3" s="167" t="s">
        <v>76</v>
      </c>
      <c r="QA3" s="168"/>
      <c r="QB3" s="92" t="s">
        <v>12</v>
      </c>
    </row>
    <row r="4" spans="1:444" ht="12" x14ac:dyDescent="0.2">
      <c r="A4" s="124" t="s">
        <v>117</v>
      </c>
      <c r="B4" s="156" t="s">
        <v>118</v>
      </c>
      <c r="C4" s="157"/>
      <c r="D4" s="158"/>
      <c r="F4" s="111"/>
      <c r="G4" s="134"/>
      <c r="H4" s="134"/>
      <c r="J4" s="111"/>
      <c r="K4" s="136"/>
      <c r="L4" s="136"/>
      <c r="N4" s="111"/>
      <c r="O4" s="137"/>
      <c r="P4" s="137"/>
      <c r="R4" s="111"/>
      <c r="S4" s="136"/>
      <c r="T4" s="136"/>
      <c r="V4" s="111"/>
      <c r="W4" s="136"/>
      <c r="X4" s="136"/>
      <c r="Z4" s="111"/>
      <c r="AA4" s="137"/>
      <c r="AB4" s="137"/>
      <c r="AD4" s="111"/>
      <c r="AE4" s="135"/>
      <c r="AF4" s="135"/>
      <c r="AH4" s="111"/>
      <c r="AI4" s="134"/>
      <c r="AJ4" s="134"/>
      <c r="AL4" s="111"/>
      <c r="AM4" s="135"/>
      <c r="AN4" s="135"/>
      <c r="AP4" s="111"/>
      <c r="AQ4" s="135"/>
      <c r="AR4" s="135"/>
      <c r="AT4" s="111"/>
      <c r="AU4" s="134"/>
      <c r="AV4" s="134"/>
      <c r="AX4" s="111"/>
      <c r="AY4" s="134"/>
      <c r="AZ4" s="134"/>
      <c r="BB4" s="111"/>
      <c r="BC4" s="134"/>
      <c r="BD4" s="134"/>
      <c r="BF4" s="111"/>
      <c r="BG4" s="134"/>
      <c r="BH4" s="134"/>
      <c r="BJ4" s="111"/>
      <c r="BK4" s="134"/>
      <c r="BL4" s="134"/>
      <c r="BN4" s="111"/>
      <c r="BO4" s="134"/>
      <c r="BP4" s="134"/>
      <c r="BR4" s="111"/>
      <c r="BS4" s="134"/>
      <c r="BT4" s="134"/>
      <c r="BV4" s="111"/>
      <c r="BW4" s="135"/>
      <c r="BX4" s="135"/>
      <c r="BZ4" s="111"/>
      <c r="CA4" s="134"/>
      <c r="CB4" s="134"/>
      <c r="CD4" s="111"/>
      <c r="CE4" s="134"/>
      <c r="CF4" s="134"/>
      <c r="CH4" s="111"/>
      <c r="CI4" s="134"/>
      <c r="CJ4" s="134"/>
      <c r="CL4" s="111"/>
      <c r="CM4" s="134"/>
      <c r="CN4" s="134"/>
      <c r="CP4" s="111"/>
      <c r="CQ4" s="134"/>
      <c r="CR4" s="134"/>
      <c r="CT4" s="111"/>
      <c r="CU4" s="134"/>
      <c r="CV4" s="134"/>
      <c r="CX4" s="111"/>
      <c r="CY4" s="134"/>
      <c r="CZ4" s="134"/>
      <c r="DB4" s="111"/>
      <c r="DC4" s="134"/>
      <c r="DD4" s="134"/>
      <c r="DF4" s="111"/>
      <c r="DG4" s="134"/>
      <c r="DH4" s="134"/>
      <c r="DJ4" s="111"/>
      <c r="DK4" s="134"/>
      <c r="DL4" s="134"/>
      <c r="DN4" s="111"/>
      <c r="DO4" s="134"/>
      <c r="DP4" s="134"/>
      <c r="DR4" s="111"/>
      <c r="DS4" s="134"/>
      <c r="DT4" s="134"/>
      <c r="DV4" s="111"/>
      <c r="DW4" s="134"/>
      <c r="DX4" s="134"/>
      <c r="DZ4" s="111"/>
      <c r="EA4" s="134"/>
      <c r="EB4" s="134"/>
      <c r="ED4" s="111"/>
      <c r="EE4" s="134"/>
      <c r="EF4" s="134"/>
      <c r="EH4" s="111"/>
      <c r="EI4" s="134"/>
      <c r="EJ4" s="134"/>
      <c r="EL4" s="111"/>
      <c r="EM4" s="134"/>
      <c r="EN4" s="134"/>
      <c r="EP4" s="111"/>
      <c r="EQ4" s="134"/>
      <c r="ER4" s="134"/>
      <c r="ET4" s="111"/>
      <c r="EU4" s="134"/>
      <c r="EV4" s="134"/>
      <c r="EX4" s="111"/>
      <c r="EY4" s="134"/>
      <c r="EZ4" s="134"/>
      <c r="FB4" s="111"/>
      <c r="FC4" s="134"/>
      <c r="FD4" s="134"/>
      <c r="FF4" s="111"/>
      <c r="FG4" s="134"/>
      <c r="FH4" s="134"/>
      <c r="FJ4" s="111"/>
      <c r="FK4" s="134"/>
      <c r="FL4" s="134"/>
      <c r="FN4" s="111"/>
      <c r="FO4" s="134"/>
      <c r="FP4" s="134"/>
      <c r="FR4" s="111"/>
      <c r="FS4" s="134"/>
      <c r="FT4" s="134"/>
      <c r="FV4" s="111"/>
      <c r="FW4" s="134"/>
      <c r="FX4" s="134"/>
      <c r="FZ4" s="111"/>
      <c r="GA4" s="134"/>
      <c r="GB4" s="134"/>
      <c r="GD4" s="111"/>
      <c r="GE4" s="134"/>
      <c r="GF4" s="134"/>
      <c r="GH4" s="111"/>
      <c r="GI4" s="135"/>
      <c r="GJ4" s="135"/>
      <c r="GL4" s="111"/>
      <c r="GM4" s="135"/>
      <c r="GN4" s="135"/>
      <c r="GP4" s="111"/>
      <c r="GQ4" s="134"/>
      <c r="GR4" s="134"/>
      <c r="GT4" s="111"/>
      <c r="GU4" s="134"/>
      <c r="GV4" s="134"/>
      <c r="GX4" s="111"/>
      <c r="GY4" s="134"/>
      <c r="GZ4" s="134"/>
      <c r="HB4" s="111"/>
      <c r="HC4" s="134"/>
      <c r="HD4" s="134"/>
      <c r="HF4" s="111"/>
      <c r="HG4" s="134"/>
      <c r="HH4" s="134"/>
      <c r="HJ4" s="111"/>
      <c r="HK4" s="134"/>
      <c r="HL4" s="134"/>
      <c r="HN4" s="111"/>
      <c r="HO4" s="134"/>
      <c r="HP4" s="134"/>
      <c r="HR4" s="111"/>
      <c r="HS4" s="134"/>
      <c r="HT4" s="134"/>
      <c r="HV4" s="145"/>
      <c r="HW4" s="146"/>
      <c r="HX4" s="95" t="s">
        <v>120</v>
      </c>
      <c r="HZ4" s="145"/>
      <c r="IA4" s="146"/>
      <c r="IB4" s="95" t="s">
        <v>120</v>
      </c>
      <c r="ID4" s="145"/>
      <c r="IE4" s="146"/>
      <c r="IF4" s="95" t="s">
        <v>120</v>
      </c>
      <c r="IH4" s="145">
        <v>0.6</v>
      </c>
      <c r="II4" s="146"/>
      <c r="IJ4" s="95" t="s">
        <v>120</v>
      </c>
      <c r="IL4" s="145">
        <v>1.4</v>
      </c>
      <c r="IM4" s="146"/>
      <c r="IN4" s="95" t="s">
        <v>120</v>
      </c>
      <c r="IP4" s="145">
        <v>1.8</v>
      </c>
      <c r="IQ4" s="146"/>
      <c r="IR4" s="95" t="s">
        <v>120</v>
      </c>
      <c r="IT4" s="145">
        <v>0.7</v>
      </c>
      <c r="IU4" s="146"/>
      <c r="IV4" s="95" t="s">
        <v>120</v>
      </c>
      <c r="IX4" s="145">
        <v>1.7</v>
      </c>
      <c r="IY4" s="146"/>
      <c r="IZ4" s="95" t="s">
        <v>120</v>
      </c>
      <c r="JB4" s="145">
        <v>0.5</v>
      </c>
      <c r="JC4" s="146"/>
      <c r="JD4" s="95" t="s">
        <v>120</v>
      </c>
      <c r="JF4" s="145">
        <v>0.7</v>
      </c>
      <c r="JG4" s="146"/>
      <c r="JH4" s="95" t="s">
        <v>120</v>
      </c>
      <c r="JJ4" s="145">
        <v>1.6</v>
      </c>
      <c r="JK4" s="146"/>
      <c r="JL4" s="95" t="s">
        <v>120</v>
      </c>
      <c r="JN4" s="145">
        <v>0.8</v>
      </c>
      <c r="JO4" s="146"/>
      <c r="JP4" s="95" t="s">
        <v>120</v>
      </c>
      <c r="JR4" s="145">
        <v>0.5</v>
      </c>
      <c r="JS4" s="146"/>
      <c r="JT4" s="95" t="s">
        <v>120</v>
      </c>
      <c r="JV4" s="145">
        <v>0.5</v>
      </c>
      <c r="JW4" s="146"/>
      <c r="JX4" s="95" t="s">
        <v>120</v>
      </c>
      <c r="JZ4" s="145">
        <v>0.3</v>
      </c>
      <c r="KA4" s="146"/>
      <c r="KB4" s="95" t="s">
        <v>120</v>
      </c>
      <c r="KD4" s="145">
        <v>1.1000000000000001</v>
      </c>
      <c r="KE4" s="146"/>
      <c r="KF4" s="95" t="s">
        <v>120</v>
      </c>
      <c r="KH4" s="145">
        <v>1.2</v>
      </c>
      <c r="KI4" s="146"/>
      <c r="KJ4" s="95" t="s">
        <v>120</v>
      </c>
      <c r="KL4" s="145">
        <v>0.8</v>
      </c>
      <c r="KM4" s="146"/>
      <c r="KN4" s="95" t="s">
        <v>120</v>
      </c>
      <c r="KP4" s="145">
        <v>0.5</v>
      </c>
      <c r="KQ4" s="146"/>
      <c r="KR4" s="95" t="s">
        <v>120</v>
      </c>
      <c r="KT4" s="145">
        <v>0.8</v>
      </c>
      <c r="KU4" s="146"/>
      <c r="KV4" s="95" t="s">
        <v>120</v>
      </c>
      <c r="KX4" s="145">
        <v>1.3</v>
      </c>
      <c r="KY4" s="146"/>
      <c r="KZ4" s="95" t="s">
        <v>120</v>
      </c>
      <c r="LB4" s="145">
        <v>1.8</v>
      </c>
      <c r="LC4" s="146"/>
      <c r="LD4" s="95" t="s">
        <v>120</v>
      </c>
      <c r="LF4" s="145">
        <v>1.7</v>
      </c>
      <c r="LG4" s="146"/>
      <c r="LH4" s="95" t="s">
        <v>120</v>
      </c>
      <c r="LJ4" s="145">
        <v>0.2</v>
      </c>
      <c r="LK4" s="146"/>
      <c r="LL4" s="95" t="s">
        <v>120</v>
      </c>
      <c r="LN4" s="145">
        <v>1</v>
      </c>
      <c r="LO4" s="146"/>
      <c r="LP4" s="95" t="s">
        <v>120</v>
      </c>
      <c r="LR4" s="151">
        <v>1.4</v>
      </c>
      <c r="LS4" s="152"/>
      <c r="LT4" s="95" t="s">
        <v>120</v>
      </c>
      <c r="LV4" s="151">
        <v>1.4</v>
      </c>
      <c r="LW4" s="152"/>
      <c r="LX4" s="95" t="s">
        <v>120</v>
      </c>
      <c r="LZ4" s="145">
        <v>0.5</v>
      </c>
      <c r="MA4" s="146"/>
      <c r="MB4" s="95" t="s">
        <v>120</v>
      </c>
      <c r="MD4" s="145">
        <v>0.7</v>
      </c>
      <c r="ME4" s="146"/>
      <c r="MF4" s="95" t="s">
        <v>120</v>
      </c>
      <c r="MH4" s="145">
        <v>1</v>
      </c>
      <c r="MI4" s="146"/>
      <c r="MJ4" s="95" t="s">
        <v>120</v>
      </c>
      <c r="ML4" s="145">
        <v>0.2</v>
      </c>
      <c r="MM4" s="146"/>
      <c r="MN4" s="95" t="s">
        <v>120</v>
      </c>
      <c r="MP4" s="145">
        <v>1.1000000000000001</v>
      </c>
      <c r="MQ4" s="146"/>
      <c r="MR4" s="95" t="s">
        <v>120</v>
      </c>
      <c r="MT4" s="145">
        <v>5.5</v>
      </c>
      <c r="MU4" s="146"/>
      <c r="MV4" s="95" t="s">
        <v>120</v>
      </c>
      <c r="MX4" s="145">
        <v>3</v>
      </c>
      <c r="MY4" s="146"/>
      <c r="MZ4" s="95" t="s">
        <v>120</v>
      </c>
      <c r="NB4" s="145">
        <v>0.2</v>
      </c>
      <c r="NC4" s="146"/>
      <c r="ND4" s="95" t="s">
        <v>120</v>
      </c>
      <c r="NF4" s="151">
        <v>0.8</v>
      </c>
      <c r="NG4" s="152"/>
      <c r="NH4" s="95" t="s">
        <v>120</v>
      </c>
      <c r="NJ4" s="145">
        <v>0.2</v>
      </c>
      <c r="NK4" s="146"/>
      <c r="NL4" s="95" t="s">
        <v>120</v>
      </c>
      <c r="NN4" s="145">
        <v>2</v>
      </c>
      <c r="NO4" s="146"/>
      <c r="NP4" s="95" t="s">
        <v>120</v>
      </c>
      <c r="NR4" s="145">
        <v>0.5</v>
      </c>
      <c r="NS4" s="146"/>
      <c r="NT4" s="95" t="s">
        <v>120</v>
      </c>
      <c r="NV4" s="145">
        <v>1.5</v>
      </c>
      <c r="NW4" s="146"/>
      <c r="NX4" s="95" t="s">
        <v>120</v>
      </c>
      <c r="NZ4" s="145">
        <v>0.8</v>
      </c>
      <c r="OA4" s="146"/>
      <c r="OB4" s="95" t="s">
        <v>120</v>
      </c>
      <c r="OD4" s="145">
        <v>1.4</v>
      </c>
      <c r="OE4" s="146"/>
      <c r="OF4" s="95" t="s">
        <v>120</v>
      </c>
      <c r="OH4" s="151">
        <v>0.2</v>
      </c>
      <c r="OI4" s="152"/>
      <c r="OJ4" s="95" t="s">
        <v>120</v>
      </c>
      <c r="OL4" s="166">
        <v>1.3</v>
      </c>
      <c r="OM4" s="146"/>
      <c r="ON4" s="95" t="s">
        <v>120</v>
      </c>
      <c r="OP4" s="151">
        <v>1.1000000000000001</v>
      </c>
      <c r="OQ4" s="152"/>
      <c r="OR4" s="95" t="s">
        <v>120</v>
      </c>
      <c r="OT4" s="145">
        <v>0.8</v>
      </c>
      <c r="OU4" s="146"/>
      <c r="OV4" s="95" t="s">
        <v>120</v>
      </c>
      <c r="OX4" s="151">
        <v>1.2</v>
      </c>
      <c r="OY4" s="152"/>
      <c r="OZ4" s="95" t="s">
        <v>120</v>
      </c>
      <c r="PB4" s="145">
        <v>1.8</v>
      </c>
      <c r="PC4" s="146"/>
      <c r="PD4" s="95" t="s">
        <v>120</v>
      </c>
      <c r="PF4" s="145">
        <v>1.4</v>
      </c>
      <c r="PG4" s="146"/>
      <c r="PH4" s="95" t="s">
        <v>120</v>
      </c>
      <c r="PJ4" s="151">
        <v>1.5</v>
      </c>
      <c r="PK4" s="152"/>
      <c r="PL4" s="95" t="s">
        <v>120</v>
      </c>
      <c r="PN4" s="151">
        <v>1.5</v>
      </c>
      <c r="PO4" s="152"/>
      <c r="PP4" s="95" t="s">
        <v>120</v>
      </c>
      <c r="PR4" s="145">
        <v>0</v>
      </c>
      <c r="PS4" s="146"/>
      <c r="PT4" s="95" t="s">
        <v>120</v>
      </c>
      <c r="PV4" s="188">
        <v>0.9</v>
      </c>
      <c r="PW4" s="189"/>
      <c r="PX4" s="190" t="s">
        <v>120</v>
      </c>
      <c r="PZ4" s="151"/>
      <c r="QA4" s="152"/>
      <c r="QB4" s="95" t="s">
        <v>120</v>
      </c>
    </row>
    <row r="5" spans="1:444" ht="12" x14ac:dyDescent="0.2">
      <c r="A5" s="124" t="s">
        <v>117</v>
      </c>
      <c r="B5" s="156" t="s">
        <v>119</v>
      </c>
      <c r="C5" s="157"/>
      <c r="D5" s="158"/>
      <c r="F5" s="111"/>
      <c r="G5" s="134"/>
      <c r="H5" s="134"/>
      <c r="J5" s="111"/>
      <c r="K5" s="136"/>
      <c r="L5" s="136"/>
      <c r="N5" s="111"/>
      <c r="O5" s="137"/>
      <c r="P5" s="137"/>
      <c r="R5" s="111"/>
      <c r="S5" s="136"/>
      <c r="T5" s="136"/>
      <c r="V5" s="111"/>
      <c r="W5" s="136"/>
      <c r="X5" s="136"/>
      <c r="Z5" s="111"/>
      <c r="AA5" s="137"/>
      <c r="AB5" s="137"/>
      <c r="AD5" s="111"/>
      <c r="AE5" s="135"/>
      <c r="AF5" s="135"/>
      <c r="AH5" s="111"/>
      <c r="AI5" s="134"/>
      <c r="AJ5" s="134"/>
      <c r="AL5" s="111"/>
      <c r="AM5" s="135"/>
      <c r="AN5" s="135"/>
      <c r="AP5" s="111"/>
      <c r="AQ5" s="135"/>
      <c r="AR5" s="135"/>
      <c r="AT5" s="111"/>
      <c r="AU5" s="134"/>
      <c r="AV5" s="134"/>
      <c r="AX5" s="111"/>
      <c r="AY5" s="134"/>
      <c r="AZ5" s="134"/>
      <c r="BB5" s="111"/>
      <c r="BC5" s="134"/>
      <c r="BD5" s="134"/>
      <c r="BF5" s="111"/>
      <c r="BG5" s="134"/>
      <c r="BH5" s="134"/>
      <c r="BJ5" s="111"/>
      <c r="BK5" s="134"/>
      <c r="BL5" s="134"/>
      <c r="BN5" s="111"/>
      <c r="BO5" s="134"/>
      <c r="BP5" s="134"/>
      <c r="BR5" s="111"/>
      <c r="BS5" s="134"/>
      <c r="BT5" s="134"/>
      <c r="BV5" s="111"/>
      <c r="BW5" s="135"/>
      <c r="BX5" s="135"/>
      <c r="BZ5" s="111"/>
      <c r="CA5" s="134"/>
      <c r="CB5" s="134"/>
      <c r="CD5" s="111"/>
      <c r="CE5" s="134"/>
      <c r="CF5" s="134"/>
      <c r="CH5" s="111"/>
      <c r="CI5" s="134"/>
      <c r="CJ5" s="134"/>
      <c r="CL5" s="111"/>
      <c r="CM5" s="134"/>
      <c r="CN5" s="134"/>
      <c r="CP5" s="111"/>
      <c r="CQ5" s="134"/>
      <c r="CR5" s="134"/>
      <c r="CT5" s="111"/>
      <c r="CU5" s="134"/>
      <c r="CV5" s="134"/>
      <c r="CX5" s="111"/>
      <c r="CY5" s="134"/>
      <c r="CZ5" s="134"/>
      <c r="DB5" s="111"/>
      <c r="DC5" s="134"/>
      <c r="DD5" s="134"/>
      <c r="DF5" s="111"/>
      <c r="DG5" s="134"/>
      <c r="DH5" s="134"/>
      <c r="DJ5" s="111"/>
      <c r="DK5" s="134"/>
      <c r="DL5" s="134"/>
      <c r="DN5" s="111"/>
      <c r="DO5" s="134"/>
      <c r="DP5" s="134"/>
      <c r="DR5" s="111"/>
      <c r="DS5" s="134"/>
      <c r="DT5" s="134"/>
      <c r="DV5" s="111"/>
      <c r="DW5" s="134"/>
      <c r="DX5" s="134"/>
      <c r="DZ5" s="111"/>
      <c r="EA5" s="134"/>
      <c r="EB5" s="134"/>
      <c r="ED5" s="111"/>
      <c r="EE5" s="134"/>
      <c r="EF5" s="134"/>
      <c r="EH5" s="111"/>
      <c r="EI5" s="134"/>
      <c r="EJ5" s="134"/>
      <c r="EL5" s="111"/>
      <c r="EM5" s="134"/>
      <c r="EN5" s="134"/>
      <c r="EP5" s="111"/>
      <c r="EQ5" s="134"/>
      <c r="ER5" s="134"/>
      <c r="ET5" s="111"/>
      <c r="EU5" s="134"/>
      <c r="EV5" s="134"/>
      <c r="EX5" s="111"/>
      <c r="EY5" s="134"/>
      <c r="EZ5" s="134"/>
      <c r="FB5" s="111"/>
      <c r="FC5" s="134"/>
      <c r="FD5" s="134"/>
      <c r="FF5" s="111"/>
      <c r="FG5" s="134"/>
      <c r="FH5" s="134"/>
      <c r="FJ5" s="111"/>
      <c r="FK5" s="134"/>
      <c r="FL5" s="134"/>
      <c r="FN5" s="111"/>
      <c r="FO5" s="134"/>
      <c r="FP5" s="134"/>
      <c r="FR5" s="111"/>
      <c r="FS5" s="134"/>
      <c r="FT5" s="134"/>
      <c r="FV5" s="111"/>
      <c r="FW5" s="134"/>
      <c r="FX5" s="134"/>
      <c r="FZ5" s="111"/>
      <c r="GA5" s="134"/>
      <c r="GB5" s="134"/>
      <c r="GD5" s="111"/>
      <c r="GE5" s="134"/>
      <c r="GF5" s="134"/>
      <c r="GH5" s="111"/>
      <c r="GI5" s="135"/>
      <c r="GJ5" s="135"/>
      <c r="GL5" s="111"/>
      <c r="GM5" s="135"/>
      <c r="GN5" s="135"/>
      <c r="GP5" s="111"/>
      <c r="GQ5" s="134"/>
      <c r="GR5" s="134"/>
      <c r="GT5" s="111"/>
      <c r="GU5" s="134"/>
      <c r="GV5" s="134"/>
      <c r="GX5" s="111"/>
      <c r="GY5" s="134"/>
      <c r="GZ5" s="134"/>
      <c r="HB5" s="111"/>
      <c r="HC5" s="134"/>
      <c r="HD5" s="134"/>
      <c r="HF5" s="111"/>
      <c r="HG5" s="134"/>
      <c r="HH5" s="134"/>
      <c r="HJ5" s="111"/>
      <c r="HK5" s="134"/>
      <c r="HL5" s="134"/>
      <c r="HN5" s="111"/>
      <c r="HO5" s="134"/>
      <c r="HP5" s="134"/>
      <c r="HR5" s="111"/>
      <c r="HS5" s="134"/>
      <c r="HT5" s="134"/>
      <c r="HV5" s="145"/>
      <c r="HW5" s="146"/>
      <c r="HX5" s="95" t="s">
        <v>120</v>
      </c>
      <c r="HZ5" s="145"/>
      <c r="IA5" s="146"/>
      <c r="IB5" s="95" t="s">
        <v>120</v>
      </c>
      <c r="ID5" s="145"/>
      <c r="IE5" s="146"/>
      <c r="IF5" s="95" t="s">
        <v>120</v>
      </c>
      <c r="IH5" s="145">
        <v>1.1000000000000001</v>
      </c>
      <c r="II5" s="146"/>
      <c r="IJ5" s="95" t="s">
        <v>120</v>
      </c>
      <c r="IL5" s="145">
        <v>0.8</v>
      </c>
      <c r="IM5" s="146"/>
      <c r="IN5" s="95" t="s">
        <v>120</v>
      </c>
      <c r="IP5" s="145">
        <v>0.5</v>
      </c>
      <c r="IQ5" s="146"/>
      <c r="IR5" s="95" t="s">
        <v>120</v>
      </c>
      <c r="IT5" s="145">
        <v>1.1000000000000001</v>
      </c>
      <c r="IU5" s="146"/>
      <c r="IV5" s="95" t="s">
        <v>120</v>
      </c>
      <c r="IX5" s="145">
        <v>1</v>
      </c>
      <c r="IY5" s="146"/>
      <c r="IZ5" s="95" t="s">
        <v>120</v>
      </c>
      <c r="JB5" s="145">
        <v>0.8</v>
      </c>
      <c r="JC5" s="146"/>
      <c r="JD5" s="95" t="s">
        <v>120</v>
      </c>
      <c r="JF5" s="145">
        <v>0.5</v>
      </c>
      <c r="JG5" s="146"/>
      <c r="JH5" s="95" t="s">
        <v>120</v>
      </c>
      <c r="JJ5" s="145">
        <v>0.6</v>
      </c>
      <c r="JK5" s="146"/>
      <c r="JL5" s="95" t="s">
        <v>120</v>
      </c>
      <c r="JN5" s="145">
        <v>0.5</v>
      </c>
      <c r="JO5" s="146"/>
      <c r="JP5" s="95" t="s">
        <v>120</v>
      </c>
      <c r="JR5" s="145">
        <v>0.3</v>
      </c>
      <c r="JS5" s="146"/>
      <c r="JT5" s="95" t="s">
        <v>120</v>
      </c>
      <c r="JV5" s="145">
        <v>0.4</v>
      </c>
      <c r="JW5" s="146"/>
      <c r="JX5" s="95" t="s">
        <v>120</v>
      </c>
      <c r="JZ5" s="145">
        <v>0.2</v>
      </c>
      <c r="KA5" s="146"/>
      <c r="KB5" s="95" t="s">
        <v>120</v>
      </c>
      <c r="KD5" s="145">
        <v>0.4</v>
      </c>
      <c r="KE5" s="146"/>
      <c r="KF5" s="95" t="s">
        <v>120</v>
      </c>
      <c r="KH5" s="145">
        <v>0.3</v>
      </c>
      <c r="KI5" s="146"/>
      <c r="KJ5" s="95" t="s">
        <v>120</v>
      </c>
      <c r="KL5" s="145">
        <v>0.4</v>
      </c>
      <c r="KM5" s="146"/>
      <c r="KN5" s="95" t="s">
        <v>120</v>
      </c>
      <c r="KP5" s="145">
        <v>0.2</v>
      </c>
      <c r="KQ5" s="146"/>
      <c r="KR5" s="95" t="s">
        <v>120</v>
      </c>
      <c r="KT5" s="145">
        <v>0.2</v>
      </c>
      <c r="KU5" s="146"/>
      <c r="KV5" s="95" t="s">
        <v>120</v>
      </c>
      <c r="KX5" s="145">
        <v>0.2</v>
      </c>
      <c r="KY5" s="146"/>
      <c r="KZ5" s="95" t="s">
        <v>120</v>
      </c>
      <c r="LB5" s="145">
        <v>0.5</v>
      </c>
      <c r="LC5" s="146"/>
      <c r="LD5" s="95" t="s">
        <v>120</v>
      </c>
      <c r="LF5" s="145">
        <v>0.5</v>
      </c>
      <c r="LG5" s="146"/>
      <c r="LH5" s="95" t="s">
        <v>120</v>
      </c>
      <c r="LJ5" s="145">
        <v>0</v>
      </c>
      <c r="LK5" s="146"/>
      <c r="LL5" s="95" t="s">
        <v>120</v>
      </c>
      <c r="LN5" s="145">
        <v>1</v>
      </c>
      <c r="LO5" s="146"/>
      <c r="LP5" s="95" t="s">
        <v>120</v>
      </c>
      <c r="LR5" s="151">
        <v>1</v>
      </c>
      <c r="LS5" s="152"/>
      <c r="LT5" s="95" t="s">
        <v>120</v>
      </c>
      <c r="LV5" s="151">
        <v>1</v>
      </c>
      <c r="LW5" s="152"/>
      <c r="LX5" s="95" t="s">
        <v>120</v>
      </c>
      <c r="LZ5" s="145">
        <v>0.5</v>
      </c>
      <c r="MA5" s="146"/>
      <c r="MB5" s="95" t="s">
        <v>120</v>
      </c>
      <c r="MD5" s="145">
        <v>0.3</v>
      </c>
      <c r="ME5" s="146"/>
      <c r="MF5" s="95" t="s">
        <v>120</v>
      </c>
      <c r="MH5" s="145">
        <v>0.3</v>
      </c>
      <c r="MI5" s="146"/>
      <c r="MJ5" s="95" t="s">
        <v>120</v>
      </c>
      <c r="ML5" s="145">
        <v>0.8</v>
      </c>
      <c r="MM5" s="146"/>
      <c r="MN5" s="95" t="s">
        <v>120</v>
      </c>
      <c r="MP5" s="145">
        <v>0.6</v>
      </c>
      <c r="MQ5" s="146"/>
      <c r="MR5" s="95" t="s">
        <v>120</v>
      </c>
      <c r="MT5" s="145">
        <v>0.2</v>
      </c>
      <c r="MU5" s="146"/>
      <c r="MV5" s="95" t="s">
        <v>120</v>
      </c>
      <c r="MX5" s="145">
        <v>1.2</v>
      </c>
      <c r="MY5" s="146"/>
      <c r="MZ5" s="95" t="s">
        <v>120</v>
      </c>
      <c r="NB5" s="145">
        <v>0.9</v>
      </c>
      <c r="NC5" s="146"/>
      <c r="ND5" s="95" t="s">
        <v>120</v>
      </c>
      <c r="NF5" s="151">
        <v>0.9</v>
      </c>
      <c r="NG5" s="152"/>
      <c r="NH5" s="95" t="s">
        <v>120</v>
      </c>
      <c r="NJ5" s="145">
        <v>0.3</v>
      </c>
      <c r="NK5" s="146"/>
      <c r="NL5" s="95" t="s">
        <v>120</v>
      </c>
      <c r="NN5" s="145">
        <v>0.1</v>
      </c>
      <c r="NO5" s="146"/>
      <c r="NP5" s="95" t="s">
        <v>120</v>
      </c>
      <c r="NR5" s="145">
        <v>0.2</v>
      </c>
      <c r="NS5" s="146"/>
      <c r="NT5" s="95" t="s">
        <v>120</v>
      </c>
      <c r="NV5" s="145">
        <v>1</v>
      </c>
      <c r="NW5" s="146"/>
      <c r="NX5" s="95" t="s">
        <v>120</v>
      </c>
      <c r="NZ5" s="145">
        <v>0.2</v>
      </c>
      <c r="OA5" s="146"/>
      <c r="OB5" s="95" t="s">
        <v>120</v>
      </c>
      <c r="OD5" s="145">
        <v>0.6</v>
      </c>
      <c r="OE5" s="146"/>
      <c r="OF5" s="95" t="s">
        <v>120</v>
      </c>
      <c r="OH5" s="151">
        <v>0.5</v>
      </c>
      <c r="OI5" s="152"/>
      <c r="OJ5" s="95" t="s">
        <v>120</v>
      </c>
      <c r="OL5" s="145">
        <v>0.3</v>
      </c>
      <c r="OM5" s="146"/>
      <c r="ON5" s="95" t="s">
        <v>120</v>
      </c>
      <c r="OP5" s="151">
        <v>0.6</v>
      </c>
      <c r="OQ5" s="152"/>
      <c r="OR5" s="95" t="s">
        <v>120</v>
      </c>
      <c r="OT5" s="145">
        <v>0.7</v>
      </c>
      <c r="OU5" s="146"/>
      <c r="OV5" s="95" t="s">
        <v>120</v>
      </c>
      <c r="OX5" s="151">
        <v>1</v>
      </c>
      <c r="OY5" s="152"/>
      <c r="OZ5" s="95" t="s">
        <v>120</v>
      </c>
      <c r="PB5" s="145">
        <v>0.3</v>
      </c>
      <c r="PC5" s="146"/>
      <c r="PD5" s="95" t="s">
        <v>120</v>
      </c>
      <c r="PF5" s="145">
        <v>0.2</v>
      </c>
      <c r="PG5" s="146"/>
      <c r="PH5" s="95" t="s">
        <v>120</v>
      </c>
      <c r="PJ5" s="151">
        <v>0.5</v>
      </c>
      <c r="PK5" s="152"/>
      <c r="PL5" s="95" t="s">
        <v>120</v>
      </c>
      <c r="PN5" s="151">
        <v>0.2</v>
      </c>
      <c r="PO5" s="152"/>
      <c r="PP5" s="95" t="s">
        <v>120</v>
      </c>
      <c r="PR5" s="145">
        <v>1</v>
      </c>
      <c r="PS5" s="146"/>
      <c r="PT5" s="95" t="s">
        <v>120</v>
      </c>
      <c r="PV5" s="188">
        <v>1</v>
      </c>
      <c r="PW5" s="189"/>
      <c r="PX5" s="190" t="s">
        <v>120</v>
      </c>
      <c r="PZ5" s="151"/>
      <c r="QA5" s="152"/>
      <c r="QB5" s="95" t="s">
        <v>120</v>
      </c>
    </row>
    <row r="6" spans="1:444" ht="12" x14ac:dyDescent="0.2">
      <c r="F6" s="111"/>
      <c r="G6" s="134"/>
      <c r="H6" s="134"/>
      <c r="J6" s="111"/>
      <c r="K6" s="136"/>
      <c r="L6" s="136"/>
      <c r="N6" s="111"/>
      <c r="O6" s="137"/>
      <c r="P6" s="137"/>
      <c r="R6" s="111"/>
      <c r="S6" s="136"/>
      <c r="T6" s="136"/>
      <c r="V6" s="111"/>
      <c r="W6" s="136"/>
      <c r="X6" s="136"/>
      <c r="Z6" s="111"/>
      <c r="AA6" s="137"/>
      <c r="AB6" s="137"/>
      <c r="AD6" s="111"/>
      <c r="AE6" s="135"/>
      <c r="AF6" s="135"/>
      <c r="AH6" s="111"/>
      <c r="AI6" s="134"/>
      <c r="AJ6" s="134"/>
      <c r="AL6" s="111"/>
      <c r="AM6" s="135"/>
      <c r="AN6" s="135"/>
      <c r="AP6" s="111"/>
      <c r="AQ6" s="135"/>
      <c r="AR6" s="135"/>
      <c r="AT6" s="111"/>
      <c r="AU6" s="134"/>
      <c r="AV6" s="134"/>
      <c r="AX6" s="111"/>
      <c r="AY6" s="134"/>
      <c r="AZ6" s="134"/>
      <c r="BB6" s="111"/>
      <c r="BC6" s="134"/>
      <c r="BD6" s="134"/>
      <c r="BF6" s="111"/>
      <c r="BG6" s="134"/>
      <c r="BH6" s="134"/>
      <c r="BJ6" s="111"/>
      <c r="BK6" s="134"/>
      <c r="BL6" s="134"/>
      <c r="BN6" s="111"/>
      <c r="BO6" s="134"/>
      <c r="BP6" s="134"/>
      <c r="BR6" s="111"/>
      <c r="BS6" s="134"/>
      <c r="BT6" s="134"/>
      <c r="BV6" s="111"/>
      <c r="BW6" s="135"/>
      <c r="BX6" s="135"/>
      <c r="BZ6" s="111"/>
      <c r="CA6" s="134"/>
      <c r="CB6" s="134"/>
      <c r="CD6" s="111"/>
      <c r="CE6" s="134"/>
      <c r="CF6" s="134"/>
      <c r="CH6" s="111"/>
      <c r="CI6" s="134"/>
      <c r="CJ6" s="134"/>
      <c r="CL6" s="111"/>
      <c r="CM6" s="134"/>
      <c r="CN6" s="134"/>
      <c r="CP6" s="111"/>
      <c r="CQ6" s="134"/>
      <c r="CR6" s="134"/>
      <c r="CT6" s="111"/>
      <c r="CU6" s="134"/>
      <c r="CV6" s="134"/>
      <c r="CX6" s="111"/>
      <c r="CY6" s="134"/>
      <c r="CZ6" s="134"/>
      <c r="DB6" s="111"/>
      <c r="DC6" s="134"/>
      <c r="DD6" s="134"/>
      <c r="DF6" s="111"/>
      <c r="DG6" s="134"/>
      <c r="DH6" s="134"/>
      <c r="DJ6" s="111"/>
      <c r="DK6" s="134"/>
      <c r="DL6" s="134"/>
      <c r="DN6" s="111"/>
      <c r="DO6" s="134"/>
      <c r="DP6" s="134"/>
      <c r="DR6" s="111"/>
      <c r="DS6" s="134"/>
      <c r="DT6" s="134"/>
      <c r="DV6" s="111"/>
      <c r="DW6" s="134"/>
      <c r="DX6" s="134"/>
      <c r="DZ6" s="111"/>
      <c r="EA6" s="134"/>
      <c r="EB6" s="134"/>
      <c r="ED6" s="111"/>
      <c r="EE6" s="134"/>
      <c r="EF6" s="134"/>
      <c r="EH6" s="111"/>
      <c r="EI6" s="134"/>
      <c r="EJ6" s="134"/>
      <c r="EL6" s="111"/>
      <c r="EM6" s="134"/>
      <c r="EN6" s="134"/>
      <c r="EP6" s="111"/>
      <c r="EQ6" s="134"/>
      <c r="ER6" s="134"/>
      <c r="ET6" s="111"/>
      <c r="EU6" s="134"/>
      <c r="EV6" s="134"/>
      <c r="EX6" s="111"/>
      <c r="EY6" s="134"/>
      <c r="EZ6" s="134"/>
      <c r="FB6" s="111"/>
      <c r="FC6" s="134"/>
      <c r="FD6" s="134"/>
      <c r="FF6" s="111"/>
      <c r="FG6" s="134"/>
      <c r="FH6" s="134"/>
      <c r="FJ6" s="111"/>
      <c r="FK6" s="134"/>
      <c r="FL6" s="134"/>
      <c r="FN6" s="111"/>
      <c r="FO6" s="134"/>
      <c r="FP6" s="134"/>
      <c r="FR6" s="111"/>
      <c r="FS6" s="134"/>
      <c r="FT6" s="134"/>
      <c r="FV6" s="111"/>
      <c r="FW6" s="134"/>
      <c r="FX6" s="134"/>
      <c r="FZ6" s="111"/>
      <c r="GA6" s="134"/>
      <c r="GB6" s="134"/>
      <c r="GD6" s="111"/>
      <c r="GE6" s="134"/>
      <c r="GF6" s="134"/>
      <c r="GH6" s="111"/>
      <c r="GI6" s="135"/>
      <c r="GJ6" s="135"/>
      <c r="GL6" s="111"/>
      <c r="GM6" s="135"/>
      <c r="GN6" s="135"/>
      <c r="GP6" s="111"/>
      <c r="GQ6" s="134"/>
      <c r="GR6" s="134"/>
      <c r="GT6" s="111"/>
      <c r="GU6" s="134"/>
      <c r="GV6" s="134"/>
      <c r="GX6" s="111"/>
      <c r="GY6" s="134"/>
      <c r="GZ6" s="134"/>
      <c r="HB6" s="111"/>
      <c r="HC6" s="134"/>
      <c r="HD6" s="134"/>
      <c r="HF6" s="111"/>
      <c r="HG6" s="134"/>
      <c r="HH6" s="134"/>
      <c r="HJ6" s="111"/>
      <c r="HK6" s="134"/>
      <c r="HL6" s="134"/>
      <c r="HN6" s="111"/>
      <c r="HO6" s="134"/>
      <c r="HP6" s="134"/>
      <c r="HR6" s="111"/>
      <c r="HS6" s="134"/>
      <c r="HT6" s="134"/>
      <c r="PV6" s="191"/>
      <c r="PW6" s="192"/>
      <c r="PX6" s="191"/>
    </row>
    <row r="7" spans="1:444" ht="12.75" customHeight="1" x14ac:dyDescent="0.2">
      <c r="A7" s="111" t="s">
        <v>73</v>
      </c>
      <c r="B7" s="89" t="s">
        <v>74</v>
      </c>
      <c r="C7" s="89" t="s">
        <v>13</v>
      </c>
      <c r="D7" s="90" t="s">
        <v>75</v>
      </c>
      <c r="F7" s="92" t="s">
        <v>76</v>
      </c>
      <c r="G7" s="93" t="s">
        <v>15</v>
      </c>
      <c r="H7" s="112" t="s">
        <v>52</v>
      </c>
      <c r="J7" s="92" t="s">
        <v>76</v>
      </c>
      <c r="K7" s="93" t="s">
        <v>15</v>
      </c>
      <c r="L7" s="92" t="s">
        <v>52</v>
      </c>
      <c r="N7" s="92" t="s">
        <v>76</v>
      </c>
      <c r="O7" s="93" t="s">
        <v>15</v>
      </c>
      <c r="P7" s="92" t="s">
        <v>52</v>
      </c>
      <c r="R7" s="92" t="s">
        <v>76</v>
      </c>
      <c r="S7" s="93" t="s">
        <v>15</v>
      </c>
      <c r="T7" s="92" t="s">
        <v>52</v>
      </c>
      <c r="V7" s="92" t="s">
        <v>76</v>
      </c>
      <c r="W7" s="93" t="s">
        <v>15</v>
      </c>
      <c r="X7" s="92" t="s">
        <v>52</v>
      </c>
      <c r="Z7" s="92" t="s">
        <v>76</v>
      </c>
      <c r="AA7" s="93" t="s">
        <v>15</v>
      </c>
      <c r="AB7" s="92" t="s">
        <v>52</v>
      </c>
      <c r="AD7" s="92" t="s">
        <v>76</v>
      </c>
      <c r="AE7" s="93" t="s">
        <v>15</v>
      </c>
      <c r="AF7" s="92" t="s">
        <v>52</v>
      </c>
      <c r="AH7" s="92" t="s">
        <v>76</v>
      </c>
      <c r="AI7" s="93" t="s">
        <v>15</v>
      </c>
      <c r="AJ7" s="92" t="s">
        <v>52</v>
      </c>
      <c r="AL7" s="92" t="s">
        <v>76</v>
      </c>
      <c r="AM7" s="93" t="s">
        <v>15</v>
      </c>
      <c r="AN7" s="92" t="s">
        <v>52</v>
      </c>
      <c r="AP7" s="92" t="s">
        <v>76</v>
      </c>
      <c r="AQ7" s="93" t="s">
        <v>15</v>
      </c>
      <c r="AR7" s="92" t="s">
        <v>52</v>
      </c>
      <c r="AT7" s="92" t="s">
        <v>76</v>
      </c>
      <c r="AU7" s="93" t="s">
        <v>15</v>
      </c>
      <c r="AV7" s="92" t="s">
        <v>52</v>
      </c>
      <c r="AX7" s="92" t="s">
        <v>76</v>
      </c>
      <c r="AY7" s="93" t="s">
        <v>15</v>
      </c>
      <c r="AZ7" s="92" t="s">
        <v>52</v>
      </c>
      <c r="BB7" s="92" t="s">
        <v>76</v>
      </c>
      <c r="BC7" s="93" t="s">
        <v>15</v>
      </c>
      <c r="BD7" s="92" t="s">
        <v>52</v>
      </c>
      <c r="BF7" s="92" t="s">
        <v>76</v>
      </c>
      <c r="BG7" s="93" t="s">
        <v>15</v>
      </c>
      <c r="BH7" s="92" t="s">
        <v>52</v>
      </c>
      <c r="BJ7" s="92" t="s">
        <v>76</v>
      </c>
      <c r="BK7" s="93" t="s">
        <v>15</v>
      </c>
      <c r="BL7" s="92" t="s">
        <v>52</v>
      </c>
      <c r="BN7" s="92" t="s">
        <v>76</v>
      </c>
      <c r="BO7" s="93" t="s">
        <v>15</v>
      </c>
      <c r="BP7" s="92" t="s">
        <v>52</v>
      </c>
      <c r="BR7" s="92" t="s">
        <v>76</v>
      </c>
      <c r="BS7" s="93" t="s">
        <v>15</v>
      </c>
      <c r="BT7" s="92" t="s">
        <v>52</v>
      </c>
      <c r="BV7" s="92" t="s">
        <v>76</v>
      </c>
      <c r="BW7" s="93" t="s">
        <v>15</v>
      </c>
      <c r="BX7" s="92" t="s">
        <v>52</v>
      </c>
      <c r="BZ7" s="92" t="s">
        <v>76</v>
      </c>
      <c r="CA7" s="93" t="s">
        <v>15</v>
      </c>
      <c r="CB7" s="92" t="s">
        <v>52</v>
      </c>
      <c r="CD7" s="92" t="s">
        <v>76</v>
      </c>
      <c r="CE7" s="93" t="s">
        <v>15</v>
      </c>
      <c r="CF7" s="92" t="s">
        <v>52</v>
      </c>
      <c r="CH7" s="92" t="s">
        <v>76</v>
      </c>
      <c r="CI7" s="93" t="s">
        <v>15</v>
      </c>
      <c r="CJ7" s="92" t="s">
        <v>52</v>
      </c>
      <c r="CL7" s="92" t="s">
        <v>76</v>
      </c>
      <c r="CM7" s="93" t="s">
        <v>15</v>
      </c>
      <c r="CN7" s="92" t="s">
        <v>52</v>
      </c>
      <c r="CP7" s="92" t="s">
        <v>76</v>
      </c>
      <c r="CQ7" s="93" t="s">
        <v>15</v>
      </c>
      <c r="CR7" s="92" t="s">
        <v>52</v>
      </c>
      <c r="CT7" s="92" t="s">
        <v>76</v>
      </c>
      <c r="CU7" s="93" t="s">
        <v>15</v>
      </c>
      <c r="CV7" s="92" t="s">
        <v>52</v>
      </c>
      <c r="CX7" s="92" t="s">
        <v>76</v>
      </c>
      <c r="CY7" s="93" t="s">
        <v>15</v>
      </c>
      <c r="CZ7" s="92" t="s">
        <v>52</v>
      </c>
      <c r="DB7" s="92" t="s">
        <v>76</v>
      </c>
      <c r="DC7" s="93" t="s">
        <v>15</v>
      </c>
      <c r="DD7" s="92" t="s">
        <v>52</v>
      </c>
      <c r="DF7" s="92" t="s">
        <v>76</v>
      </c>
      <c r="DG7" s="93" t="s">
        <v>15</v>
      </c>
      <c r="DH7" s="92" t="s">
        <v>52</v>
      </c>
      <c r="DJ7" s="92" t="s">
        <v>76</v>
      </c>
      <c r="DK7" s="93" t="s">
        <v>15</v>
      </c>
      <c r="DL7" s="92" t="s">
        <v>52</v>
      </c>
      <c r="DN7" s="92" t="s">
        <v>76</v>
      </c>
      <c r="DO7" s="93" t="s">
        <v>15</v>
      </c>
      <c r="DP7" s="92" t="s">
        <v>52</v>
      </c>
      <c r="DR7" s="92" t="s">
        <v>76</v>
      </c>
      <c r="DS7" s="93" t="s">
        <v>15</v>
      </c>
      <c r="DT7" s="92" t="s">
        <v>52</v>
      </c>
      <c r="DV7" s="92" t="s">
        <v>76</v>
      </c>
      <c r="DW7" s="93" t="s">
        <v>15</v>
      </c>
      <c r="DX7" s="92" t="s">
        <v>52</v>
      </c>
      <c r="DZ7" s="92" t="s">
        <v>76</v>
      </c>
      <c r="EA7" s="93" t="s">
        <v>15</v>
      </c>
      <c r="EB7" s="92" t="s">
        <v>52</v>
      </c>
      <c r="ED7" s="92" t="s">
        <v>76</v>
      </c>
      <c r="EE7" s="93" t="s">
        <v>15</v>
      </c>
      <c r="EF7" s="92" t="s">
        <v>52</v>
      </c>
      <c r="EH7" s="92" t="s">
        <v>76</v>
      </c>
      <c r="EI7" s="93" t="s">
        <v>15</v>
      </c>
      <c r="EJ7" s="92" t="s">
        <v>52</v>
      </c>
      <c r="EL7" s="92" t="s">
        <v>76</v>
      </c>
      <c r="EM7" s="93" t="s">
        <v>15</v>
      </c>
      <c r="EN7" s="92" t="s">
        <v>52</v>
      </c>
      <c r="EP7" s="92" t="s">
        <v>76</v>
      </c>
      <c r="EQ7" s="93" t="s">
        <v>15</v>
      </c>
      <c r="ER7" s="92" t="s">
        <v>52</v>
      </c>
      <c r="ET7" s="92" t="s">
        <v>76</v>
      </c>
      <c r="EU7" s="93" t="s">
        <v>15</v>
      </c>
      <c r="EV7" s="92" t="s">
        <v>52</v>
      </c>
      <c r="EX7" s="92" t="s">
        <v>76</v>
      </c>
      <c r="EY7" s="93" t="s">
        <v>15</v>
      </c>
      <c r="EZ7" s="92" t="s">
        <v>52</v>
      </c>
      <c r="FB7" s="92" t="s">
        <v>76</v>
      </c>
      <c r="FC7" s="93" t="s">
        <v>15</v>
      </c>
      <c r="FD7" s="92" t="s">
        <v>52</v>
      </c>
      <c r="FF7" s="92" t="s">
        <v>76</v>
      </c>
      <c r="FG7" s="93" t="s">
        <v>15</v>
      </c>
      <c r="FH7" s="92" t="s">
        <v>52</v>
      </c>
      <c r="FJ7" s="92" t="s">
        <v>76</v>
      </c>
      <c r="FK7" s="93" t="s">
        <v>15</v>
      </c>
      <c r="FL7" s="92" t="s">
        <v>52</v>
      </c>
      <c r="FN7" s="92" t="s">
        <v>76</v>
      </c>
      <c r="FO7" s="93" t="s">
        <v>15</v>
      </c>
      <c r="FP7" s="92" t="s">
        <v>52</v>
      </c>
      <c r="FR7" s="92" t="s">
        <v>76</v>
      </c>
      <c r="FS7" s="93" t="s">
        <v>15</v>
      </c>
      <c r="FT7" s="92" t="s">
        <v>52</v>
      </c>
      <c r="FV7" s="92" t="s">
        <v>76</v>
      </c>
      <c r="FW7" s="93" t="s">
        <v>15</v>
      </c>
      <c r="FX7" s="92" t="s">
        <v>52</v>
      </c>
      <c r="FZ7" s="92" t="s">
        <v>76</v>
      </c>
      <c r="GA7" s="93" t="s">
        <v>15</v>
      </c>
      <c r="GB7" s="92" t="s">
        <v>52</v>
      </c>
      <c r="GD7" s="92" t="s">
        <v>76</v>
      </c>
      <c r="GE7" s="93" t="s">
        <v>15</v>
      </c>
      <c r="GF7" s="92" t="s">
        <v>52</v>
      </c>
      <c r="GH7" s="92" t="s">
        <v>76</v>
      </c>
      <c r="GI7" s="93" t="s">
        <v>15</v>
      </c>
      <c r="GJ7" s="92" t="s">
        <v>52</v>
      </c>
      <c r="GL7" s="92" t="s">
        <v>76</v>
      </c>
      <c r="GM7" s="93" t="s">
        <v>15</v>
      </c>
      <c r="GN7" s="92" t="s">
        <v>52</v>
      </c>
      <c r="GP7" s="92" t="s">
        <v>76</v>
      </c>
      <c r="GQ7" s="93" t="s">
        <v>15</v>
      </c>
      <c r="GR7" s="92" t="s">
        <v>52</v>
      </c>
      <c r="GT7" s="92" t="s">
        <v>76</v>
      </c>
      <c r="GU7" s="93" t="s">
        <v>15</v>
      </c>
      <c r="GV7" s="92" t="s">
        <v>52</v>
      </c>
      <c r="GX7" s="92" t="s">
        <v>76</v>
      </c>
      <c r="GY7" s="93" t="s">
        <v>15</v>
      </c>
      <c r="GZ7" s="92" t="s">
        <v>52</v>
      </c>
      <c r="HB7" s="92" t="s">
        <v>76</v>
      </c>
      <c r="HC7" s="93" t="s">
        <v>15</v>
      </c>
      <c r="HD7" s="92" t="s">
        <v>52</v>
      </c>
      <c r="HF7" s="92" t="s">
        <v>76</v>
      </c>
      <c r="HG7" s="93" t="s">
        <v>15</v>
      </c>
      <c r="HH7" s="92" t="s">
        <v>52</v>
      </c>
      <c r="HJ7" s="92" t="s">
        <v>76</v>
      </c>
      <c r="HK7" s="93" t="s">
        <v>15</v>
      </c>
      <c r="HL7" s="92" t="s">
        <v>52</v>
      </c>
      <c r="HN7" s="92" t="s">
        <v>76</v>
      </c>
      <c r="HO7" s="93" t="s">
        <v>15</v>
      </c>
      <c r="HP7" s="92" t="s">
        <v>52</v>
      </c>
      <c r="HR7" s="92" t="s">
        <v>76</v>
      </c>
      <c r="HS7" s="93" t="s">
        <v>15</v>
      </c>
      <c r="HT7" s="92" t="s">
        <v>52</v>
      </c>
      <c r="HV7" s="92" t="s">
        <v>76</v>
      </c>
      <c r="HW7" s="93" t="s">
        <v>15</v>
      </c>
      <c r="HX7" s="92" t="s">
        <v>52</v>
      </c>
      <c r="HZ7" s="92" t="s">
        <v>76</v>
      </c>
      <c r="IA7" s="93" t="s">
        <v>15</v>
      </c>
      <c r="IB7" s="92" t="s">
        <v>52</v>
      </c>
      <c r="ID7" s="92" t="s">
        <v>76</v>
      </c>
      <c r="IE7" s="93" t="s">
        <v>15</v>
      </c>
      <c r="IF7" s="92" t="s">
        <v>52</v>
      </c>
      <c r="IH7" s="92" t="s">
        <v>76</v>
      </c>
      <c r="II7" s="93" t="s">
        <v>15</v>
      </c>
      <c r="IJ7" s="92" t="s">
        <v>52</v>
      </c>
      <c r="IL7" s="92" t="s">
        <v>76</v>
      </c>
      <c r="IM7" s="93" t="s">
        <v>15</v>
      </c>
      <c r="IN7" s="92" t="s">
        <v>52</v>
      </c>
      <c r="IP7" s="92" t="s">
        <v>76</v>
      </c>
      <c r="IQ7" s="93" t="s">
        <v>15</v>
      </c>
      <c r="IR7" s="92" t="s">
        <v>52</v>
      </c>
      <c r="IT7" s="92" t="s">
        <v>76</v>
      </c>
      <c r="IU7" s="93" t="s">
        <v>15</v>
      </c>
      <c r="IV7" s="92" t="s">
        <v>52</v>
      </c>
      <c r="IX7" s="92" t="s">
        <v>76</v>
      </c>
      <c r="IY7" s="93" t="s">
        <v>15</v>
      </c>
      <c r="IZ7" s="92" t="s">
        <v>52</v>
      </c>
      <c r="JB7" s="92" t="s">
        <v>76</v>
      </c>
      <c r="JC7" s="93" t="s">
        <v>15</v>
      </c>
      <c r="JD7" s="92" t="s">
        <v>52</v>
      </c>
      <c r="JF7" s="92" t="s">
        <v>76</v>
      </c>
      <c r="JG7" s="93" t="s">
        <v>15</v>
      </c>
      <c r="JH7" s="92" t="s">
        <v>52</v>
      </c>
      <c r="JJ7" s="92" t="s">
        <v>76</v>
      </c>
      <c r="JK7" s="93" t="s">
        <v>15</v>
      </c>
      <c r="JL7" s="92" t="s">
        <v>52</v>
      </c>
      <c r="JN7" s="92" t="s">
        <v>76</v>
      </c>
      <c r="JO7" s="93" t="s">
        <v>15</v>
      </c>
      <c r="JP7" s="92" t="s">
        <v>52</v>
      </c>
      <c r="JR7" s="92" t="s">
        <v>76</v>
      </c>
      <c r="JS7" s="93" t="s">
        <v>15</v>
      </c>
      <c r="JT7" s="92" t="s">
        <v>52</v>
      </c>
      <c r="JV7" s="92" t="s">
        <v>76</v>
      </c>
      <c r="JW7" s="93" t="s">
        <v>15</v>
      </c>
      <c r="JX7" s="92" t="s">
        <v>52</v>
      </c>
      <c r="JZ7" s="92" t="s">
        <v>76</v>
      </c>
      <c r="KA7" s="93" t="s">
        <v>15</v>
      </c>
      <c r="KB7" s="92" t="s">
        <v>52</v>
      </c>
      <c r="KD7" s="92" t="s">
        <v>76</v>
      </c>
      <c r="KE7" s="93" t="s">
        <v>15</v>
      </c>
      <c r="KF7" s="92" t="s">
        <v>52</v>
      </c>
      <c r="KH7" s="92" t="s">
        <v>76</v>
      </c>
      <c r="KI7" s="93" t="s">
        <v>15</v>
      </c>
      <c r="KJ7" s="92" t="s">
        <v>52</v>
      </c>
      <c r="KL7" s="92" t="s">
        <v>76</v>
      </c>
      <c r="KM7" s="93" t="s">
        <v>15</v>
      </c>
      <c r="KN7" s="92" t="s">
        <v>52</v>
      </c>
      <c r="KP7" s="92" t="s">
        <v>76</v>
      </c>
      <c r="KQ7" s="93" t="s">
        <v>15</v>
      </c>
      <c r="KR7" s="92" t="s">
        <v>52</v>
      </c>
      <c r="KT7" s="92" t="s">
        <v>76</v>
      </c>
      <c r="KU7" s="93" t="s">
        <v>15</v>
      </c>
      <c r="KV7" s="92" t="s">
        <v>52</v>
      </c>
      <c r="KX7" s="92" t="s">
        <v>76</v>
      </c>
      <c r="KY7" s="93" t="s">
        <v>15</v>
      </c>
      <c r="KZ7" s="92" t="s">
        <v>52</v>
      </c>
      <c r="LB7" s="92" t="s">
        <v>76</v>
      </c>
      <c r="LC7" s="93" t="s">
        <v>15</v>
      </c>
      <c r="LD7" s="92" t="s">
        <v>52</v>
      </c>
      <c r="LF7" s="92" t="s">
        <v>76</v>
      </c>
      <c r="LG7" s="93" t="s">
        <v>15</v>
      </c>
      <c r="LH7" s="92" t="s">
        <v>52</v>
      </c>
      <c r="LJ7" s="92" t="s">
        <v>76</v>
      </c>
      <c r="LK7" s="93" t="s">
        <v>15</v>
      </c>
      <c r="LL7" s="92" t="s">
        <v>52</v>
      </c>
      <c r="LN7" s="92" t="s">
        <v>76</v>
      </c>
      <c r="LO7" s="93" t="s">
        <v>15</v>
      </c>
      <c r="LP7" s="92" t="s">
        <v>52</v>
      </c>
      <c r="LR7" s="92" t="s">
        <v>76</v>
      </c>
      <c r="LS7" s="93" t="s">
        <v>15</v>
      </c>
      <c r="LT7" s="92" t="s">
        <v>52</v>
      </c>
      <c r="LV7" s="92" t="s">
        <v>76</v>
      </c>
      <c r="LW7" s="93" t="s">
        <v>15</v>
      </c>
      <c r="LX7" s="92" t="s">
        <v>52</v>
      </c>
      <c r="LZ7" s="92" t="s">
        <v>76</v>
      </c>
      <c r="MA7" s="93" t="s">
        <v>15</v>
      </c>
      <c r="MB7" s="92" t="s">
        <v>52</v>
      </c>
      <c r="MD7" s="92" t="s">
        <v>76</v>
      </c>
      <c r="ME7" s="93" t="s">
        <v>15</v>
      </c>
      <c r="MF7" s="92" t="s">
        <v>52</v>
      </c>
      <c r="MH7" s="92" t="s">
        <v>76</v>
      </c>
      <c r="MI7" s="93" t="s">
        <v>15</v>
      </c>
      <c r="MJ7" s="92" t="s">
        <v>52</v>
      </c>
      <c r="ML7" s="92" t="s">
        <v>76</v>
      </c>
      <c r="MM7" s="93" t="s">
        <v>15</v>
      </c>
      <c r="MN7" s="92" t="s">
        <v>52</v>
      </c>
      <c r="MP7" s="92" t="s">
        <v>76</v>
      </c>
      <c r="MQ7" s="93" t="s">
        <v>15</v>
      </c>
      <c r="MR7" s="92" t="s">
        <v>52</v>
      </c>
      <c r="MT7" s="92" t="s">
        <v>76</v>
      </c>
      <c r="MU7" s="93" t="s">
        <v>15</v>
      </c>
      <c r="MV7" s="92" t="s">
        <v>52</v>
      </c>
      <c r="MX7" s="92" t="s">
        <v>76</v>
      </c>
      <c r="MY7" s="93" t="s">
        <v>15</v>
      </c>
      <c r="MZ7" s="92" t="s">
        <v>52</v>
      </c>
      <c r="NB7" s="92" t="s">
        <v>76</v>
      </c>
      <c r="NC7" s="93" t="s">
        <v>15</v>
      </c>
      <c r="ND7" s="92" t="s">
        <v>52</v>
      </c>
      <c r="NF7" s="92" t="s">
        <v>76</v>
      </c>
      <c r="NG7" s="93" t="s">
        <v>15</v>
      </c>
      <c r="NH7" s="92" t="s">
        <v>52</v>
      </c>
      <c r="NJ7" s="92" t="s">
        <v>76</v>
      </c>
      <c r="NK7" s="93" t="s">
        <v>15</v>
      </c>
      <c r="NL7" s="92" t="s">
        <v>52</v>
      </c>
      <c r="NN7" s="92" t="s">
        <v>76</v>
      </c>
      <c r="NO7" s="93" t="s">
        <v>15</v>
      </c>
      <c r="NP7" s="92" t="s">
        <v>52</v>
      </c>
      <c r="NR7" s="92" t="s">
        <v>76</v>
      </c>
      <c r="NS7" s="93" t="s">
        <v>15</v>
      </c>
      <c r="NT7" s="92" t="s">
        <v>52</v>
      </c>
      <c r="NV7" s="92" t="s">
        <v>76</v>
      </c>
      <c r="NW7" s="93" t="s">
        <v>15</v>
      </c>
      <c r="NX7" s="92" t="s">
        <v>52</v>
      </c>
      <c r="NZ7" s="92" t="s">
        <v>76</v>
      </c>
      <c r="OA7" s="93" t="s">
        <v>15</v>
      </c>
      <c r="OB7" s="92" t="s">
        <v>52</v>
      </c>
      <c r="OD7" s="92" t="s">
        <v>76</v>
      </c>
      <c r="OE7" s="93" t="s">
        <v>15</v>
      </c>
      <c r="OF7" s="92" t="s">
        <v>52</v>
      </c>
      <c r="OH7" s="92" t="s">
        <v>76</v>
      </c>
      <c r="OI7" s="93" t="s">
        <v>15</v>
      </c>
      <c r="OJ7" s="92" t="s">
        <v>52</v>
      </c>
      <c r="OL7" s="92" t="s">
        <v>76</v>
      </c>
      <c r="OM7" s="93" t="s">
        <v>15</v>
      </c>
      <c r="ON7" s="92" t="s">
        <v>52</v>
      </c>
      <c r="OP7" s="92" t="s">
        <v>76</v>
      </c>
      <c r="OQ7" s="93" t="s">
        <v>15</v>
      </c>
      <c r="OR7" s="92" t="s">
        <v>52</v>
      </c>
      <c r="OT7" s="92" t="s">
        <v>76</v>
      </c>
      <c r="OU7" s="93" t="s">
        <v>15</v>
      </c>
      <c r="OV7" s="92" t="s">
        <v>52</v>
      </c>
      <c r="OX7" s="92" t="s">
        <v>76</v>
      </c>
      <c r="OY7" s="93" t="s">
        <v>15</v>
      </c>
      <c r="OZ7" s="92" t="s">
        <v>52</v>
      </c>
      <c r="PB7" s="92" t="s">
        <v>76</v>
      </c>
      <c r="PC7" s="93" t="s">
        <v>15</v>
      </c>
      <c r="PD7" s="92" t="s">
        <v>52</v>
      </c>
      <c r="PF7" s="92" t="s">
        <v>76</v>
      </c>
      <c r="PG7" s="93" t="s">
        <v>15</v>
      </c>
      <c r="PH7" s="92" t="s">
        <v>52</v>
      </c>
      <c r="PJ7" s="92" t="s">
        <v>76</v>
      </c>
      <c r="PK7" s="93" t="s">
        <v>15</v>
      </c>
      <c r="PL7" s="92" t="s">
        <v>52</v>
      </c>
      <c r="PN7" s="92" t="s">
        <v>76</v>
      </c>
      <c r="PO7" s="93" t="s">
        <v>15</v>
      </c>
      <c r="PP7" s="92" t="s">
        <v>52</v>
      </c>
      <c r="PR7" s="92" t="s">
        <v>76</v>
      </c>
      <c r="PS7" s="93" t="s">
        <v>15</v>
      </c>
      <c r="PT7" s="92" t="s">
        <v>52</v>
      </c>
      <c r="PV7" s="187" t="s">
        <v>76</v>
      </c>
      <c r="PW7" s="193" t="s">
        <v>15</v>
      </c>
      <c r="PX7" s="187" t="s">
        <v>52</v>
      </c>
      <c r="PZ7" s="133" t="s">
        <v>76</v>
      </c>
      <c r="QA7" s="93" t="s">
        <v>15</v>
      </c>
      <c r="QB7" s="92" t="s">
        <v>52</v>
      </c>
    </row>
    <row r="8" spans="1:444" ht="12.75" customHeight="1" x14ac:dyDescent="0.2">
      <c r="A8" s="124" t="s">
        <v>77</v>
      </c>
      <c r="B8" s="123" t="s">
        <v>78</v>
      </c>
      <c r="C8" s="87">
        <v>4.5</v>
      </c>
      <c r="D8" s="97" t="s">
        <v>79</v>
      </c>
      <c r="F8" s="95"/>
      <c r="G8" s="96"/>
      <c r="H8" s="113"/>
      <c r="J8" s="95"/>
      <c r="K8" s="96"/>
      <c r="L8" s="95"/>
      <c r="N8" s="105"/>
      <c r="O8" s="96"/>
      <c r="P8" s="95"/>
      <c r="R8" s="95"/>
      <c r="S8" s="96"/>
      <c r="T8" s="95"/>
      <c r="V8" s="95"/>
      <c r="W8" s="96"/>
      <c r="X8" s="95"/>
      <c r="Z8" s="105"/>
      <c r="AA8" s="96"/>
      <c r="AB8" s="95"/>
      <c r="AD8" s="105"/>
      <c r="AE8" s="96"/>
      <c r="AF8" s="95"/>
      <c r="AH8" s="95"/>
      <c r="AI8" s="96"/>
      <c r="AJ8" s="95"/>
      <c r="AL8" s="105"/>
      <c r="AM8" s="96"/>
      <c r="AN8" s="95"/>
      <c r="AP8" s="105"/>
      <c r="AQ8" s="96"/>
      <c r="AR8" s="95"/>
      <c r="AT8" s="95"/>
      <c r="AU8" s="96"/>
      <c r="AV8" s="95"/>
      <c r="AX8" s="95"/>
      <c r="AY8" s="96"/>
      <c r="AZ8" s="95"/>
      <c r="BB8" s="95"/>
      <c r="BC8" s="96"/>
      <c r="BD8" s="95"/>
      <c r="BF8" s="95"/>
      <c r="BG8" s="96"/>
      <c r="BH8" s="95"/>
      <c r="BJ8" s="95"/>
      <c r="BK8" s="96"/>
      <c r="BL8" s="95"/>
      <c r="BN8" s="95"/>
      <c r="BO8" s="96"/>
      <c r="BP8" s="95"/>
      <c r="BR8" s="115"/>
      <c r="BS8" s="116"/>
      <c r="BT8" s="115"/>
      <c r="BV8" s="105"/>
      <c r="BW8" s="96"/>
      <c r="BX8" s="95"/>
      <c r="BZ8" s="95"/>
      <c r="CA8" s="96"/>
      <c r="CB8" s="95"/>
      <c r="CD8" s="95"/>
      <c r="CE8" s="96"/>
      <c r="CF8" s="95"/>
      <c r="CH8" s="95"/>
      <c r="CI8" s="96"/>
      <c r="CJ8" s="95"/>
      <c r="CL8" s="95"/>
      <c r="CM8" s="96"/>
      <c r="CN8" s="95"/>
      <c r="CP8" s="95"/>
      <c r="CQ8" s="96"/>
      <c r="CR8" s="95"/>
      <c r="CT8" s="95"/>
      <c r="CU8" s="96"/>
      <c r="CV8" s="95"/>
      <c r="CX8" s="95"/>
      <c r="CY8" s="96"/>
      <c r="CZ8" s="95"/>
      <c r="DB8" s="95"/>
      <c r="DC8" s="96"/>
      <c r="DD8" s="95"/>
      <c r="DF8" s="95"/>
      <c r="DG8" s="96"/>
      <c r="DH8" s="95"/>
      <c r="DJ8" s="95"/>
      <c r="DK8" s="96"/>
      <c r="DL8" s="95"/>
      <c r="DN8" s="95"/>
      <c r="DO8" s="96"/>
      <c r="DP8" s="95"/>
      <c r="DR8" s="95"/>
      <c r="DS8" s="96"/>
      <c r="DT8" s="95"/>
      <c r="DV8" s="95"/>
      <c r="DW8" s="96"/>
      <c r="DX8" s="95"/>
      <c r="DZ8" s="95"/>
      <c r="EA8" s="96"/>
      <c r="EB8" s="95"/>
      <c r="ED8" s="95"/>
      <c r="EE8" s="96"/>
      <c r="EF8" s="95"/>
      <c r="EH8" s="95"/>
      <c r="EI8" s="96"/>
      <c r="EJ8" s="95"/>
      <c r="EL8" s="95">
        <v>0</v>
      </c>
      <c r="EM8" s="96"/>
      <c r="EN8" s="95">
        <f>IF(ISNUMBER(EL8), (EH8+EI8)-EL8, "")</f>
        <v>0</v>
      </c>
      <c r="EP8" s="95">
        <v>0</v>
      </c>
      <c r="EQ8" s="96">
        <v>4</v>
      </c>
      <c r="ER8" s="95">
        <f>IF(ISNUMBER(EP8), (EL8+EM8)-EP8, "")</f>
        <v>0</v>
      </c>
      <c r="ET8" s="95">
        <v>4</v>
      </c>
      <c r="EU8" s="96"/>
      <c r="EV8" s="95">
        <f>IF(ISNUMBER(ET8), (EP8+EQ8)-ET8, "")</f>
        <v>0</v>
      </c>
      <c r="EX8" s="95">
        <v>4</v>
      </c>
      <c r="EY8" s="96"/>
      <c r="EZ8" s="95">
        <f>IF(ISNUMBER(EX8), (ET8+EU8)-EX8, "")</f>
        <v>0</v>
      </c>
      <c r="FB8" s="95">
        <v>4</v>
      </c>
      <c r="FC8" s="96"/>
      <c r="FD8" s="95">
        <f>IF(ISNUMBER(FB8), (EX8+EY8)-FB8, "")</f>
        <v>0</v>
      </c>
      <c r="FF8" s="95">
        <v>3</v>
      </c>
      <c r="FG8" s="96"/>
      <c r="FH8" s="95">
        <f>IF(ISNUMBER(FF8), (FB8+FC8)-FF8, "")</f>
        <v>1</v>
      </c>
      <c r="FJ8" s="95">
        <v>1.7</v>
      </c>
      <c r="FK8" s="96">
        <v>2</v>
      </c>
      <c r="FL8" s="95">
        <f>IF(ISNUMBER(FJ8), (FF8+FG8)-FJ8, "")</f>
        <v>1.3</v>
      </c>
      <c r="FN8" s="95">
        <v>3.6</v>
      </c>
      <c r="FO8" s="96"/>
      <c r="FP8" s="95">
        <f>IF(ISNUMBER(FN8), (FJ8+FK8)-FN8, "")</f>
        <v>0.10000000000000009</v>
      </c>
      <c r="FR8" s="95">
        <v>3.5</v>
      </c>
      <c r="FS8" s="96"/>
      <c r="FT8" s="95">
        <f>IF(ISNUMBER(FR8), (FN8+FO8)-FR8, "")</f>
        <v>0.10000000000000009</v>
      </c>
      <c r="FV8" s="95">
        <v>2.2999999999999998</v>
      </c>
      <c r="FW8" s="96"/>
      <c r="FX8" s="95">
        <f>IF(ISNUMBER(FV8), (FR8+FS8)-FV8, "")</f>
        <v>1.2000000000000002</v>
      </c>
      <c r="FZ8" s="95">
        <v>1.2</v>
      </c>
      <c r="GA8" s="96">
        <v>2</v>
      </c>
      <c r="GB8" s="95">
        <f>IF(ISNUMBER(FZ8), (FV8+FW8)-FZ8, "")</f>
        <v>1.0999999999999999</v>
      </c>
      <c r="GD8" s="95">
        <v>2</v>
      </c>
      <c r="GE8" s="96"/>
      <c r="GF8" s="95">
        <f>IF(ISNUMBER(GD8), (FZ8+GA8)-GD8, "")</f>
        <v>1.2000000000000002</v>
      </c>
      <c r="GH8" s="105">
        <v>1.1000000000000001</v>
      </c>
      <c r="GI8" s="96">
        <v>3</v>
      </c>
      <c r="GJ8" s="95">
        <f>IF(ISNUMBER(GH8), (GD8+GE8)-GH8, "")</f>
        <v>0.89999999999999991</v>
      </c>
      <c r="GL8" s="105">
        <v>3.9</v>
      </c>
      <c r="GM8" s="96"/>
      <c r="GN8" s="95">
        <f>IF(ISNUMBER(GL8), (GH8+GI8)-GL8, "")</f>
        <v>0.19999999999999973</v>
      </c>
      <c r="GP8" s="95">
        <v>2.4300000000000002</v>
      </c>
      <c r="GQ8" s="96">
        <v>2</v>
      </c>
      <c r="GR8" s="95">
        <f>IF(ISNUMBER(GP8), (GL8+GM8)-GP8, "")</f>
        <v>1.4699999999999998</v>
      </c>
      <c r="GT8" s="95">
        <v>3.2</v>
      </c>
      <c r="GU8" s="96"/>
      <c r="GV8" s="95">
        <f>IF(ISNUMBER(GT8), (GP8+GQ8)-GT8, "")</f>
        <v>1.2299999999999995</v>
      </c>
      <c r="GX8" s="95">
        <v>2.2999999999999998</v>
      </c>
      <c r="GY8" s="96">
        <v>2</v>
      </c>
      <c r="GZ8" s="95">
        <f>IF(ISNUMBER(GX8), (GT8+GU8)-GX8, "")</f>
        <v>0.90000000000000036</v>
      </c>
      <c r="HB8" s="95">
        <v>4.2</v>
      </c>
      <c r="HC8" s="96"/>
      <c r="HD8" s="95">
        <f>IF(ISNUMBER(HB8), (GX8+GY8)-HB8, "")</f>
        <v>9.9999999999999645E-2</v>
      </c>
      <c r="HF8" s="95">
        <v>3.8</v>
      </c>
      <c r="HG8" s="96"/>
      <c r="HH8" s="95">
        <f>IF(ISNUMBER(HF8), (HB8+HC8)-HF8, "")</f>
        <v>0.40000000000000036</v>
      </c>
      <c r="HJ8" s="95">
        <v>2.5</v>
      </c>
      <c r="HK8" s="96"/>
      <c r="HL8" s="95">
        <f>IF(ISNUMBER(HJ8), (HF8+HG8)-HJ8, "")</f>
        <v>1.2999999999999998</v>
      </c>
      <c r="HN8" s="95">
        <v>2.2999999999999998</v>
      </c>
      <c r="HO8" s="96">
        <v>2</v>
      </c>
      <c r="HP8" s="95">
        <f>IF(ISNUMBER(HN8), (HJ8+HK8)-HN8, "")</f>
        <v>0.20000000000000018</v>
      </c>
      <c r="HR8" s="95">
        <v>4.3</v>
      </c>
      <c r="HS8" s="96"/>
      <c r="HT8" s="95">
        <f>IF(ISNUMBER(HR8), (HN8+HO8)-HR8, "")</f>
        <v>0</v>
      </c>
      <c r="HV8" s="95">
        <v>3.4</v>
      </c>
      <c r="HW8" s="96"/>
      <c r="HX8" s="95">
        <f>IF(ISNUMBER(HV8), (HR8+HS8)-HV8, "")</f>
        <v>0.89999999999999991</v>
      </c>
      <c r="HZ8" s="115">
        <v>3.1</v>
      </c>
      <c r="IA8" s="96"/>
      <c r="IB8" s="95">
        <f>IF(ISNUMBER(HZ8), (HV8+HW8)-HZ8, "")</f>
        <v>0.29999999999999982</v>
      </c>
      <c r="ID8" s="95">
        <v>1.6</v>
      </c>
      <c r="IE8" s="96">
        <v>1</v>
      </c>
      <c r="IF8" s="95">
        <f>IF(ISNUMBER(ID8), (HZ8+IA8)-ID8, "")</f>
        <v>1.5</v>
      </c>
      <c r="IH8" s="115">
        <v>2.5</v>
      </c>
      <c r="II8" s="96"/>
      <c r="IJ8" s="95">
        <f>IF(ISNUMBER(IH8), (ID8+IE8)-IH8, "")</f>
        <v>0.10000000000000009</v>
      </c>
      <c r="IL8" s="95">
        <v>2.5</v>
      </c>
      <c r="IM8" s="96"/>
      <c r="IN8" s="95">
        <f>IF(ISNUMBER(IL8), (IH8+II8)-IL8, "")</f>
        <v>0</v>
      </c>
      <c r="IP8" s="95">
        <v>2.2000000000000002</v>
      </c>
      <c r="IQ8" s="96"/>
      <c r="IR8" s="95">
        <f>IF(ISNUMBER(IP8), (IL8+IM8)-IP8, "")</f>
        <v>0.29999999999999982</v>
      </c>
      <c r="IT8" s="95">
        <v>1.2</v>
      </c>
      <c r="IU8" s="96">
        <v>1</v>
      </c>
      <c r="IV8" s="95">
        <f>IF(ISNUMBER(IT8), (IP8+IQ8)-IT8, "")</f>
        <v>1.0000000000000002</v>
      </c>
      <c r="IX8" s="95">
        <v>1.8</v>
      </c>
      <c r="IY8" s="96"/>
      <c r="IZ8" s="95">
        <f>IF(ISNUMBER(IX8), (IT8+IU8)-IX8, "")</f>
        <v>0.40000000000000013</v>
      </c>
      <c r="JB8" s="95">
        <v>1.3</v>
      </c>
      <c r="JC8" s="96">
        <v>1</v>
      </c>
      <c r="JD8" s="95">
        <f>IF(ISNUMBER(JB8), (IX8+IY8)-JB8, "")</f>
        <v>0.5</v>
      </c>
      <c r="JF8" s="95">
        <v>2.2000000000000002</v>
      </c>
      <c r="JG8" s="96"/>
      <c r="JH8" s="95">
        <f>IF(ISNUMBER(JF8), (JB8+JC8)-JF8, "")</f>
        <v>9.9999999999999645E-2</v>
      </c>
      <c r="JJ8" s="95">
        <v>1.7</v>
      </c>
      <c r="JK8" s="96"/>
      <c r="JL8" s="95">
        <f>IF(ISNUMBER(JJ8), (JF8+JG8)-JJ8, "")</f>
        <v>0.50000000000000022</v>
      </c>
      <c r="JN8" s="95">
        <v>1.4</v>
      </c>
      <c r="JO8" s="96"/>
      <c r="JP8" s="95">
        <f>IF(ISNUMBER(JN8), (JJ8+JK8)-JN8, "")</f>
        <v>0.30000000000000004</v>
      </c>
      <c r="JR8" s="95">
        <v>0.8</v>
      </c>
      <c r="JS8" s="96">
        <v>1</v>
      </c>
      <c r="JT8" s="95">
        <f>IF(ISNUMBER(JR8), (JN8+JO8)-JR8, "")</f>
        <v>0.59999999999999987</v>
      </c>
      <c r="JV8" s="95">
        <v>1.2</v>
      </c>
      <c r="JW8" s="96">
        <v>1</v>
      </c>
      <c r="JX8" s="95">
        <f>IF(ISNUMBER(JV8), (JR8+JS8)-JV8, "")</f>
        <v>0.60000000000000009</v>
      </c>
      <c r="JZ8" s="95">
        <v>1.9</v>
      </c>
      <c r="KA8" s="96"/>
      <c r="KB8" s="95">
        <f>IF(ISNUMBER(JZ8), (JV8+JW8)-JZ8, "")</f>
        <v>0.30000000000000027</v>
      </c>
      <c r="KD8" s="95">
        <v>0.4</v>
      </c>
      <c r="KE8" s="96">
        <v>2</v>
      </c>
      <c r="KF8" s="95">
        <f>IF(ISNUMBER(KD8), (JZ8+KA8)-KD8, "")</f>
        <v>1.5</v>
      </c>
      <c r="KH8" s="95">
        <v>1.7</v>
      </c>
      <c r="KI8" s="96"/>
      <c r="KJ8" s="95">
        <f>IF(ISNUMBER(KH8), (KD8+KE8)-KH8, "")</f>
        <v>0.7</v>
      </c>
      <c r="KL8" s="95">
        <v>0.9</v>
      </c>
      <c r="KM8" s="96">
        <v>2</v>
      </c>
      <c r="KN8" s="95">
        <f>IF(ISNUMBER(KL8), (KH8+KI8)-KL8, "")</f>
        <v>0.79999999999999993</v>
      </c>
      <c r="KP8" s="95">
        <v>2.7</v>
      </c>
      <c r="KQ8" s="96"/>
      <c r="KR8" s="95">
        <f>IF(ISNUMBER(KP8), (KL8+KM8)-KP8, "")</f>
        <v>0.19999999999999973</v>
      </c>
      <c r="KT8" s="95">
        <v>2.2999999999999998</v>
      </c>
      <c r="KU8" s="96"/>
      <c r="KV8" s="95">
        <f>IF(ISNUMBER(KT8), (KP8+KQ8)-KT8, "")</f>
        <v>0.40000000000000036</v>
      </c>
      <c r="KX8" s="95">
        <v>2.2000000000000002</v>
      </c>
      <c r="KY8" s="96"/>
      <c r="KZ8" s="95">
        <f>IF(ISNUMBER(KX8), (KT8+KU8)-KX8, "")</f>
        <v>9.9999999999999645E-2</v>
      </c>
      <c r="LB8" s="95">
        <v>0.7</v>
      </c>
      <c r="LC8" s="96">
        <v>2</v>
      </c>
      <c r="LD8" s="95">
        <f>IF(ISNUMBER(LB8), (KX8+KY8)-LB8, "")</f>
        <v>1.5000000000000002</v>
      </c>
      <c r="LF8" s="95">
        <v>2.5</v>
      </c>
      <c r="LG8" s="96"/>
      <c r="LH8" s="95">
        <f>IF(ISNUMBER(LF8), (LB8+LC8)-LF8, "")</f>
        <v>0.20000000000000018</v>
      </c>
      <c r="LJ8" s="95">
        <v>1.3</v>
      </c>
      <c r="LK8" s="96">
        <v>2</v>
      </c>
      <c r="LL8" s="95">
        <f>IF(ISNUMBER(LJ8), (LF8+LG8)-LJ8, "")</f>
        <v>1.2</v>
      </c>
      <c r="LN8" s="95">
        <v>2.2999999999999998</v>
      </c>
      <c r="LO8" s="96"/>
      <c r="LP8" s="95">
        <f>IF(ISNUMBER(LN8), (LJ8+LK8)-LN8, "")</f>
        <v>1</v>
      </c>
      <c r="LR8" s="105">
        <v>1.3</v>
      </c>
      <c r="LS8" s="96">
        <v>1</v>
      </c>
      <c r="LT8" s="95">
        <f>IF(ISNUMBER(LR8), (LN8+LO8)-LR8, "")</f>
        <v>0.99999999999999978</v>
      </c>
      <c r="LV8" s="105">
        <v>1.2</v>
      </c>
      <c r="LW8" s="96"/>
      <c r="LX8" s="95">
        <f>IF(ISNUMBER(LV8), (LR8+LS8)-LV8, "")</f>
        <v>1.0999999999999999</v>
      </c>
      <c r="LZ8" s="95">
        <v>0.9</v>
      </c>
      <c r="MA8" s="96">
        <v>2</v>
      </c>
      <c r="MB8" s="95">
        <f>IF(ISNUMBER(LZ8), (LV8+LW8)-LZ8, "")</f>
        <v>0.29999999999999993</v>
      </c>
      <c r="MD8" s="95">
        <v>2.6</v>
      </c>
      <c r="ME8" s="96"/>
      <c r="MF8" s="95">
        <f>IF(ISNUMBER(MD8), (LZ8+MA8)-MD8, "")</f>
        <v>0.29999999999999982</v>
      </c>
      <c r="MH8" s="95">
        <v>2.5</v>
      </c>
      <c r="MI8" s="96"/>
      <c r="MJ8" s="95">
        <f>IF(ISNUMBER(MH8), (MD8+ME8)-MH8, "")</f>
        <v>0.10000000000000009</v>
      </c>
      <c r="ML8" s="95">
        <v>1.6</v>
      </c>
      <c r="MM8" s="96"/>
      <c r="MN8" s="95">
        <f>IF(ISNUMBER(ML8), (MH8+MI8)-ML8, "")</f>
        <v>0.89999999999999991</v>
      </c>
      <c r="MP8" s="95">
        <v>0.4</v>
      </c>
      <c r="MQ8" s="116">
        <v>4</v>
      </c>
      <c r="MR8" s="95">
        <f>IF(ISNUMBER(MP8), (ML8+MM8)-MP8, "")</f>
        <v>1.2000000000000002</v>
      </c>
      <c r="MT8" s="95">
        <v>3.8</v>
      </c>
      <c r="MU8" s="96"/>
      <c r="MV8" s="95">
        <f>IF(ISNUMBER(MT8), (MP8+MQ8)-MT8, "")</f>
        <v>0.60000000000000053</v>
      </c>
      <c r="MX8" s="95">
        <v>1.9</v>
      </c>
      <c r="MY8" s="96">
        <v>1</v>
      </c>
      <c r="MZ8" s="95">
        <f>IF(ISNUMBER(MX8), (MT8+MU8)-MX8, "")</f>
        <v>1.9</v>
      </c>
      <c r="NB8" s="95">
        <v>1.9</v>
      </c>
      <c r="NC8" s="96"/>
      <c r="ND8" s="95">
        <f>IF(ISNUMBER(NB8), (MX8+MY8)-NB8, "")</f>
        <v>1</v>
      </c>
      <c r="NF8" s="105">
        <v>1.5</v>
      </c>
      <c r="NG8" s="96">
        <v>1</v>
      </c>
      <c r="NH8" s="95">
        <f>IF(ISNUMBER(NF8), (NB8+NC8)-NF8, "")</f>
        <v>0.39999999999999991</v>
      </c>
      <c r="NJ8" s="95">
        <v>1.8</v>
      </c>
      <c r="NK8" s="96"/>
      <c r="NL8" s="95">
        <f>IF(ISNUMBER(NJ8), (NF8+NG8)-NJ8, "")</f>
        <v>0.7</v>
      </c>
      <c r="NN8" s="95">
        <v>0.8</v>
      </c>
      <c r="NO8" s="96">
        <v>2</v>
      </c>
      <c r="NP8" s="95">
        <f>IF(ISNUMBER(NN8), (NJ8+NK8)-NN8, "")</f>
        <v>1</v>
      </c>
      <c r="NR8" s="95">
        <v>1.2</v>
      </c>
      <c r="NS8" s="96">
        <v>1</v>
      </c>
      <c r="NT8" s="95">
        <f>IF(ISNUMBER(NR8), (NN8+NO8)-NR8, "")</f>
        <v>1.5999999999999999</v>
      </c>
      <c r="NV8" s="95">
        <v>1.5</v>
      </c>
      <c r="NW8" s="96">
        <v>2</v>
      </c>
      <c r="NX8" s="95">
        <f>IF(ISNUMBER(NV8), (NR8+NS8)-NV8, "")</f>
        <v>0.70000000000000018</v>
      </c>
      <c r="NZ8" s="95">
        <v>1.4</v>
      </c>
      <c r="OA8" s="96">
        <v>2</v>
      </c>
      <c r="OB8" s="95">
        <f>IF(ISNUMBER(NZ8), (NV8+NW8)-NZ8, "")</f>
        <v>2.1</v>
      </c>
      <c r="OD8" s="95">
        <v>2.9</v>
      </c>
      <c r="OE8" s="96">
        <v>2</v>
      </c>
      <c r="OF8" s="95">
        <f>IF(ISNUMBER(OD8), (NZ8+OA8)-OD8, "")</f>
        <v>0.5</v>
      </c>
      <c r="OH8" s="105">
        <v>4.3</v>
      </c>
      <c r="OI8" s="96"/>
      <c r="OJ8" s="95">
        <f>IF(ISNUMBER(OH8), (OD8+OE8)-OH8, "")</f>
        <v>0.60000000000000053</v>
      </c>
      <c r="OL8" s="95">
        <v>4.2</v>
      </c>
      <c r="OM8" s="96"/>
      <c r="ON8" s="95">
        <f>IF(ISNUMBER(OL8), (OH8+OI8)-OL8, "")</f>
        <v>9.9999999999999645E-2</v>
      </c>
      <c r="OP8" s="105">
        <v>3.4</v>
      </c>
      <c r="OQ8" s="96"/>
      <c r="OR8" s="95">
        <f>IF(ISNUMBER(OP8), (OL8+OM8)-OP8, "")</f>
        <v>0.80000000000000027</v>
      </c>
      <c r="OT8" s="95">
        <v>2.7</v>
      </c>
      <c r="OU8" s="96">
        <v>2</v>
      </c>
      <c r="OV8" s="95">
        <f>IF(ISNUMBER(OT8), (OP8+OQ8)-OT8, "")</f>
        <v>0.69999999999999973</v>
      </c>
      <c r="OX8" s="105">
        <v>3.7</v>
      </c>
      <c r="OY8" s="96"/>
      <c r="OZ8" s="95">
        <f>IF(ISNUMBER(OX8), (OT8+OU8)-OX8, "")</f>
        <v>1</v>
      </c>
      <c r="PB8" s="95">
        <v>3.5</v>
      </c>
      <c r="PC8" s="96">
        <v>1</v>
      </c>
      <c r="PD8" s="95">
        <f>IF(ISNUMBER(PB8), (OX8+OY8)-PB8, "")</f>
        <v>0.20000000000000018</v>
      </c>
      <c r="PF8" s="95">
        <v>4.4000000000000004</v>
      </c>
      <c r="PG8" s="96"/>
      <c r="PH8" s="95">
        <f>IF(ISNUMBER(PF8), (PB8+PC8)-PF8, "")</f>
        <v>9.9999999999999645E-2</v>
      </c>
      <c r="PJ8" s="105">
        <v>3.8</v>
      </c>
      <c r="PK8" s="96"/>
      <c r="PL8" s="95">
        <f>IF(ISNUMBER(PJ8), (PF8+PG8)-PJ8, "")</f>
        <v>0.60000000000000053</v>
      </c>
      <c r="PN8" s="105">
        <v>3.3</v>
      </c>
      <c r="PO8" s="96"/>
      <c r="PP8" s="95">
        <f>IF(ISNUMBER(PN8), (PJ8+PK8)-PN8, "")</f>
        <v>0.5</v>
      </c>
      <c r="PR8" s="95">
        <v>1.6</v>
      </c>
      <c r="PS8" s="96">
        <v>3</v>
      </c>
      <c r="PT8" s="95">
        <f>IF(ISNUMBER(PR8), (PN8+PO8)-PR8, "")</f>
        <v>1.6999999999999997</v>
      </c>
      <c r="PV8" s="190">
        <v>3.1</v>
      </c>
      <c r="PW8" s="194"/>
      <c r="PX8" s="190">
        <f>IF(ISNUMBER(PV8), (PR8+PS8)-PV8, "")</f>
        <v>1.4999999999999996</v>
      </c>
      <c r="PZ8" s="105"/>
      <c r="QA8" s="96"/>
      <c r="QB8" s="95" t="str">
        <f>IF(ISNUMBER(PZ8), (PV8+PW8)-PZ8, "")</f>
        <v/>
      </c>
    </row>
    <row r="9" spans="1:444" ht="12.75" customHeight="1" x14ac:dyDescent="0.2">
      <c r="A9" s="124" t="s">
        <v>77</v>
      </c>
      <c r="B9" s="125" t="s">
        <v>80</v>
      </c>
      <c r="C9" s="87">
        <v>6</v>
      </c>
      <c r="D9" s="87">
        <v>89208</v>
      </c>
      <c r="F9" s="95">
        <v>3.4</v>
      </c>
      <c r="G9" s="96">
        <v>3</v>
      </c>
      <c r="H9" s="113"/>
      <c r="J9" s="95">
        <v>5.0999999999999996</v>
      </c>
      <c r="K9" s="96"/>
      <c r="L9" s="95">
        <f t="shared" ref="L9:L14" si="0">IF(ISNUMBER(J9), (F9+G9)-J9, "")</f>
        <v>1.3000000000000007</v>
      </c>
      <c r="N9" s="105">
        <v>2.6</v>
      </c>
      <c r="O9" s="96">
        <v>4</v>
      </c>
      <c r="P9" s="95">
        <f t="shared" ref="P9:P14" si="1">IF(ISNUMBER(N9), (J9+K9)-N9, "")</f>
        <v>2.4999999999999996</v>
      </c>
      <c r="R9" s="95">
        <v>4.9000000000000004</v>
      </c>
      <c r="S9" s="96"/>
      <c r="T9" s="95">
        <f t="shared" ref="T9:T14" si="2">IF(ISNUMBER(R9), (N9+O9)-R9, "")</f>
        <v>1.6999999999999993</v>
      </c>
      <c r="V9" s="95">
        <v>3.1</v>
      </c>
      <c r="W9" s="96">
        <v>3</v>
      </c>
      <c r="X9" s="95">
        <f t="shared" ref="X9:X14" si="3">IF(ISNUMBER(V9), (R9+S9)-V9, "")</f>
        <v>1.8000000000000003</v>
      </c>
      <c r="Z9" s="105">
        <v>4.3</v>
      </c>
      <c r="AA9" s="96"/>
      <c r="AB9" s="95">
        <f t="shared" ref="AB9:AB14" si="4">IF(ISNUMBER(Z9), (V9+W9)-Z9, "")</f>
        <v>1.7999999999999998</v>
      </c>
      <c r="AD9" s="105">
        <v>2.4</v>
      </c>
      <c r="AE9" s="96">
        <v>4</v>
      </c>
      <c r="AF9" s="95">
        <f t="shared" ref="AF9:AF14" si="5">IF(ISNUMBER(AD9), (Z9+AA9)-AD9, "")</f>
        <v>1.9</v>
      </c>
      <c r="AH9" s="95">
        <v>4.0999999999999996</v>
      </c>
      <c r="AI9" s="96"/>
      <c r="AJ9" s="95">
        <f t="shared" ref="AJ9:AJ14" si="6">IF(ISNUMBER(AH9), (AD9+AE9)-AH9, "")</f>
        <v>2.3000000000000007</v>
      </c>
      <c r="AL9" s="105">
        <v>2.1</v>
      </c>
      <c r="AM9" s="96">
        <v>4</v>
      </c>
      <c r="AN9" s="95">
        <f t="shared" ref="AN9:AN14" si="7">IF(ISNUMBER(AL9), (AH9+AI9)-AL9, "")</f>
        <v>1.9999999999999996</v>
      </c>
      <c r="AP9" s="105">
        <v>4.8</v>
      </c>
      <c r="AQ9" s="96"/>
      <c r="AR9" s="95">
        <f t="shared" ref="AR9:AR14" si="8">IF(ISNUMBER(AP9), (AL9+AM9)-AP9, "")</f>
        <v>1.2999999999999998</v>
      </c>
      <c r="AT9" s="95">
        <v>3.5</v>
      </c>
      <c r="AU9" s="96">
        <v>2</v>
      </c>
      <c r="AV9" s="95">
        <f t="shared" ref="AV9:AV14" si="9">IF(ISNUMBER(AT9), (AP9+AQ9)-AT9, "")</f>
        <v>1.2999999999999998</v>
      </c>
      <c r="AX9" s="95">
        <v>3.9</v>
      </c>
      <c r="AY9" s="96"/>
      <c r="AZ9" s="95">
        <f t="shared" ref="AZ9:AZ14" si="10">IF(ISNUMBER(AX9), (AT9+AU9)-AX9, "")</f>
        <v>1.6</v>
      </c>
      <c r="BB9" s="95">
        <v>2</v>
      </c>
      <c r="BC9" s="96">
        <v>4</v>
      </c>
      <c r="BD9" s="95">
        <f t="shared" ref="BD9:BD14" si="11">IF(ISNUMBER(BB9), (AX9+AY9)-BB9, "")</f>
        <v>1.9</v>
      </c>
      <c r="BF9" s="95">
        <v>4.5</v>
      </c>
      <c r="BG9" s="96">
        <v>2</v>
      </c>
      <c r="BH9" s="95">
        <f t="shared" ref="BH9:BH14" si="12">IF(ISNUMBER(BF9), (BB9+BC9)-BF9, "")</f>
        <v>1.5</v>
      </c>
      <c r="BJ9" s="95">
        <v>3.3</v>
      </c>
      <c r="BK9" s="96"/>
      <c r="BL9" s="95">
        <f t="shared" ref="BL9:BL14" si="13">IF(ISNUMBER(BJ9), (BF9+BG9)-BJ9, "")</f>
        <v>3.2</v>
      </c>
      <c r="BN9" s="95">
        <v>3.8</v>
      </c>
      <c r="BO9" s="96"/>
      <c r="BP9" s="95">
        <f t="shared" ref="BP9:BP14" si="14">IF(ISNUMBER(BN9), (BJ9+BK9)-BN9, "")</f>
        <v>-0.5</v>
      </c>
      <c r="BR9" s="115">
        <v>2.6</v>
      </c>
      <c r="BS9" s="116">
        <v>3</v>
      </c>
      <c r="BT9" s="115">
        <f t="shared" ref="BT9:BT14" si="15">IF(ISNUMBER(BR9), (BN9+BO9)-BR9, "")</f>
        <v>1.1999999999999997</v>
      </c>
      <c r="BV9" s="105">
        <v>4.0999999999999996</v>
      </c>
      <c r="BW9" s="96"/>
      <c r="BX9" s="95">
        <f t="shared" ref="BX9:BX14" si="16">IF(ISNUMBER(BV9), (BR9+BS9)-BV9, "")</f>
        <v>1.5</v>
      </c>
      <c r="BZ9" s="95">
        <v>2.2999999999999998</v>
      </c>
      <c r="CA9" s="96">
        <v>3</v>
      </c>
      <c r="CB9" s="95">
        <f t="shared" ref="CB9:CB14" si="17">IF(ISNUMBER(BZ9), (BV9+BW9)-BZ9, "")</f>
        <v>1.7999999999999998</v>
      </c>
      <c r="CD9" s="95">
        <v>2.6</v>
      </c>
      <c r="CE9" s="96">
        <v>3</v>
      </c>
      <c r="CF9" s="95">
        <f t="shared" ref="CF9:CF14" si="18">IF(ISNUMBER(CD9), (BZ9+CA9)-CD9, "")</f>
        <v>2.6999999999999997</v>
      </c>
      <c r="CH9" s="95">
        <v>4.5</v>
      </c>
      <c r="CI9" s="96"/>
      <c r="CJ9" s="95">
        <f t="shared" ref="CJ9:CJ14" si="19">IF(ISNUMBER(CH9), (CD9+CE9)-CH9, "")</f>
        <v>1.0999999999999996</v>
      </c>
      <c r="CL9" s="95">
        <v>3</v>
      </c>
      <c r="CM9" s="96">
        <v>3</v>
      </c>
      <c r="CN9" s="95">
        <f t="shared" ref="CN9:CN14" si="20">IF(ISNUMBER(CL9), (CH9+CI9)-CL9, "")</f>
        <v>1.5</v>
      </c>
      <c r="CP9" s="95">
        <v>4.7</v>
      </c>
      <c r="CQ9" s="96"/>
      <c r="CR9" s="95">
        <f t="shared" ref="CR9:CR14" si="21">IF(ISNUMBER(CP9), (CL9+CM9)-CP9, "")</f>
        <v>1.2999999999999998</v>
      </c>
      <c r="CT9" s="95">
        <v>3.1</v>
      </c>
      <c r="CU9" s="96">
        <v>3</v>
      </c>
      <c r="CV9" s="95">
        <f t="shared" ref="CV9:CV14" si="22">IF(ISNUMBER(CT9), (CP9+CQ9)-CT9, "")</f>
        <v>1.6</v>
      </c>
      <c r="CX9" s="95">
        <v>4.7</v>
      </c>
      <c r="CY9" s="96"/>
      <c r="CZ9" s="95">
        <f t="shared" ref="CZ9:CZ14" si="23">IF(ISNUMBER(CX9), (CT9+CU9)-CX9, "")</f>
        <v>1.3999999999999995</v>
      </c>
      <c r="DB9" s="95">
        <v>2.8</v>
      </c>
      <c r="DC9" s="96">
        <v>3</v>
      </c>
      <c r="DD9" s="95">
        <f t="shared" ref="DD9:DD14" si="24">IF(ISNUMBER(DB9), (CX9+CY9)-DB9, "")</f>
        <v>1.9000000000000004</v>
      </c>
      <c r="DF9" s="95">
        <v>3.6</v>
      </c>
      <c r="DG9" s="96"/>
      <c r="DH9" s="95">
        <f t="shared" ref="DH9:DH14" si="25">IF(ISNUMBER(DF9), (DB9+DC9)-DF9, "")</f>
        <v>2.1999999999999997</v>
      </c>
      <c r="DJ9" s="95">
        <v>1.8</v>
      </c>
      <c r="DK9" s="96">
        <v>4</v>
      </c>
      <c r="DL9" s="95">
        <f t="shared" ref="DL9:DL14" si="26">IF(ISNUMBER(DJ9), (DF9+DG9)-DJ9, "")</f>
        <v>1.8</v>
      </c>
      <c r="DN9" s="95">
        <v>3.3</v>
      </c>
      <c r="DO9" s="96"/>
      <c r="DP9" s="95">
        <f t="shared" ref="DP9:DP14" si="27">IF(ISNUMBER(DN9), (DJ9+DK9)-DN9, "")</f>
        <v>2.5</v>
      </c>
      <c r="DR9" s="95">
        <v>0.9</v>
      </c>
      <c r="DS9" s="96">
        <v>6</v>
      </c>
      <c r="DT9" s="95">
        <f t="shared" ref="DT9:DT14" si="28">IF(ISNUMBER(DR9), (DN9+DO9)-DR9, "")</f>
        <v>2.4</v>
      </c>
      <c r="DV9" s="95">
        <v>5.5</v>
      </c>
      <c r="DW9" s="96"/>
      <c r="DX9" s="95">
        <f t="shared" ref="DX9:DX14" si="29">IF(ISNUMBER(DV9), (DR9+DS9)-DV9, "")</f>
        <v>1.4000000000000004</v>
      </c>
      <c r="DZ9" s="95">
        <v>4.3</v>
      </c>
      <c r="EA9" s="96">
        <v>1</v>
      </c>
      <c r="EB9" s="95">
        <f t="shared" ref="EB9:EB14" si="30">IF(ISNUMBER(DZ9), (DV9+DW9)-DZ9, "")</f>
        <v>1.2000000000000002</v>
      </c>
      <c r="ED9" s="95">
        <v>3.1</v>
      </c>
      <c r="EE9" s="96"/>
      <c r="EF9" s="95">
        <f t="shared" ref="EF9:EF14" si="31">IF(ISNUMBER(ED9), (DZ9+EA9)-ED9, "")</f>
        <v>2.1999999999999997</v>
      </c>
      <c r="EH9" s="95">
        <v>1.4</v>
      </c>
      <c r="EI9" s="96">
        <v>5</v>
      </c>
      <c r="EJ9" s="95">
        <f t="shared" ref="EJ9:EJ14" si="32">IF(ISNUMBER(EH9), (ED9+EE9)-EH9, "")</f>
        <v>1.7000000000000002</v>
      </c>
      <c r="EL9" s="95">
        <v>5.2</v>
      </c>
      <c r="EM9" s="96"/>
      <c r="EN9" s="95">
        <f t="shared" ref="EN9:EN14" si="33">IF(ISNUMBER(EL9), (EH9+EI9)-EL9, "")</f>
        <v>1.2000000000000002</v>
      </c>
      <c r="EP9" s="95">
        <v>3.5</v>
      </c>
      <c r="EQ9" s="96">
        <v>2</v>
      </c>
      <c r="ER9" s="95">
        <f t="shared" ref="ER9:ER14" si="34">IF(ISNUMBER(EP9), (EL9+EM9)-EP9, "")</f>
        <v>1.7000000000000002</v>
      </c>
      <c r="ET9" s="95">
        <v>2.9</v>
      </c>
      <c r="EU9" s="96">
        <v>8</v>
      </c>
      <c r="EV9" s="95">
        <f t="shared" ref="EV9:EV14" si="35">IF(ISNUMBER(ET9), (EP9+EQ9)-ET9, "")</f>
        <v>2.6</v>
      </c>
      <c r="EX9" s="95">
        <v>9.4</v>
      </c>
      <c r="EY9" s="96">
        <v>1</v>
      </c>
      <c r="EZ9" s="95">
        <f t="shared" ref="EZ9:EZ14" si="36">IF(ISNUMBER(EX9), (ET9+EU9)-EX9, "")</f>
        <v>1.5</v>
      </c>
      <c r="FB9" s="95">
        <v>8.6</v>
      </c>
      <c r="FC9" s="96"/>
      <c r="FD9" s="95">
        <f t="shared" ref="FD9:FD14" si="37">IF(ISNUMBER(FB9), (EX9+EY9)-FB9, "")</f>
        <v>1.8000000000000007</v>
      </c>
      <c r="FF9" s="95">
        <v>5.0999999999999996</v>
      </c>
      <c r="FG9" s="96"/>
      <c r="FH9" s="95">
        <f t="shared" ref="FH9:FH14" si="38">IF(ISNUMBER(FF9), (FB9+FC9)-FF9, "")</f>
        <v>3.5</v>
      </c>
      <c r="FJ9" s="95">
        <v>3.1</v>
      </c>
      <c r="FK9" s="96">
        <v>3</v>
      </c>
      <c r="FL9" s="95">
        <f t="shared" ref="FL9:FL14" si="39">IF(ISNUMBER(FJ9), (FF9+FG9)-FJ9, "")</f>
        <v>1.9999999999999996</v>
      </c>
      <c r="FN9" s="95">
        <v>4.2</v>
      </c>
      <c r="FO9" s="96"/>
      <c r="FP9" s="95">
        <f t="shared" ref="FP9:FP14" si="40">IF(ISNUMBER(FN9), (FJ9+FK9)-FN9, "")</f>
        <v>1.8999999999999995</v>
      </c>
      <c r="FR9" s="95">
        <v>2.2999999999999998</v>
      </c>
      <c r="FS9" s="96">
        <v>4</v>
      </c>
      <c r="FT9" s="95">
        <f t="shared" ref="FT9:FT14" si="41">IF(ISNUMBER(FR9), (FN9+FO9)-FR9, "")</f>
        <v>1.9000000000000004</v>
      </c>
      <c r="FV9" s="95">
        <v>4.9000000000000004</v>
      </c>
      <c r="FW9" s="96"/>
      <c r="FX9" s="95">
        <f t="shared" ref="FX9:FX14" si="42">IF(ISNUMBER(FV9), (FR9+FS9)-FV9, "")</f>
        <v>1.3999999999999995</v>
      </c>
      <c r="FZ9" s="95">
        <v>3.1</v>
      </c>
      <c r="GA9" s="96">
        <v>3</v>
      </c>
      <c r="GB9" s="95">
        <f t="shared" ref="GB9:GB14" si="43">IF(ISNUMBER(FZ9), (FV9+FW9)-FZ9, "")</f>
        <v>1.8000000000000003</v>
      </c>
      <c r="GD9" s="95">
        <v>4.4000000000000004</v>
      </c>
      <c r="GE9" s="96"/>
      <c r="GF9" s="95">
        <f t="shared" ref="GF9:GF14" si="44">IF(ISNUMBER(GD9), (FZ9+GA9)-GD9, "")</f>
        <v>1.6999999999999993</v>
      </c>
      <c r="GH9" s="105">
        <v>2.7</v>
      </c>
      <c r="GI9" s="96">
        <v>3</v>
      </c>
      <c r="GJ9" s="95">
        <f t="shared" ref="GJ9:GJ14" si="45">IF(ISNUMBER(GH9), (GD9+GE9)-GH9, "")</f>
        <v>1.7000000000000002</v>
      </c>
      <c r="GL9" s="105">
        <v>2.7</v>
      </c>
      <c r="GM9" s="96">
        <v>3</v>
      </c>
      <c r="GN9" s="95">
        <f t="shared" ref="GN9:GN29" si="46">IF(ISNUMBER(GL9), (GH9+GI9)-GL9, "")</f>
        <v>3</v>
      </c>
      <c r="GP9" s="95">
        <v>3</v>
      </c>
      <c r="GQ9" s="96">
        <v>2</v>
      </c>
      <c r="GR9" s="95">
        <f t="shared" ref="GR9:GR15" si="47">IF(ISNUMBER(GP9), (GL9+GM9)-GP9, "")</f>
        <v>2.7</v>
      </c>
      <c r="GT9" s="95">
        <v>3.4</v>
      </c>
      <c r="GU9" s="96"/>
      <c r="GV9" s="95">
        <f t="shared" ref="GV9:GV14" si="48">IF(ISNUMBER(GT9), (GP9+GQ9)-GT9, "")</f>
        <v>1.6</v>
      </c>
      <c r="GX9" s="95">
        <v>2.2000000000000002</v>
      </c>
      <c r="GY9" s="96">
        <v>4</v>
      </c>
      <c r="GZ9" s="95">
        <f t="shared" ref="GZ9:GZ14" si="49">IF(ISNUMBER(GX9), (GT9+GU9)-GX9, "")</f>
        <v>1.1999999999999997</v>
      </c>
      <c r="HB9" s="95">
        <v>4.0999999999999996</v>
      </c>
      <c r="HC9" s="96"/>
      <c r="HD9" s="95">
        <f t="shared" ref="HD9:HD14" si="50">IF(ISNUMBER(HB9), (GX9+GY9)-HB9, "")</f>
        <v>2.1000000000000005</v>
      </c>
      <c r="HF9" s="95">
        <v>1.9</v>
      </c>
      <c r="HG9" s="96">
        <v>4</v>
      </c>
      <c r="HH9" s="95">
        <f t="shared" ref="HH9:HH14" si="51">IF(ISNUMBER(HF9), (HB9+HC9)-HF9, "")</f>
        <v>2.1999999999999997</v>
      </c>
      <c r="HJ9" s="95">
        <v>2.6</v>
      </c>
      <c r="HK9" s="96"/>
      <c r="HL9" s="95">
        <f t="shared" ref="HL9:HL14" si="52">IF(ISNUMBER(HJ9), (HF9+HG9)-HJ9, "")</f>
        <v>3.3000000000000003</v>
      </c>
      <c r="HN9" s="95">
        <v>2.5</v>
      </c>
      <c r="HO9" s="96">
        <v>4</v>
      </c>
      <c r="HP9" s="95">
        <f t="shared" ref="HP9:HP14" si="53">IF(ISNUMBER(HN9), (HJ9+HK9)-HN9, "")</f>
        <v>0.10000000000000009</v>
      </c>
      <c r="HR9" s="95">
        <v>4.7</v>
      </c>
      <c r="HS9" s="96"/>
      <c r="HT9" s="95">
        <f t="shared" ref="HT9:HT14" si="54">IF(ISNUMBER(HR9), (HN9+HO9)-HR9, "")</f>
        <v>1.7999999999999998</v>
      </c>
      <c r="HV9" s="95">
        <v>3.2</v>
      </c>
      <c r="HW9" s="116">
        <v>3</v>
      </c>
      <c r="HX9" s="95">
        <f t="shared" ref="HX9:HX14" si="55">IF(ISNUMBER(HV9), (HR9+HS9)-HV9, "")</f>
        <v>1.5</v>
      </c>
      <c r="HZ9" s="115">
        <v>3.2</v>
      </c>
      <c r="IA9" s="116"/>
      <c r="IB9" s="95">
        <f t="shared" ref="IB9:IB15" si="56">IF(ISNUMBER(HZ9), (HV9+HW9)-HZ9, "")</f>
        <v>3</v>
      </c>
      <c r="ID9" s="95">
        <v>2.1</v>
      </c>
      <c r="IE9" s="116">
        <v>4</v>
      </c>
      <c r="IF9" s="95">
        <f t="shared" ref="IF9:IF15" si="57">IF(ISNUMBER(ID9), (HZ9+IA9)-ID9, "")</f>
        <v>1.1000000000000001</v>
      </c>
      <c r="IH9" s="115">
        <v>4.3</v>
      </c>
      <c r="II9" s="116"/>
      <c r="IJ9" s="95">
        <f t="shared" ref="IJ9:IJ28" si="58">IF(ISNUMBER(IH9), (ID9+IE9)-IH9, "")</f>
        <v>1.7999999999999998</v>
      </c>
      <c r="IL9" s="95">
        <v>2.1</v>
      </c>
      <c r="IM9" s="116">
        <v>4</v>
      </c>
      <c r="IN9" s="95">
        <f t="shared" ref="IN9:IN28" si="59">IF(ISNUMBER(IL9), (IH9+II9)-IL9, "")</f>
        <v>2.1999999999999997</v>
      </c>
      <c r="IP9" s="95">
        <v>3.7</v>
      </c>
      <c r="IQ9" s="116"/>
      <c r="IR9" s="95">
        <f t="shared" ref="IR9:IR28" si="60">IF(ISNUMBER(IP9), (IL9+IM9)-IP9, "")</f>
        <v>2.3999999999999995</v>
      </c>
      <c r="IT9" s="95">
        <v>3.3</v>
      </c>
      <c r="IU9" s="116">
        <v>3</v>
      </c>
      <c r="IV9" s="95">
        <f t="shared" ref="IV9:IV28" si="61">IF(ISNUMBER(IT9), (IP9+IQ9)-IT9, "")</f>
        <v>0.40000000000000036</v>
      </c>
      <c r="IX9" s="95">
        <v>4.5999999999999996</v>
      </c>
      <c r="IY9" s="116"/>
      <c r="IZ9" s="95">
        <f t="shared" ref="IZ9:IZ28" si="62">IF(ISNUMBER(IX9), (IT9+IU9)-IX9, "")</f>
        <v>1.7000000000000002</v>
      </c>
      <c r="JB9" s="95">
        <v>3.3</v>
      </c>
      <c r="JC9" s="116">
        <v>3</v>
      </c>
      <c r="JD9" s="95">
        <f t="shared" ref="JD9:JD28" si="63">IF(ISNUMBER(JB9), (IX9+IY9)-JB9, "")</f>
        <v>1.2999999999999998</v>
      </c>
      <c r="JF9" s="95">
        <v>4.8</v>
      </c>
      <c r="JG9" s="116"/>
      <c r="JH9" s="95">
        <f t="shared" ref="JH9:JH28" si="64">IF(ISNUMBER(JF9), (JB9+JC9)-JF9, "")</f>
        <v>1.5</v>
      </c>
      <c r="JJ9" s="95">
        <v>2.9</v>
      </c>
      <c r="JK9" s="116">
        <v>3</v>
      </c>
      <c r="JL9" s="95">
        <f t="shared" ref="JL9:JL28" si="65">IF(ISNUMBER(JJ9), (JF9+JG9)-JJ9, "")</f>
        <v>1.9</v>
      </c>
      <c r="JN9" s="95">
        <v>5.3</v>
      </c>
      <c r="JO9" s="116"/>
      <c r="JP9" s="95">
        <f t="shared" ref="JP9:JP28" si="66">IF(ISNUMBER(JN9), (JJ9+JK9)-JN9, "")</f>
        <v>0.60000000000000053</v>
      </c>
      <c r="JR9" s="95">
        <v>3.7</v>
      </c>
      <c r="JS9" s="116">
        <v>2</v>
      </c>
      <c r="JT9" s="95">
        <f t="shared" ref="JT9:JT28" si="67">IF(ISNUMBER(JR9), (JN9+JO9)-JR9, "")</f>
        <v>1.5999999999999996</v>
      </c>
      <c r="JV9" s="95">
        <v>3.9</v>
      </c>
      <c r="JW9" s="116">
        <v>2</v>
      </c>
      <c r="JX9" s="95">
        <f t="shared" ref="JX9:JX28" si="68">IF(ISNUMBER(JV9), (JR9+JS9)-JV9, "")</f>
        <v>1.8000000000000003</v>
      </c>
      <c r="JZ9" s="95">
        <v>4.7</v>
      </c>
      <c r="KA9" s="116"/>
      <c r="KB9" s="95">
        <f t="shared" ref="KB9:KB28" si="69">IF(ISNUMBER(JZ9), (JV9+JW9)-JZ9, "")</f>
        <v>1.2000000000000002</v>
      </c>
      <c r="KD9" s="95">
        <v>2.6</v>
      </c>
      <c r="KE9" s="116">
        <v>3</v>
      </c>
      <c r="KF9" s="95">
        <f t="shared" ref="KF9:KF28" si="70">IF(ISNUMBER(KD9), (JZ9+KA9)-KD9, "")</f>
        <v>2.1</v>
      </c>
      <c r="KH9" s="95">
        <v>3.5</v>
      </c>
      <c r="KI9" s="116"/>
      <c r="KJ9" s="95">
        <f t="shared" ref="KJ9:KJ28" si="71">IF(ISNUMBER(KH9), (KD9+KE9)-KH9, "")</f>
        <v>2.0999999999999996</v>
      </c>
      <c r="KL9" s="95">
        <v>2</v>
      </c>
      <c r="KM9" s="116">
        <v>4</v>
      </c>
      <c r="KN9" s="95">
        <f t="shared" ref="KN9:KN28" si="72">IF(ISNUMBER(KL9), (KH9+KI9)-KL9, "")</f>
        <v>1.5</v>
      </c>
      <c r="KP9" s="95">
        <v>4.2</v>
      </c>
      <c r="KQ9" s="116"/>
      <c r="KR9" s="95">
        <f t="shared" ref="KR9:KR28" si="73">IF(ISNUMBER(KP9), (KL9+KM9)-KP9, "")</f>
        <v>1.7999999999999998</v>
      </c>
      <c r="KT9" s="95">
        <v>3.1</v>
      </c>
      <c r="KU9" s="116">
        <v>3</v>
      </c>
      <c r="KV9" s="95">
        <f t="shared" ref="KV9:KV28" si="74">IF(ISNUMBER(KT9), (KP9+KQ9)-KT9, "")</f>
        <v>1.1000000000000001</v>
      </c>
      <c r="KX9" s="95">
        <v>4.5999999999999996</v>
      </c>
      <c r="KY9" s="116"/>
      <c r="KZ9" s="95">
        <f t="shared" ref="KZ9:KZ28" si="75">IF(ISNUMBER(KX9), (KT9+KU9)-KX9, "")</f>
        <v>1.5</v>
      </c>
      <c r="LB9" s="95">
        <v>1.1000000000000001</v>
      </c>
      <c r="LC9" s="116">
        <v>5</v>
      </c>
      <c r="LD9" s="95">
        <f t="shared" ref="LD9:LD28" si="76">IF(ISNUMBER(LB9), (KX9+KY9)-LB9, "")</f>
        <v>3.4999999999999996</v>
      </c>
      <c r="LF9" s="95">
        <v>4</v>
      </c>
      <c r="LG9" s="116"/>
      <c r="LH9" s="95">
        <f t="shared" ref="LH9:LH28" si="77">IF(ISNUMBER(LF9), (LB9+LC9)-LF9, "")</f>
        <v>2.0999999999999996</v>
      </c>
      <c r="LJ9" s="95">
        <v>2.9</v>
      </c>
      <c r="LK9" s="116">
        <v>3</v>
      </c>
      <c r="LL9" s="95">
        <f t="shared" ref="LL9:LL28" si="78">IF(ISNUMBER(LJ9), (LF9+LG9)-LJ9, "")</f>
        <v>1.1000000000000001</v>
      </c>
      <c r="LN9" s="95">
        <v>3.7</v>
      </c>
      <c r="LO9" s="116"/>
      <c r="LP9" s="95">
        <f t="shared" ref="LP9:LP28" si="79">IF(ISNUMBER(LN9), (LJ9+LK9)-LN9, "")</f>
        <v>2.2000000000000002</v>
      </c>
      <c r="LR9" s="105">
        <v>1.4</v>
      </c>
      <c r="LS9" s="116">
        <v>5</v>
      </c>
      <c r="LT9" s="95">
        <f t="shared" ref="LT9:LT28" si="80">IF(ISNUMBER(LR9), (LN9+LO9)-LR9, "")</f>
        <v>2.3000000000000003</v>
      </c>
      <c r="LV9" s="105">
        <v>5.3</v>
      </c>
      <c r="LW9" s="116"/>
      <c r="LX9" s="95">
        <f t="shared" ref="LX9:LX15" si="81">IF(ISNUMBER(LV9), (LR9+LS9)-LV9, "")</f>
        <v>1.1000000000000005</v>
      </c>
      <c r="LZ9" s="95">
        <v>4.3</v>
      </c>
      <c r="MA9" s="116">
        <v>2</v>
      </c>
      <c r="MB9" s="95">
        <f t="shared" ref="MB9:MB28" si="82">IF(ISNUMBER(LZ9), (LV9+LW9)-LZ9, "")</f>
        <v>1</v>
      </c>
      <c r="MD9" s="95">
        <v>3.8</v>
      </c>
      <c r="ME9" s="116"/>
      <c r="MF9" s="95">
        <f t="shared" ref="MF9:MF15" si="83">IF(ISNUMBER(MD9), (LZ9+MA9)-MD9, "")</f>
        <v>2.5</v>
      </c>
      <c r="MH9" s="95">
        <v>1.74</v>
      </c>
      <c r="MI9" s="116">
        <v>4</v>
      </c>
      <c r="MJ9" s="95">
        <f t="shared" ref="MJ9:MJ28" si="84">IF(ISNUMBER(MH9), (MD9+ME9)-MH9, "")</f>
        <v>2.0599999999999996</v>
      </c>
      <c r="ML9" s="95">
        <v>4.4000000000000004</v>
      </c>
      <c r="MM9" s="116"/>
      <c r="MN9" s="95">
        <f t="shared" ref="MN9:MN28" si="85">IF(ISNUMBER(ML9), (MH9+MI9)-ML9, "")</f>
        <v>1.3399999999999999</v>
      </c>
      <c r="MP9" s="95">
        <v>2.2000000000000002</v>
      </c>
      <c r="MQ9" s="116">
        <v>7</v>
      </c>
      <c r="MR9" s="95">
        <f t="shared" ref="MR9:MR28" si="86">IF(ISNUMBER(MP9), (ML9+MM9)-MP9, "")</f>
        <v>2.2000000000000002</v>
      </c>
      <c r="MT9" s="95">
        <v>6.2</v>
      </c>
      <c r="MU9" s="116">
        <v>3</v>
      </c>
      <c r="MV9" s="95">
        <f t="shared" ref="MV9:MV28" si="87">IF(ISNUMBER(MT9), (MP9+MQ9)-MT9, "")</f>
        <v>2.9999999999999991</v>
      </c>
      <c r="MX9" s="95">
        <v>4.3</v>
      </c>
      <c r="MY9" s="116">
        <v>1</v>
      </c>
      <c r="MZ9" s="95">
        <f t="shared" ref="MZ9:MZ28" si="88">IF(ISNUMBER(MX9), (MT9+MU9)-MX9, "")</f>
        <v>4.8999999999999995</v>
      </c>
      <c r="NB9" s="95">
        <v>4.3</v>
      </c>
      <c r="NC9" s="116"/>
      <c r="ND9" s="95">
        <f t="shared" ref="ND9:ND28" si="89">IF(ISNUMBER(NB9), (MX9+MY9)-NB9, "")</f>
        <v>1</v>
      </c>
      <c r="NF9" s="105">
        <v>2.2000000000000002</v>
      </c>
      <c r="NG9" s="116">
        <v>4</v>
      </c>
      <c r="NH9" s="95">
        <f t="shared" ref="NH9:NH28" si="90">IF(ISNUMBER(NF9), (NB9+NC9)-NF9, "")</f>
        <v>2.0999999999999996</v>
      </c>
      <c r="NJ9" s="95">
        <v>4.5</v>
      </c>
      <c r="NK9" s="116"/>
      <c r="NL9" s="95">
        <f t="shared" ref="NL9:NL28" si="91">IF(ISNUMBER(NJ9), (NF9+NG9)-NJ9, "")</f>
        <v>1.7000000000000002</v>
      </c>
      <c r="NN9" s="95">
        <v>2.4</v>
      </c>
      <c r="NO9" s="116">
        <v>4</v>
      </c>
      <c r="NP9" s="95">
        <f t="shared" ref="NP9:NP28" si="92">IF(ISNUMBER(NN9), (NJ9+NK9)-NN9, "")</f>
        <v>2.1</v>
      </c>
      <c r="NR9" s="95">
        <v>4.4000000000000004</v>
      </c>
      <c r="NS9" s="116"/>
      <c r="NT9" s="95">
        <f t="shared" ref="NT9:NT28" si="93">IF(ISNUMBER(NR9), (NN9+NO9)-NR9, "")</f>
        <v>2</v>
      </c>
      <c r="NV9" s="95">
        <v>2.9</v>
      </c>
      <c r="NW9" s="116">
        <v>3</v>
      </c>
      <c r="NX9" s="95">
        <f t="shared" ref="NX9:NX28" si="94">IF(ISNUMBER(NV9), (NR9+NS9)-NV9, "")</f>
        <v>1.5000000000000004</v>
      </c>
      <c r="NZ9" s="95">
        <v>4.9000000000000004</v>
      </c>
      <c r="OA9" s="116"/>
      <c r="OB9" s="95">
        <f t="shared" ref="OB9:OB28" si="95">IF(ISNUMBER(NZ9), (NV9+NW9)-NZ9, "")</f>
        <v>1</v>
      </c>
      <c r="OD9" s="95">
        <v>3.2</v>
      </c>
      <c r="OE9" s="116">
        <v>3</v>
      </c>
      <c r="OF9" s="95">
        <f t="shared" ref="OF9:OF28" si="96">IF(ISNUMBER(OD9), (NZ9+OA9)-OD9, "")</f>
        <v>1.7000000000000002</v>
      </c>
      <c r="OH9" s="105">
        <v>4.3</v>
      </c>
      <c r="OI9" s="116"/>
      <c r="OJ9" s="95">
        <f t="shared" ref="OJ9:OJ28" si="97">IF(ISNUMBER(OH9), (OD9+OE9)-OH9, "")</f>
        <v>1.9000000000000004</v>
      </c>
      <c r="OL9" s="115">
        <v>2.9</v>
      </c>
      <c r="OM9" s="116">
        <v>3</v>
      </c>
      <c r="ON9" s="95">
        <f t="shared" ref="ON9:ON28" si="98">IF(ISNUMBER(OL9), (OH9+OI9)-OL9, "")</f>
        <v>1.4</v>
      </c>
      <c r="OP9" s="105">
        <v>4.0999999999999996</v>
      </c>
      <c r="OQ9" s="116"/>
      <c r="OR9" s="95">
        <f t="shared" ref="OR9:OR28" si="99">IF(ISNUMBER(OP9), (OL9+OM9)-OP9, "")</f>
        <v>1.8000000000000007</v>
      </c>
      <c r="OT9" s="95">
        <v>2.9</v>
      </c>
      <c r="OU9" s="116">
        <v>3</v>
      </c>
      <c r="OV9" s="95">
        <f t="shared" ref="OV9:OV28" si="100">IF(ISNUMBER(OT9), (OP9+OQ9)-OT9, "")</f>
        <v>1.1999999999999997</v>
      </c>
      <c r="OX9" s="105">
        <v>4.3</v>
      </c>
      <c r="OY9" s="116"/>
      <c r="OZ9" s="95">
        <f t="shared" ref="OZ9:OZ28" si="101">IF(ISNUMBER(OX9), (OT9+OU9)-OX9, "")</f>
        <v>1.6000000000000005</v>
      </c>
      <c r="PB9" s="95">
        <v>2.1</v>
      </c>
      <c r="PC9" s="116">
        <v>4</v>
      </c>
      <c r="PD9" s="95">
        <f t="shared" ref="PD9:PD28" si="102">IF(ISNUMBER(PB9), (OX9+OY9)-PB9, "")</f>
        <v>2.1999999999999997</v>
      </c>
      <c r="PF9" s="95">
        <v>4.8</v>
      </c>
      <c r="PG9" s="116"/>
      <c r="PH9" s="95">
        <f t="shared" ref="PH9:PH28" si="103">IF(ISNUMBER(PF9), (PB9+PC9)-PF9, "")</f>
        <v>1.2999999999999998</v>
      </c>
      <c r="PJ9" s="105">
        <v>2.9</v>
      </c>
      <c r="PK9" s="116">
        <v>4</v>
      </c>
      <c r="PL9" s="95">
        <f t="shared" ref="PL9:PL28" si="104">IF(ISNUMBER(PJ9), (PF9+PG9)-PJ9, "")</f>
        <v>1.9</v>
      </c>
      <c r="PN9" s="105">
        <v>4.2</v>
      </c>
      <c r="PO9" s="116"/>
      <c r="PP9" s="95">
        <f t="shared" ref="PP9:PP28" si="105">IF(ISNUMBER(PN9), (PJ9+PK9)-PN9, "")</f>
        <v>2.7</v>
      </c>
      <c r="PR9" s="95">
        <v>2.8</v>
      </c>
      <c r="PS9" s="116">
        <v>4</v>
      </c>
      <c r="PT9" s="95">
        <f t="shared" ref="PT9:PT28" si="106">IF(ISNUMBER(PR9), (PN9+PO9)-PR9, "")</f>
        <v>1.4000000000000004</v>
      </c>
      <c r="PV9" s="190">
        <v>4.4000000000000004</v>
      </c>
      <c r="PW9" s="195"/>
      <c r="PX9" s="190">
        <f t="shared" ref="PX9:PX28" si="107">IF(ISNUMBER(PV9), (PR9+PS9)-PV9, "")</f>
        <v>2.3999999999999995</v>
      </c>
      <c r="PZ9" s="105"/>
      <c r="QA9" s="116"/>
      <c r="QB9" s="95" t="str">
        <f t="shared" ref="QB9:QB28" si="108">IF(ISNUMBER(PZ9), (PV9+PW9)-PZ9, "")</f>
        <v/>
      </c>
    </row>
    <row r="10" spans="1:444" ht="12.75" customHeight="1" x14ac:dyDescent="0.2">
      <c r="A10" s="124" t="s">
        <v>81</v>
      </c>
      <c r="B10" s="125" t="s">
        <v>82</v>
      </c>
      <c r="C10" s="87">
        <v>6</v>
      </c>
      <c r="D10" s="87">
        <v>66936</v>
      </c>
      <c r="F10" s="95">
        <v>5.2</v>
      </c>
      <c r="G10" s="96">
        <v>2</v>
      </c>
      <c r="H10" s="113"/>
      <c r="J10" s="95">
        <v>5.3</v>
      </c>
      <c r="K10" s="96"/>
      <c r="L10" s="95">
        <f t="shared" si="0"/>
        <v>1.9000000000000004</v>
      </c>
      <c r="N10" s="105">
        <v>3.2</v>
      </c>
      <c r="O10" s="96">
        <v>3</v>
      </c>
      <c r="P10" s="95">
        <f t="shared" si="1"/>
        <v>2.0999999999999996</v>
      </c>
      <c r="R10" s="95">
        <v>4.4000000000000004</v>
      </c>
      <c r="S10" s="96"/>
      <c r="T10" s="95">
        <f t="shared" si="2"/>
        <v>1.7999999999999998</v>
      </c>
      <c r="V10" s="95">
        <v>1.9</v>
      </c>
      <c r="W10" s="96">
        <v>4</v>
      </c>
      <c r="X10" s="95">
        <f t="shared" si="3"/>
        <v>2.5000000000000004</v>
      </c>
      <c r="Z10" s="105">
        <v>4.8</v>
      </c>
      <c r="AA10" s="96"/>
      <c r="AB10" s="95">
        <f t="shared" si="4"/>
        <v>1.1000000000000005</v>
      </c>
      <c r="AD10" s="105">
        <v>2.7</v>
      </c>
      <c r="AE10" s="96">
        <v>4</v>
      </c>
      <c r="AF10" s="95">
        <f t="shared" si="5"/>
        <v>2.0999999999999996</v>
      </c>
      <c r="AH10" s="95">
        <v>4</v>
      </c>
      <c r="AI10" s="96"/>
      <c r="AJ10" s="95">
        <f t="shared" si="6"/>
        <v>2.7</v>
      </c>
      <c r="AL10" s="105">
        <v>2</v>
      </c>
      <c r="AM10" s="96">
        <v>5</v>
      </c>
      <c r="AN10" s="95">
        <f t="shared" si="7"/>
        <v>2</v>
      </c>
      <c r="AP10" s="105">
        <v>5.7</v>
      </c>
      <c r="AQ10" s="96"/>
      <c r="AR10" s="95">
        <f t="shared" si="8"/>
        <v>1.2999999999999998</v>
      </c>
      <c r="AT10" s="95">
        <v>4</v>
      </c>
      <c r="AU10" s="96">
        <v>3</v>
      </c>
      <c r="AV10" s="95">
        <f t="shared" si="9"/>
        <v>1.7000000000000002</v>
      </c>
      <c r="AX10" s="95">
        <v>5.0999999999999996</v>
      </c>
      <c r="AY10" s="96"/>
      <c r="AZ10" s="95">
        <f t="shared" si="10"/>
        <v>1.9000000000000004</v>
      </c>
      <c r="BB10" s="95">
        <v>2.1</v>
      </c>
      <c r="BC10" s="96">
        <v>5</v>
      </c>
      <c r="BD10" s="95">
        <f t="shared" si="11"/>
        <v>2.9999999999999996</v>
      </c>
      <c r="BF10" s="95">
        <v>6.8</v>
      </c>
      <c r="BG10" s="96"/>
      <c r="BH10" s="95">
        <f t="shared" si="12"/>
        <v>0.29999999999999982</v>
      </c>
      <c r="BJ10" s="95">
        <v>5.2</v>
      </c>
      <c r="BK10" s="96"/>
      <c r="BL10" s="95">
        <f t="shared" si="13"/>
        <v>1.5999999999999996</v>
      </c>
      <c r="BN10" s="95">
        <v>3.8</v>
      </c>
      <c r="BO10" s="96"/>
      <c r="BP10" s="95">
        <f t="shared" si="14"/>
        <v>1.4000000000000004</v>
      </c>
      <c r="BR10" s="115">
        <v>2.7</v>
      </c>
      <c r="BS10" s="116">
        <v>3</v>
      </c>
      <c r="BT10" s="115">
        <f t="shared" si="15"/>
        <v>1.0999999999999996</v>
      </c>
      <c r="BV10" s="105">
        <v>3.9</v>
      </c>
      <c r="BW10" s="96"/>
      <c r="BX10" s="95">
        <f t="shared" si="16"/>
        <v>1.8000000000000003</v>
      </c>
      <c r="BZ10" s="95">
        <v>1.5</v>
      </c>
      <c r="CA10" s="96">
        <v>5</v>
      </c>
      <c r="CB10" s="95">
        <f t="shared" si="17"/>
        <v>2.4</v>
      </c>
      <c r="CD10" s="95">
        <v>3.9</v>
      </c>
      <c r="CE10" s="96">
        <v>3</v>
      </c>
      <c r="CF10" s="95">
        <f t="shared" si="18"/>
        <v>2.6</v>
      </c>
      <c r="CH10" s="95">
        <v>5.8</v>
      </c>
      <c r="CI10" s="96"/>
      <c r="CJ10" s="95">
        <f t="shared" si="19"/>
        <v>1.1000000000000005</v>
      </c>
      <c r="CL10" s="95">
        <v>4.4000000000000004</v>
      </c>
      <c r="CM10" s="96">
        <v>2</v>
      </c>
      <c r="CN10" s="95">
        <f t="shared" si="20"/>
        <v>1.3999999999999995</v>
      </c>
      <c r="CP10" s="95">
        <v>4.8</v>
      </c>
      <c r="CQ10" s="96"/>
      <c r="CR10" s="95">
        <f t="shared" si="21"/>
        <v>1.6000000000000005</v>
      </c>
      <c r="CT10" s="95">
        <v>3.2</v>
      </c>
      <c r="CU10" s="96">
        <v>4</v>
      </c>
      <c r="CV10" s="95">
        <f t="shared" si="22"/>
        <v>1.5999999999999996</v>
      </c>
      <c r="CX10" s="95">
        <v>5.8</v>
      </c>
      <c r="CY10" s="96"/>
      <c r="CZ10" s="95">
        <f t="shared" si="23"/>
        <v>1.4000000000000004</v>
      </c>
      <c r="DB10" s="95">
        <v>3.5</v>
      </c>
      <c r="DC10" s="96">
        <v>3</v>
      </c>
      <c r="DD10" s="95">
        <f t="shared" si="24"/>
        <v>2.2999999999999998</v>
      </c>
      <c r="DF10" s="95">
        <v>4.7</v>
      </c>
      <c r="DG10" s="96"/>
      <c r="DH10" s="95">
        <f t="shared" si="25"/>
        <v>1.7999999999999998</v>
      </c>
      <c r="DJ10" s="95">
        <v>2.8</v>
      </c>
      <c r="DK10" s="96">
        <v>4</v>
      </c>
      <c r="DL10" s="95">
        <f t="shared" si="26"/>
        <v>1.9000000000000004</v>
      </c>
      <c r="DN10" s="95">
        <v>4.2</v>
      </c>
      <c r="DO10" s="96"/>
      <c r="DP10" s="95">
        <f t="shared" si="27"/>
        <v>2.5999999999999996</v>
      </c>
      <c r="DR10" s="95">
        <v>1.7</v>
      </c>
      <c r="DS10" s="96">
        <v>5</v>
      </c>
      <c r="DT10" s="95">
        <f t="shared" si="28"/>
        <v>2.5</v>
      </c>
      <c r="DV10" s="95">
        <v>5.4</v>
      </c>
      <c r="DW10" s="96"/>
      <c r="DX10" s="95">
        <f t="shared" si="29"/>
        <v>1.2999999999999998</v>
      </c>
      <c r="DZ10" s="95">
        <v>4.0999999999999996</v>
      </c>
      <c r="EA10" s="96">
        <v>3</v>
      </c>
      <c r="EB10" s="95">
        <f t="shared" si="30"/>
        <v>1.3000000000000007</v>
      </c>
      <c r="ED10" s="95">
        <v>4.0999999999999996</v>
      </c>
      <c r="EE10" s="96"/>
      <c r="EF10" s="95">
        <f t="shared" si="31"/>
        <v>3</v>
      </c>
      <c r="EH10" s="95">
        <v>3.5</v>
      </c>
      <c r="EI10" s="96">
        <v>3</v>
      </c>
      <c r="EJ10" s="95">
        <f t="shared" si="32"/>
        <v>0.59999999999999964</v>
      </c>
      <c r="EL10" s="95">
        <v>5.0999999999999996</v>
      </c>
      <c r="EM10" s="96"/>
      <c r="EN10" s="95">
        <f t="shared" si="33"/>
        <v>1.4000000000000004</v>
      </c>
      <c r="EP10" s="95">
        <v>3.6</v>
      </c>
      <c r="EQ10" s="96">
        <v>3</v>
      </c>
      <c r="ER10" s="95">
        <f t="shared" si="34"/>
        <v>1.4999999999999996</v>
      </c>
      <c r="ET10" s="95">
        <v>3.1</v>
      </c>
      <c r="EU10" s="96">
        <v>8</v>
      </c>
      <c r="EV10" s="95">
        <f t="shared" si="35"/>
        <v>3.4999999999999996</v>
      </c>
      <c r="EX10" s="95">
        <v>10.6</v>
      </c>
      <c r="EY10" s="96"/>
      <c r="EZ10" s="95">
        <f t="shared" si="36"/>
        <v>0.5</v>
      </c>
      <c r="FB10" s="95">
        <v>8.4</v>
      </c>
      <c r="FC10" s="96"/>
      <c r="FD10" s="95">
        <f t="shared" si="37"/>
        <v>2.1999999999999993</v>
      </c>
      <c r="FF10" s="95">
        <v>5.2</v>
      </c>
      <c r="FG10" s="96"/>
      <c r="FH10" s="95">
        <f t="shared" si="38"/>
        <v>3.2</v>
      </c>
      <c r="FJ10" s="95">
        <v>2.6</v>
      </c>
      <c r="FK10" s="96">
        <v>4</v>
      </c>
      <c r="FL10" s="95">
        <f t="shared" si="39"/>
        <v>2.6</v>
      </c>
      <c r="FN10" s="95">
        <v>4.8</v>
      </c>
      <c r="FO10" s="96"/>
      <c r="FP10" s="95">
        <f t="shared" si="40"/>
        <v>1.7999999999999998</v>
      </c>
      <c r="FR10" s="95">
        <v>2.8</v>
      </c>
      <c r="FS10" s="96">
        <v>4</v>
      </c>
      <c r="FT10" s="95">
        <f t="shared" si="41"/>
        <v>2</v>
      </c>
      <c r="FV10" s="95">
        <v>5.6</v>
      </c>
      <c r="FW10" s="96"/>
      <c r="FX10" s="95">
        <f t="shared" si="42"/>
        <v>1.2000000000000002</v>
      </c>
      <c r="FZ10" s="95">
        <v>3.3</v>
      </c>
      <c r="GA10" s="96">
        <v>3</v>
      </c>
      <c r="GB10" s="95">
        <f t="shared" si="43"/>
        <v>2.2999999999999998</v>
      </c>
      <c r="GD10" s="95">
        <v>4.4000000000000004</v>
      </c>
      <c r="GE10" s="96"/>
      <c r="GF10" s="95">
        <f t="shared" si="44"/>
        <v>1.8999999999999995</v>
      </c>
      <c r="GH10" s="105">
        <v>2.7</v>
      </c>
      <c r="GI10" s="96">
        <v>3</v>
      </c>
      <c r="GJ10" s="95">
        <f t="shared" si="45"/>
        <v>1.7000000000000002</v>
      </c>
      <c r="GL10" s="105">
        <v>2.7</v>
      </c>
      <c r="GM10" s="96">
        <v>4</v>
      </c>
      <c r="GN10" s="95">
        <f t="shared" si="46"/>
        <v>3</v>
      </c>
      <c r="GP10" s="95">
        <v>4</v>
      </c>
      <c r="GQ10" s="96">
        <v>3</v>
      </c>
      <c r="GR10" s="95">
        <f t="shared" si="47"/>
        <v>2.7</v>
      </c>
      <c r="GT10" s="95">
        <v>5.2</v>
      </c>
      <c r="GU10" s="96"/>
      <c r="GV10" s="95">
        <f t="shared" si="48"/>
        <v>1.7999999999999998</v>
      </c>
      <c r="GX10" s="95">
        <v>3.3</v>
      </c>
      <c r="GY10" s="96">
        <v>4</v>
      </c>
      <c r="GZ10" s="95">
        <f t="shared" si="49"/>
        <v>1.9000000000000004</v>
      </c>
      <c r="HB10" s="95">
        <v>5.8</v>
      </c>
      <c r="HC10" s="96"/>
      <c r="HD10" s="95">
        <f t="shared" si="50"/>
        <v>1.5</v>
      </c>
      <c r="HF10" s="95">
        <v>3.1</v>
      </c>
      <c r="HG10" s="96">
        <v>4</v>
      </c>
      <c r="HH10" s="95">
        <f t="shared" si="51"/>
        <v>2.6999999999999997</v>
      </c>
      <c r="HJ10" s="95">
        <v>6.1</v>
      </c>
      <c r="HK10" s="96"/>
      <c r="HL10" s="95">
        <f t="shared" si="52"/>
        <v>1</v>
      </c>
      <c r="HN10" s="95">
        <v>3.6</v>
      </c>
      <c r="HO10" s="96">
        <v>2</v>
      </c>
      <c r="HP10" s="95">
        <f t="shared" si="53"/>
        <v>2.4999999999999996</v>
      </c>
      <c r="HR10" s="95">
        <v>3.8</v>
      </c>
      <c r="HS10" s="96"/>
      <c r="HT10" s="95">
        <f t="shared" si="54"/>
        <v>1.7999999999999998</v>
      </c>
      <c r="HV10" s="95">
        <v>1.9</v>
      </c>
      <c r="HW10" s="116">
        <v>4</v>
      </c>
      <c r="HX10" s="95">
        <f t="shared" si="55"/>
        <v>1.9</v>
      </c>
      <c r="HZ10" s="115">
        <v>2.2000000000000002</v>
      </c>
      <c r="IA10" s="116"/>
      <c r="IB10" s="95">
        <f t="shared" si="56"/>
        <v>3.7</v>
      </c>
      <c r="ID10" s="95">
        <v>1.9</v>
      </c>
      <c r="IE10" s="116">
        <v>4</v>
      </c>
      <c r="IF10" s="95">
        <f t="shared" si="57"/>
        <v>0.30000000000000027</v>
      </c>
      <c r="IH10" s="115">
        <v>3.1</v>
      </c>
      <c r="II10" s="116"/>
      <c r="IJ10" s="95">
        <f t="shared" si="58"/>
        <v>2.8000000000000003</v>
      </c>
      <c r="IL10" s="95">
        <v>0.6</v>
      </c>
      <c r="IM10" s="116">
        <v>6</v>
      </c>
      <c r="IN10" s="95">
        <f t="shared" si="59"/>
        <v>2.5</v>
      </c>
      <c r="IP10" s="95">
        <v>4.9000000000000004</v>
      </c>
      <c r="IQ10" s="116"/>
      <c r="IR10" s="95">
        <f t="shared" si="60"/>
        <v>1.6999999999999993</v>
      </c>
      <c r="IT10" s="95">
        <v>3.8</v>
      </c>
      <c r="IU10" s="116">
        <v>2</v>
      </c>
      <c r="IV10" s="95">
        <f t="shared" si="61"/>
        <v>1.1000000000000005</v>
      </c>
      <c r="IX10" s="95">
        <v>3.5</v>
      </c>
      <c r="IY10" s="116"/>
      <c r="IZ10" s="95">
        <f t="shared" si="62"/>
        <v>2.2999999999999998</v>
      </c>
      <c r="JB10" s="95">
        <v>2.2000000000000002</v>
      </c>
      <c r="JC10" s="116">
        <v>4</v>
      </c>
      <c r="JD10" s="95">
        <f t="shared" si="63"/>
        <v>1.2999999999999998</v>
      </c>
      <c r="JF10" s="95">
        <v>4.7</v>
      </c>
      <c r="JG10" s="116"/>
      <c r="JH10" s="95">
        <f t="shared" si="64"/>
        <v>1.5</v>
      </c>
      <c r="JJ10" s="95">
        <v>2.8</v>
      </c>
      <c r="JK10" s="116">
        <v>3</v>
      </c>
      <c r="JL10" s="95">
        <f t="shared" si="65"/>
        <v>1.9000000000000004</v>
      </c>
      <c r="JN10" s="95">
        <v>5.4</v>
      </c>
      <c r="JO10" s="116"/>
      <c r="JP10" s="95">
        <f t="shared" si="66"/>
        <v>0.39999999999999947</v>
      </c>
      <c r="JR10" s="95">
        <v>3.6</v>
      </c>
      <c r="JS10" s="116">
        <v>2</v>
      </c>
      <c r="JT10" s="95">
        <f t="shared" si="67"/>
        <v>1.8000000000000003</v>
      </c>
      <c r="JV10" s="95">
        <v>3.8</v>
      </c>
      <c r="JW10" s="116">
        <v>2</v>
      </c>
      <c r="JX10" s="95">
        <f t="shared" si="68"/>
        <v>1.7999999999999998</v>
      </c>
      <c r="JZ10" s="95">
        <v>4.5</v>
      </c>
      <c r="KA10" s="116"/>
      <c r="KB10" s="95">
        <f t="shared" si="69"/>
        <v>1.2999999999999998</v>
      </c>
      <c r="KD10" s="95">
        <v>2.2999999999999998</v>
      </c>
      <c r="KE10" s="116">
        <v>3</v>
      </c>
      <c r="KF10" s="95">
        <f t="shared" si="70"/>
        <v>2.2000000000000002</v>
      </c>
      <c r="KH10" s="95">
        <v>3.2</v>
      </c>
      <c r="KI10" s="116"/>
      <c r="KJ10" s="95">
        <f t="shared" si="71"/>
        <v>2.0999999999999996</v>
      </c>
      <c r="KL10" s="95">
        <v>1.6</v>
      </c>
      <c r="KM10" s="116">
        <v>5</v>
      </c>
      <c r="KN10" s="95">
        <f t="shared" si="72"/>
        <v>1.6</v>
      </c>
      <c r="KP10" s="95">
        <v>4.8</v>
      </c>
      <c r="KQ10" s="116"/>
      <c r="KR10" s="95">
        <f t="shared" si="73"/>
        <v>1.7999999999999998</v>
      </c>
      <c r="KT10" s="95">
        <v>3.7</v>
      </c>
      <c r="KU10" s="116">
        <v>3</v>
      </c>
      <c r="KV10" s="95">
        <f t="shared" si="74"/>
        <v>1.0999999999999996</v>
      </c>
      <c r="KX10" s="95">
        <v>5.4</v>
      </c>
      <c r="KY10" s="116"/>
      <c r="KZ10" s="95">
        <f t="shared" si="75"/>
        <v>1.2999999999999998</v>
      </c>
      <c r="LB10" s="95">
        <v>2</v>
      </c>
      <c r="LC10" s="116">
        <v>4</v>
      </c>
      <c r="LD10" s="95">
        <f t="shared" si="76"/>
        <v>3.4000000000000004</v>
      </c>
      <c r="LF10" s="95">
        <v>4.2</v>
      </c>
      <c r="LG10" s="116"/>
      <c r="LH10" s="95">
        <f t="shared" si="77"/>
        <v>1.7999999999999998</v>
      </c>
      <c r="LJ10" s="95">
        <v>3.2</v>
      </c>
      <c r="LK10" s="116">
        <v>3</v>
      </c>
      <c r="LL10" s="95">
        <f t="shared" si="78"/>
        <v>1</v>
      </c>
      <c r="LN10" s="95">
        <v>4.5999999999999996</v>
      </c>
      <c r="LO10" s="116"/>
      <c r="LP10" s="95">
        <f t="shared" si="79"/>
        <v>1.6000000000000005</v>
      </c>
      <c r="LR10" s="105">
        <v>2.1</v>
      </c>
      <c r="LS10" s="116">
        <v>4</v>
      </c>
      <c r="LT10" s="95">
        <f t="shared" si="80"/>
        <v>2.4999999999999996</v>
      </c>
      <c r="LV10" s="105">
        <v>4.9000000000000004</v>
      </c>
      <c r="LW10" s="116"/>
      <c r="LX10" s="95">
        <f t="shared" si="81"/>
        <v>1.1999999999999993</v>
      </c>
      <c r="LZ10" s="95">
        <v>4.2</v>
      </c>
      <c r="MA10" s="116">
        <v>2</v>
      </c>
      <c r="MB10" s="95">
        <f t="shared" si="82"/>
        <v>0.70000000000000018</v>
      </c>
      <c r="MD10" s="95">
        <v>3.9</v>
      </c>
      <c r="ME10" s="116"/>
      <c r="MF10" s="95">
        <f t="shared" si="83"/>
        <v>2.3000000000000003</v>
      </c>
      <c r="MH10" s="95">
        <v>1.5</v>
      </c>
      <c r="MI10" s="116">
        <v>4</v>
      </c>
      <c r="MJ10" s="95">
        <f t="shared" si="84"/>
        <v>2.4</v>
      </c>
      <c r="ML10" s="95">
        <v>4.9000000000000004</v>
      </c>
      <c r="MM10" s="116"/>
      <c r="MN10" s="95">
        <f t="shared" si="85"/>
        <v>0.59999999999999964</v>
      </c>
      <c r="MP10" s="95">
        <v>2.9</v>
      </c>
      <c r="MQ10" s="116">
        <v>7</v>
      </c>
      <c r="MR10" s="95">
        <f t="shared" si="86"/>
        <v>2.0000000000000004</v>
      </c>
      <c r="MT10" s="95">
        <v>4.5</v>
      </c>
      <c r="MU10" s="116">
        <v>3</v>
      </c>
      <c r="MV10" s="95">
        <f t="shared" si="87"/>
        <v>5.4</v>
      </c>
      <c r="MX10" s="95">
        <v>3.7</v>
      </c>
      <c r="MY10" s="116">
        <v>3</v>
      </c>
      <c r="MZ10" s="95">
        <f t="shared" si="88"/>
        <v>3.8</v>
      </c>
      <c r="NB10" s="95">
        <v>5.9</v>
      </c>
      <c r="NC10" s="116"/>
      <c r="ND10" s="95">
        <f t="shared" si="89"/>
        <v>0.79999999999999982</v>
      </c>
      <c r="NF10" s="105">
        <v>2.8</v>
      </c>
      <c r="NG10" s="116">
        <v>3</v>
      </c>
      <c r="NH10" s="95">
        <f t="shared" si="90"/>
        <v>3.1000000000000005</v>
      </c>
      <c r="NJ10" s="95">
        <v>3.9</v>
      </c>
      <c r="NK10" s="116"/>
      <c r="NL10" s="95">
        <f t="shared" si="91"/>
        <v>1.9</v>
      </c>
      <c r="NN10" s="95">
        <v>1.2</v>
      </c>
      <c r="NO10" s="116">
        <v>5</v>
      </c>
      <c r="NP10" s="95">
        <f t="shared" si="92"/>
        <v>2.7</v>
      </c>
      <c r="NR10" s="95">
        <v>4.2</v>
      </c>
      <c r="NS10" s="116"/>
      <c r="NT10" s="95">
        <f t="shared" si="93"/>
        <v>2</v>
      </c>
      <c r="NV10" s="95">
        <v>2.8</v>
      </c>
      <c r="NW10" s="116">
        <v>3</v>
      </c>
      <c r="NX10" s="95">
        <f t="shared" si="94"/>
        <v>1.4000000000000004</v>
      </c>
      <c r="NZ10" s="95">
        <v>4.8</v>
      </c>
      <c r="OA10" s="116"/>
      <c r="OB10" s="95">
        <f t="shared" si="95"/>
        <v>1</v>
      </c>
      <c r="OD10" s="95">
        <v>2.9</v>
      </c>
      <c r="OE10" s="116">
        <v>4</v>
      </c>
      <c r="OF10" s="95">
        <f t="shared" si="96"/>
        <v>1.9</v>
      </c>
      <c r="OH10" s="105">
        <v>4.5</v>
      </c>
      <c r="OI10" s="116"/>
      <c r="OJ10" s="95">
        <f t="shared" si="97"/>
        <v>2.4000000000000004</v>
      </c>
      <c r="OL10" s="95">
        <v>3.6</v>
      </c>
      <c r="OM10" s="116">
        <v>2</v>
      </c>
      <c r="ON10" s="95">
        <f t="shared" si="98"/>
        <v>0.89999999999999991</v>
      </c>
      <c r="OP10" s="105">
        <v>3.5</v>
      </c>
      <c r="OQ10" s="116"/>
      <c r="OR10" s="95">
        <f t="shared" si="99"/>
        <v>2.0999999999999996</v>
      </c>
      <c r="OT10" s="95">
        <v>2.2999999999999998</v>
      </c>
      <c r="OU10" s="116">
        <v>2</v>
      </c>
      <c r="OV10" s="95">
        <f t="shared" si="100"/>
        <v>1.2000000000000002</v>
      </c>
      <c r="OX10" s="105">
        <v>2.8</v>
      </c>
      <c r="OY10" s="116"/>
      <c r="OZ10" s="95">
        <f t="shared" si="101"/>
        <v>1.5</v>
      </c>
      <c r="PB10" s="95">
        <v>0.3</v>
      </c>
      <c r="PC10" s="116">
        <v>6</v>
      </c>
      <c r="PD10" s="95">
        <f t="shared" si="102"/>
        <v>2.5</v>
      </c>
      <c r="PF10" s="95">
        <v>5.0999999999999996</v>
      </c>
      <c r="PG10" s="116"/>
      <c r="PH10" s="95">
        <f t="shared" si="103"/>
        <v>1.2000000000000002</v>
      </c>
      <c r="PJ10" s="105">
        <v>3.3</v>
      </c>
      <c r="PK10" s="116">
        <v>2</v>
      </c>
      <c r="PL10" s="95">
        <f t="shared" si="104"/>
        <v>1.7999999999999998</v>
      </c>
      <c r="PN10" s="105">
        <v>3.2</v>
      </c>
      <c r="PO10" s="116"/>
      <c r="PP10" s="95">
        <f t="shared" si="105"/>
        <v>2.0999999999999996</v>
      </c>
      <c r="PR10" s="95">
        <v>1.7</v>
      </c>
      <c r="PS10" s="116">
        <v>4</v>
      </c>
      <c r="PT10" s="95">
        <f t="shared" si="106"/>
        <v>1.5000000000000002</v>
      </c>
      <c r="PV10" s="190">
        <v>3.4</v>
      </c>
      <c r="PW10" s="195"/>
      <c r="PX10" s="190">
        <f t="shared" si="107"/>
        <v>2.3000000000000003</v>
      </c>
      <c r="PZ10" s="105"/>
      <c r="QA10" s="116"/>
      <c r="QB10" s="95" t="str">
        <f t="shared" si="108"/>
        <v/>
      </c>
    </row>
    <row r="11" spans="1:444" ht="12.75" customHeight="1" x14ac:dyDescent="0.2">
      <c r="A11" s="124" t="s">
        <v>77</v>
      </c>
      <c r="B11" s="126" t="s">
        <v>83</v>
      </c>
      <c r="C11" s="87">
        <v>1.5</v>
      </c>
      <c r="D11" s="87">
        <v>88296</v>
      </c>
      <c r="F11" s="95">
        <v>0.9</v>
      </c>
      <c r="G11" s="96">
        <v>1</v>
      </c>
      <c r="H11" s="113"/>
      <c r="J11" s="95">
        <v>0.7</v>
      </c>
      <c r="K11" s="96"/>
      <c r="L11" s="95">
        <f>IF(ISNUMBER(J11), (F11+G11)-J11, "")</f>
        <v>1.2</v>
      </c>
      <c r="N11" s="105">
        <v>0.7</v>
      </c>
      <c r="O11" s="96">
        <v>1</v>
      </c>
      <c r="P11" s="95">
        <f>IF(ISNUMBER(N11), (J11+K11)-N11, "")</f>
        <v>0</v>
      </c>
      <c r="R11" s="95">
        <v>1.4</v>
      </c>
      <c r="S11" s="96"/>
      <c r="T11" s="95">
        <f>IF(ISNUMBER(R11), (N11+O11)-R11, "")</f>
        <v>0.30000000000000004</v>
      </c>
      <c r="V11" s="95">
        <v>1.1000000000000001</v>
      </c>
      <c r="W11" s="96"/>
      <c r="X11" s="95">
        <f>IF(ISNUMBER(V11), (R11+S11)-V11, "")</f>
        <v>0.29999999999999982</v>
      </c>
      <c r="Z11" s="105">
        <v>0.8</v>
      </c>
      <c r="AA11" s="96"/>
      <c r="AB11" s="95">
        <f>IF(ISNUMBER(Z11), (V11+W11)-Z11, "")</f>
        <v>0.30000000000000004</v>
      </c>
      <c r="AD11" s="105">
        <v>0.7</v>
      </c>
      <c r="AE11" s="96">
        <v>1</v>
      </c>
      <c r="AF11" s="95">
        <f>IF(ISNUMBER(AD11), (Z11+AA11)-AD11, "")</f>
        <v>0.10000000000000009</v>
      </c>
      <c r="AH11" s="95">
        <v>1.3</v>
      </c>
      <c r="AI11" s="96"/>
      <c r="AJ11" s="95">
        <f>IF(ISNUMBER(AH11), (AD11+AE11)-AH11, "")</f>
        <v>0.39999999999999991</v>
      </c>
      <c r="AL11" s="105">
        <v>0.9</v>
      </c>
      <c r="AM11" s="96">
        <v>1</v>
      </c>
      <c r="AN11" s="95">
        <f>IF(ISNUMBER(AL11), (AH11+AI11)-AL11, "")</f>
        <v>0.4</v>
      </c>
      <c r="AP11" s="105">
        <v>1.8</v>
      </c>
      <c r="AQ11" s="96"/>
      <c r="AR11" s="95">
        <f>IF(ISNUMBER(AP11), (AL11+AM11)-AP11, "")</f>
        <v>9.9999999999999867E-2</v>
      </c>
      <c r="AT11" s="95">
        <v>1.7</v>
      </c>
      <c r="AU11" s="96"/>
      <c r="AV11" s="95">
        <f>IF(ISNUMBER(AT11), (AP11+AQ11)-AT11, "")</f>
        <v>0.10000000000000009</v>
      </c>
      <c r="AX11" s="95">
        <v>1.1000000000000001</v>
      </c>
      <c r="AY11" s="96"/>
      <c r="AZ11" s="95">
        <f>IF(ISNUMBER(AX11), (AT11+AU11)-AX11, "")</f>
        <v>0.59999999999999987</v>
      </c>
      <c r="BB11" s="95">
        <v>0.7</v>
      </c>
      <c r="BC11" s="96">
        <v>1</v>
      </c>
      <c r="BD11" s="95">
        <f>IF(ISNUMBER(BB11), (AX11+AY11)-BB11, "")</f>
        <v>0.40000000000000013</v>
      </c>
      <c r="BF11" s="95">
        <v>1.6</v>
      </c>
      <c r="BG11" s="96"/>
      <c r="BH11" s="95">
        <f>IF(ISNUMBER(BF11), (BB11+BC11)-BF11, "")</f>
        <v>9.9999999999999867E-2</v>
      </c>
      <c r="BJ11" s="95">
        <v>1.2</v>
      </c>
      <c r="BK11" s="96"/>
      <c r="BL11" s="95">
        <f>IF(ISNUMBER(BJ11), (BF11+BG11)-BJ11, "")</f>
        <v>0.40000000000000013</v>
      </c>
      <c r="BN11" s="95">
        <v>1.2</v>
      </c>
      <c r="BO11" s="96"/>
      <c r="BP11" s="95">
        <f>IF(ISNUMBER(BN11), (BJ11+BK11)-BN11, "")</f>
        <v>0</v>
      </c>
      <c r="BR11" s="115">
        <v>1.1000000000000001</v>
      </c>
      <c r="BS11" s="116"/>
      <c r="BT11" s="115">
        <f>IF(ISNUMBER(BR11), (BN11+BO11)-BR11, "")</f>
        <v>9.9999999999999867E-2</v>
      </c>
      <c r="BV11" s="105">
        <v>0.8</v>
      </c>
      <c r="BW11" s="96"/>
      <c r="BX11" s="95">
        <f>IF(ISNUMBER(BV11), (BR11+BS11)-BV11, "")</f>
        <v>0.30000000000000004</v>
      </c>
      <c r="BZ11" s="95">
        <v>0.1</v>
      </c>
      <c r="CA11" s="96">
        <v>1</v>
      </c>
      <c r="CB11" s="95">
        <f>IF(ISNUMBER(BZ11), (BV11+BW11)-BZ11, "")</f>
        <v>0.70000000000000007</v>
      </c>
      <c r="CD11" s="95">
        <v>1</v>
      </c>
      <c r="CE11" s="96"/>
      <c r="CF11" s="95">
        <f>IF(ISNUMBER(CD11), (BZ11+CA11)-CD11, "")</f>
        <v>0.10000000000000009</v>
      </c>
      <c r="CH11" s="95">
        <v>0.8</v>
      </c>
      <c r="CI11" s="96"/>
      <c r="CJ11" s="95">
        <f>IF(ISNUMBER(CH11), (CD11+CE11)-CH11, "")</f>
        <v>0.19999999999999996</v>
      </c>
      <c r="CL11" s="95">
        <v>0.8</v>
      </c>
      <c r="CM11" s="96"/>
      <c r="CN11" s="95">
        <f>IF(ISNUMBER(CL11), (CH11+CI11)-CL11, "")</f>
        <v>0</v>
      </c>
      <c r="CP11" s="95">
        <v>0.8</v>
      </c>
      <c r="CQ11" s="96"/>
      <c r="CR11" s="95">
        <f>IF(ISNUMBER(CP11), (CL11+CM11)-CP11, "")</f>
        <v>0</v>
      </c>
      <c r="CT11" s="95">
        <v>0.7</v>
      </c>
      <c r="CU11" s="96"/>
      <c r="CV11" s="95">
        <f>IF(ISNUMBER(CT11), (CP11+CQ11)-CT11, "")</f>
        <v>0.10000000000000009</v>
      </c>
      <c r="CX11" s="95">
        <v>0.5</v>
      </c>
      <c r="CY11" s="96"/>
      <c r="CZ11" s="95">
        <f>IF(ISNUMBER(CX11), (CT11+CU11)-CX11, "")</f>
        <v>0.19999999999999996</v>
      </c>
      <c r="DB11" s="95">
        <v>0.1</v>
      </c>
      <c r="DC11" s="117">
        <v>1</v>
      </c>
      <c r="DD11" s="95">
        <f>IF(ISNUMBER(DB11), (CX11+CY11)-DB11, "")</f>
        <v>0.4</v>
      </c>
      <c r="DF11" s="95">
        <v>0.9</v>
      </c>
      <c r="DG11" s="96"/>
      <c r="DH11" s="95">
        <f>IF(ISNUMBER(DF11), (DB11+DC11)-DF11, "")</f>
        <v>0.20000000000000007</v>
      </c>
      <c r="DJ11" s="95">
        <v>0.6</v>
      </c>
      <c r="DK11" s="96">
        <v>1</v>
      </c>
      <c r="DL11" s="95">
        <f>IF(ISNUMBER(DJ11), (DF11+DG11)-DJ11, "")</f>
        <v>0.30000000000000004</v>
      </c>
      <c r="DN11" s="95">
        <v>1.5</v>
      </c>
      <c r="DO11" s="96"/>
      <c r="DP11" s="95">
        <f>IF(ISNUMBER(DN11), (DJ11+DK11)-DN11, "")</f>
        <v>0.10000000000000009</v>
      </c>
      <c r="DR11" s="95">
        <v>1.1000000000000001</v>
      </c>
      <c r="DS11" s="96">
        <v>1</v>
      </c>
      <c r="DT11" s="95">
        <f>IF(ISNUMBER(DR11), (DN11+DO11)-DR11, "")</f>
        <v>0.39999999999999991</v>
      </c>
      <c r="DV11" s="95">
        <v>1.8</v>
      </c>
      <c r="DW11" s="96"/>
      <c r="DX11" s="95">
        <f>IF(ISNUMBER(DV11), (DR11+DS11)-DV11, "")</f>
        <v>0.30000000000000004</v>
      </c>
      <c r="DZ11" s="95">
        <v>1.7</v>
      </c>
      <c r="EA11" s="96"/>
      <c r="EB11" s="95">
        <f>IF(ISNUMBER(DZ11), (DV11+DW11)-DZ11, "")</f>
        <v>0.10000000000000009</v>
      </c>
      <c r="ED11" s="95">
        <v>1.7</v>
      </c>
      <c r="EE11" s="96"/>
      <c r="EF11" s="95">
        <f>IF(ISNUMBER(ED11), (DZ11+EA11)-ED11, "")</f>
        <v>0</v>
      </c>
      <c r="EH11" s="95">
        <v>1.7</v>
      </c>
      <c r="EI11" s="96"/>
      <c r="EJ11" s="95">
        <f>IF(ISNUMBER(EH11), (ED11+EE11)-EH11, "")</f>
        <v>0</v>
      </c>
      <c r="EL11" s="95">
        <v>1.6</v>
      </c>
      <c r="EM11" s="96"/>
      <c r="EN11" s="95">
        <f>IF(ISNUMBER(EL11), (EH11+EI11)-EL11, "")</f>
        <v>9.9999999999999867E-2</v>
      </c>
      <c r="EP11" s="95">
        <v>1.5</v>
      </c>
      <c r="EQ11" s="96"/>
      <c r="ER11" s="95">
        <f>IF(ISNUMBER(EP11), (EL11+EM11)-EP11, "")</f>
        <v>0.10000000000000009</v>
      </c>
      <c r="ET11" s="95">
        <v>1.5</v>
      </c>
      <c r="EU11" s="96"/>
      <c r="EV11" s="95">
        <f>IF(ISNUMBER(ET11), (EP11+EQ11)-ET11, "")</f>
        <v>0</v>
      </c>
      <c r="EX11" s="95">
        <v>1.5</v>
      </c>
      <c r="EY11" s="96"/>
      <c r="EZ11" s="95">
        <f>IF(ISNUMBER(EX11), (ET11+EU11)-EX11, "")</f>
        <v>0</v>
      </c>
      <c r="FB11" s="95">
        <v>1.4</v>
      </c>
      <c r="FC11" s="96"/>
      <c r="FD11" s="95">
        <f>IF(ISNUMBER(FB11), (EX11+EY11)-FB11, "")</f>
        <v>0.10000000000000009</v>
      </c>
      <c r="FF11" s="95">
        <v>1.1000000000000001</v>
      </c>
      <c r="FG11" s="96"/>
      <c r="FH11" s="95">
        <f>IF(ISNUMBER(FF11), (FB11+FC11)-FF11, "")</f>
        <v>0.29999999999999982</v>
      </c>
      <c r="FJ11" s="95">
        <v>0.8</v>
      </c>
      <c r="FK11" s="96">
        <v>1</v>
      </c>
      <c r="FL11" s="95">
        <f>IF(ISNUMBER(FJ11), (FF11+FG11)-FJ11, "")</f>
        <v>0.30000000000000004</v>
      </c>
      <c r="FN11" s="95">
        <v>1.7</v>
      </c>
      <c r="FO11" s="96"/>
      <c r="FP11" s="95">
        <f>IF(ISNUMBER(FN11), (FJ11+FK11)-FN11, "")</f>
        <v>0.10000000000000009</v>
      </c>
      <c r="FR11" s="95">
        <v>1.7</v>
      </c>
      <c r="FS11" s="96"/>
      <c r="FT11" s="95">
        <f>IF(ISNUMBER(FR11), (FN11+FO11)-FR11, "")</f>
        <v>0</v>
      </c>
      <c r="FV11" s="95">
        <v>1.6</v>
      </c>
      <c r="FW11" s="96"/>
      <c r="FX11" s="95">
        <f>IF(ISNUMBER(FV11), (FR11+FS11)-FV11, "")</f>
        <v>9.9999999999999867E-2</v>
      </c>
      <c r="FZ11" s="95">
        <v>1.6</v>
      </c>
      <c r="GA11" s="96"/>
      <c r="GB11" s="95">
        <f>IF(ISNUMBER(FZ11), (FV11+FW11)-FZ11, "")</f>
        <v>0</v>
      </c>
      <c r="GD11" s="95">
        <v>1.3</v>
      </c>
      <c r="GE11" s="96"/>
      <c r="GF11" s="95">
        <f>IF(ISNUMBER(GD11), (FZ11+GA11)-GD11, "")</f>
        <v>0.30000000000000004</v>
      </c>
      <c r="GH11" s="105">
        <v>1</v>
      </c>
      <c r="GI11" s="96"/>
      <c r="GJ11" s="95">
        <f>IF(ISNUMBER(GH11), (GD11+GE11)-GH11, "")</f>
        <v>0.30000000000000004</v>
      </c>
      <c r="GL11" s="105">
        <v>0.8</v>
      </c>
      <c r="GM11" s="96"/>
      <c r="GN11" s="95">
        <f t="shared" si="46"/>
        <v>0.19999999999999996</v>
      </c>
      <c r="GP11" s="95">
        <v>0.8</v>
      </c>
      <c r="GQ11" s="96"/>
      <c r="GR11" s="95">
        <f t="shared" si="47"/>
        <v>0</v>
      </c>
      <c r="GT11" s="95">
        <v>0.7</v>
      </c>
      <c r="GU11" s="96"/>
      <c r="GV11" s="95">
        <f>IF(ISNUMBER(GT11), (GP11+GQ11)-GT11, "")</f>
        <v>0.10000000000000009</v>
      </c>
      <c r="GX11" s="95">
        <v>0.6</v>
      </c>
      <c r="GY11" s="96"/>
      <c r="GZ11" s="95">
        <f>IF(ISNUMBER(GX11), (GT11+GU11)-GX11, "")</f>
        <v>9.9999999999999978E-2</v>
      </c>
      <c r="HB11" s="95">
        <v>0.6</v>
      </c>
      <c r="HC11" s="96"/>
      <c r="HD11" s="95">
        <f>IF(ISNUMBER(HB11), (GX11+GY11)-HB11, "")</f>
        <v>0</v>
      </c>
      <c r="HF11" s="95">
        <v>0.4</v>
      </c>
      <c r="HG11" s="96">
        <v>1</v>
      </c>
      <c r="HH11" s="95">
        <f>IF(ISNUMBER(HF11), (HB11+HC11)-HF11, "")</f>
        <v>0.19999999999999996</v>
      </c>
      <c r="HJ11" s="95">
        <v>0.9</v>
      </c>
      <c r="HK11" s="96"/>
      <c r="HL11" s="95">
        <f>IF(ISNUMBER(HJ11), (HF11+HG11)-HJ11, "")</f>
        <v>0.49999999999999989</v>
      </c>
      <c r="HN11" s="95">
        <v>0.9</v>
      </c>
      <c r="HO11" s="96"/>
      <c r="HP11" s="95">
        <f>IF(ISNUMBER(HN11), (HJ11+HK11)-HN11, "")</f>
        <v>0</v>
      </c>
      <c r="HR11" s="95">
        <v>0.7</v>
      </c>
      <c r="HS11" s="96"/>
      <c r="HT11" s="95">
        <f>IF(ISNUMBER(HR11), (HN11+HO11)-HR11, "")</f>
        <v>0.20000000000000007</v>
      </c>
      <c r="HV11" s="95">
        <v>0.6</v>
      </c>
      <c r="HW11" s="116">
        <v>1</v>
      </c>
      <c r="HX11" s="95">
        <f>IF(ISNUMBER(HV11), (HR11+HS11)-HV11, "")</f>
        <v>9.9999999999999978E-2</v>
      </c>
      <c r="HZ11" s="115">
        <v>1.5</v>
      </c>
      <c r="IA11" s="116"/>
      <c r="IB11" s="95">
        <f t="shared" si="56"/>
        <v>0.10000000000000009</v>
      </c>
      <c r="ID11" s="95">
        <v>1.5</v>
      </c>
      <c r="IE11" s="116"/>
      <c r="IF11" s="95">
        <f t="shared" si="57"/>
        <v>0</v>
      </c>
      <c r="IH11" s="115">
        <v>1.4</v>
      </c>
      <c r="II11" s="116"/>
      <c r="IJ11" s="95">
        <f t="shared" si="58"/>
        <v>0.10000000000000009</v>
      </c>
      <c r="IL11" s="95">
        <v>1.2</v>
      </c>
      <c r="IM11" s="116"/>
      <c r="IN11" s="95">
        <f t="shared" si="59"/>
        <v>0.19999999999999996</v>
      </c>
      <c r="IP11" s="95">
        <v>1.1000000000000001</v>
      </c>
      <c r="IQ11" s="116"/>
      <c r="IR11" s="95">
        <f t="shared" si="60"/>
        <v>9.9999999999999867E-2</v>
      </c>
      <c r="IT11" s="95">
        <v>1.1000000000000001</v>
      </c>
      <c r="IU11" s="116"/>
      <c r="IV11" s="95">
        <f t="shared" si="61"/>
        <v>0</v>
      </c>
      <c r="IX11" s="95">
        <v>1.1000000000000001</v>
      </c>
      <c r="IY11" s="116"/>
      <c r="IZ11" s="95">
        <f t="shared" si="62"/>
        <v>0</v>
      </c>
      <c r="JB11" s="95">
        <v>1.1000000000000001</v>
      </c>
      <c r="JC11" s="116"/>
      <c r="JD11" s="95">
        <f t="shared" si="63"/>
        <v>0</v>
      </c>
      <c r="JF11" s="95">
        <v>1.1000000000000001</v>
      </c>
      <c r="JG11" s="116"/>
      <c r="JH11" s="95">
        <f t="shared" si="64"/>
        <v>0</v>
      </c>
      <c r="JJ11" s="95">
        <v>0.9</v>
      </c>
      <c r="JK11" s="116"/>
      <c r="JL11" s="95">
        <f t="shared" si="65"/>
        <v>0.20000000000000007</v>
      </c>
      <c r="JN11" s="95">
        <v>0.8</v>
      </c>
      <c r="JO11" s="116"/>
      <c r="JP11" s="95">
        <f t="shared" si="66"/>
        <v>9.9999999999999978E-2</v>
      </c>
      <c r="JR11" s="95">
        <v>0.3</v>
      </c>
      <c r="JS11" s="116">
        <v>1</v>
      </c>
      <c r="JT11" s="95">
        <f t="shared" si="67"/>
        <v>0.5</v>
      </c>
      <c r="JV11" s="95">
        <v>1.2</v>
      </c>
      <c r="JW11" s="116"/>
      <c r="JX11" s="95">
        <f t="shared" si="68"/>
        <v>0.10000000000000009</v>
      </c>
      <c r="JZ11" s="95">
        <v>1.2</v>
      </c>
      <c r="KA11" s="116"/>
      <c r="KB11" s="95">
        <f t="shared" si="69"/>
        <v>0</v>
      </c>
      <c r="KD11" s="95">
        <v>1.1000000000000001</v>
      </c>
      <c r="KE11" s="116"/>
      <c r="KF11" s="95">
        <f t="shared" si="70"/>
        <v>9.9999999999999867E-2</v>
      </c>
      <c r="KH11" s="95">
        <v>1.1000000000000001</v>
      </c>
      <c r="KI11" s="116"/>
      <c r="KJ11" s="95">
        <f t="shared" si="71"/>
        <v>0</v>
      </c>
      <c r="KL11" s="95">
        <v>0.9</v>
      </c>
      <c r="KM11" s="116"/>
      <c r="KN11" s="95">
        <f t="shared" si="72"/>
        <v>0.20000000000000007</v>
      </c>
      <c r="KP11" s="95">
        <v>0.8</v>
      </c>
      <c r="KQ11" s="116"/>
      <c r="KR11" s="95">
        <f t="shared" si="73"/>
        <v>9.9999999999999978E-2</v>
      </c>
      <c r="KT11" s="95">
        <v>0.8</v>
      </c>
      <c r="KU11" s="116"/>
      <c r="KV11" s="95">
        <f t="shared" si="74"/>
        <v>0</v>
      </c>
      <c r="KX11" s="95">
        <v>0.7</v>
      </c>
      <c r="KY11" s="116"/>
      <c r="KZ11" s="95">
        <f t="shared" si="75"/>
        <v>0.10000000000000009</v>
      </c>
      <c r="LB11" s="95">
        <v>0.6</v>
      </c>
      <c r="LC11" s="116">
        <v>1</v>
      </c>
      <c r="LD11" s="95">
        <f t="shared" si="76"/>
        <v>9.9999999999999978E-2</v>
      </c>
      <c r="LF11" s="95">
        <v>1.5</v>
      </c>
      <c r="LG11" s="116"/>
      <c r="LH11" s="95">
        <f t="shared" si="77"/>
        <v>0.10000000000000009</v>
      </c>
      <c r="LJ11" s="95">
        <v>1.3</v>
      </c>
      <c r="LK11" s="116"/>
      <c r="LL11" s="95">
        <f t="shared" si="78"/>
        <v>0.19999999999999996</v>
      </c>
      <c r="LN11" s="95">
        <v>1.3</v>
      </c>
      <c r="LO11" s="116"/>
      <c r="LP11" s="95">
        <f t="shared" si="79"/>
        <v>0</v>
      </c>
      <c r="LR11" s="105">
        <v>0.9</v>
      </c>
      <c r="LS11" s="116">
        <v>1</v>
      </c>
      <c r="LT11" s="95">
        <f t="shared" si="80"/>
        <v>0.4</v>
      </c>
      <c r="LV11" s="105">
        <v>1.8</v>
      </c>
      <c r="LW11" s="116"/>
      <c r="LX11" s="95">
        <f t="shared" si="81"/>
        <v>9.9999999999999867E-2</v>
      </c>
      <c r="LZ11" s="95">
        <v>1.8</v>
      </c>
      <c r="MA11" s="116"/>
      <c r="MB11" s="95">
        <f t="shared" si="82"/>
        <v>0</v>
      </c>
      <c r="MD11" s="95">
        <v>1.8</v>
      </c>
      <c r="ME11" s="116"/>
      <c r="MF11" s="95">
        <f t="shared" si="83"/>
        <v>0</v>
      </c>
      <c r="MH11" s="95">
        <v>1.8</v>
      </c>
      <c r="MI11" s="116"/>
      <c r="MJ11" s="95">
        <f t="shared" si="84"/>
        <v>0</v>
      </c>
      <c r="ML11" s="95">
        <v>1.2</v>
      </c>
      <c r="MM11" s="116"/>
      <c r="MN11" s="95">
        <f t="shared" si="85"/>
        <v>0.60000000000000009</v>
      </c>
      <c r="MP11" s="95">
        <v>0.9</v>
      </c>
      <c r="MQ11" s="116">
        <v>1</v>
      </c>
      <c r="MR11" s="95">
        <f t="shared" si="86"/>
        <v>0.29999999999999993</v>
      </c>
      <c r="MT11" s="95">
        <v>1.8</v>
      </c>
      <c r="MU11" s="116"/>
      <c r="MV11" s="95">
        <f t="shared" si="87"/>
        <v>9.9999999999999867E-2</v>
      </c>
      <c r="MX11" s="95">
        <v>1.3</v>
      </c>
      <c r="MY11" s="116"/>
      <c r="MZ11" s="95">
        <f t="shared" si="88"/>
        <v>0.5</v>
      </c>
      <c r="NB11" s="95">
        <v>1.2</v>
      </c>
      <c r="NC11" s="116"/>
      <c r="ND11" s="95">
        <f t="shared" si="89"/>
        <v>0.10000000000000009</v>
      </c>
      <c r="NF11" s="105">
        <v>0.9</v>
      </c>
      <c r="NG11" s="116">
        <v>1</v>
      </c>
      <c r="NH11" s="95">
        <f t="shared" si="90"/>
        <v>0.29999999999999993</v>
      </c>
      <c r="NJ11" s="95">
        <v>1.7</v>
      </c>
      <c r="NK11" s="116"/>
      <c r="NL11" s="95">
        <f t="shared" si="91"/>
        <v>0.19999999999999996</v>
      </c>
      <c r="NN11" s="95">
        <v>1.2</v>
      </c>
      <c r="NO11" s="116"/>
      <c r="NP11" s="95">
        <f t="shared" si="92"/>
        <v>0.5</v>
      </c>
      <c r="NR11" s="95">
        <v>1.5</v>
      </c>
      <c r="NS11" s="116">
        <v>1</v>
      </c>
      <c r="NT11" s="95">
        <f t="shared" si="93"/>
        <v>-0.30000000000000004</v>
      </c>
      <c r="NV11" s="95">
        <v>2.5</v>
      </c>
      <c r="NW11" s="116"/>
      <c r="NX11" s="95">
        <f t="shared" si="94"/>
        <v>0</v>
      </c>
      <c r="NZ11" s="95">
        <v>2.5</v>
      </c>
      <c r="OA11" s="116"/>
      <c r="OB11" s="95">
        <f t="shared" si="95"/>
        <v>0</v>
      </c>
      <c r="OD11" s="95">
        <v>2.5</v>
      </c>
      <c r="OE11" s="116"/>
      <c r="OF11" s="95">
        <f t="shared" si="96"/>
        <v>0</v>
      </c>
      <c r="OH11" s="105">
        <v>2.4</v>
      </c>
      <c r="OI11" s="116"/>
      <c r="OJ11" s="95">
        <f t="shared" si="97"/>
        <v>0.10000000000000009</v>
      </c>
      <c r="OL11" s="95">
        <v>2.2000000000000002</v>
      </c>
      <c r="OM11" s="116"/>
      <c r="ON11" s="95">
        <f t="shared" si="98"/>
        <v>0.19999999999999973</v>
      </c>
      <c r="OP11" s="105">
        <v>2.1</v>
      </c>
      <c r="OQ11" s="116"/>
      <c r="OR11" s="95">
        <f t="shared" si="99"/>
        <v>0.10000000000000009</v>
      </c>
      <c r="OT11" s="95">
        <v>1.9</v>
      </c>
      <c r="OU11" s="116"/>
      <c r="OV11" s="95">
        <f t="shared" si="100"/>
        <v>0.20000000000000018</v>
      </c>
      <c r="OX11" s="105">
        <v>1.8</v>
      </c>
      <c r="OY11" s="116"/>
      <c r="OZ11" s="95">
        <f t="shared" si="101"/>
        <v>9.9999999999999867E-2</v>
      </c>
      <c r="PB11" s="95">
        <v>1.7</v>
      </c>
      <c r="PC11" s="116"/>
      <c r="PD11" s="95">
        <f t="shared" si="102"/>
        <v>0.10000000000000009</v>
      </c>
      <c r="PF11" s="95">
        <v>1.4</v>
      </c>
      <c r="PG11" s="116"/>
      <c r="PH11" s="95">
        <f t="shared" si="103"/>
        <v>0.30000000000000004</v>
      </c>
      <c r="PJ11" s="105">
        <v>1.3</v>
      </c>
      <c r="PK11" s="116"/>
      <c r="PL11" s="95">
        <f t="shared" si="104"/>
        <v>9.9999999999999867E-2</v>
      </c>
      <c r="PN11" s="105">
        <v>1.3</v>
      </c>
      <c r="PO11" s="116"/>
      <c r="PP11" s="95">
        <f t="shared" si="105"/>
        <v>0</v>
      </c>
      <c r="PR11" s="95">
        <v>1.2</v>
      </c>
      <c r="PS11" s="116"/>
      <c r="PT11" s="95">
        <f t="shared" si="106"/>
        <v>0.10000000000000009</v>
      </c>
      <c r="PV11" s="190">
        <v>1.2</v>
      </c>
      <c r="PW11" s="195"/>
      <c r="PX11" s="190">
        <f t="shared" si="107"/>
        <v>0</v>
      </c>
      <c r="PZ11" s="105"/>
      <c r="QA11" s="116"/>
      <c r="QB11" s="95" t="str">
        <f t="shared" si="108"/>
        <v/>
      </c>
    </row>
    <row r="12" spans="1:444" ht="12.75" customHeight="1" x14ac:dyDescent="0.2">
      <c r="A12" s="124" t="s">
        <v>77</v>
      </c>
      <c r="B12" s="125" t="s">
        <v>84</v>
      </c>
      <c r="C12" s="130">
        <v>0.5</v>
      </c>
      <c r="D12" s="97" t="s">
        <v>85</v>
      </c>
      <c r="F12" s="119"/>
      <c r="G12" s="120"/>
      <c r="H12" s="121"/>
      <c r="J12" s="119"/>
      <c r="K12" s="120"/>
      <c r="L12" s="119"/>
      <c r="N12" s="119"/>
      <c r="O12" s="120"/>
      <c r="P12" s="119"/>
      <c r="R12" s="119"/>
      <c r="S12" s="120"/>
      <c r="T12" s="119"/>
      <c r="V12" s="119"/>
      <c r="W12" s="120"/>
      <c r="X12" s="119"/>
      <c r="Z12" s="119"/>
      <c r="AA12" s="120"/>
      <c r="AB12" s="119"/>
      <c r="AD12" s="119"/>
      <c r="AE12" s="120"/>
      <c r="AF12" s="119"/>
      <c r="AH12" s="119"/>
      <c r="AI12" s="120"/>
      <c r="AJ12" s="119"/>
      <c r="AL12" s="119"/>
      <c r="AM12" s="120"/>
      <c r="AN12" s="119"/>
      <c r="AP12" s="119"/>
      <c r="AQ12" s="120"/>
      <c r="AR12" s="119"/>
      <c r="AT12" s="119"/>
      <c r="AU12" s="120"/>
      <c r="AV12" s="119"/>
      <c r="AX12" s="119"/>
      <c r="AY12" s="120"/>
      <c r="AZ12" s="119"/>
      <c r="BB12" s="119"/>
      <c r="BC12" s="120"/>
      <c r="BD12" s="119"/>
      <c r="BF12" s="119"/>
      <c r="BG12" s="120"/>
      <c r="BH12" s="119"/>
      <c r="BJ12" s="119"/>
      <c r="BK12" s="120"/>
      <c r="BL12" s="119"/>
      <c r="BN12" s="119"/>
      <c r="BO12" s="120"/>
      <c r="BP12" s="119"/>
      <c r="BR12" s="119"/>
      <c r="BS12" s="120"/>
      <c r="BT12" s="119"/>
      <c r="BV12" s="119"/>
      <c r="BW12" s="120"/>
      <c r="BX12" s="119"/>
      <c r="BZ12" s="119"/>
      <c r="CA12" s="120"/>
      <c r="CB12" s="119"/>
      <c r="CD12" s="119"/>
      <c r="CE12" s="120"/>
      <c r="CF12" s="119"/>
      <c r="CH12" s="119"/>
      <c r="CI12" s="120"/>
      <c r="CJ12" s="119"/>
      <c r="CL12" s="119"/>
      <c r="CM12" s="120"/>
      <c r="CN12" s="119"/>
      <c r="CP12" s="119"/>
      <c r="CQ12" s="120"/>
      <c r="CR12" s="119"/>
      <c r="CT12" s="119"/>
      <c r="CU12" s="120"/>
      <c r="CV12" s="119"/>
      <c r="CX12" s="119"/>
      <c r="CY12" s="120"/>
      <c r="CZ12" s="119"/>
      <c r="DB12" s="119"/>
      <c r="DC12" s="120"/>
      <c r="DD12" s="119"/>
      <c r="DF12" s="119"/>
      <c r="DG12" s="120"/>
      <c r="DH12" s="119"/>
      <c r="DJ12" s="119"/>
      <c r="DK12" s="120"/>
      <c r="DL12" s="119"/>
      <c r="DN12" s="119"/>
      <c r="DO12" s="120"/>
      <c r="DP12" s="119"/>
      <c r="DR12" s="119"/>
      <c r="DS12" s="120"/>
      <c r="DT12" s="119"/>
      <c r="DV12" s="119"/>
      <c r="DW12" s="120"/>
      <c r="DX12" s="119"/>
      <c r="DZ12" s="119"/>
      <c r="EA12" s="120"/>
      <c r="EB12" s="119"/>
      <c r="ED12" s="119"/>
      <c r="EE12" s="120"/>
      <c r="EF12" s="119"/>
      <c r="EH12" s="119"/>
      <c r="EI12" s="120"/>
      <c r="EJ12" s="119"/>
      <c r="EL12" s="119">
        <v>0</v>
      </c>
      <c r="EM12" s="120"/>
      <c r="EN12" s="95">
        <f>IF(ISNUMBER(EL12), (EH12+EI12)-EL12, "")</f>
        <v>0</v>
      </c>
      <c r="EP12" s="119">
        <v>0</v>
      </c>
      <c r="EQ12" s="120">
        <v>1</v>
      </c>
      <c r="ER12" s="95">
        <f t="shared" ref="ER12" si="109">IF(ISNUMBER(EP12), (EL12+EM12)-EP12, "")</f>
        <v>0</v>
      </c>
      <c r="ET12" s="119">
        <v>1</v>
      </c>
      <c r="EU12" s="120"/>
      <c r="EV12" s="95">
        <f t="shared" ref="EV12" si="110">IF(ISNUMBER(ET12), (EP12+EQ12)-ET12, "")</f>
        <v>0</v>
      </c>
      <c r="EX12" s="119">
        <v>1</v>
      </c>
      <c r="EY12" s="120"/>
      <c r="EZ12" s="95">
        <f t="shared" ref="EZ12" si="111">IF(ISNUMBER(EX12), (ET12+EU12)-EX12, "")</f>
        <v>0</v>
      </c>
      <c r="FB12" s="119">
        <v>1</v>
      </c>
      <c r="FC12" s="120"/>
      <c r="FD12" s="95">
        <f>IF(ISNUMBER(FB12), (EX12+EY12)-FB12, "")</f>
        <v>0</v>
      </c>
      <c r="FF12" s="119">
        <v>1</v>
      </c>
      <c r="FG12" s="120"/>
      <c r="FH12" s="95">
        <f>IF(ISNUMBER(FF12), (FB12+FC12)-FF12, "")</f>
        <v>0</v>
      </c>
      <c r="FJ12" s="119">
        <v>1</v>
      </c>
      <c r="FK12" s="120"/>
      <c r="FL12" s="95">
        <f>IF(ISNUMBER(FJ12), (FF12+FG12)-FJ12, "")</f>
        <v>0</v>
      </c>
      <c r="FN12" s="119">
        <v>0.9</v>
      </c>
      <c r="FO12" s="120"/>
      <c r="FP12" s="95">
        <f>IF(ISNUMBER(FN12), (FJ12+FK12)-FN12, "")</f>
        <v>9.9999999999999978E-2</v>
      </c>
      <c r="FR12" s="119">
        <v>0.9</v>
      </c>
      <c r="FS12" s="120"/>
      <c r="FT12" s="95">
        <f>IF(ISNUMBER(FR12), (FN12+FO12)-FR12, "")</f>
        <v>0</v>
      </c>
      <c r="FV12" s="119">
        <v>0.9</v>
      </c>
      <c r="FW12" s="120"/>
      <c r="FX12" s="95">
        <f>IF(ISNUMBER(FV12), (FR12+FS12)-FV12, "")</f>
        <v>0</v>
      </c>
      <c r="FZ12" s="119">
        <v>0.9</v>
      </c>
      <c r="GA12" s="120"/>
      <c r="GB12" s="95">
        <f>IF(ISNUMBER(FZ12), (FV12+FW12)-FZ12, "")</f>
        <v>0</v>
      </c>
      <c r="GD12" s="119">
        <v>0.9</v>
      </c>
      <c r="GE12" s="120"/>
      <c r="GF12" s="95">
        <f>IF(ISNUMBER(GD12), (FZ12+GA12)-GD12, "")</f>
        <v>0</v>
      </c>
      <c r="GH12" s="122">
        <v>0.9</v>
      </c>
      <c r="GI12" s="120"/>
      <c r="GJ12" s="95">
        <f>IF(ISNUMBER(GH12), (GD12+GE12)-GH12, "")</f>
        <v>0</v>
      </c>
      <c r="GL12" s="122">
        <v>0.9</v>
      </c>
      <c r="GM12" s="120"/>
      <c r="GN12" s="95">
        <f t="shared" si="46"/>
        <v>0</v>
      </c>
      <c r="GP12" s="119">
        <v>0.9</v>
      </c>
      <c r="GQ12" s="120"/>
      <c r="GR12" s="95">
        <f t="shared" si="47"/>
        <v>0</v>
      </c>
      <c r="GT12" s="129">
        <v>0.9</v>
      </c>
      <c r="GU12" s="120"/>
      <c r="GV12" s="95">
        <f>IF(ISNUMBER(GT12), (GP12+GQ12)-GT12, "")</f>
        <v>0</v>
      </c>
      <c r="GX12" s="119">
        <v>0.9</v>
      </c>
      <c r="GY12" s="120"/>
      <c r="GZ12" s="95">
        <f>IF(ISNUMBER(GX12), (GT12+GU12)-GX12, "")</f>
        <v>0</v>
      </c>
      <c r="HB12" s="119">
        <v>0.9</v>
      </c>
      <c r="HC12" s="120"/>
      <c r="HD12" s="95">
        <f>IF(ISNUMBER(HB12), (GX12+GY12)-HB12, "")</f>
        <v>0</v>
      </c>
      <c r="HF12" s="119">
        <v>0.9</v>
      </c>
      <c r="HG12" s="120"/>
      <c r="HH12" s="95">
        <f>IF(ISNUMBER(HF12), (HB12+HC12)-HF12, "")</f>
        <v>0</v>
      </c>
      <c r="HJ12" s="119">
        <v>0.9</v>
      </c>
      <c r="HK12" s="120"/>
      <c r="HL12" s="95">
        <f>IF(ISNUMBER(HJ12), (HF12+HG12)-HJ12, "")</f>
        <v>0</v>
      </c>
      <c r="HN12" s="119">
        <v>0.9</v>
      </c>
      <c r="HO12" s="120"/>
      <c r="HP12" s="95">
        <f>IF(ISNUMBER(HN12), (HJ12+HK12)-HN12, "")</f>
        <v>0</v>
      </c>
      <c r="HR12" s="119">
        <v>0.9</v>
      </c>
      <c r="HS12" s="120"/>
      <c r="HT12" s="95">
        <f>IF(ISNUMBER(HR12), (HN12+HO12)-HR12, "")</f>
        <v>0</v>
      </c>
      <c r="HV12" s="119">
        <v>0.9</v>
      </c>
      <c r="HW12" s="120"/>
      <c r="HX12" s="95">
        <f>IF(ISNUMBER(HV12), (HR12+HS12)-HV12, "")</f>
        <v>0</v>
      </c>
      <c r="HZ12" s="119">
        <v>0.9</v>
      </c>
      <c r="IA12" s="120"/>
      <c r="IB12" s="95">
        <f t="shared" si="56"/>
        <v>0</v>
      </c>
      <c r="ID12" s="119">
        <v>0.9</v>
      </c>
      <c r="IE12" s="120"/>
      <c r="IF12" s="95">
        <f t="shared" si="57"/>
        <v>0</v>
      </c>
      <c r="IH12" s="119">
        <v>0.9</v>
      </c>
      <c r="II12" s="120"/>
      <c r="IJ12" s="95">
        <f t="shared" si="58"/>
        <v>0</v>
      </c>
      <c r="IL12" s="119">
        <v>0.9</v>
      </c>
      <c r="IM12" s="120"/>
      <c r="IN12" s="95">
        <f t="shared" si="59"/>
        <v>0</v>
      </c>
      <c r="IP12" s="119">
        <v>0.9</v>
      </c>
      <c r="IQ12" s="120"/>
      <c r="IR12" s="95">
        <f t="shared" si="60"/>
        <v>0</v>
      </c>
      <c r="IT12" s="119">
        <v>0.9</v>
      </c>
      <c r="IU12" s="120"/>
      <c r="IV12" s="95">
        <f t="shared" si="61"/>
        <v>0</v>
      </c>
      <c r="IX12" s="119">
        <v>0.9</v>
      </c>
      <c r="IY12" s="120"/>
      <c r="IZ12" s="95">
        <f t="shared" si="62"/>
        <v>0</v>
      </c>
      <c r="JB12" s="119">
        <v>0.9</v>
      </c>
      <c r="JC12" s="120"/>
      <c r="JD12" s="95">
        <f t="shared" si="63"/>
        <v>0</v>
      </c>
      <c r="JF12" s="119">
        <v>0.9</v>
      </c>
      <c r="JG12" s="120"/>
      <c r="JH12" s="95">
        <f t="shared" si="64"/>
        <v>0</v>
      </c>
      <c r="JJ12" s="119">
        <v>0.8</v>
      </c>
      <c r="JK12" s="120"/>
      <c r="JL12" s="95">
        <f t="shared" si="65"/>
        <v>9.9999999999999978E-2</v>
      </c>
      <c r="JN12" s="119">
        <v>0.8</v>
      </c>
      <c r="JO12" s="120"/>
      <c r="JP12" s="95">
        <f t="shared" si="66"/>
        <v>0</v>
      </c>
      <c r="JR12" s="119">
        <v>0.8</v>
      </c>
      <c r="JS12" s="120"/>
      <c r="JT12" s="95">
        <f t="shared" si="67"/>
        <v>0</v>
      </c>
      <c r="JV12" s="119">
        <v>0.8</v>
      </c>
      <c r="JW12" s="120"/>
      <c r="JX12" s="95">
        <f t="shared" si="68"/>
        <v>0</v>
      </c>
      <c r="JZ12" s="119">
        <v>0.8</v>
      </c>
      <c r="KA12" s="120"/>
      <c r="KB12" s="95">
        <f t="shared" si="69"/>
        <v>0</v>
      </c>
      <c r="KD12" s="119">
        <v>0.8</v>
      </c>
      <c r="KE12" s="120"/>
      <c r="KF12" s="95">
        <f t="shared" si="70"/>
        <v>0</v>
      </c>
      <c r="KH12" s="119">
        <v>0.8</v>
      </c>
      <c r="KI12" s="120"/>
      <c r="KJ12" s="95">
        <f t="shared" si="71"/>
        <v>0</v>
      </c>
      <c r="KL12" s="119">
        <v>0.8</v>
      </c>
      <c r="KM12" s="120"/>
      <c r="KN12" s="95">
        <f t="shared" si="72"/>
        <v>0</v>
      </c>
      <c r="KP12" s="119">
        <v>0.8</v>
      </c>
      <c r="KQ12" s="120"/>
      <c r="KR12" s="95">
        <f t="shared" si="73"/>
        <v>0</v>
      </c>
      <c r="KT12" s="119">
        <v>0.8</v>
      </c>
      <c r="KU12" s="120"/>
      <c r="KV12" s="95">
        <f t="shared" si="74"/>
        <v>0</v>
      </c>
      <c r="KX12" s="119">
        <v>0.8</v>
      </c>
      <c r="KY12" s="120"/>
      <c r="KZ12" s="95">
        <f t="shared" si="75"/>
        <v>0</v>
      </c>
      <c r="LB12" s="119">
        <v>0.8</v>
      </c>
      <c r="LC12" s="120"/>
      <c r="LD12" s="95">
        <f t="shared" si="76"/>
        <v>0</v>
      </c>
      <c r="LF12" s="119">
        <v>0.8</v>
      </c>
      <c r="LG12" s="120"/>
      <c r="LH12" s="95">
        <f t="shared" si="77"/>
        <v>0</v>
      </c>
      <c r="LJ12" s="119">
        <v>0.7</v>
      </c>
      <c r="LK12" s="120">
        <v>1</v>
      </c>
      <c r="LL12" s="95">
        <f t="shared" si="78"/>
        <v>0.10000000000000009</v>
      </c>
      <c r="LN12" s="119">
        <v>1.7</v>
      </c>
      <c r="LO12" s="120"/>
      <c r="LP12" s="95">
        <f t="shared" si="79"/>
        <v>0</v>
      </c>
      <c r="LR12" s="122">
        <v>1.5</v>
      </c>
      <c r="LS12" s="120"/>
      <c r="LT12" s="95">
        <f t="shared" si="80"/>
        <v>0.19999999999999996</v>
      </c>
      <c r="LV12" s="122">
        <v>1.4</v>
      </c>
      <c r="LW12" s="120"/>
      <c r="LX12" s="95">
        <f t="shared" si="81"/>
        <v>0.10000000000000009</v>
      </c>
      <c r="LZ12" s="119">
        <v>1.4</v>
      </c>
      <c r="MA12" s="120"/>
      <c r="MB12" s="95">
        <f t="shared" si="82"/>
        <v>0</v>
      </c>
      <c r="MD12" s="119">
        <v>1.4</v>
      </c>
      <c r="ME12" s="120"/>
      <c r="MF12" s="95">
        <f t="shared" si="83"/>
        <v>0</v>
      </c>
      <c r="MH12" s="119">
        <v>1.4</v>
      </c>
      <c r="MI12" s="120"/>
      <c r="MJ12" s="95">
        <f t="shared" si="84"/>
        <v>0</v>
      </c>
      <c r="ML12" s="119">
        <v>1.4</v>
      </c>
      <c r="MM12" s="120"/>
      <c r="MN12" s="95">
        <f t="shared" si="85"/>
        <v>0</v>
      </c>
      <c r="MP12" s="119">
        <v>1.4</v>
      </c>
      <c r="MQ12" s="120"/>
      <c r="MR12" s="95">
        <f t="shared" si="86"/>
        <v>0</v>
      </c>
      <c r="MT12" s="119">
        <v>1.4</v>
      </c>
      <c r="MU12" s="120"/>
      <c r="MV12" s="95">
        <f t="shared" si="87"/>
        <v>0</v>
      </c>
      <c r="MX12" s="119">
        <v>1.4</v>
      </c>
      <c r="MY12" s="120"/>
      <c r="MZ12" s="95">
        <f t="shared" si="88"/>
        <v>0</v>
      </c>
      <c r="NB12" s="119">
        <v>1.3</v>
      </c>
      <c r="NC12" s="120"/>
      <c r="ND12" s="95">
        <f t="shared" si="89"/>
        <v>9.9999999999999867E-2</v>
      </c>
      <c r="NF12" s="122">
        <v>1.2</v>
      </c>
      <c r="NG12" s="120"/>
      <c r="NH12" s="95">
        <f t="shared" si="90"/>
        <v>0.10000000000000009</v>
      </c>
      <c r="NJ12" s="119">
        <v>0.9</v>
      </c>
      <c r="NK12" s="120"/>
      <c r="NL12" s="95">
        <f t="shared" si="91"/>
        <v>0.29999999999999993</v>
      </c>
      <c r="NN12" s="119">
        <v>0.9</v>
      </c>
      <c r="NO12" s="120"/>
      <c r="NP12" s="95">
        <f t="shared" si="92"/>
        <v>0</v>
      </c>
      <c r="NR12" s="119">
        <v>0.6</v>
      </c>
      <c r="NS12" s="120"/>
      <c r="NT12" s="95">
        <f t="shared" si="93"/>
        <v>0.30000000000000004</v>
      </c>
      <c r="NV12" s="119">
        <v>0.5</v>
      </c>
      <c r="NW12" s="120"/>
      <c r="NX12" s="95">
        <f t="shared" si="94"/>
        <v>9.9999999999999978E-2</v>
      </c>
      <c r="NZ12" s="119">
        <v>0.4</v>
      </c>
      <c r="OA12" s="120"/>
      <c r="OB12" s="95">
        <f t="shared" si="95"/>
        <v>9.9999999999999978E-2</v>
      </c>
      <c r="OD12" s="119">
        <v>0.4</v>
      </c>
      <c r="OE12" s="120">
        <v>1</v>
      </c>
      <c r="OF12" s="95">
        <f t="shared" si="96"/>
        <v>0</v>
      </c>
      <c r="OH12" s="122">
        <v>1.4</v>
      </c>
      <c r="OI12" s="120"/>
      <c r="OJ12" s="95">
        <f t="shared" si="97"/>
        <v>0</v>
      </c>
      <c r="OL12" s="119">
        <v>1.3</v>
      </c>
      <c r="OM12" s="120"/>
      <c r="ON12" s="95">
        <f t="shared" si="98"/>
        <v>9.9999999999999867E-2</v>
      </c>
      <c r="OP12" s="122">
        <v>1.2</v>
      </c>
      <c r="OQ12" s="120"/>
      <c r="OR12" s="95">
        <f t="shared" si="99"/>
        <v>0.10000000000000009</v>
      </c>
      <c r="OT12" s="119">
        <v>1.2</v>
      </c>
      <c r="OU12" s="120"/>
      <c r="OV12" s="95">
        <f t="shared" si="100"/>
        <v>0</v>
      </c>
      <c r="OX12" s="122">
        <v>0.7</v>
      </c>
      <c r="OY12" s="120"/>
      <c r="OZ12" s="95">
        <f t="shared" si="101"/>
        <v>0.5</v>
      </c>
      <c r="PB12" s="119">
        <v>0.6</v>
      </c>
      <c r="PC12" s="120">
        <v>1</v>
      </c>
      <c r="PD12" s="95">
        <f t="shared" si="102"/>
        <v>9.9999999999999978E-2</v>
      </c>
      <c r="PF12" s="119">
        <v>1.3</v>
      </c>
      <c r="PG12" s="120"/>
      <c r="PH12" s="95">
        <f t="shared" si="103"/>
        <v>0.30000000000000004</v>
      </c>
      <c r="PJ12" s="122">
        <v>1.1000000000000001</v>
      </c>
      <c r="PK12" s="120"/>
      <c r="PL12" s="95">
        <f t="shared" si="104"/>
        <v>0.19999999999999996</v>
      </c>
      <c r="PN12" s="122">
        <v>0.8</v>
      </c>
      <c r="PO12" s="120"/>
      <c r="PP12" s="95">
        <f t="shared" si="105"/>
        <v>0.30000000000000004</v>
      </c>
      <c r="PR12" s="119">
        <v>0.8</v>
      </c>
      <c r="PS12" s="120"/>
      <c r="PT12" s="95">
        <f t="shared" si="106"/>
        <v>0</v>
      </c>
      <c r="PV12" s="196">
        <v>0.7</v>
      </c>
      <c r="PW12" s="197"/>
      <c r="PX12" s="190">
        <f t="shared" si="107"/>
        <v>0.10000000000000009</v>
      </c>
      <c r="PZ12" s="122"/>
      <c r="QA12" s="120"/>
      <c r="QB12" s="95" t="str">
        <f t="shared" si="108"/>
        <v/>
      </c>
    </row>
    <row r="13" spans="1:444" ht="12.75" customHeight="1" x14ac:dyDescent="0.2">
      <c r="A13" s="124" t="s">
        <v>86</v>
      </c>
      <c r="B13" s="127" t="s">
        <v>87</v>
      </c>
      <c r="C13" s="87">
        <v>4</v>
      </c>
      <c r="D13" s="87">
        <v>38176</v>
      </c>
      <c r="F13" s="95">
        <v>0.4</v>
      </c>
      <c r="G13" s="96"/>
      <c r="H13" s="113"/>
      <c r="J13" s="95">
        <v>0.4</v>
      </c>
      <c r="K13" s="96"/>
      <c r="L13" s="95">
        <f>IF(ISNUMBER(J13), (F13+G13)-J13, "")</f>
        <v>0</v>
      </c>
      <c r="N13" s="105">
        <v>0.3</v>
      </c>
      <c r="O13" s="96"/>
      <c r="P13" s="95">
        <f>IF(ISNUMBER(N13), (J13+K13)-N13, "")</f>
        <v>0.10000000000000003</v>
      </c>
      <c r="R13" s="95">
        <v>0.1</v>
      </c>
      <c r="S13" s="96"/>
      <c r="T13" s="95">
        <f>IF(ISNUMBER(R13), (N13+O13)-R13, "")</f>
        <v>0.19999999999999998</v>
      </c>
      <c r="V13" s="95">
        <v>0</v>
      </c>
      <c r="W13" s="96">
        <v>1</v>
      </c>
      <c r="X13" s="95">
        <f>IF(ISNUMBER(V13), (R13+S13)-V13, "")</f>
        <v>0.1</v>
      </c>
      <c r="Z13" s="105">
        <v>1</v>
      </c>
      <c r="AA13" s="96"/>
      <c r="AB13" s="95">
        <f>IF(ISNUMBER(Z13), (V13+W13)-Z13, "")</f>
        <v>0</v>
      </c>
      <c r="AD13" s="105">
        <v>0.8</v>
      </c>
      <c r="AE13" s="96"/>
      <c r="AF13" s="95">
        <f>IF(ISNUMBER(AD13), (Z13+AA13)-AD13, "")</f>
        <v>0.19999999999999996</v>
      </c>
      <c r="AH13" s="95">
        <v>0.4</v>
      </c>
      <c r="AI13" s="96"/>
      <c r="AJ13" s="95">
        <f>IF(ISNUMBER(AH13), (AD13+AE13)-AH13, "")</f>
        <v>0.4</v>
      </c>
      <c r="AL13" s="105">
        <v>0.3</v>
      </c>
      <c r="AM13" s="96">
        <v>1</v>
      </c>
      <c r="AN13" s="95">
        <f>IF(ISNUMBER(AL13), (AH13+AI13)-AL13, "")</f>
        <v>0.10000000000000003</v>
      </c>
      <c r="AP13" s="105">
        <v>1.2</v>
      </c>
      <c r="AQ13" s="96"/>
      <c r="AR13" s="95">
        <f>IF(ISNUMBER(AP13), (AL13+AM13)-AP13, "")</f>
        <v>0.10000000000000009</v>
      </c>
      <c r="AT13" s="95">
        <v>0.9</v>
      </c>
      <c r="AU13" s="96">
        <v>1</v>
      </c>
      <c r="AV13" s="95">
        <f>IF(ISNUMBER(AT13), (AP13+AQ13)-AT13, "")</f>
        <v>0.29999999999999993</v>
      </c>
      <c r="AX13" s="95">
        <v>1.6</v>
      </c>
      <c r="AY13" s="96"/>
      <c r="AZ13" s="95">
        <f>IF(ISNUMBER(AX13), (AT13+AU13)-AX13, "")</f>
        <v>0.29999999999999982</v>
      </c>
      <c r="BB13" s="95">
        <v>1.6</v>
      </c>
      <c r="BC13" s="96"/>
      <c r="BD13" s="95">
        <f>IF(ISNUMBER(BB13), (AX13+AY13)-BB13, "")</f>
        <v>0</v>
      </c>
      <c r="BF13" s="95">
        <v>0.3</v>
      </c>
      <c r="BG13" s="96">
        <v>1</v>
      </c>
      <c r="BH13" s="95">
        <f>IF(ISNUMBER(BF13), (BB13+BC13)-BF13, "")</f>
        <v>1.3</v>
      </c>
      <c r="BJ13" s="95">
        <v>1.3</v>
      </c>
      <c r="BK13" s="96"/>
      <c r="BL13" s="95">
        <f>IF(ISNUMBER(BJ13), (BF13+BG13)-BJ13, "")</f>
        <v>0</v>
      </c>
      <c r="BN13" s="95">
        <v>2.1</v>
      </c>
      <c r="BO13" s="96"/>
      <c r="BP13" s="95">
        <f>IF(ISNUMBER(BN13), (BJ13+BK13)-BN13, "")</f>
        <v>-0.8</v>
      </c>
      <c r="BR13" s="115">
        <v>1.5</v>
      </c>
      <c r="BS13" s="116"/>
      <c r="BT13" s="115">
        <f>IF(ISNUMBER(BR13), (BN13+BO13)-BR13, "")</f>
        <v>0.60000000000000009</v>
      </c>
      <c r="BV13" s="105">
        <v>1.3</v>
      </c>
      <c r="BW13" s="96"/>
      <c r="BX13" s="95">
        <f>IF(ISNUMBER(BV13), (BR13+BS13)-BV13, "")</f>
        <v>0.19999999999999996</v>
      </c>
      <c r="BZ13" s="95">
        <v>1.3</v>
      </c>
      <c r="CA13" s="96"/>
      <c r="CB13" s="95">
        <f>IF(ISNUMBER(BZ13), (BV13+BW13)-BZ13, "")</f>
        <v>0</v>
      </c>
      <c r="CD13" s="95">
        <v>0.8</v>
      </c>
      <c r="CE13" s="96">
        <v>1</v>
      </c>
      <c r="CF13" s="95">
        <f>IF(ISNUMBER(CD13), (BZ13+CA13)-CD13, "")</f>
        <v>0.5</v>
      </c>
      <c r="CH13" s="95">
        <v>1.5</v>
      </c>
      <c r="CI13" s="96"/>
      <c r="CJ13" s="95">
        <f>IF(ISNUMBER(CH13), (CD13+CE13)-CH13, "")</f>
        <v>0.30000000000000004</v>
      </c>
      <c r="CL13" s="95">
        <v>1.1000000000000001</v>
      </c>
      <c r="CM13" s="96"/>
      <c r="CN13" s="95">
        <f>IF(ISNUMBER(CL13), (CH13+CI13)-CL13, "")</f>
        <v>0.39999999999999991</v>
      </c>
      <c r="CP13" s="95">
        <v>0.4</v>
      </c>
      <c r="CQ13" s="96"/>
      <c r="CR13" s="95">
        <f>IF(ISNUMBER(CP13), (CL13+CM13)-CP13, "")</f>
        <v>0.70000000000000007</v>
      </c>
      <c r="CT13" s="95">
        <v>1.3</v>
      </c>
      <c r="CU13" s="96"/>
      <c r="CV13" s="95">
        <f>IF(ISNUMBER(CT13), (CP13+CQ13)-CT13, "")</f>
        <v>-0.9</v>
      </c>
      <c r="CX13" s="95">
        <v>1.2</v>
      </c>
      <c r="CY13" s="96"/>
      <c r="CZ13" s="95">
        <f>IF(ISNUMBER(CX13), (CT13+CU13)-CX13, "")</f>
        <v>0.10000000000000009</v>
      </c>
      <c r="DB13" s="95">
        <v>0.8</v>
      </c>
      <c r="DC13" s="96">
        <v>1</v>
      </c>
      <c r="DD13" s="95">
        <f>IF(ISNUMBER(DB13), (CX13+CY13)-DB13, "")</f>
        <v>0.39999999999999991</v>
      </c>
      <c r="DF13" s="95">
        <v>1.1000000000000001</v>
      </c>
      <c r="DG13" s="96"/>
      <c r="DH13" s="95">
        <f>IF(ISNUMBER(DF13), (DB13+DC13)-DF13, "")</f>
        <v>0.7</v>
      </c>
      <c r="DJ13" s="95">
        <v>0.8</v>
      </c>
      <c r="DK13" s="96">
        <v>1</v>
      </c>
      <c r="DL13" s="95">
        <f>IF(ISNUMBER(DJ13), (DF13+DG13)-DJ13, "")</f>
        <v>0.30000000000000004</v>
      </c>
      <c r="DN13" s="95">
        <v>1.6</v>
      </c>
      <c r="DO13" s="96"/>
      <c r="DP13" s="95">
        <f>IF(ISNUMBER(DN13), (DJ13+DK13)-DN13, "")</f>
        <v>0.19999999999999996</v>
      </c>
      <c r="DR13" s="95">
        <v>1</v>
      </c>
      <c r="DS13" s="96"/>
      <c r="DT13" s="95">
        <f>IF(ISNUMBER(DR13), (DN13+DO13)-DR13, "")</f>
        <v>0.60000000000000009</v>
      </c>
      <c r="DV13" s="95">
        <v>0.8</v>
      </c>
      <c r="DW13" s="96"/>
      <c r="DX13" s="95">
        <f>IF(ISNUMBER(DV13), (DR13+DS13)-DV13, "")</f>
        <v>0.19999999999999996</v>
      </c>
      <c r="DZ13" s="95">
        <v>0.7</v>
      </c>
      <c r="EA13" s="96">
        <v>1</v>
      </c>
      <c r="EB13" s="95">
        <f>IF(ISNUMBER(DZ13), (DV13+DW13)-DZ13, "")</f>
        <v>0.10000000000000009</v>
      </c>
      <c r="ED13" s="95">
        <v>0.8</v>
      </c>
      <c r="EE13" s="96"/>
      <c r="EF13" s="95">
        <f>IF(ISNUMBER(ED13), (DZ13+EA13)-ED13, "")</f>
        <v>0.89999999999999991</v>
      </c>
      <c r="EH13" s="95">
        <v>0.8</v>
      </c>
      <c r="EI13" s="96"/>
      <c r="EJ13" s="95">
        <f>IF(ISNUMBER(EH13), (ED13+EE13)-EH13, "")</f>
        <v>0</v>
      </c>
      <c r="EL13" s="95">
        <v>0.7</v>
      </c>
      <c r="EM13" s="96"/>
      <c r="EN13" s="95">
        <f>IF(ISNUMBER(EL13), (EH13+EI13)-EL13, "")</f>
        <v>0.10000000000000009</v>
      </c>
      <c r="EP13" s="95">
        <v>0.7</v>
      </c>
      <c r="EQ13" s="96">
        <v>2</v>
      </c>
      <c r="ER13" s="95">
        <f>IF(ISNUMBER(EP13), (EL13+EM13)-EP13, "")</f>
        <v>0</v>
      </c>
      <c r="ET13" s="95">
        <v>2.6</v>
      </c>
      <c r="EU13" s="96"/>
      <c r="EV13" s="95">
        <f>IF(ISNUMBER(ET13), (EP13+EQ13)-ET13, "")</f>
        <v>0.10000000000000009</v>
      </c>
      <c r="EX13" s="95">
        <v>2.2999999999999998</v>
      </c>
      <c r="EY13" s="96"/>
      <c r="EZ13" s="95">
        <f>IF(ISNUMBER(EX13), (ET13+EU13)-EX13, "")</f>
        <v>0.30000000000000027</v>
      </c>
      <c r="FB13" s="95">
        <v>1.3</v>
      </c>
      <c r="FC13" s="96"/>
      <c r="FD13" s="95">
        <f>IF(ISNUMBER(FB13), (EX13+EY13)-FB13, "")</f>
        <v>0.99999999999999978</v>
      </c>
      <c r="FF13" s="95">
        <v>0</v>
      </c>
      <c r="FG13" s="96"/>
      <c r="FH13" s="95">
        <f>IF(ISNUMBER(FF13), (FB13+FC13)-FF13, "")</f>
        <v>1.3</v>
      </c>
      <c r="FJ13" s="95">
        <v>0</v>
      </c>
      <c r="FK13" s="96">
        <v>5</v>
      </c>
      <c r="FL13" s="95">
        <f>IF(ISNUMBER(FJ13), (FF13+FG13)-FJ13, "")</f>
        <v>0</v>
      </c>
      <c r="FN13" s="95">
        <v>3.6</v>
      </c>
      <c r="FO13" s="96"/>
      <c r="FP13" s="95">
        <f>IF(ISNUMBER(FN13), (FJ13+FK13)-FN13, "")</f>
        <v>1.4</v>
      </c>
      <c r="FR13" s="95">
        <v>3.2</v>
      </c>
      <c r="FS13" s="96"/>
      <c r="FT13" s="95">
        <f>IF(ISNUMBER(FR13), (FN13+FO13)-FR13, "")</f>
        <v>0.39999999999999991</v>
      </c>
      <c r="FV13" s="95">
        <v>2.8</v>
      </c>
      <c r="FW13" s="96"/>
      <c r="FX13" s="95">
        <f>IF(ISNUMBER(FV13), (FR13+FS13)-FV13, "")</f>
        <v>0.40000000000000036</v>
      </c>
      <c r="FZ13" s="95">
        <v>1.7</v>
      </c>
      <c r="GA13" s="96">
        <v>2</v>
      </c>
      <c r="GB13" s="95">
        <f>IF(ISNUMBER(FZ13), (FV13+FW13)-FZ13, "")</f>
        <v>1.0999999999999999</v>
      </c>
      <c r="GD13" s="95">
        <v>2.6</v>
      </c>
      <c r="GE13" s="96"/>
      <c r="GF13" s="95">
        <f>IF(ISNUMBER(GD13), (FZ13+GA13)-GD13, "")</f>
        <v>1.1000000000000001</v>
      </c>
      <c r="GH13" s="105">
        <v>1.5</v>
      </c>
      <c r="GI13" s="96">
        <v>2</v>
      </c>
      <c r="GJ13" s="95">
        <f>IF(ISNUMBER(GH13), (GD13+GE13)-GH13, "")</f>
        <v>1.1000000000000001</v>
      </c>
      <c r="GL13" s="105">
        <v>1.7</v>
      </c>
      <c r="GM13" s="96">
        <v>2</v>
      </c>
      <c r="GN13" s="95">
        <f t="shared" si="46"/>
        <v>1.8</v>
      </c>
      <c r="GP13" s="95">
        <v>2</v>
      </c>
      <c r="GQ13" s="96">
        <v>2</v>
      </c>
      <c r="GR13" s="95">
        <f t="shared" si="47"/>
        <v>1.7000000000000002</v>
      </c>
      <c r="GT13" s="95">
        <v>2.9</v>
      </c>
      <c r="GU13" s="96"/>
      <c r="GV13" s="95">
        <f>IF(ISNUMBER(GT13), (GP13+GQ13)-GT13, "")</f>
        <v>1.1000000000000001</v>
      </c>
      <c r="GX13" s="95">
        <v>2.5</v>
      </c>
      <c r="GY13" s="96">
        <v>2</v>
      </c>
      <c r="GZ13" s="95">
        <f>IF(ISNUMBER(GX13), (GT13+GU13)-GX13, "")</f>
        <v>0.39999999999999991</v>
      </c>
      <c r="HB13" s="95">
        <v>3.3</v>
      </c>
      <c r="HC13" s="96"/>
      <c r="HD13" s="95">
        <f>IF(ISNUMBER(HB13), (GX13+GY13)-HB13, "")</f>
        <v>1.2000000000000002</v>
      </c>
      <c r="HF13" s="95">
        <v>2.2999999999999998</v>
      </c>
      <c r="HG13" s="96">
        <v>2</v>
      </c>
      <c r="HH13" s="95">
        <f>IF(ISNUMBER(HF13), (HB13+HC13)-HF13, "")</f>
        <v>1</v>
      </c>
      <c r="HJ13" s="95">
        <v>3</v>
      </c>
      <c r="HK13" s="96"/>
      <c r="HL13" s="95">
        <f>IF(ISNUMBER(HJ13), (HF13+HG13)-HJ13, "")</f>
        <v>1.2999999999999998</v>
      </c>
      <c r="HN13" s="95">
        <v>2.7</v>
      </c>
      <c r="HO13" s="96">
        <v>1</v>
      </c>
      <c r="HP13" s="95">
        <f>IF(ISNUMBER(HN13), (HJ13+HK13)-HN13, "")</f>
        <v>0.29999999999999982</v>
      </c>
      <c r="HR13" s="95">
        <v>3.4</v>
      </c>
      <c r="HS13" s="96"/>
      <c r="HT13" s="95">
        <f>IF(ISNUMBER(HR13), (HN13+HO13)-HR13, "")</f>
        <v>0.30000000000000027</v>
      </c>
      <c r="HV13" s="95">
        <v>2.2000000000000002</v>
      </c>
      <c r="HW13" s="116">
        <v>1</v>
      </c>
      <c r="HX13" s="95">
        <f>IF(ISNUMBER(HV13), (HR13+HS13)-HV13, "")</f>
        <v>1.1999999999999997</v>
      </c>
      <c r="HZ13" s="115">
        <v>2.2999999999999998</v>
      </c>
      <c r="IA13" s="116"/>
      <c r="IB13" s="95">
        <f t="shared" si="56"/>
        <v>0.90000000000000036</v>
      </c>
      <c r="ID13" s="95">
        <v>1.4</v>
      </c>
      <c r="IE13" s="116">
        <v>2</v>
      </c>
      <c r="IF13" s="95">
        <f t="shared" si="57"/>
        <v>0.89999999999999991</v>
      </c>
      <c r="IH13" s="115">
        <v>2.7</v>
      </c>
      <c r="II13" s="116"/>
      <c r="IJ13" s="95">
        <f t="shared" si="58"/>
        <v>0.69999999999999973</v>
      </c>
      <c r="IL13" s="95">
        <v>2.1</v>
      </c>
      <c r="IM13" s="116"/>
      <c r="IN13" s="95">
        <f t="shared" si="59"/>
        <v>0.60000000000000009</v>
      </c>
      <c r="IP13" s="95">
        <v>1.2</v>
      </c>
      <c r="IQ13" s="116"/>
      <c r="IR13" s="95">
        <f t="shared" si="60"/>
        <v>0.90000000000000013</v>
      </c>
      <c r="IT13" s="95">
        <v>0.1</v>
      </c>
      <c r="IU13" s="116">
        <v>3</v>
      </c>
      <c r="IV13" s="95">
        <f t="shared" si="61"/>
        <v>1.0999999999999999</v>
      </c>
      <c r="IX13" s="95">
        <v>2.7</v>
      </c>
      <c r="IY13" s="116"/>
      <c r="IZ13" s="95">
        <f t="shared" si="62"/>
        <v>0.39999999999999991</v>
      </c>
      <c r="JB13" s="95">
        <v>2.2999999999999998</v>
      </c>
      <c r="JC13" s="116"/>
      <c r="JD13" s="95">
        <f t="shared" si="63"/>
        <v>0.40000000000000036</v>
      </c>
      <c r="JF13" s="95">
        <v>1.5</v>
      </c>
      <c r="JG13" s="116"/>
      <c r="JH13" s="95">
        <f t="shared" si="64"/>
        <v>0.79999999999999982</v>
      </c>
      <c r="JJ13" s="95">
        <v>0.2</v>
      </c>
      <c r="JK13" s="116">
        <v>3</v>
      </c>
      <c r="JL13" s="95">
        <f t="shared" si="65"/>
        <v>1.3</v>
      </c>
      <c r="JN13" s="95">
        <v>2.6</v>
      </c>
      <c r="JO13" s="116"/>
      <c r="JP13" s="95">
        <f t="shared" si="66"/>
        <v>0.60000000000000009</v>
      </c>
      <c r="JR13" s="95">
        <v>1.8</v>
      </c>
      <c r="JS13" s="116">
        <v>1</v>
      </c>
      <c r="JT13" s="95">
        <f t="shared" si="67"/>
        <v>0.8</v>
      </c>
      <c r="JV13" s="95">
        <v>1.7</v>
      </c>
      <c r="JW13" s="116">
        <v>1</v>
      </c>
      <c r="JX13" s="95">
        <f t="shared" si="68"/>
        <v>1.0999999999999999</v>
      </c>
      <c r="JZ13" s="95">
        <v>0.8</v>
      </c>
      <c r="KA13" s="116"/>
      <c r="KB13" s="95">
        <f t="shared" si="69"/>
        <v>1.9000000000000001</v>
      </c>
      <c r="KD13" s="95">
        <v>0</v>
      </c>
      <c r="KE13" s="116">
        <v>4</v>
      </c>
      <c r="KF13" s="95">
        <f t="shared" si="70"/>
        <v>0.8</v>
      </c>
      <c r="KH13" s="95">
        <v>3.4</v>
      </c>
      <c r="KI13" s="116"/>
      <c r="KJ13" s="95">
        <f t="shared" si="71"/>
        <v>0.60000000000000009</v>
      </c>
      <c r="KL13" s="95">
        <v>2.7</v>
      </c>
      <c r="KM13" s="116">
        <v>2</v>
      </c>
      <c r="KN13" s="95">
        <f t="shared" si="72"/>
        <v>0.69999999999999973</v>
      </c>
      <c r="KP13" s="95">
        <v>3.4</v>
      </c>
      <c r="KQ13" s="116"/>
      <c r="KR13" s="95">
        <f t="shared" si="73"/>
        <v>1.3000000000000003</v>
      </c>
      <c r="KT13" s="95">
        <v>3</v>
      </c>
      <c r="KU13" s="116"/>
      <c r="KV13" s="95">
        <f t="shared" si="74"/>
        <v>0.39999999999999991</v>
      </c>
      <c r="KX13" s="95">
        <v>2.1</v>
      </c>
      <c r="KY13" s="116"/>
      <c r="KZ13" s="95">
        <f t="shared" si="75"/>
        <v>0.89999999999999991</v>
      </c>
      <c r="LB13" s="95">
        <v>0.8</v>
      </c>
      <c r="LC13" s="116">
        <v>3</v>
      </c>
      <c r="LD13" s="95">
        <f t="shared" si="76"/>
        <v>1.3</v>
      </c>
      <c r="LF13" s="95">
        <v>3.1</v>
      </c>
      <c r="LG13" s="116"/>
      <c r="LH13" s="95">
        <f t="shared" si="77"/>
        <v>0.69999999999999973</v>
      </c>
      <c r="LJ13" s="95">
        <v>1.4</v>
      </c>
      <c r="LK13" s="116">
        <v>3</v>
      </c>
      <c r="LL13" s="95">
        <f t="shared" si="78"/>
        <v>1.7000000000000002</v>
      </c>
      <c r="LN13" s="95">
        <v>3.5</v>
      </c>
      <c r="LO13" s="116"/>
      <c r="LP13" s="95">
        <f t="shared" si="79"/>
        <v>0.90000000000000036</v>
      </c>
      <c r="LR13" s="105">
        <v>1.4</v>
      </c>
      <c r="LS13" s="116">
        <v>3</v>
      </c>
      <c r="LT13" s="95">
        <f t="shared" si="80"/>
        <v>2.1</v>
      </c>
      <c r="LV13" s="105">
        <v>2.4</v>
      </c>
      <c r="LW13" s="116"/>
      <c r="LX13" s="95">
        <f t="shared" si="81"/>
        <v>2.0000000000000004</v>
      </c>
      <c r="LZ13" s="95">
        <v>0</v>
      </c>
      <c r="MA13" s="116">
        <v>5</v>
      </c>
      <c r="MB13" s="95">
        <f t="shared" si="82"/>
        <v>2.4</v>
      </c>
      <c r="MD13" s="95">
        <v>3.9</v>
      </c>
      <c r="ME13" s="116"/>
      <c r="MF13" s="95">
        <f t="shared" si="83"/>
        <v>1.1000000000000001</v>
      </c>
      <c r="MH13" s="95">
        <v>2.9</v>
      </c>
      <c r="MI13" s="116">
        <v>1</v>
      </c>
      <c r="MJ13" s="95">
        <f t="shared" si="84"/>
        <v>1</v>
      </c>
      <c r="ML13" s="95">
        <v>1.9</v>
      </c>
      <c r="MM13" s="116"/>
      <c r="MN13" s="95">
        <f t="shared" si="85"/>
        <v>2</v>
      </c>
      <c r="MP13" s="95">
        <v>0.4</v>
      </c>
      <c r="MQ13" s="116">
        <v>5</v>
      </c>
      <c r="MR13" s="95">
        <f t="shared" si="86"/>
        <v>1.5</v>
      </c>
      <c r="MT13" s="95">
        <v>4.5</v>
      </c>
      <c r="MU13" s="116"/>
      <c r="MV13" s="95">
        <f t="shared" si="87"/>
        <v>0.90000000000000036</v>
      </c>
      <c r="MX13" s="95">
        <v>3.2</v>
      </c>
      <c r="MY13" s="116">
        <v>1</v>
      </c>
      <c r="MZ13" s="95">
        <f t="shared" si="88"/>
        <v>1.2999999999999998</v>
      </c>
      <c r="NB13" s="95">
        <v>2.9</v>
      </c>
      <c r="NC13" s="116"/>
      <c r="ND13" s="95">
        <f t="shared" si="89"/>
        <v>1.3000000000000003</v>
      </c>
      <c r="NF13" s="105">
        <v>0.5</v>
      </c>
      <c r="NG13" s="116">
        <v>4</v>
      </c>
      <c r="NH13" s="95">
        <f t="shared" si="90"/>
        <v>2.4</v>
      </c>
      <c r="NJ13" s="95">
        <v>2.2999999999999998</v>
      </c>
      <c r="NK13" s="116"/>
      <c r="NL13" s="95">
        <f t="shared" si="91"/>
        <v>2.2000000000000002</v>
      </c>
      <c r="NN13" s="95">
        <v>1.2</v>
      </c>
      <c r="NO13" s="116">
        <v>4</v>
      </c>
      <c r="NP13" s="95">
        <f t="shared" si="92"/>
        <v>1.0999999999999999</v>
      </c>
      <c r="NR13" s="95">
        <v>3.3</v>
      </c>
      <c r="NS13" s="116"/>
      <c r="NT13" s="95">
        <f t="shared" si="93"/>
        <v>1.9000000000000004</v>
      </c>
      <c r="NV13" s="95">
        <v>1.8</v>
      </c>
      <c r="NW13" s="116">
        <v>2</v>
      </c>
      <c r="NX13" s="95">
        <f t="shared" si="94"/>
        <v>1.4999999999999998</v>
      </c>
      <c r="NZ13" s="95">
        <v>2.2000000000000002</v>
      </c>
      <c r="OA13" s="116"/>
      <c r="OB13" s="95">
        <f t="shared" si="95"/>
        <v>1.5999999999999996</v>
      </c>
      <c r="OD13" s="95">
        <v>1.2</v>
      </c>
      <c r="OE13" s="116">
        <v>3</v>
      </c>
      <c r="OF13" s="95">
        <f t="shared" si="96"/>
        <v>1.0000000000000002</v>
      </c>
      <c r="OH13" s="105">
        <v>2.8</v>
      </c>
      <c r="OI13" s="116"/>
      <c r="OJ13" s="95">
        <f t="shared" si="97"/>
        <v>1.4000000000000004</v>
      </c>
      <c r="OL13" s="115">
        <v>0.7</v>
      </c>
      <c r="OM13" s="116">
        <v>4</v>
      </c>
      <c r="ON13" s="95">
        <f t="shared" si="98"/>
        <v>2.0999999999999996</v>
      </c>
      <c r="OP13" s="105">
        <v>4.2</v>
      </c>
      <c r="OQ13" s="116"/>
      <c r="OR13" s="95">
        <f t="shared" si="99"/>
        <v>0.5</v>
      </c>
      <c r="OT13" s="95">
        <v>1.9</v>
      </c>
      <c r="OU13" s="116">
        <v>2</v>
      </c>
      <c r="OV13" s="95">
        <f t="shared" si="100"/>
        <v>2.3000000000000003</v>
      </c>
      <c r="OX13" s="105">
        <v>3.9</v>
      </c>
      <c r="OY13" s="116"/>
      <c r="OZ13" s="95">
        <f t="shared" si="101"/>
        <v>0</v>
      </c>
      <c r="PB13" s="95">
        <v>2.1</v>
      </c>
      <c r="PC13" s="116">
        <v>2</v>
      </c>
      <c r="PD13" s="95">
        <f t="shared" si="102"/>
        <v>1.7999999999999998</v>
      </c>
      <c r="PF13" s="95">
        <v>2.8</v>
      </c>
      <c r="PG13" s="116"/>
      <c r="PH13" s="95">
        <f t="shared" si="103"/>
        <v>1.2999999999999998</v>
      </c>
      <c r="PJ13" s="105">
        <v>0.7</v>
      </c>
      <c r="PK13" s="116">
        <v>4</v>
      </c>
      <c r="PL13" s="95">
        <f t="shared" si="104"/>
        <v>2.0999999999999996</v>
      </c>
      <c r="PN13" s="105">
        <v>3.9</v>
      </c>
      <c r="PO13" s="116"/>
      <c r="PP13" s="95">
        <f t="shared" si="105"/>
        <v>0.80000000000000027</v>
      </c>
      <c r="PR13" s="95">
        <v>3.4</v>
      </c>
      <c r="PS13" s="116">
        <v>1</v>
      </c>
      <c r="PT13" s="95">
        <f t="shared" si="106"/>
        <v>0.5</v>
      </c>
      <c r="PV13" s="190">
        <v>3.7</v>
      </c>
      <c r="PW13" s="195"/>
      <c r="PX13" s="190">
        <f t="shared" si="107"/>
        <v>0.70000000000000018</v>
      </c>
      <c r="PZ13" s="105"/>
      <c r="QA13" s="116"/>
      <c r="QB13" s="95" t="str">
        <f t="shared" si="108"/>
        <v/>
      </c>
    </row>
    <row r="14" spans="1:444" ht="12.75" customHeight="1" x14ac:dyDescent="0.2">
      <c r="A14" s="124" t="s">
        <v>88</v>
      </c>
      <c r="B14" s="125" t="s">
        <v>89</v>
      </c>
      <c r="C14" s="87">
        <v>2</v>
      </c>
      <c r="D14" s="87">
        <v>43126</v>
      </c>
      <c r="F14" s="95">
        <v>2.2000000000000002</v>
      </c>
      <c r="G14" s="96">
        <v>1</v>
      </c>
      <c r="H14" s="113"/>
      <c r="J14" s="95">
        <v>2.2999999999999998</v>
      </c>
      <c r="K14" s="96"/>
      <c r="L14" s="95">
        <f t="shared" si="0"/>
        <v>0.90000000000000036</v>
      </c>
      <c r="N14" s="105">
        <v>1.8</v>
      </c>
      <c r="O14" s="96">
        <v>1</v>
      </c>
      <c r="P14" s="95">
        <f t="shared" si="1"/>
        <v>0.49999999999999978</v>
      </c>
      <c r="R14" s="95">
        <v>2</v>
      </c>
      <c r="S14" s="96"/>
      <c r="T14" s="95">
        <f t="shared" si="2"/>
        <v>0.79999999999999982</v>
      </c>
      <c r="V14" s="95">
        <v>1.4</v>
      </c>
      <c r="W14" s="96">
        <v>1</v>
      </c>
      <c r="X14" s="95">
        <f t="shared" si="3"/>
        <v>0.60000000000000009</v>
      </c>
      <c r="Z14" s="105">
        <v>1.4</v>
      </c>
      <c r="AA14" s="96"/>
      <c r="AB14" s="95">
        <f t="shared" si="4"/>
        <v>1</v>
      </c>
      <c r="AD14" s="105">
        <v>1</v>
      </c>
      <c r="AE14" s="96">
        <v>2</v>
      </c>
      <c r="AF14" s="95">
        <f t="shared" si="5"/>
        <v>0.39999999999999991</v>
      </c>
      <c r="AH14" s="95">
        <v>2.2000000000000002</v>
      </c>
      <c r="AI14" s="96"/>
      <c r="AJ14" s="95">
        <f t="shared" si="6"/>
        <v>0.79999999999999982</v>
      </c>
      <c r="AL14" s="105">
        <v>0.1</v>
      </c>
      <c r="AM14" s="96">
        <v>4</v>
      </c>
      <c r="AN14" s="95">
        <f t="shared" si="7"/>
        <v>2.1</v>
      </c>
      <c r="AP14" s="105">
        <v>3.9</v>
      </c>
      <c r="AQ14" s="96"/>
      <c r="AR14" s="95">
        <f t="shared" si="8"/>
        <v>0.19999999999999973</v>
      </c>
      <c r="AT14" s="95">
        <v>2.8</v>
      </c>
      <c r="AU14" s="96"/>
      <c r="AV14" s="95">
        <f t="shared" si="9"/>
        <v>1.1000000000000001</v>
      </c>
      <c r="AX14" s="95">
        <v>2.2999999999999998</v>
      </c>
      <c r="AY14" s="96"/>
      <c r="AZ14" s="95">
        <f t="shared" si="10"/>
        <v>0.5</v>
      </c>
      <c r="BB14" s="95">
        <v>1.5</v>
      </c>
      <c r="BC14" s="96"/>
      <c r="BD14" s="95">
        <f t="shared" si="11"/>
        <v>0.79999999999999982</v>
      </c>
      <c r="BF14" s="95">
        <v>0.3</v>
      </c>
      <c r="BG14" s="96">
        <v>3</v>
      </c>
      <c r="BH14" s="95">
        <f t="shared" si="12"/>
        <v>1.2</v>
      </c>
      <c r="BJ14" s="95">
        <v>0.1</v>
      </c>
      <c r="BK14" s="96"/>
      <c r="BL14" s="95">
        <f t="shared" si="13"/>
        <v>3.1999999999999997</v>
      </c>
      <c r="BN14" s="95">
        <v>2.7</v>
      </c>
      <c r="BO14" s="96"/>
      <c r="BP14" s="95">
        <f t="shared" si="14"/>
        <v>-2.6</v>
      </c>
      <c r="BR14" s="115">
        <v>2.1</v>
      </c>
      <c r="BS14" s="116">
        <v>1</v>
      </c>
      <c r="BT14" s="115">
        <f t="shared" si="15"/>
        <v>0.60000000000000009</v>
      </c>
      <c r="BV14" s="105">
        <v>2.5</v>
      </c>
      <c r="BW14" s="96"/>
      <c r="BX14" s="95">
        <f t="shared" si="16"/>
        <v>0.60000000000000009</v>
      </c>
      <c r="BZ14" s="95">
        <v>1.8</v>
      </c>
      <c r="CA14" s="96">
        <v>1</v>
      </c>
      <c r="CB14" s="95">
        <f t="shared" si="17"/>
        <v>0.7</v>
      </c>
      <c r="CD14" s="95">
        <v>1.8</v>
      </c>
      <c r="CE14" s="96">
        <v>1</v>
      </c>
      <c r="CF14" s="95">
        <f t="shared" si="18"/>
        <v>0.99999999999999978</v>
      </c>
      <c r="CH14" s="95">
        <v>1.8</v>
      </c>
      <c r="CI14" s="96"/>
      <c r="CJ14" s="95">
        <f t="shared" si="19"/>
        <v>0.99999999999999978</v>
      </c>
      <c r="CL14" s="95">
        <v>0.8</v>
      </c>
      <c r="CM14" s="96">
        <v>1</v>
      </c>
      <c r="CN14" s="95">
        <f t="shared" si="20"/>
        <v>1</v>
      </c>
      <c r="CP14" s="95">
        <v>1</v>
      </c>
      <c r="CQ14" s="96"/>
      <c r="CR14" s="95">
        <f t="shared" si="21"/>
        <v>0.8</v>
      </c>
      <c r="CT14" s="95">
        <v>0.5</v>
      </c>
      <c r="CU14" s="96">
        <v>3</v>
      </c>
      <c r="CV14" s="95">
        <f t="shared" si="22"/>
        <v>0.5</v>
      </c>
      <c r="CX14" s="95">
        <v>3</v>
      </c>
      <c r="CY14" s="96"/>
      <c r="CZ14" s="95">
        <f t="shared" si="23"/>
        <v>0.5</v>
      </c>
      <c r="DB14" s="95">
        <v>2.2000000000000002</v>
      </c>
      <c r="DC14" s="96">
        <v>1</v>
      </c>
      <c r="DD14" s="95">
        <f t="shared" si="24"/>
        <v>0.79999999999999982</v>
      </c>
      <c r="DF14" s="95">
        <v>2.7</v>
      </c>
      <c r="DG14" s="96"/>
      <c r="DH14" s="95">
        <f t="shared" si="25"/>
        <v>0.5</v>
      </c>
      <c r="DJ14" s="95">
        <v>1.9</v>
      </c>
      <c r="DK14" s="96">
        <v>1</v>
      </c>
      <c r="DL14" s="95">
        <f t="shared" si="26"/>
        <v>0.80000000000000027</v>
      </c>
      <c r="DN14" s="95">
        <v>2.6</v>
      </c>
      <c r="DO14" s="96"/>
      <c r="DP14" s="95">
        <f t="shared" si="27"/>
        <v>0.29999999999999982</v>
      </c>
      <c r="DR14" s="95">
        <v>1.9</v>
      </c>
      <c r="DS14" s="96">
        <v>1</v>
      </c>
      <c r="DT14" s="95">
        <f t="shared" si="28"/>
        <v>0.70000000000000018</v>
      </c>
      <c r="DV14" s="95">
        <v>2.5</v>
      </c>
      <c r="DW14" s="96"/>
      <c r="DX14" s="95">
        <f t="shared" si="29"/>
        <v>0.39999999999999991</v>
      </c>
      <c r="DZ14" s="95">
        <v>2.4</v>
      </c>
      <c r="EA14" s="96"/>
      <c r="EB14" s="95">
        <f t="shared" si="30"/>
        <v>0.10000000000000009</v>
      </c>
      <c r="ED14" s="95">
        <v>1.9</v>
      </c>
      <c r="EE14" s="96"/>
      <c r="EF14" s="95">
        <f t="shared" si="31"/>
        <v>0.5</v>
      </c>
      <c r="EH14" s="95">
        <v>1.8</v>
      </c>
      <c r="EI14" s="96">
        <v>1</v>
      </c>
      <c r="EJ14" s="95">
        <f t="shared" si="32"/>
        <v>9.9999999999999867E-2</v>
      </c>
      <c r="EL14" s="95">
        <v>2.2999999999999998</v>
      </c>
      <c r="EM14" s="96"/>
      <c r="EN14" s="95">
        <f t="shared" si="33"/>
        <v>0.5</v>
      </c>
      <c r="EP14" s="95">
        <v>1.8</v>
      </c>
      <c r="EQ14" s="96">
        <v>1</v>
      </c>
      <c r="ER14" s="95">
        <f t="shared" si="34"/>
        <v>0.49999999999999978</v>
      </c>
      <c r="ET14" s="95">
        <v>2.2000000000000002</v>
      </c>
      <c r="EU14" s="96"/>
      <c r="EV14" s="95">
        <f t="shared" si="35"/>
        <v>0.59999999999999964</v>
      </c>
      <c r="EX14" s="95">
        <v>1.5</v>
      </c>
      <c r="EY14" s="96">
        <v>2</v>
      </c>
      <c r="EZ14" s="95">
        <f t="shared" si="36"/>
        <v>0.70000000000000018</v>
      </c>
      <c r="FB14" s="95">
        <v>2.7</v>
      </c>
      <c r="FC14" s="96"/>
      <c r="FD14" s="95">
        <f t="shared" si="37"/>
        <v>0.79999999999999982</v>
      </c>
      <c r="FF14" s="95">
        <v>2.2999999999999998</v>
      </c>
      <c r="FG14" s="96"/>
      <c r="FH14" s="95">
        <f t="shared" si="38"/>
        <v>0.40000000000000036</v>
      </c>
      <c r="FJ14" s="95">
        <v>1.3</v>
      </c>
      <c r="FK14" s="96">
        <v>2</v>
      </c>
      <c r="FL14" s="95">
        <f t="shared" si="39"/>
        <v>0.99999999999999978</v>
      </c>
      <c r="FN14" s="95">
        <v>3.2</v>
      </c>
      <c r="FO14" s="96"/>
      <c r="FP14" s="95">
        <f t="shared" si="40"/>
        <v>9.9999999999999645E-2</v>
      </c>
      <c r="FR14" s="95">
        <v>2.8</v>
      </c>
      <c r="FS14" s="96"/>
      <c r="FT14" s="95">
        <f t="shared" si="41"/>
        <v>0.40000000000000036</v>
      </c>
      <c r="FV14" s="95">
        <v>1.9</v>
      </c>
      <c r="FW14" s="96"/>
      <c r="FX14" s="95">
        <f t="shared" si="42"/>
        <v>0.89999999999999991</v>
      </c>
      <c r="FZ14" s="95">
        <v>0.8</v>
      </c>
      <c r="GA14" s="96">
        <v>2</v>
      </c>
      <c r="GB14" s="95">
        <f t="shared" si="43"/>
        <v>1.0999999999999999</v>
      </c>
      <c r="GD14" s="95">
        <v>2.5</v>
      </c>
      <c r="GE14" s="96"/>
      <c r="GF14" s="95">
        <f t="shared" si="44"/>
        <v>0.29999999999999982</v>
      </c>
      <c r="GH14" s="105">
        <v>1.5</v>
      </c>
      <c r="GI14" s="96">
        <v>1</v>
      </c>
      <c r="GJ14" s="95">
        <f t="shared" si="45"/>
        <v>1</v>
      </c>
      <c r="GL14" s="105">
        <v>1.7</v>
      </c>
      <c r="GM14" s="96">
        <v>1</v>
      </c>
      <c r="GN14" s="95">
        <f t="shared" si="46"/>
        <v>0.8</v>
      </c>
      <c r="GP14" s="95">
        <v>1.7</v>
      </c>
      <c r="GQ14" s="96">
        <v>1</v>
      </c>
      <c r="GR14" s="95">
        <f t="shared" si="47"/>
        <v>1.0000000000000002</v>
      </c>
      <c r="GT14" s="95">
        <v>2.6</v>
      </c>
      <c r="GU14" s="96"/>
      <c r="GV14" s="95">
        <f t="shared" si="48"/>
        <v>0.10000000000000009</v>
      </c>
      <c r="GX14" s="95">
        <v>2.4</v>
      </c>
      <c r="GY14" s="96">
        <v>1</v>
      </c>
      <c r="GZ14" s="95">
        <f t="shared" si="49"/>
        <v>0.20000000000000018</v>
      </c>
      <c r="HB14" s="95">
        <v>3.2</v>
      </c>
      <c r="HC14" s="96"/>
      <c r="HD14" s="95">
        <f t="shared" si="50"/>
        <v>0.19999999999999973</v>
      </c>
      <c r="HF14" s="95">
        <v>2.8</v>
      </c>
      <c r="HG14" s="96"/>
      <c r="HH14" s="95">
        <f t="shared" si="51"/>
        <v>0.40000000000000036</v>
      </c>
      <c r="HJ14" s="95">
        <v>2.7</v>
      </c>
      <c r="HK14" s="96"/>
      <c r="HL14" s="95">
        <f t="shared" si="52"/>
        <v>9.9999999999999645E-2</v>
      </c>
      <c r="HN14" s="95">
        <v>2.2999999999999998</v>
      </c>
      <c r="HO14" s="96"/>
      <c r="HP14" s="95">
        <f t="shared" si="53"/>
        <v>0.40000000000000036</v>
      </c>
      <c r="HR14" s="95">
        <v>2.2999999999999998</v>
      </c>
      <c r="HS14" s="96"/>
      <c r="HT14" s="95">
        <f t="shared" si="54"/>
        <v>0</v>
      </c>
      <c r="HV14" s="95">
        <v>2.1</v>
      </c>
      <c r="HW14" s="96"/>
      <c r="HX14" s="95">
        <f t="shared" si="55"/>
        <v>0.19999999999999973</v>
      </c>
      <c r="HZ14" s="115">
        <v>2</v>
      </c>
      <c r="IA14" s="96"/>
      <c r="IB14" s="95">
        <f t="shared" si="56"/>
        <v>0.10000000000000009</v>
      </c>
      <c r="ID14" s="95">
        <v>1.7</v>
      </c>
      <c r="IE14" s="96"/>
      <c r="IF14" s="95">
        <f t="shared" si="57"/>
        <v>0.30000000000000004</v>
      </c>
      <c r="IH14" s="115">
        <v>1.6</v>
      </c>
      <c r="II14" s="96"/>
      <c r="IJ14" s="95">
        <f t="shared" si="58"/>
        <v>9.9999999999999867E-2</v>
      </c>
      <c r="IL14" s="95">
        <v>1.3</v>
      </c>
      <c r="IM14" s="96"/>
      <c r="IN14" s="95">
        <f t="shared" si="59"/>
        <v>0.30000000000000004</v>
      </c>
      <c r="IP14" s="95">
        <v>1.2</v>
      </c>
      <c r="IQ14" s="96"/>
      <c r="IR14" s="95">
        <f t="shared" si="60"/>
        <v>0.10000000000000009</v>
      </c>
      <c r="IT14" s="95">
        <v>0.8</v>
      </c>
      <c r="IU14" s="96">
        <v>1</v>
      </c>
      <c r="IV14" s="95">
        <f t="shared" si="61"/>
        <v>0.39999999999999991</v>
      </c>
      <c r="IX14" s="95">
        <v>1.8</v>
      </c>
      <c r="IY14" s="96"/>
      <c r="IZ14" s="95">
        <f t="shared" si="62"/>
        <v>0</v>
      </c>
      <c r="JB14" s="95">
        <v>1.7</v>
      </c>
      <c r="JC14" s="96"/>
      <c r="JD14" s="95">
        <f t="shared" si="63"/>
        <v>0.10000000000000009</v>
      </c>
      <c r="JF14" s="95">
        <v>1.7</v>
      </c>
      <c r="JG14" s="96"/>
      <c r="JH14" s="95">
        <f t="shared" si="64"/>
        <v>0</v>
      </c>
      <c r="JJ14" s="95">
        <v>1.6</v>
      </c>
      <c r="JK14" s="96"/>
      <c r="JL14" s="95">
        <f t="shared" si="65"/>
        <v>9.9999999999999867E-2</v>
      </c>
      <c r="JN14" s="95">
        <v>1.4</v>
      </c>
      <c r="JO14" s="96"/>
      <c r="JP14" s="95">
        <f t="shared" si="66"/>
        <v>0.20000000000000018</v>
      </c>
      <c r="JR14" s="95">
        <v>1.3</v>
      </c>
      <c r="JS14" s="96"/>
      <c r="JT14" s="95">
        <f t="shared" si="67"/>
        <v>9.9999999999999867E-2</v>
      </c>
      <c r="JV14" s="95">
        <v>1.2</v>
      </c>
      <c r="JW14" s="96"/>
      <c r="JX14" s="95">
        <f t="shared" si="68"/>
        <v>0.10000000000000009</v>
      </c>
      <c r="JZ14" s="95">
        <v>0.8</v>
      </c>
      <c r="KA14" s="96"/>
      <c r="KB14" s="95">
        <f t="shared" si="69"/>
        <v>0.39999999999999991</v>
      </c>
      <c r="KD14" s="95">
        <v>0.4</v>
      </c>
      <c r="KE14" s="96">
        <v>1</v>
      </c>
      <c r="KF14" s="95">
        <f t="shared" si="70"/>
        <v>0.4</v>
      </c>
      <c r="KH14" s="95">
        <v>1.3</v>
      </c>
      <c r="KI14" s="96"/>
      <c r="KJ14" s="95">
        <f t="shared" si="71"/>
        <v>9.9999999999999867E-2</v>
      </c>
      <c r="KL14" s="95">
        <v>0.8</v>
      </c>
      <c r="KM14" s="96">
        <v>1</v>
      </c>
      <c r="KN14" s="95">
        <f t="shared" si="72"/>
        <v>0.5</v>
      </c>
      <c r="KP14" s="95">
        <v>1.7</v>
      </c>
      <c r="KQ14" s="96"/>
      <c r="KR14" s="95">
        <f t="shared" si="73"/>
        <v>0.10000000000000009</v>
      </c>
      <c r="KT14" s="95">
        <v>1.6</v>
      </c>
      <c r="KU14" s="96"/>
      <c r="KV14" s="95">
        <f t="shared" si="74"/>
        <v>9.9999999999999867E-2</v>
      </c>
      <c r="KX14" s="95">
        <v>0.9</v>
      </c>
      <c r="KY14" s="96"/>
      <c r="KZ14" s="95">
        <f t="shared" si="75"/>
        <v>0.70000000000000007</v>
      </c>
      <c r="LB14" s="95">
        <v>0.6</v>
      </c>
      <c r="LC14" s="96">
        <v>1</v>
      </c>
      <c r="LD14" s="95">
        <f t="shared" si="76"/>
        <v>0.30000000000000004</v>
      </c>
      <c r="LF14" s="95">
        <v>1.4</v>
      </c>
      <c r="LG14" s="96"/>
      <c r="LH14" s="95">
        <f t="shared" si="77"/>
        <v>0.20000000000000018</v>
      </c>
      <c r="LJ14" s="95">
        <v>1.1000000000000001</v>
      </c>
      <c r="LK14" s="96"/>
      <c r="LL14" s="95">
        <f t="shared" si="78"/>
        <v>0.29999999999999982</v>
      </c>
      <c r="LN14" s="95">
        <v>0.8</v>
      </c>
      <c r="LO14" s="96"/>
      <c r="LP14" s="95">
        <f t="shared" si="79"/>
        <v>0.30000000000000004</v>
      </c>
      <c r="LR14" s="105">
        <v>0</v>
      </c>
      <c r="LS14" s="96">
        <v>2</v>
      </c>
      <c r="LT14" s="95">
        <f t="shared" si="80"/>
        <v>0.8</v>
      </c>
      <c r="LV14" s="105">
        <v>1.9</v>
      </c>
      <c r="LW14" s="96"/>
      <c r="LX14" s="95">
        <f t="shared" si="81"/>
        <v>0.10000000000000009</v>
      </c>
      <c r="LZ14" s="95">
        <v>1.6</v>
      </c>
      <c r="MA14" s="96">
        <v>1</v>
      </c>
      <c r="MB14" s="95">
        <f t="shared" si="82"/>
        <v>0.29999999999999982</v>
      </c>
      <c r="MD14" s="95">
        <v>2.2999999999999998</v>
      </c>
      <c r="ME14" s="96"/>
      <c r="MF14" s="95">
        <f t="shared" si="83"/>
        <v>0.30000000000000027</v>
      </c>
      <c r="MH14" s="95">
        <v>1.4</v>
      </c>
      <c r="MI14" s="96"/>
      <c r="MJ14" s="95">
        <f t="shared" si="84"/>
        <v>0.89999999999999991</v>
      </c>
      <c r="ML14" s="95">
        <v>0.9</v>
      </c>
      <c r="MM14" s="96"/>
      <c r="MN14" s="95">
        <f t="shared" si="85"/>
        <v>0.49999999999999989</v>
      </c>
      <c r="MP14" s="95">
        <v>0.4</v>
      </c>
      <c r="MQ14" s="96">
        <v>2</v>
      </c>
      <c r="MR14" s="95">
        <f t="shared" si="86"/>
        <v>0.5</v>
      </c>
      <c r="MT14" s="95">
        <v>2.2000000000000002</v>
      </c>
      <c r="MU14" s="96"/>
      <c r="MV14" s="95">
        <f t="shared" si="87"/>
        <v>0.19999999999999973</v>
      </c>
      <c r="MX14" s="95">
        <v>1.7</v>
      </c>
      <c r="MY14" s="96"/>
      <c r="MZ14" s="95">
        <f t="shared" si="88"/>
        <v>0.50000000000000022</v>
      </c>
      <c r="NB14" s="95">
        <v>0.9</v>
      </c>
      <c r="NC14" s="96"/>
      <c r="ND14" s="95">
        <f t="shared" si="89"/>
        <v>0.79999999999999993</v>
      </c>
      <c r="NF14" s="105">
        <v>0.6</v>
      </c>
      <c r="NG14" s="96">
        <v>2</v>
      </c>
      <c r="NH14" s="95">
        <f t="shared" si="90"/>
        <v>0.30000000000000004</v>
      </c>
      <c r="NJ14" s="95">
        <v>1.7</v>
      </c>
      <c r="NK14" s="96"/>
      <c r="NL14" s="95">
        <f t="shared" si="91"/>
        <v>0.90000000000000013</v>
      </c>
      <c r="NN14" s="95">
        <v>1.4</v>
      </c>
      <c r="NO14" s="96">
        <v>1</v>
      </c>
      <c r="NP14" s="95">
        <f t="shared" si="92"/>
        <v>0.30000000000000004</v>
      </c>
      <c r="NR14" s="95">
        <v>2.1</v>
      </c>
      <c r="NS14" s="96"/>
      <c r="NT14" s="95">
        <f t="shared" si="93"/>
        <v>0.29999999999999982</v>
      </c>
      <c r="NV14" s="95">
        <v>1.8</v>
      </c>
      <c r="NW14" s="96"/>
      <c r="NX14" s="95">
        <f t="shared" si="94"/>
        <v>0.30000000000000004</v>
      </c>
      <c r="NZ14" s="95">
        <v>1.5</v>
      </c>
      <c r="OA14" s="96"/>
      <c r="OB14" s="95">
        <f t="shared" si="95"/>
        <v>0.30000000000000004</v>
      </c>
      <c r="OD14" s="95">
        <v>1</v>
      </c>
      <c r="OE14" s="96">
        <v>1</v>
      </c>
      <c r="OF14" s="95">
        <f t="shared" si="96"/>
        <v>0.5</v>
      </c>
      <c r="OH14" s="105">
        <v>1.7</v>
      </c>
      <c r="OI14" s="96"/>
      <c r="OJ14" s="95">
        <f t="shared" si="97"/>
        <v>0.30000000000000004</v>
      </c>
      <c r="OL14" s="115">
        <v>1.3</v>
      </c>
      <c r="OM14" s="96"/>
      <c r="ON14" s="95">
        <f t="shared" si="98"/>
        <v>0.39999999999999991</v>
      </c>
      <c r="OP14" s="105">
        <v>1</v>
      </c>
      <c r="OQ14" s="96"/>
      <c r="OR14" s="95">
        <f t="shared" si="99"/>
        <v>0.30000000000000004</v>
      </c>
      <c r="OT14" s="95">
        <v>0.8</v>
      </c>
      <c r="OU14" s="96">
        <v>1</v>
      </c>
      <c r="OV14" s="95">
        <f t="shared" si="100"/>
        <v>0.19999999999999996</v>
      </c>
      <c r="OX14" s="105">
        <v>1.7</v>
      </c>
      <c r="OY14" s="96"/>
      <c r="OZ14" s="95">
        <f t="shared" si="101"/>
        <v>0.10000000000000009</v>
      </c>
      <c r="PB14" s="95">
        <v>1.5</v>
      </c>
      <c r="PC14" s="96"/>
      <c r="PD14" s="95">
        <f t="shared" si="102"/>
        <v>0.19999999999999996</v>
      </c>
      <c r="PF14" s="95">
        <v>1.3</v>
      </c>
      <c r="PG14" s="96"/>
      <c r="PH14" s="95">
        <f t="shared" si="103"/>
        <v>0.19999999999999996</v>
      </c>
      <c r="PJ14" s="105">
        <v>1.3</v>
      </c>
      <c r="PK14" s="96"/>
      <c r="PL14" s="95">
        <f t="shared" si="104"/>
        <v>0</v>
      </c>
      <c r="PN14" s="105">
        <v>1.2</v>
      </c>
      <c r="PO14" s="96"/>
      <c r="PP14" s="95">
        <f t="shared" si="105"/>
        <v>0.10000000000000009</v>
      </c>
      <c r="PR14" s="95">
        <v>1.1000000000000001</v>
      </c>
      <c r="PS14" s="96"/>
      <c r="PT14" s="95">
        <f t="shared" si="106"/>
        <v>9.9999999999999867E-2</v>
      </c>
      <c r="PV14" s="190">
        <v>0.8</v>
      </c>
      <c r="PW14" s="194"/>
      <c r="PX14" s="190">
        <f t="shared" si="107"/>
        <v>0.30000000000000004</v>
      </c>
      <c r="PZ14" s="105"/>
      <c r="QA14" s="96"/>
      <c r="QB14" s="95" t="str">
        <f t="shared" si="108"/>
        <v/>
      </c>
    </row>
    <row r="15" spans="1:444" ht="12.75" customHeight="1" x14ac:dyDescent="0.2">
      <c r="A15" s="124" t="s">
        <v>90</v>
      </c>
      <c r="B15" s="128" t="s">
        <v>91</v>
      </c>
      <c r="C15" s="87">
        <v>0.4</v>
      </c>
      <c r="D15" s="87">
        <v>4866</v>
      </c>
      <c r="F15" s="95">
        <v>0.5</v>
      </c>
      <c r="G15" s="96"/>
      <c r="H15" s="113"/>
      <c r="J15" s="95">
        <v>0.5</v>
      </c>
      <c r="K15" s="96"/>
      <c r="L15" s="95">
        <f>IF(ISNUMBER(J15), (F15+G15)-J15, "")</f>
        <v>0</v>
      </c>
      <c r="N15" s="105">
        <v>0.5</v>
      </c>
      <c r="O15" s="96"/>
      <c r="P15" s="95">
        <f>IF(ISNUMBER(N15), (J15+K15)-N15, "")</f>
        <v>0</v>
      </c>
      <c r="R15" s="95">
        <v>0.5</v>
      </c>
      <c r="S15" s="96"/>
      <c r="T15" s="95">
        <f>IF(ISNUMBER(R15), (N15+O15)-R15, "")</f>
        <v>0</v>
      </c>
      <c r="V15" s="95">
        <v>0.5</v>
      </c>
      <c r="W15" s="96"/>
      <c r="X15" s="95">
        <f>IF(ISNUMBER(V15), (R15+S15)-V15, "")</f>
        <v>0</v>
      </c>
      <c r="Z15" s="105">
        <v>0.5</v>
      </c>
      <c r="AA15" s="96"/>
      <c r="AB15" s="95">
        <f>IF(ISNUMBER(Z15), (V15+W15)-Z15, "")</f>
        <v>0</v>
      </c>
      <c r="AD15" s="105">
        <v>0.5</v>
      </c>
      <c r="AE15" s="96"/>
      <c r="AF15" s="95">
        <f>IF(ISNUMBER(AD15), (Z15+AA15)-AD15, "")</f>
        <v>0</v>
      </c>
      <c r="AH15" s="95">
        <v>0.5</v>
      </c>
      <c r="AI15" s="96"/>
      <c r="AJ15" s="95">
        <f>IF(ISNUMBER(AH15), (AD15+AE15)-AH15, "")</f>
        <v>0</v>
      </c>
      <c r="AL15" s="105">
        <v>0.5</v>
      </c>
      <c r="AM15" s="96"/>
      <c r="AN15" s="95">
        <f>IF(ISNUMBER(AL15), (AH15+AI15)-AL15, "")</f>
        <v>0</v>
      </c>
      <c r="AP15" s="105">
        <v>0.5</v>
      </c>
      <c r="AQ15" s="96"/>
      <c r="AR15" s="95">
        <f>IF(ISNUMBER(AP15), (AL15+AM15)-AP15, "")</f>
        <v>0</v>
      </c>
      <c r="AT15" s="95">
        <v>0.5</v>
      </c>
      <c r="AU15" s="96"/>
      <c r="AV15" s="95">
        <f>IF(ISNUMBER(AT15), (AP15+AQ15)-AT15, "")</f>
        <v>0</v>
      </c>
      <c r="AX15" s="95">
        <v>0.5</v>
      </c>
      <c r="AY15" s="96"/>
      <c r="AZ15" s="95">
        <f>IF(ISNUMBER(AX15), (AT15+AU15)-AX15, "")</f>
        <v>0</v>
      </c>
      <c r="BB15" s="95">
        <v>0.5</v>
      </c>
      <c r="BC15" s="96"/>
      <c r="BD15" s="95">
        <f>IF(ISNUMBER(BB15), (AX15+AY15)-BB15, "")</f>
        <v>0</v>
      </c>
      <c r="BF15" s="95">
        <v>0.5</v>
      </c>
      <c r="BG15" s="96"/>
      <c r="BH15" s="95">
        <f>IF(ISNUMBER(BF15), (BB15+BC15)-BF15, "")</f>
        <v>0</v>
      </c>
      <c r="BJ15" s="95">
        <v>0.5</v>
      </c>
      <c r="BK15" s="96"/>
      <c r="BL15" s="95">
        <f>IF(ISNUMBER(BJ15), (BF15+BG15)-BJ15, "")</f>
        <v>0</v>
      </c>
      <c r="BN15" s="95">
        <v>0.5</v>
      </c>
      <c r="BO15" s="96"/>
      <c r="BP15" s="95">
        <f>IF(ISNUMBER(BN15), (BJ15+BK15)-BN15, "")</f>
        <v>0</v>
      </c>
      <c r="BR15" s="115">
        <v>0.5</v>
      </c>
      <c r="BS15" s="116"/>
      <c r="BT15" s="115">
        <f>IF(ISNUMBER(BR15), (BN15+BO15)-BR15, "")</f>
        <v>0</v>
      </c>
      <c r="BV15" s="105">
        <v>0.5</v>
      </c>
      <c r="BW15" s="96"/>
      <c r="BX15" s="95">
        <f>IF(ISNUMBER(BV15), (BR15+BS15)-BV15, "")</f>
        <v>0</v>
      </c>
      <c r="BZ15" s="95">
        <v>0.5</v>
      </c>
      <c r="CA15" s="96"/>
      <c r="CB15" s="95">
        <f>IF(ISNUMBER(BZ15), (BV15+BW15)-BZ15, "")</f>
        <v>0</v>
      </c>
      <c r="CD15" s="95">
        <v>0.5</v>
      </c>
      <c r="CE15" s="96"/>
      <c r="CF15" s="95">
        <f>IF(ISNUMBER(CD15), (BZ15+CA15)-CD15, "")</f>
        <v>0</v>
      </c>
      <c r="CH15" s="95">
        <v>0.5</v>
      </c>
      <c r="CI15" s="96"/>
      <c r="CJ15" s="95">
        <f>IF(ISNUMBER(CH15), (CD15+CE15)-CH15, "")</f>
        <v>0</v>
      </c>
      <c r="CL15" s="95">
        <v>0.5</v>
      </c>
      <c r="CM15" s="96"/>
      <c r="CN15" s="95">
        <f>IF(ISNUMBER(CL15), (CH15+CI15)-CL15, "")</f>
        <v>0</v>
      </c>
      <c r="CP15" s="95">
        <v>0.5</v>
      </c>
      <c r="CQ15" s="96"/>
      <c r="CR15" s="95">
        <f>IF(ISNUMBER(CP15), (CL15+CM15)-CP15, "")</f>
        <v>0</v>
      </c>
      <c r="CT15" s="95">
        <v>0.5</v>
      </c>
      <c r="CU15" s="96"/>
      <c r="CV15" s="95">
        <f>IF(ISNUMBER(CT15), (CP15+CQ15)-CT15, "")</f>
        <v>0</v>
      </c>
      <c r="CX15" s="95">
        <v>0.5</v>
      </c>
      <c r="CY15" s="96"/>
      <c r="CZ15" s="95">
        <f>IF(ISNUMBER(CX15), (CT15+CU15)-CX15, "")</f>
        <v>0</v>
      </c>
      <c r="DB15" s="95">
        <v>0.5</v>
      </c>
      <c r="DC15" s="96"/>
      <c r="DD15" s="95">
        <f>IF(ISNUMBER(DB15), (CX15+CY15)-DB15, "")</f>
        <v>0</v>
      </c>
      <c r="DF15" s="95">
        <v>0.5</v>
      </c>
      <c r="DG15" s="96"/>
      <c r="DH15" s="95">
        <f>IF(ISNUMBER(DF15), (DB15+DC15)-DF15, "")</f>
        <v>0</v>
      </c>
      <c r="DJ15" s="95">
        <v>0.5</v>
      </c>
      <c r="DK15" s="96"/>
      <c r="DL15" s="95">
        <f>IF(ISNUMBER(DJ15), (DF15+DG15)-DJ15, "")</f>
        <v>0</v>
      </c>
      <c r="DN15" s="95">
        <v>0.5</v>
      </c>
      <c r="DO15" s="96"/>
      <c r="DP15" s="95">
        <f>IF(ISNUMBER(DN15), (DJ15+DK15)-DN15, "")</f>
        <v>0</v>
      </c>
      <c r="DR15" s="95">
        <v>0.5</v>
      </c>
      <c r="DS15" s="96"/>
      <c r="DT15" s="95">
        <f>IF(ISNUMBER(DR15), (DN15+DO15)-DR15, "")</f>
        <v>0</v>
      </c>
      <c r="DV15" s="95">
        <v>0.5</v>
      </c>
      <c r="DW15" s="96"/>
      <c r="DX15" s="95">
        <f>IF(ISNUMBER(DV15), (DR15+DS15)-DV15, "")</f>
        <v>0</v>
      </c>
      <c r="DZ15" s="95">
        <v>0.5</v>
      </c>
      <c r="EA15" s="96"/>
      <c r="EB15" s="95">
        <f>IF(ISNUMBER(DZ15), (DV15+DW15)-DZ15, "")</f>
        <v>0</v>
      </c>
      <c r="ED15" s="95">
        <v>0.5</v>
      </c>
      <c r="EE15" s="96"/>
      <c r="EF15" s="95">
        <f>IF(ISNUMBER(ED15), (DZ15+EA15)-ED15, "")</f>
        <v>0</v>
      </c>
      <c r="EH15" s="95">
        <v>0.5</v>
      </c>
      <c r="EI15" s="96"/>
      <c r="EJ15" s="95">
        <f>IF(ISNUMBER(EH15), (ED15+EE15)-EH15, "")</f>
        <v>0</v>
      </c>
      <c r="EL15" s="95">
        <v>0.5</v>
      </c>
      <c r="EM15" s="96"/>
      <c r="EN15" s="95">
        <f>IF(ISNUMBER(EL15), (EH15+EI15)-EL15, "")</f>
        <v>0</v>
      </c>
      <c r="EP15" s="95">
        <v>0.5</v>
      </c>
      <c r="EQ15" s="96"/>
      <c r="ER15" s="95">
        <f>IF(ISNUMBER(EP15), (EL15+EM15)-EP15, "")</f>
        <v>0</v>
      </c>
      <c r="ET15" s="95">
        <v>0.5</v>
      </c>
      <c r="EU15" s="96"/>
      <c r="EV15" s="95">
        <f>IF(ISNUMBER(ET15), (EP15+EQ15)-ET15, "")</f>
        <v>0</v>
      </c>
      <c r="EX15" s="95">
        <v>0.5</v>
      </c>
      <c r="EY15" s="96"/>
      <c r="EZ15" s="95">
        <f>IF(ISNUMBER(EX15), (ET15+EU15)-EX15, "")</f>
        <v>0</v>
      </c>
      <c r="FB15" s="95">
        <v>0.5</v>
      </c>
      <c r="FC15" s="96"/>
      <c r="FD15" s="95">
        <f>IF(ISNUMBER(FB15), (EX15+EY15)-FB15, "")</f>
        <v>0</v>
      </c>
      <c r="FF15" s="95">
        <v>0.5</v>
      </c>
      <c r="FG15" s="96"/>
      <c r="FH15" s="95">
        <f>IF(ISNUMBER(FF15), (FB15+FC15)-FF15, "")</f>
        <v>0</v>
      </c>
      <c r="FJ15" s="95">
        <v>0.5</v>
      </c>
      <c r="FK15" s="96"/>
      <c r="FL15" s="95">
        <f>IF(ISNUMBER(FJ15), (FF15+FG15)-FJ15, "")</f>
        <v>0</v>
      </c>
      <c r="FN15" s="95">
        <v>0.5</v>
      </c>
      <c r="FO15" s="96"/>
      <c r="FP15" s="95">
        <f>IF(ISNUMBER(FN15), (FJ15+FK15)-FN15, "")</f>
        <v>0</v>
      </c>
      <c r="FR15" s="95">
        <v>0.5</v>
      </c>
      <c r="FS15" s="96"/>
      <c r="FT15" s="95">
        <f>IF(ISNUMBER(FR15), (FN15+FO15)-FR15, "")</f>
        <v>0</v>
      </c>
      <c r="FV15" s="95">
        <v>0.5</v>
      </c>
      <c r="FW15" s="96"/>
      <c r="FX15" s="95">
        <f>IF(ISNUMBER(FV15), (FR15+FS15)-FV15, "")</f>
        <v>0</v>
      </c>
      <c r="FZ15" s="95">
        <v>0.5</v>
      </c>
      <c r="GA15" s="96"/>
      <c r="GB15" s="95">
        <f>IF(ISNUMBER(FZ15), (FV15+FW15)-FZ15, "")</f>
        <v>0</v>
      </c>
      <c r="GD15" s="95">
        <v>0.5</v>
      </c>
      <c r="GE15" s="96"/>
      <c r="GF15" s="95">
        <f>IF(ISNUMBER(GD15), (FZ15+GA15)-GD15, "")</f>
        <v>0</v>
      </c>
      <c r="GH15" s="105">
        <v>0.5</v>
      </c>
      <c r="GI15" s="96"/>
      <c r="GJ15" s="95">
        <f>IF(ISNUMBER(GH15), (GD15+GE15)-GH15, "")</f>
        <v>0</v>
      </c>
      <c r="GL15" s="105">
        <v>0.6</v>
      </c>
      <c r="GM15" s="96"/>
      <c r="GN15" s="95">
        <f t="shared" si="46"/>
        <v>-9.9999999999999978E-2</v>
      </c>
      <c r="GP15" s="95">
        <v>0.6</v>
      </c>
      <c r="GQ15" s="96"/>
      <c r="GR15" s="95">
        <f t="shared" si="47"/>
        <v>0</v>
      </c>
      <c r="GT15" s="95">
        <v>0.6</v>
      </c>
      <c r="GU15" s="96"/>
      <c r="GV15" s="95">
        <f>IF(ISNUMBER(GT15), (GP15+GQ15)-GT15, "")</f>
        <v>0</v>
      </c>
      <c r="GX15" s="95">
        <v>0.6</v>
      </c>
      <c r="GY15" s="96"/>
      <c r="GZ15" s="95">
        <f>IF(ISNUMBER(GX15), (GT15+GU15)-GX15, "")</f>
        <v>0</v>
      </c>
      <c r="HB15" s="95">
        <v>0.6</v>
      </c>
      <c r="HC15" s="96"/>
      <c r="HD15" s="95">
        <f>IF(ISNUMBER(HB15), (GX15+GY15)-HB15, "")</f>
        <v>0</v>
      </c>
      <c r="HF15" s="95">
        <v>0.6</v>
      </c>
      <c r="HG15" s="96"/>
      <c r="HH15" s="95">
        <f>IF(ISNUMBER(HF15), (HB15+HC15)-HF15, "")</f>
        <v>0</v>
      </c>
      <c r="HJ15" s="95">
        <v>0.6</v>
      </c>
      <c r="HK15" s="96"/>
      <c r="HL15" s="95">
        <f>IF(ISNUMBER(HJ15), (HF15+HG15)-HJ15, "")</f>
        <v>0</v>
      </c>
      <c r="HN15" s="95">
        <v>0.6</v>
      </c>
      <c r="HO15" s="96">
        <v>1</v>
      </c>
      <c r="HP15" s="95">
        <f>IF(ISNUMBER(HN15), (HJ15+HK15)-HN15, "")</f>
        <v>0</v>
      </c>
      <c r="HR15" s="95">
        <v>1.6</v>
      </c>
      <c r="HS15" s="96"/>
      <c r="HT15" s="95">
        <f>IF(ISNUMBER(HR15), (HN15+HO15)-HR15, "")</f>
        <v>0</v>
      </c>
      <c r="HV15" s="95">
        <v>1.6</v>
      </c>
      <c r="HW15" s="96"/>
      <c r="HX15" s="95">
        <f>IF(ISNUMBER(HV15), (HR15+HS15)-HV15, "")</f>
        <v>0</v>
      </c>
      <c r="HZ15" s="115">
        <v>1.6</v>
      </c>
      <c r="IA15" s="96"/>
      <c r="IB15" s="95">
        <f t="shared" si="56"/>
        <v>0</v>
      </c>
      <c r="ID15" s="95">
        <v>1.6</v>
      </c>
      <c r="IE15" s="96"/>
      <c r="IF15" s="95">
        <f t="shared" si="57"/>
        <v>0</v>
      </c>
      <c r="IH15" s="115">
        <v>1.6</v>
      </c>
      <c r="II15" s="96"/>
      <c r="IJ15" s="95">
        <f t="shared" si="58"/>
        <v>0</v>
      </c>
      <c r="IL15" s="95">
        <v>1.6</v>
      </c>
      <c r="IM15" s="96"/>
      <c r="IN15" s="95">
        <f t="shared" si="59"/>
        <v>0</v>
      </c>
      <c r="IP15" s="95">
        <v>1.6</v>
      </c>
      <c r="IQ15" s="96"/>
      <c r="IR15" s="95">
        <f t="shared" si="60"/>
        <v>0</v>
      </c>
      <c r="IT15" s="95">
        <v>1.6</v>
      </c>
      <c r="IU15" s="96"/>
      <c r="IV15" s="95">
        <f t="shared" si="61"/>
        <v>0</v>
      </c>
      <c r="IX15" s="95">
        <v>1.6</v>
      </c>
      <c r="IY15" s="96">
        <v>-1</v>
      </c>
      <c r="IZ15" s="95">
        <f t="shared" si="62"/>
        <v>0</v>
      </c>
      <c r="JB15" s="95">
        <v>0.6</v>
      </c>
      <c r="JC15" s="96"/>
      <c r="JD15" s="95">
        <f t="shared" si="63"/>
        <v>1.1102230246251565E-16</v>
      </c>
      <c r="JF15" s="95">
        <v>0.6</v>
      </c>
      <c r="JG15" s="96"/>
      <c r="JH15" s="95">
        <f t="shared" si="64"/>
        <v>0</v>
      </c>
      <c r="JJ15" s="95">
        <v>0.6</v>
      </c>
      <c r="JK15" s="96"/>
      <c r="JL15" s="95">
        <f t="shared" si="65"/>
        <v>0</v>
      </c>
      <c r="JN15" s="95">
        <v>0.6</v>
      </c>
      <c r="JO15" s="96"/>
      <c r="JP15" s="95">
        <f t="shared" si="66"/>
        <v>0</v>
      </c>
      <c r="JR15" s="95">
        <v>0.6</v>
      </c>
      <c r="JS15" s="96"/>
      <c r="JT15" s="95">
        <f t="shared" si="67"/>
        <v>0</v>
      </c>
      <c r="JV15" s="95">
        <v>0.6</v>
      </c>
      <c r="JW15" s="96"/>
      <c r="JX15" s="95">
        <f t="shared" si="68"/>
        <v>0</v>
      </c>
      <c r="JZ15" s="95">
        <v>0.6</v>
      </c>
      <c r="KA15" s="96"/>
      <c r="KB15" s="95">
        <f t="shared" si="69"/>
        <v>0</v>
      </c>
      <c r="KD15" s="95">
        <v>0.6</v>
      </c>
      <c r="KE15" s="96"/>
      <c r="KF15" s="95">
        <f t="shared" si="70"/>
        <v>0</v>
      </c>
      <c r="KH15" s="95">
        <v>0.6</v>
      </c>
      <c r="KI15" s="96"/>
      <c r="KJ15" s="95">
        <f t="shared" si="71"/>
        <v>0</v>
      </c>
      <c r="KL15" s="95">
        <v>0.5</v>
      </c>
      <c r="KM15" s="96"/>
      <c r="KN15" s="95">
        <f t="shared" si="72"/>
        <v>9.9999999999999978E-2</v>
      </c>
      <c r="KP15" s="95">
        <v>0.5</v>
      </c>
      <c r="KQ15" s="96"/>
      <c r="KR15" s="95">
        <f t="shared" si="73"/>
        <v>0</v>
      </c>
      <c r="KT15" s="95">
        <v>0.5</v>
      </c>
      <c r="KU15" s="96"/>
      <c r="KV15" s="95">
        <f t="shared" si="74"/>
        <v>0</v>
      </c>
      <c r="KX15" s="95">
        <v>0.5</v>
      </c>
      <c r="KY15" s="96"/>
      <c r="KZ15" s="95">
        <f t="shared" si="75"/>
        <v>0</v>
      </c>
      <c r="LB15" s="95">
        <v>0.5</v>
      </c>
      <c r="LC15" s="96"/>
      <c r="LD15" s="95">
        <f t="shared" si="76"/>
        <v>0</v>
      </c>
      <c r="LF15" s="95">
        <v>0.5</v>
      </c>
      <c r="LG15" s="96"/>
      <c r="LH15" s="95">
        <f t="shared" si="77"/>
        <v>0</v>
      </c>
      <c r="LJ15" s="95">
        <v>0.5</v>
      </c>
      <c r="LK15" s="96"/>
      <c r="LL15" s="95">
        <f t="shared" si="78"/>
        <v>0</v>
      </c>
      <c r="LN15" s="95">
        <v>0.5</v>
      </c>
      <c r="LO15" s="96"/>
      <c r="LP15" s="95">
        <f t="shared" si="79"/>
        <v>0</v>
      </c>
      <c r="LR15" s="105">
        <v>0.5</v>
      </c>
      <c r="LS15" s="96"/>
      <c r="LT15" s="95">
        <f t="shared" si="80"/>
        <v>0</v>
      </c>
      <c r="LV15" s="105">
        <v>0.5</v>
      </c>
      <c r="LW15" s="96"/>
      <c r="LX15" s="95">
        <f t="shared" si="81"/>
        <v>0</v>
      </c>
      <c r="LZ15" s="95">
        <v>0.4</v>
      </c>
      <c r="MA15" s="96"/>
      <c r="MB15" s="95">
        <f t="shared" si="82"/>
        <v>9.9999999999999978E-2</v>
      </c>
      <c r="MD15" s="95">
        <v>0.4</v>
      </c>
      <c r="ME15" s="96"/>
      <c r="MF15" s="95">
        <f t="shared" si="83"/>
        <v>0</v>
      </c>
      <c r="MH15" s="95">
        <v>0.4</v>
      </c>
      <c r="MI15" s="96"/>
      <c r="MJ15" s="95">
        <f t="shared" si="84"/>
        <v>0</v>
      </c>
      <c r="ML15" s="95">
        <v>0.4</v>
      </c>
      <c r="MM15" s="96"/>
      <c r="MN15" s="95">
        <f t="shared" si="85"/>
        <v>0</v>
      </c>
      <c r="MP15" s="95">
        <v>0.4</v>
      </c>
      <c r="MQ15" s="96"/>
      <c r="MR15" s="95">
        <f t="shared" si="86"/>
        <v>0</v>
      </c>
      <c r="MT15" s="95">
        <v>0.4</v>
      </c>
      <c r="MU15" s="96"/>
      <c r="MV15" s="95">
        <f t="shared" si="87"/>
        <v>0</v>
      </c>
      <c r="MX15" s="95">
        <v>0.4</v>
      </c>
      <c r="MY15" s="96"/>
      <c r="MZ15" s="95">
        <f t="shared" si="88"/>
        <v>0</v>
      </c>
      <c r="NB15" s="95">
        <v>0.4</v>
      </c>
      <c r="NC15" s="96"/>
      <c r="ND15" s="95">
        <f t="shared" si="89"/>
        <v>0</v>
      </c>
      <c r="NF15" s="105">
        <v>0.4</v>
      </c>
      <c r="NG15" s="96"/>
      <c r="NH15" s="95">
        <f t="shared" si="90"/>
        <v>0</v>
      </c>
      <c r="NJ15" s="95">
        <v>0.4</v>
      </c>
      <c r="NK15" s="96"/>
      <c r="NL15" s="95">
        <f t="shared" si="91"/>
        <v>0</v>
      </c>
      <c r="NN15" s="95">
        <v>0.4</v>
      </c>
      <c r="NO15" s="96"/>
      <c r="NP15" s="95">
        <f t="shared" si="92"/>
        <v>0</v>
      </c>
      <c r="NR15" s="95">
        <v>0.4</v>
      </c>
      <c r="NS15" s="96"/>
      <c r="NT15" s="95">
        <f t="shared" si="93"/>
        <v>0</v>
      </c>
      <c r="NV15" s="95">
        <v>0.4</v>
      </c>
      <c r="NW15" s="96"/>
      <c r="NX15" s="95">
        <f t="shared" si="94"/>
        <v>0</v>
      </c>
      <c r="NZ15" s="95">
        <v>0.4</v>
      </c>
      <c r="OA15" s="96"/>
      <c r="OB15" s="95">
        <f t="shared" si="95"/>
        <v>0</v>
      </c>
      <c r="OD15" s="95">
        <v>0.4</v>
      </c>
      <c r="OE15" s="96"/>
      <c r="OF15" s="95">
        <f t="shared" si="96"/>
        <v>0</v>
      </c>
      <c r="OH15" s="105">
        <v>0.4</v>
      </c>
      <c r="OI15" s="96"/>
      <c r="OJ15" s="95">
        <f t="shared" si="97"/>
        <v>0</v>
      </c>
      <c r="OL15" s="95">
        <v>0.4</v>
      </c>
      <c r="OM15" s="96"/>
      <c r="ON15" s="95">
        <f t="shared" si="98"/>
        <v>0</v>
      </c>
      <c r="OP15" s="105">
        <v>0.4</v>
      </c>
      <c r="OQ15" s="96"/>
      <c r="OR15" s="95">
        <f t="shared" si="99"/>
        <v>0</v>
      </c>
      <c r="OT15" s="95">
        <v>0.4</v>
      </c>
      <c r="OU15" s="96"/>
      <c r="OV15" s="95">
        <f t="shared" si="100"/>
        <v>0</v>
      </c>
      <c r="OX15" s="105">
        <v>1</v>
      </c>
      <c r="OY15" s="96"/>
      <c r="OZ15" s="95">
        <f t="shared" si="101"/>
        <v>-0.6</v>
      </c>
      <c r="PB15" s="95">
        <v>1</v>
      </c>
      <c r="PC15" s="96"/>
      <c r="PD15" s="95">
        <f t="shared" si="102"/>
        <v>0</v>
      </c>
      <c r="PF15" s="95">
        <v>1</v>
      </c>
      <c r="PG15" s="96"/>
      <c r="PH15" s="95">
        <f t="shared" si="103"/>
        <v>0</v>
      </c>
      <c r="PJ15" s="105">
        <v>1</v>
      </c>
      <c r="PK15" s="96"/>
      <c r="PL15" s="95">
        <f t="shared" si="104"/>
        <v>0</v>
      </c>
      <c r="PN15" s="105">
        <v>1</v>
      </c>
      <c r="PO15" s="96"/>
      <c r="PP15" s="95">
        <f t="shared" si="105"/>
        <v>0</v>
      </c>
      <c r="PR15" s="95">
        <v>1</v>
      </c>
      <c r="PS15" s="96"/>
      <c r="PT15" s="95">
        <f t="shared" si="106"/>
        <v>0</v>
      </c>
      <c r="PV15" s="190">
        <v>1</v>
      </c>
      <c r="PW15" s="194"/>
      <c r="PX15" s="190">
        <f t="shared" si="107"/>
        <v>0</v>
      </c>
      <c r="PZ15" s="105"/>
      <c r="QA15" s="96"/>
      <c r="QB15" s="95" t="str">
        <f t="shared" si="108"/>
        <v/>
      </c>
    </row>
    <row r="16" spans="1:444" ht="12.75" customHeight="1" x14ac:dyDescent="0.2">
      <c r="C16" s="131"/>
      <c r="D16" s="131"/>
      <c r="E16" s="131"/>
      <c r="F16" s="131"/>
      <c r="G16" s="131"/>
      <c r="H16" s="131"/>
      <c r="I16" s="131"/>
      <c r="J16" s="131"/>
      <c r="K16" s="131"/>
      <c r="L16" s="131"/>
      <c r="M16" s="131"/>
      <c r="N16" s="131"/>
      <c r="O16" s="131"/>
      <c r="P16" s="131"/>
      <c r="Q16" s="131"/>
      <c r="R16" s="131"/>
      <c r="S16" s="131"/>
      <c r="T16" s="131"/>
      <c r="U16" s="131"/>
      <c r="V16" s="131"/>
      <c r="W16" s="131"/>
      <c r="X16" s="131"/>
      <c r="Y16" s="131"/>
      <c r="Z16" s="131"/>
      <c r="AA16" s="131"/>
      <c r="AB16" s="131"/>
      <c r="AC16" s="131"/>
      <c r="AD16" s="131"/>
      <c r="AE16" s="131"/>
      <c r="AF16" s="131"/>
      <c r="AG16" s="131"/>
      <c r="AH16" s="131"/>
      <c r="AI16" s="131"/>
      <c r="AJ16" s="131"/>
      <c r="AK16" s="131"/>
      <c r="AL16" s="131"/>
      <c r="AM16" s="131"/>
      <c r="AN16" s="131"/>
      <c r="AO16" s="131"/>
      <c r="AP16" s="131"/>
      <c r="AQ16" s="131"/>
      <c r="AR16" s="131"/>
      <c r="AS16" s="131"/>
      <c r="AT16" s="131"/>
      <c r="AU16" s="131"/>
      <c r="AV16" s="131"/>
      <c r="AW16" s="131"/>
      <c r="AX16" s="131"/>
      <c r="AY16" s="131"/>
      <c r="AZ16" s="131"/>
      <c r="BA16" s="131"/>
      <c r="BB16" s="131"/>
      <c r="BC16" s="131"/>
      <c r="BD16" s="131"/>
      <c r="BE16" s="131"/>
      <c r="BF16" s="131"/>
      <c r="BG16" s="131"/>
      <c r="BH16" s="131"/>
      <c r="BI16" s="131"/>
      <c r="BJ16" s="131"/>
      <c r="BK16" s="131"/>
      <c r="BL16" s="131"/>
      <c r="BM16" s="131"/>
      <c r="BN16" s="131"/>
      <c r="BO16" s="131"/>
      <c r="BP16" s="131"/>
      <c r="BQ16" s="131"/>
      <c r="BR16" s="131"/>
      <c r="BS16" s="131"/>
      <c r="BT16" s="131"/>
      <c r="BU16" s="131"/>
      <c r="BV16" s="131"/>
      <c r="BW16" s="131"/>
      <c r="BX16" s="131"/>
      <c r="BY16" s="131"/>
      <c r="BZ16" s="131"/>
      <c r="CA16" s="131"/>
      <c r="CB16" s="131"/>
      <c r="CC16" s="131"/>
      <c r="CD16" s="131"/>
      <c r="CE16" s="131"/>
      <c r="CF16" s="131"/>
      <c r="CG16" s="131"/>
      <c r="CH16" s="131"/>
      <c r="CI16" s="131"/>
      <c r="CJ16" s="131"/>
      <c r="CK16" s="131"/>
      <c r="CL16" s="131"/>
      <c r="CM16" s="131"/>
      <c r="CN16" s="131"/>
      <c r="CO16" s="131"/>
      <c r="CP16" s="131"/>
      <c r="CQ16" s="131"/>
      <c r="CR16" s="131"/>
      <c r="CS16" s="131"/>
      <c r="CT16" s="131"/>
      <c r="CU16" s="131"/>
      <c r="CV16" s="131"/>
      <c r="CW16" s="131"/>
      <c r="CX16" s="131"/>
      <c r="CY16" s="131"/>
      <c r="CZ16" s="131"/>
      <c r="DA16" s="131"/>
      <c r="DB16" s="131"/>
      <c r="DC16" s="131"/>
      <c r="DD16" s="131"/>
      <c r="DE16" s="131"/>
      <c r="DF16" s="131"/>
      <c r="DG16" s="131"/>
      <c r="DH16" s="131"/>
      <c r="DI16" s="131"/>
      <c r="DJ16" s="131"/>
      <c r="DK16" s="131"/>
      <c r="DL16" s="131"/>
      <c r="DM16" s="131"/>
      <c r="DN16" s="131"/>
      <c r="DO16" s="131"/>
      <c r="DP16" s="131"/>
      <c r="DQ16" s="131"/>
      <c r="DR16" s="131"/>
      <c r="DS16" s="131"/>
      <c r="DT16" s="131"/>
      <c r="DU16" s="131"/>
      <c r="DV16" s="131"/>
      <c r="DW16" s="131"/>
      <c r="DX16" s="131"/>
      <c r="DY16" s="131"/>
      <c r="DZ16" s="131"/>
      <c r="EA16" s="131"/>
      <c r="EB16" s="131"/>
      <c r="EC16" s="131"/>
      <c r="ED16" s="131"/>
      <c r="EE16" s="131"/>
      <c r="EF16" s="131"/>
      <c r="EG16" s="131"/>
      <c r="EH16" s="131"/>
      <c r="EI16" s="131"/>
      <c r="EJ16" s="131"/>
      <c r="EK16" s="131"/>
      <c r="EL16" s="131"/>
      <c r="EM16" s="131"/>
      <c r="EN16" s="131"/>
      <c r="EO16" s="131"/>
      <c r="EP16" s="131"/>
      <c r="EQ16" s="131"/>
      <c r="ER16" s="131"/>
      <c r="ES16" s="131"/>
      <c r="ET16" s="131"/>
      <c r="EU16" s="131"/>
      <c r="EV16" s="131"/>
      <c r="EW16" s="131"/>
      <c r="EX16" s="131"/>
      <c r="EY16" s="131"/>
      <c r="EZ16" s="131"/>
      <c r="FA16" s="131"/>
      <c r="FB16" s="131"/>
      <c r="FC16" s="131"/>
      <c r="FD16" s="131"/>
      <c r="FE16" s="131"/>
      <c r="FF16" s="131"/>
      <c r="FG16" s="131"/>
      <c r="FH16" s="131"/>
      <c r="FI16" s="131"/>
      <c r="FJ16" s="131"/>
      <c r="FK16" s="131"/>
      <c r="FL16" s="131"/>
      <c r="FM16" s="131"/>
      <c r="FN16" s="131"/>
      <c r="FO16" s="131"/>
      <c r="FP16" s="131"/>
      <c r="FQ16" s="131"/>
      <c r="FR16" s="131"/>
      <c r="FS16" s="131"/>
      <c r="FT16" s="131"/>
      <c r="FU16" s="131"/>
      <c r="FV16" s="131"/>
      <c r="FW16" s="131"/>
      <c r="FX16" s="131"/>
      <c r="FY16" s="131"/>
      <c r="FZ16" s="131"/>
      <c r="GA16" s="131"/>
      <c r="GB16" s="131"/>
      <c r="GC16" s="131"/>
      <c r="GD16" s="131"/>
      <c r="GE16" s="131"/>
      <c r="GF16" s="131"/>
      <c r="GG16" s="131"/>
      <c r="GH16" s="131"/>
      <c r="GI16" s="131"/>
      <c r="GJ16" s="131"/>
      <c r="GK16" s="131"/>
      <c r="GL16" s="131"/>
      <c r="GM16" s="131"/>
      <c r="GN16" s="131"/>
      <c r="GO16" s="131"/>
      <c r="GP16" s="131"/>
      <c r="GQ16" s="131"/>
      <c r="GR16" s="131"/>
      <c r="GS16" s="131"/>
      <c r="GT16" s="131"/>
      <c r="GU16" s="131"/>
      <c r="GV16" s="131"/>
      <c r="GW16" s="131"/>
      <c r="GX16" s="131"/>
      <c r="GY16" s="131"/>
      <c r="GZ16" s="131"/>
      <c r="HA16" s="131"/>
      <c r="HB16" s="131"/>
      <c r="HC16" s="131"/>
      <c r="HD16" s="131"/>
      <c r="HE16" s="131"/>
      <c r="HF16" s="131"/>
      <c r="HG16" s="131"/>
      <c r="HH16" s="131"/>
      <c r="HI16" s="131"/>
      <c r="HJ16" s="131"/>
      <c r="HK16" s="131"/>
      <c r="HL16" s="131"/>
      <c r="HM16" s="131"/>
      <c r="HN16" s="131"/>
      <c r="HO16" s="131"/>
      <c r="HP16" s="131"/>
      <c r="HQ16" s="131"/>
      <c r="HR16" s="131"/>
      <c r="HS16" s="131"/>
      <c r="HT16" s="131"/>
      <c r="HU16" s="131"/>
      <c r="HV16" s="131"/>
      <c r="HW16" s="131"/>
      <c r="HX16" s="131"/>
      <c r="HY16" s="131"/>
      <c r="HZ16" s="131"/>
      <c r="IA16" s="131"/>
      <c r="IB16" s="131"/>
      <c r="IC16" s="131"/>
      <c r="ID16" s="131"/>
      <c r="IE16" s="131"/>
      <c r="IF16" s="131"/>
      <c r="IG16" s="131"/>
      <c r="IH16" s="131"/>
      <c r="II16" s="131"/>
      <c r="IJ16" s="131"/>
      <c r="IK16" s="131"/>
      <c r="IL16" s="131"/>
      <c r="IM16" s="131"/>
      <c r="IN16" s="131"/>
      <c r="IO16" s="131"/>
      <c r="IP16" s="131"/>
      <c r="IQ16" s="131"/>
      <c r="IR16" s="131"/>
      <c r="IS16" s="131"/>
      <c r="IT16" s="131"/>
      <c r="IU16" s="131"/>
      <c r="IV16" s="131"/>
      <c r="IW16" s="131"/>
      <c r="IX16" s="131"/>
      <c r="IY16" s="131"/>
      <c r="IZ16" s="131"/>
      <c r="JA16" s="131"/>
      <c r="JB16" s="131"/>
      <c r="JC16" s="131"/>
      <c r="JD16" s="131"/>
      <c r="JE16" s="131"/>
      <c r="JF16" s="131"/>
      <c r="JG16" s="131"/>
      <c r="JH16" s="131"/>
      <c r="JI16" s="131"/>
      <c r="JJ16" s="131"/>
      <c r="JK16" s="131"/>
      <c r="JL16" s="131"/>
      <c r="JM16" s="131"/>
      <c r="JN16" s="131"/>
      <c r="JO16" s="131"/>
      <c r="JP16" s="131"/>
      <c r="JQ16" s="131"/>
      <c r="JR16" s="131"/>
      <c r="JS16" s="131"/>
      <c r="JT16" s="131"/>
      <c r="JU16" s="131"/>
      <c r="JV16" s="131"/>
      <c r="JW16" s="131"/>
      <c r="JX16" s="131"/>
      <c r="JY16" s="131"/>
      <c r="JZ16" s="131"/>
      <c r="KA16" s="131"/>
      <c r="KB16" s="131"/>
      <c r="KC16" s="131"/>
      <c r="KD16" s="131"/>
      <c r="KE16" s="131"/>
      <c r="KF16" s="131"/>
      <c r="KG16" s="131"/>
      <c r="KH16" s="131"/>
      <c r="KI16" s="131"/>
      <c r="KJ16" s="131"/>
      <c r="KK16" s="131"/>
      <c r="KL16" s="131"/>
      <c r="KM16" s="131"/>
      <c r="KN16" s="131"/>
      <c r="KO16" s="131"/>
      <c r="KP16" s="131"/>
      <c r="KQ16" s="131"/>
      <c r="KR16" s="131"/>
      <c r="KS16" s="131"/>
      <c r="KT16" s="131"/>
      <c r="KU16" s="131"/>
      <c r="KV16" s="131"/>
      <c r="KW16" s="131"/>
      <c r="KX16" s="131"/>
      <c r="KY16" s="131"/>
      <c r="KZ16" s="131"/>
      <c r="LA16" s="131"/>
      <c r="LB16" s="131"/>
      <c r="LC16" s="131"/>
      <c r="LD16" s="131"/>
      <c r="LE16" s="131"/>
      <c r="LF16" s="131"/>
      <c r="LG16" s="131"/>
      <c r="LH16" s="131"/>
      <c r="LI16" s="131"/>
      <c r="LJ16" s="131"/>
      <c r="LK16" s="131"/>
      <c r="LL16" s="131"/>
      <c r="LM16" s="131"/>
      <c r="LN16" s="131"/>
      <c r="LO16" s="131"/>
      <c r="LP16" s="131"/>
      <c r="LQ16" s="131"/>
      <c r="LR16" s="131"/>
      <c r="LS16" s="131"/>
      <c r="LT16" s="131"/>
      <c r="LU16" s="131"/>
      <c r="LV16" s="131"/>
      <c r="LW16" s="131"/>
      <c r="LX16" s="131"/>
      <c r="LY16" s="131"/>
      <c r="LZ16" s="131"/>
      <c r="MA16" s="131"/>
      <c r="MB16" s="131"/>
      <c r="MC16" s="131"/>
      <c r="MD16" s="131"/>
      <c r="ME16" s="131"/>
      <c r="MF16" s="131"/>
      <c r="MG16" s="131"/>
      <c r="MH16" s="131"/>
      <c r="MI16" s="131"/>
      <c r="MJ16" s="131"/>
      <c r="ML16" s="131"/>
      <c r="MM16" s="131"/>
      <c r="MN16" s="131"/>
      <c r="MP16" s="131"/>
      <c r="MQ16" s="131"/>
      <c r="MR16" s="131"/>
      <c r="MT16" s="131"/>
      <c r="MU16" s="131"/>
      <c r="MV16" s="131"/>
      <c r="MX16" s="131"/>
      <c r="MY16" s="131"/>
      <c r="MZ16" s="131"/>
      <c r="NC16" s="91"/>
      <c r="NG16" s="91"/>
      <c r="NK16" s="91"/>
      <c r="NO16" s="91"/>
      <c r="NS16" s="91"/>
      <c r="NW16" s="91"/>
      <c r="OA16" s="91"/>
      <c r="OE16" s="91"/>
      <c r="OI16" s="91"/>
      <c r="OM16" s="91"/>
      <c r="OQ16" s="91"/>
      <c r="OU16" s="91"/>
      <c r="OY16" s="91"/>
      <c r="PC16" s="91"/>
      <c r="PG16" s="91"/>
      <c r="PK16" s="91"/>
      <c r="PO16" s="91"/>
      <c r="PS16" s="91"/>
      <c r="PV16" s="191"/>
      <c r="PW16" s="191"/>
      <c r="PX16" s="191"/>
      <c r="QA16" s="91"/>
    </row>
    <row r="17" spans="1:444" ht="12.75" customHeight="1" x14ac:dyDescent="0.2">
      <c r="A17" s="111" t="s">
        <v>73</v>
      </c>
      <c r="B17" s="88" t="s">
        <v>92</v>
      </c>
      <c r="C17" s="89" t="s">
        <v>13</v>
      </c>
      <c r="D17" s="90" t="s">
        <v>75</v>
      </c>
      <c r="F17" s="92" t="s">
        <v>76</v>
      </c>
      <c r="G17" s="93" t="s">
        <v>15</v>
      </c>
      <c r="H17" s="112" t="s">
        <v>52</v>
      </c>
      <c r="J17" s="92" t="s">
        <v>76</v>
      </c>
      <c r="K17" s="93" t="s">
        <v>15</v>
      </c>
      <c r="L17" s="92" t="s">
        <v>52</v>
      </c>
      <c r="N17" s="92" t="s">
        <v>76</v>
      </c>
      <c r="O17" s="93" t="s">
        <v>15</v>
      </c>
      <c r="P17" s="92" t="s">
        <v>52</v>
      </c>
      <c r="R17" s="92" t="s">
        <v>76</v>
      </c>
      <c r="S17" s="93" t="s">
        <v>15</v>
      </c>
      <c r="T17" s="92" t="s">
        <v>52</v>
      </c>
      <c r="V17" s="92" t="s">
        <v>76</v>
      </c>
      <c r="W17" s="93" t="s">
        <v>15</v>
      </c>
      <c r="X17" s="92" t="s">
        <v>52</v>
      </c>
      <c r="Z17" s="92" t="s">
        <v>76</v>
      </c>
      <c r="AA17" s="93" t="s">
        <v>15</v>
      </c>
      <c r="AB17" s="92" t="s">
        <v>52</v>
      </c>
      <c r="AD17" s="92" t="s">
        <v>76</v>
      </c>
      <c r="AE17" s="93" t="s">
        <v>15</v>
      </c>
      <c r="AF17" s="92" t="s">
        <v>52</v>
      </c>
      <c r="AH17" s="92" t="s">
        <v>76</v>
      </c>
      <c r="AI17" s="93" t="s">
        <v>15</v>
      </c>
      <c r="AJ17" s="92" t="s">
        <v>52</v>
      </c>
      <c r="AL17" s="92" t="s">
        <v>76</v>
      </c>
      <c r="AM17" s="93" t="s">
        <v>15</v>
      </c>
      <c r="AN17" s="92" t="s">
        <v>52</v>
      </c>
      <c r="AP17" s="92" t="s">
        <v>76</v>
      </c>
      <c r="AQ17" s="93" t="s">
        <v>15</v>
      </c>
      <c r="AR17" s="92" t="s">
        <v>52</v>
      </c>
      <c r="AT17" s="92" t="s">
        <v>76</v>
      </c>
      <c r="AU17" s="93" t="s">
        <v>15</v>
      </c>
      <c r="AV17" s="92" t="s">
        <v>52</v>
      </c>
      <c r="AX17" s="92" t="s">
        <v>76</v>
      </c>
      <c r="AY17" s="93" t="s">
        <v>15</v>
      </c>
      <c r="AZ17" s="92" t="s">
        <v>52</v>
      </c>
      <c r="BB17" s="92" t="s">
        <v>76</v>
      </c>
      <c r="BC17" s="93" t="s">
        <v>15</v>
      </c>
      <c r="BD17" s="92" t="s">
        <v>52</v>
      </c>
      <c r="BF17" s="92" t="s">
        <v>76</v>
      </c>
      <c r="BG17" s="93" t="s">
        <v>15</v>
      </c>
      <c r="BH17" s="92" t="s">
        <v>52</v>
      </c>
      <c r="BJ17" s="92" t="s">
        <v>76</v>
      </c>
      <c r="BK17" s="93" t="s">
        <v>15</v>
      </c>
      <c r="BL17" s="92" t="s">
        <v>52</v>
      </c>
      <c r="BN17" s="92" t="s">
        <v>76</v>
      </c>
      <c r="BO17" s="93" t="s">
        <v>15</v>
      </c>
      <c r="BP17" s="92" t="s">
        <v>52</v>
      </c>
      <c r="BR17" s="92" t="s">
        <v>76</v>
      </c>
      <c r="BS17" s="93" t="s">
        <v>15</v>
      </c>
      <c r="BT17" s="92" t="s">
        <v>52</v>
      </c>
      <c r="BV17" s="92" t="s">
        <v>76</v>
      </c>
      <c r="BW17" s="93" t="s">
        <v>15</v>
      </c>
      <c r="BX17" s="92" t="s">
        <v>52</v>
      </c>
      <c r="BZ17" s="92" t="s">
        <v>76</v>
      </c>
      <c r="CA17" s="93" t="s">
        <v>15</v>
      </c>
      <c r="CB17" s="92" t="s">
        <v>52</v>
      </c>
      <c r="CD17" s="92" t="s">
        <v>76</v>
      </c>
      <c r="CE17" s="93" t="s">
        <v>15</v>
      </c>
      <c r="CF17" s="92" t="s">
        <v>52</v>
      </c>
      <c r="CH17" s="92" t="s">
        <v>76</v>
      </c>
      <c r="CI17" s="93" t="s">
        <v>15</v>
      </c>
      <c r="CJ17" s="92" t="s">
        <v>52</v>
      </c>
      <c r="CL17" s="92" t="s">
        <v>76</v>
      </c>
      <c r="CM17" s="93" t="s">
        <v>15</v>
      </c>
      <c r="CN17" s="92" t="s">
        <v>52</v>
      </c>
      <c r="CP17" s="92" t="s">
        <v>76</v>
      </c>
      <c r="CQ17" s="93" t="s">
        <v>15</v>
      </c>
      <c r="CR17" s="92" t="s">
        <v>52</v>
      </c>
      <c r="CT17" s="92" t="s">
        <v>76</v>
      </c>
      <c r="CU17" s="93" t="s">
        <v>15</v>
      </c>
      <c r="CV17" s="92" t="s">
        <v>52</v>
      </c>
      <c r="CX17" s="92" t="s">
        <v>76</v>
      </c>
      <c r="CY17" s="93" t="s">
        <v>15</v>
      </c>
      <c r="CZ17" s="92" t="s">
        <v>52</v>
      </c>
      <c r="DB17" s="92" t="s">
        <v>76</v>
      </c>
      <c r="DC17" s="93" t="s">
        <v>15</v>
      </c>
      <c r="DD17" s="92" t="s">
        <v>52</v>
      </c>
      <c r="DF17" s="92" t="s">
        <v>76</v>
      </c>
      <c r="DG17" s="93" t="s">
        <v>15</v>
      </c>
      <c r="DH17" s="92" t="s">
        <v>52</v>
      </c>
      <c r="DJ17" s="92" t="s">
        <v>76</v>
      </c>
      <c r="DK17" s="93" t="s">
        <v>15</v>
      </c>
      <c r="DL17" s="92" t="s">
        <v>52</v>
      </c>
      <c r="DN17" s="92" t="s">
        <v>76</v>
      </c>
      <c r="DO17" s="93" t="s">
        <v>15</v>
      </c>
      <c r="DP17" s="92" t="s">
        <v>52</v>
      </c>
      <c r="DR17" s="92" t="s">
        <v>76</v>
      </c>
      <c r="DS17" s="93" t="s">
        <v>15</v>
      </c>
      <c r="DT17" s="92" t="s">
        <v>52</v>
      </c>
      <c r="DV17" s="92" t="s">
        <v>76</v>
      </c>
      <c r="DW17" s="93" t="s">
        <v>15</v>
      </c>
      <c r="DX17" s="92" t="s">
        <v>52</v>
      </c>
      <c r="DZ17" s="92" t="s">
        <v>76</v>
      </c>
      <c r="EA17" s="93" t="s">
        <v>15</v>
      </c>
      <c r="EB17" s="92" t="s">
        <v>52</v>
      </c>
      <c r="ED17" s="92" t="s">
        <v>76</v>
      </c>
      <c r="EE17" s="93" t="s">
        <v>15</v>
      </c>
      <c r="EF17" s="92" t="s">
        <v>52</v>
      </c>
      <c r="EH17" s="92" t="s">
        <v>76</v>
      </c>
      <c r="EI17" s="93" t="s">
        <v>15</v>
      </c>
      <c r="EJ17" s="92" t="s">
        <v>52</v>
      </c>
      <c r="EL17" s="92" t="s">
        <v>76</v>
      </c>
      <c r="EM17" s="93" t="s">
        <v>15</v>
      </c>
      <c r="EN17" s="92" t="s">
        <v>52</v>
      </c>
      <c r="EP17" s="92" t="s">
        <v>76</v>
      </c>
      <c r="EQ17" s="93" t="s">
        <v>15</v>
      </c>
      <c r="ER17" s="92" t="s">
        <v>52</v>
      </c>
      <c r="ET17" s="92" t="s">
        <v>76</v>
      </c>
      <c r="EU17" s="93" t="s">
        <v>15</v>
      </c>
      <c r="EV17" s="92" t="s">
        <v>52</v>
      </c>
      <c r="EX17" s="92" t="s">
        <v>76</v>
      </c>
      <c r="EY17" s="93" t="s">
        <v>15</v>
      </c>
      <c r="EZ17" s="92" t="s">
        <v>52</v>
      </c>
      <c r="FB17" s="92" t="s">
        <v>76</v>
      </c>
      <c r="FC17" s="93" t="s">
        <v>15</v>
      </c>
      <c r="FD17" s="92" t="s">
        <v>52</v>
      </c>
      <c r="FF17" s="92" t="s">
        <v>76</v>
      </c>
      <c r="FG17" s="93" t="s">
        <v>15</v>
      </c>
      <c r="FH17" s="92" t="s">
        <v>52</v>
      </c>
      <c r="FJ17" s="92" t="s">
        <v>76</v>
      </c>
      <c r="FK17" s="93" t="s">
        <v>15</v>
      </c>
      <c r="FL17" s="92" t="s">
        <v>52</v>
      </c>
      <c r="FN17" s="92" t="s">
        <v>76</v>
      </c>
      <c r="FO17" s="93" t="s">
        <v>15</v>
      </c>
      <c r="FP17" s="92" t="s">
        <v>52</v>
      </c>
      <c r="FR17" s="92" t="s">
        <v>76</v>
      </c>
      <c r="FS17" s="93" t="s">
        <v>15</v>
      </c>
      <c r="FT17" s="92" t="s">
        <v>52</v>
      </c>
      <c r="FV17" s="92" t="s">
        <v>76</v>
      </c>
      <c r="FW17" s="93" t="s">
        <v>15</v>
      </c>
      <c r="FX17" s="92" t="s">
        <v>52</v>
      </c>
      <c r="FZ17" s="92" t="s">
        <v>76</v>
      </c>
      <c r="GA17" s="93" t="s">
        <v>15</v>
      </c>
      <c r="GB17" s="92" t="s">
        <v>52</v>
      </c>
      <c r="GD17" s="92" t="s">
        <v>76</v>
      </c>
      <c r="GE17" s="93" t="s">
        <v>15</v>
      </c>
      <c r="GF17" s="92" t="s">
        <v>52</v>
      </c>
      <c r="GH17" s="92" t="s">
        <v>76</v>
      </c>
      <c r="GI17" s="93" t="s">
        <v>15</v>
      </c>
      <c r="GJ17" s="92" t="s">
        <v>52</v>
      </c>
      <c r="GL17" s="92" t="s">
        <v>76</v>
      </c>
      <c r="GM17" s="93" t="s">
        <v>15</v>
      </c>
      <c r="GN17" s="95" t="s">
        <v>52</v>
      </c>
      <c r="GP17" s="92" t="s">
        <v>76</v>
      </c>
      <c r="GQ17" s="93" t="s">
        <v>15</v>
      </c>
      <c r="GR17" s="92" t="s">
        <v>52</v>
      </c>
      <c r="GT17" s="92" t="s">
        <v>76</v>
      </c>
      <c r="GU17" s="93" t="s">
        <v>15</v>
      </c>
      <c r="GV17" s="92" t="s">
        <v>52</v>
      </c>
      <c r="GX17" s="92" t="s">
        <v>76</v>
      </c>
      <c r="GY17" s="93" t="s">
        <v>15</v>
      </c>
      <c r="GZ17" s="92" t="s">
        <v>52</v>
      </c>
      <c r="HB17" s="92" t="s">
        <v>76</v>
      </c>
      <c r="HC17" s="93" t="s">
        <v>15</v>
      </c>
      <c r="HD17" s="92" t="s">
        <v>52</v>
      </c>
      <c r="HF17" s="92" t="s">
        <v>76</v>
      </c>
      <c r="HG17" s="93" t="s">
        <v>15</v>
      </c>
      <c r="HH17" s="92" t="s">
        <v>52</v>
      </c>
      <c r="HJ17" s="92" t="s">
        <v>76</v>
      </c>
      <c r="HK17" s="93" t="s">
        <v>15</v>
      </c>
      <c r="HL17" s="92" t="s">
        <v>52</v>
      </c>
      <c r="HN17" s="92" t="s">
        <v>76</v>
      </c>
      <c r="HO17" s="93" t="s">
        <v>15</v>
      </c>
      <c r="HP17" s="92" t="s">
        <v>52</v>
      </c>
      <c r="HR17" s="92" t="s">
        <v>76</v>
      </c>
      <c r="HS17" s="93" t="s">
        <v>15</v>
      </c>
      <c r="HT17" s="92" t="s">
        <v>52</v>
      </c>
      <c r="HV17" s="92" t="s">
        <v>76</v>
      </c>
      <c r="HW17" s="93" t="s">
        <v>15</v>
      </c>
      <c r="HX17" s="92" t="s">
        <v>52</v>
      </c>
      <c r="HZ17" s="92" t="s">
        <v>76</v>
      </c>
      <c r="IA17" s="93" t="s">
        <v>15</v>
      </c>
      <c r="IB17" s="92" t="s">
        <v>52</v>
      </c>
      <c r="ID17" s="92" t="s">
        <v>76</v>
      </c>
      <c r="IE17" s="93" t="s">
        <v>15</v>
      </c>
      <c r="IF17" s="92" t="s">
        <v>52</v>
      </c>
      <c r="IH17" s="92" t="s">
        <v>76</v>
      </c>
      <c r="II17" s="93" t="s">
        <v>15</v>
      </c>
      <c r="IJ17" s="92" t="s">
        <v>52</v>
      </c>
      <c r="IL17" s="92" t="s">
        <v>76</v>
      </c>
      <c r="IM17" s="93" t="s">
        <v>15</v>
      </c>
      <c r="IN17" s="92" t="s">
        <v>52</v>
      </c>
      <c r="IP17" s="92" t="s">
        <v>76</v>
      </c>
      <c r="IQ17" s="93" t="s">
        <v>15</v>
      </c>
      <c r="IR17" s="92" t="s">
        <v>52</v>
      </c>
      <c r="IT17" s="92" t="s">
        <v>76</v>
      </c>
      <c r="IU17" s="93" t="s">
        <v>15</v>
      </c>
      <c r="IV17" s="92" t="s">
        <v>52</v>
      </c>
      <c r="IX17" s="92" t="s">
        <v>76</v>
      </c>
      <c r="IY17" s="93" t="s">
        <v>15</v>
      </c>
      <c r="IZ17" s="92" t="s">
        <v>52</v>
      </c>
      <c r="JB17" s="92" t="s">
        <v>76</v>
      </c>
      <c r="JC17" s="93" t="s">
        <v>15</v>
      </c>
      <c r="JD17" s="92" t="s">
        <v>52</v>
      </c>
      <c r="JF17" s="92" t="s">
        <v>76</v>
      </c>
      <c r="JG17" s="93" t="s">
        <v>15</v>
      </c>
      <c r="JH17" s="92" t="s">
        <v>52</v>
      </c>
      <c r="JJ17" s="92" t="s">
        <v>76</v>
      </c>
      <c r="JK17" s="93" t="s">
        <v>15</v>
      </c>
      <c r="JL17" s="92" t="s">
        <v>52</v>
      </c>
      <c r="JN17" s="92" t="s">
        <v>76</v>
      </c>
      <c r="JO17" s="93" t="s">
        <v>15</v>
      </c>
      <c r="JP17" s="92" t="s">
        <v>52</v>
      </c>
      <c r="JR17" s="92" t="s">
        <v>76</v>
      </c>
      <c r="JS17" s="93" t="s">
        <v>15</v>
      </c>
      <c r="JT17" s="92" t="s">
        <v>52</v>
      </c>
      <c r="JV17" s="92" t="s">
        <v>76</v>
      </c>
      <c r="JW17" s="93" t="s">
        <v>15</v>
      </c>
      <c r="JX17" s="92" t="s">
        <v>52</v>
      </c>
      <c r="JZ17" s="92" t="s">
        <v>76</v>
      </c>
      <c r="KA17" s="93" t="s">
        <v>15</v>
      </c>
      <c r="KB17" s="92" t="s">
        <v>52</v>
      </c>
      <c r="KD17" s="92" t="s">
        <v>76</v>
      </c>
      <c r="KE17" s="93" t="s">
        <v>15</v>
      </c>
      <c r="KF17" s="92" t="s">
        <v>52</v>
      </c>
      <c r="KH17" s="92" t="s">
        <v>76</v>
      </c>
      <c r="KI17" s="93" t="s">
        <v>15</v>
      </c>
      <c r="KJ17" s="92" t="s">
        <v>52</v>
      </c>
      <c r="KL17" s="92" t="s">
        <v>76</v>
      </c>
      <c r="KM17" s="93" t="s">
        <v>15</v>
      </c>
      <c r="KN17" s="92" t="s">
        <v>52</v>
      </c>
      <c r="KP17" s="92" t="s">
        <v>76</v>
      </c>
      <c r="KQ17" s="93" t="s">
        <v>15</v>
      </c>
      <c r="KR17" s="92" t="s">
        <v>52</v>
      </c>
      <c r="KT17" s="92" t="s">
        <v>76</v>
      </c>
      <c r="KU17" s="93" t="s">
        <v>15</v>
      </c>
      <c r="KV17" s="92" t="s">
        <v>52</v>
      </c>
      <c r="KX17" s="92" t="s">
        <v>76</v>
      </c>
      <c r="KY17" s="93" t="s">
        <v>15</v>
      </c>
      <c r="KZ17" s="92" t="s">
        <v>52</v>
      </c>
      <c r="LB17" s="92" t="s">
        <v>76</v>
      </c>
      <c r="LC17" s="93" t="s">
        <v>15</v>
      </c>
      <c r="LD17" s="92" t="s">
        <v>52</v>
      </c>
      <c r="LF17" s="92" t="s">
        <v>76</v>
      </c>
      <c r="LG17" s="93" t="s">
        <v>15</v>
      </c>
      <c r="LH17" s="92" t="s">
        <v>52</v>
      </c>
      <c r="LJ17" s="92" t="s">
        <v>76</v>
      </c>
      <c r="LK17" s="93" t="s">
        <v>15</v>
      </c>
      <c r="LL17" s="92" t="s">
        <v>52</v>
      </c>
      <c r="LN17" s="92" t="s">
        <v>76</v>
      </c>
      <c r="LO17" s="93" t="s">
        <v>15</v>
      </c>
      <c r="LP17" s="92" t="s">
        <v>52</v>
      </c>
      <c r="LR17" s="140" t="s">
        <v>76</v>
      </c>
      <c r="LS17" s="93" t="s">
        <v>15</v>
      </c>
      <c r="LT17" s="92" t="s">
        <v>52</v>
      </c>
      <c r="LV17" s="140" t="s">
        <v>76</v>
      </c>
      <c r="LW17" s="93"/>
      <c r="LX17" s="92" t="s">
        <v>52</v>
      </c>
      <c r="LZ17" s="92" t="s">
        <v>76</v>
      </c>
      <c r="MA17" s="93" t="s">
        <v>15</v>
      </c>
      <c r="MB17" s="92" t="s">
        <v>52</v>
      </c>
      <c r="MD17" s="92" t="s">
        <v>76</v>
      </c>
      <c r="ME17" s="93" t="s">
        <v>15</v>
      </c>
      <c r="MF17" s="92" t="s">
        <v>52</v>
      </c>
      <c r="MH17" s="92" t="s">
        <v>76</v>
      </c>
      <c r="MI17" s="93" t="s">
        <v>15</v>
      </c>
      <c r="MJ17" s="92" t="s">
        <v>52</v>
      </c>
      <c r="ML17" s="92" t="s">
        <v>76</v>
      </c>
      <c r="MM17" s="93" t="s">
        <v>15</v>
      </c>
      <c r="MN17" s="92" t="s">
        <v>52</v>
      </c>
      <c r="MP17" s="92" t="s">
        <v>76</v>
      </c>
      <c r="MQ17" s="93" t="s">
        <v>15</v>
      </c>
      <c r="MR17" s="92" t="s">
        <v>52</v>
      </c>
      <c r="MT17" s="92" t="s">
        <v>76</v>
      </c>
      <c r="MU17" s="93" t="s">
        <v>15</v>
      </c>
      <c r="MV17" s="92" t="s">
        <v>52</v>
      </c>
      <c r="MX17" s="92" t="s">
        <v>76</v>
      </c>
      <c r="MY17" s="93" t="s">
        <v>15</v>
      </c>
      <c r="MZ17" s="92" t="s">
        <v>52</v>
      </c>
      <c r="NB17" s="92" t="s">
        <v>76</v>
      </c>
      <c r="NC17" s="93" t="s">
        <v>15</v>
      </c>
      <c r="ND17" s="92" t="s">
        <v>52</v>
      </c>
      <c r="NF17" s="140" t="s">
        <v>76</v>
      </c>
      <c r="NG17" s="93" t="s">
        <v>15</v>
      </c>
      <c r="NH17" s="92" t="s">
        <v>52</v>
      </c>
      <c r="NJ17" s="92" t="s">
        <v>76</v>
      </c>
      <c r="NK17" s="93" t="s">
        <v>15</v>
      </c>
      <c r="NL17" s="92" t="s">
        <v>52</v>
      </c>
      <c r="NN17" s="92" t="s">
        <v>76</v>
      </c>
      <c r="NO17" s="93" t="s">
        <v>15</v>
      </c>
      <c r="NP17" s="92" t="s">
        <v>52</v>
      </c>
      <c r="NR17" s="92" t="s">
        <v>76</v>
      </c>
      <c r="NS17" s="93" t="s">
        <v>15</v>
      </c>
      <c r="NT17" s="92" t="s">
        <v>52</v>
      </c>
      <c r="NV17" s="92" t="s">
        <v>76</v>
      </c>
      <c r="NW17" s="93" t="s">
        <v>15</v>
      </c>
      <c r="NX17" s="92" t="s">
        <v>52</v>
      </c>
      <c r="NZ17" s="92" t="s">
        <v>76</v>
      </c>
      <c r="OA17" s="93" t="s">
        <v>15</v>
      </c>
      <c r="OB17" s="92" t="s">
        <v>52</v>
      </c>
      <c r="OD17" s="92" t="s">
        <v>76</v>
      </c>
      <c r="OE17" s="93" t="s">
        <v>15</v>
      </c>
      <c r="OF17" s="92" t="s">
        <v>52</v>
      </c>
      <c r="OH17" s="140" t="s">
        <v>76</v>
      </c>
      <c r="OI17" s="93" t="s">
        <v>15</v>
      </c>
      <c r="OJ17" s="92" t="s">
        <v>52</v>
      </c>
      <c r="OL17" s="92" t="s">
        <v>76</v>
      </c>
      <c r="OM17" s="93" t="s">
        <v>15</v>
      </c>
      <c r="ON17" s="92" t="s">
        <v>52</v>
      </c>
      <c r="OP17" s="140" t="s">
        <v>76</v>
      </c>
      <c r="OQ17" s="93" t="s">
        <v>15</v>
      </c>
      <c r="OR17" s="92" t="s">
        <v>52</v>
      </c>
      <c r="OT17" s="92" t="s">
        <v>76</v>
      </c>
      <c r="OU17" s="93" t="s">
        <v>15</v>
      </c>
      <c r="OV17" s="92" t="s">
        <v>52</v>
      </c>
      <c r="OX17" s="140" t="s">
        <v>76</v>
      </c>
      <c r="OY17" s="93" t="s">
        <v>15</v>
      </c>
      <c r="OZ17" s="92" t="s">
        <v>52</v>
      </c>
      <c r="PB17" s="92" t="s">
        <v>76</v>
      </c>
      <c r="PC17" s="93" t="s">
        <v>15</v>
      </c>
      <c r="PD17" s="92" t="s">
        <v>52</v>
      </c>
      <c r="PF17" s="92" t="s">
        <v>76</v>
      </c>
      <c r="PG17" s="93" t="s">
        <v>15</v>
      </c>
      <c r="PH17" s="92" t="s">
        <v>52</v>
      </c>
      <c r="PJ17" s="140" t="s">
        <v>76</v>
      </c>
      <c r="PK17" s="93" t="s">
        <v>15</v>
      </c>
      <c r="PL17" s="92" t="s">
        <v>52</v>
      </c>
      <c r="PN17" s="140" t="s">
        <v>76</v>
      </c>
      <c r="PO17" s="93" t="s">
        <v>15</v>
      </c>
      <c r="PP17" s="92" t="s">
        <v>52</v>
      </c>
      <c r="PR17" s="92" t="s">
        <v>76</v>
      </c>
      <c r="PS17" s="93" t="s">
        <v>15</v>
      </c>
      <c r="PT17" s="92" t="s">
        <v>52</v>
      </c>
      <c r="PV17" s="187" t="s">
        <v>76</v>
      </c>
      <c r="PW17" s="193" t="s">
        <v>15</v>
      </c>
      <c r="PX17" s="187" t="s">
        <v>52</v>
      </c>
      <c r="PZ17" s="138" t="s">
        <v>76</v>
      </c>
      <c r="QA17" s="93" t="s">
        <v>15</v>
      </c>
      <c r="QB17" s="92" t="s">
        <v>52</v>
      </c>
    </row>
    <row r="18" spans="1:444" ht="12.75" customHeight="1" x14ac:dyDescent="0.2">
      <c r="A18" s="124" t="s">
        <v>77</v>
      </c>
      <c r="B18" s="98" t="s">
        <v>132</v>
      </c>
      <c r="C18" s="87">
        <v>0.3</v>
      </c>
      <c r="D18" s="87">
        <v>87506</v>
      </c>
      <c r="F18" s="119"/>
      <c r="G18" s="120"/>
      <c r="H18" s="121"/>
      <c r="J18" s="119"/>
      <c r="K18" s="120"/>
      <c r="L18" s="119"/>
      <c r="N18" s="119"/>
      <c r="O18" s="120"/>
      <c r="P18" s="119"/>
      <c r="R18" s="119"/>
      <c r="S18" s="120"/>
      <c r="T18" s="119"/>
      <c r="V18" s="119"/>
      <c r="W18" s="120"/>
      <c r="X18" s="119"/>
      <c r="Z18" s="119"/>
      <c r="AA18" s="120"/>
      <c r="AB18" s="119"/>
      <c r="AD18" s="119"/>
      <c r="AE18" s="120"/>
      <c r="AF18" s="119"/>
      <c r="AH18" s="119"/>
      <c r="AI18" s="120"/>
      <c r="AJ18" s="119"/>
      <c r="AL18" s="119"/>
      <c r="AM18" s="120"/>
      <c r="AN18" s="119"/>
      <c r="AP18" s="119"/>
      <c r="AQ18" s="120"/>
      <c r="AR18" s="119"/>
      <c r="AT18" s="119"/>
      <c r="AU18" s="120"/>
      <c r="AV18" s="119"/>
      <c r="AX18" s="119"/>
      <c r="AY18" s="120"/>
      <c r="AZ18" s="119"/>
      <c r="BB18" s="119"/>
      <c r="BC18" s="120"/>
      <c r="BD18" s="119"/>
      <c r="BF18" s="119"/>
      <c r="BG18" s="120"/>
      <c r="BH18" s="119"/>
      <c r="BJ18" s="119"/>
      <c r="BK18" s="120"/>
      <c r="BL18" s="119"/>
      <c r="BN18" s="119"/>
      <c r="BO18" s="120"/>
      <c r="BP18" s="119"/>
      <c r="BR18" s="119"/>
      <c r="BS18" s="120"/>
      <c r="BT18" s="119"/>
      <c r="BV18" s="119"/>
      <c r="BW18" s="120"/>
      <c r="BX18" s="119"/>
      <c r="BZ18" s="119"/>
      <c r="CA18" s="120"/>
      <c r="CB18" s="119"/>
      <c r="CD18" s="119"/>
      <c r="CE18" s="120"/>
      <c r="CF18" s="119"/>
      <c r="CH18" s="119"/>
      <c r="CI18" s="120"/>
      <c r="CJ18" s="119"/>
      <c r="CL18" s="119"/>
      <c r="CM18" s="120"/>
      <c r="CN18" s="119"/>
      <c r="CP18" s="119"/>
      <c r="CQ18" s="120"/>
      <c r="CR18" s="119"/>
      <c r="CT18" s="119"/>
      <c r="CU18" s="120"/>
      <c r="CV18" s="119"/>
      <c r="CX18" s="119"/>
      <c r="CY18" s="120"/>
      <c r="CZ18" s="119"/>
      <c r="DB18" s="119"/>
      <c r="DC18" s="120"/>
      <c r="DD18" s="119"/>
      <c r="DF18" s="119"/>
      <c r="DG18" s="120"/>
      <c r="DH18" s="119"/>
      <c r="DJ18" s="119"/>
      <c r="DK18" s="120"/>
      <c r="DL18" s="119"/>
      <c r="DN18" s="119"/>
      <c r="DO18" s="120"/>
      <c r="DP18" s="119"/>
      <c r="DR18" s="119"/>
      <c r="DS18" s="120"/>
      <c r="DT18" s="119"/>
      <c r="DV18" s="119"/>
      <c r="DW18" s="120"/>
      <c r="DX18" s="119"/>
      <c r="DZ18" s="119"/>
      <c r="EA18" s="120"/>
      <c r="EB18" s="119"/>
      <c r="ED18" s="119"/>
      <c r="EE18" s="120"/>
      <c r="EF18" s="119"/>
      <c r="EH18" s="119"/>
      <c r="EI18" s="120"/>
      <c r="EJ18" s="119"/>
      <c r="EL18" s="119"/>
      <c r="EM18" s="120"/>
      <c r="EN18" s="119"/>
      <c r="EP18" s="119"/>
      <c r="EQ18" s="120"/>
      <c r="ER18" s="119"/>
      <c r="ET18" s="119"/>
      <c r="EU18" s="120"/>
      <c r="EV18" s="119"/>
      <c r="EX18" s="119"/>
      <c r="EY18" s="120"/>
      <c r="EZ18" s="119"/>
      <c r="FB18" s="119"/>
      <c r="FC18" s="120"/>
      <c r="FD18" s="119"/>
      <c r="FF18" s="119"/>
      <c r="FG18" s="120"/>
      <c r="FH18" s="119"/>
      <c r="FJ18" s="119"/>
      <c r="FK18" s="120"/>
      <c r="FL18" s="119"/>
      <c r="FN18" s="119"/>
      <c r="FO18" s="120"/>
      <c r="FP18" s="119"/>
      <c r="FR18" s="119"/>
      <c r="FS18" s="120"/>
      <c r="FT18" s="119"/>
      <c r="FV18" s="119"/>
      <c r="FW18" s="120"/>
      <c r="FX18" s="119"/>
      <c r="FZ18" s="119"/>
      <c r="GA18" s="120"/>
      <c r="GB18" s="119"/>
      <c r="GD18" s="119"/>
      <c r="GE18" s="120"/>
      <c r="GF18" s="119"/>
      <c r="GH18" s="119"/>
      <c r="GI18" s="120"/>
      <c r="GJ18" s="119"/>
      <c r="GL18" s="119"/>
      <c r="GM18" s="120"/>
      <c r="GN18" s="95"/>
      <c r="GP18" s="119"/>
      <c r="GQ18" s="120"/>
      <c r="GR18" s="119"/>
      <c r="GT18" s="119"/>
      <c r="GU18" s="120"/>
      <c r="GV18" s="119"/>
      <c r="GX18" s="119"/>
      <c r="GY18" s="120"/>
      <c r="GZ18" s="119"/>
      <c r="HB18" s="119"/>
      <c r="HC18" s="120"/>
      <c r="HD18" s="119"/>
      <c r="HF18" s="119"/>
      <c r="HG18" s="120"/>
      <c r="HH18" s="119"/>
      <c r="HJ18" s="119"/>
      <c r="HK18" s="120"/>
      <c r="HL18" s="119"/>
      <c r="HN18" s="119"/>
      <c r="HO18" s="120"/>
      <c r="HP18" s="119"/>
      <c r="HR18" s="119"/>
      <c r="HS18" s="120"/>
      <c r="HT18" s="119"/>
      <c r="HV18" s="119"/>
      <c r="HW18" s="120"/>
      <c r="HX18" s="119"/>
      <c r="HZ18" s="119"/>
      <c r="IA18" s="120"/>
      <c r="IB18" s="119"/>
      <c r="ID18" s="119"/>
      <c r="IE18" s="120"/>
      <c r="IF18" s="119"/>
      <c r="IH18" s="119"/>
      <c r="II18" s="120"/>
      <c r="IJ18" s="119"/>
      <c r="IL18" s="119"/>
      <c r="IM18" s="120"/>
      <c r="IN18" s="119"/>
      <c r="IP18" s="119"/>
      <c r="IQ18" s="120"/>
      <c r="IR18" s="119"/>
      <c r="IT18" s="119"/>
      <c r="IU18" s="120"/>
      <c r="IV18" s="119"/>
      <c r="IX18" s="119"/>
      <c r="IY18" s="120"/>
      <c r="IZ18" s="119"/>
      <c r="JB18" s="119"/>
      <c r="JC18" s="120"/>
      <c r="JD18" s="119"/>
      <c r="JF18" s="119"/>
      <c r="JG18" s="120"/>
      <c r="JH18" s="119"/>
      <c r="JJ18" s="119"/>
      <c r="JK18" s="120"/>
      <c r="JL18" s="119"/>
      <c r="JN18" s="119"/>
      <c r="JO18" s="120"/>
      <c r="JP18" s="119"/>
      <c r="JR18" s="119"/>
      <c r="JS18" s="120"/>
      <c r="JT18" s="119"/>
      <c r="JV18" s="119"/>
      <c r="JW18" s="120"/>
      <c r="JX18" s="119"/>
      <c r="JZ18" s="119"/>
      <c r="KA18" s="120"/>
      <c r="KB18" s="119"/>
      <c r="KD18" s="119"/>
      <c r="KE18" s="120"/>
      <c r="KF18" s="119"/>
      <c r="KH18" s="119"/>
      <c r="KI18" s="120"/>
      <c r="KJ18" s="119"/>
      <c r="KL18" s="119"/>
      <c r="KM18" s="120"/>
      <c r="KN18" s="119"/>
      <c r="KP18" s="119"/>
      <c r="KQ18" s="120"/>
      <c r="KR18" s="119"/>
      <c r="KT18" s="119"/>
      <c r="KU18" s="120"/>
      <c r="KV18" s="119"/>
      <c r="KX18" s="119"/>
      <c r="KY18" s="120"/>
      <c r="KZ18" s="119"/>
      <c r="LB18" s="119"/>
      <c r="LC18" s="120"/>
      <c r="LD18" s="119"/>
      <c r="LF18" s="119"/>
      <c r="LG18" s="120"/>
      <c r="LH18" s="119"/>
      <c r="LJ18" s="119"/>
      <c r="LK18" s="120"/>
      <c r="LL18" s="119"/>
      <c r="LN18" s="119"/>
      <c r="LO18" s="120"/>
      <c r="LP18" s="119"/>
      <c r="LR18" s="122"/>
      <c r="LS18" s="120"/>
      <c r="LT18" s="119"/>
      <c r="LV18" s="122"/>
      <c r="LW18" s="120"/>
      <c r="LX18" s="119"/>
      <c r="LZ18" s="119"/>
      <c r="MA18" s="120"/>
      <c r="MB18" s="119"/>
      <c r="MD18" s="119"/>
      <c r="ME18" s="120"/>
      <c r="MF18" s="119"/>
      <c r="MH18" s="119"/>
      <c r="MI18" s="120"/>
      <c r="MJ18" s="119"/>
      <c r="ML18" s="119"/>
      <c r="MM18" s="120"/>
      <c r="MN18" s="119"/>
      <c r="MP18" s="115"/>
      <c r="MQ18" s="116">
        <v>1</v>
      </c>
      <c r="MR18" s="115"/>
      <c r="MT18" s="115">
        <v>1</v>
      </c>
      <c r="MU18" s="116"/>
      <c r="MV18" s="115">
        <f>IF(ISNUMBER(MT18), (MP18+MQ18)-MT18, "")</f>
        <v>0</v>
      </c>
      <c r="MX18" s="95">
        <v>0.9</v>
      </c>
      <c r="MY18" s="96"/>
      <c r="MZ18" s="95">
        <f t="shared" si="88"/>
        <v>9.9999999999999978E-2</v>
      </c>
      <c r="NB18" s="95">
        <v>0.9</v>
      </c>
      <c r="NC18" s="96"/>
      <c r="ND18" s="95">
        <f t="shared" si="89"/>
        <v>0</v>
      </c>
      <c r="NF18" s="105">
        <v>0.8</v>
      </c>
      <c r="NG18" s="96"/>
      <c r="NH18" s="95">
        <f t="shared" si="90"/>
        <v>9.9999999999999978E-2</v>
      </c>
      <c r="NJ18" s="95">
        <v>0.7</v>
      </c>
      <c r="NK18" s="96"/>
      <c r="NL18" s="95">
        <f t="shared" si="91"/>
        <v>0.10000000000000009</v>
      </c>
      <c r="NN18" s="95">
        <v>0.7</v>
      </c>
      <c r="NO18" s="96"/>
      <c r="NP18" s="95">
        <f t="shared" si="92"/>
        <v>0</v>
      </c>
      <c r="NR18" s="95">
        <v>0.7</v>
      </c>
      <c r="NS18" s="96"/>
      <c r="NT18" s="95">
        <f t="shared" si="93"/>
        <v>0</v>
      </c>
      <c r="NV18" s="95">
        <v>0.7</v>
      </c>
      <c r="NW18" s="96"/>
      <c r="NX18" s="95">
        <f t="shared" si="94"/>
        <v>0</v>
      </c>
      <c r="NZ18" s="95">
        <v>0.7</v>
      </c>
      <c r="OA18" s="96"/>
      <c r="OB18" s="95">
        <f t="shared" si="95"/>
        <v>0</v>
      </c>
      <c r="OD18" s="95">
        <v>0.7</v>
      </c>
      <c r="OE18" s="96"/>
      <c r="OF18" s="95">
        <f t="shared" si="96"/>
        <v>0</v>
      </c>
      <c r="OH18" s="105">
        <v>0.7</v>
      </c>
      <c r="OI18" s="96"/>
      <c r="OJ18" s="95">
        <f t="shared" si="97"/>
        <v>0</v>
      </c>
      <c r="OL18" s="95">
        <v>0.7</v>
      </c>
      <c r="OM18" s="96"/>
      <c r="ON18" s="95">
        <f t="shared" si="98"/>
        <v>0</v>
      </c>
      <c r="OP18" s="105">
        <v>0.7</v>
      </c>
      <c r="OQ18" s="96"/>
      <c r="OR18" s="95">
        <f t="shared" si="99"/>
        <v>0</v>
      </c>
      <c r="OT18" s="95">
        <v>0.7</v>
      </c>
      <c r="OU18" s="96"/>
      <c r="OV18" s="95">
        <f t="shared" si="100"/>
        <v>0</v>
      </c>
      <c r="OX18" s="105">
        <v>0.7</v>
      </c>
      <c r="OY18" s="141"/>
      <c r="OZ18" s="95">
        <f t="shared" si="101"/>
        <v>0</v>
      </c>
      <c r="PB18" s="95">
        <v>0.7</v>
      </c>
      <c r="PC18" s="141"/>
      <c r="PD18" s="95">
        <f t="shared" si="102"/>
        <v>0</v>
      </c>
      <c r="PF18" s="95">
        <v>0.7</v>
      </c>
      <c r="PG18" s="141"/>
      <c r="PH18" s="95">
        <f t="shared" si="103"/>
        <v>0</v>
      </c>
      <c r="PJ18" s="105">
        <v>0.6</v>
      </c>
      <c r="PK18" s="141"/>
      <c r="PL18" s="95">
        <f t="shared" si="104"/>
        <v>9.9999999999999978E-2</v>
      </c>
      <c r="PN18" s="105">
        <v>0.6</v>
      </c>
      <c r="PO18" s="141"/>
      <c r="PP18" s="95">
        <f t="shared" si="105"/>
        <v>0</v>
      </c>
      <c r="PR18" s="95">
        <v>0.6</v>
      </c>
      <c r="PS18" s="141"/>
      <c r="PT18" s="95">
        <f t="shared" si="106"/>
        <v>0</v>
      </c>
      <c r="PV18" s="190">
        <v>0.6</v>
      </c>
      <c r="PW18" s="198"/>
      <c r="PX18" s="190">
        <f t="shared" si="107"/>
        <v>0</v>
      </c>
      <c r="PZ18" s="105"/>
      <c r="QA18" s="141"/>
      <c r="QB18" s="95" t="str">
        <f t="shared" si="108"/>
        <v/>
      </c>
    </row>
    <row r="19" spans="1:444" ht="12.75" customHeight="1" x14ac:dyDescent="0.2">
      <c r="A19" s="124" t="s">
        <v>77</v>
      </c>
      <c r="B19" s="98" t="s">
        <v>133</v>
      </c>
      <c r="C19" s="87">
        <v>0.3</v>
      </c>
      <c r="D19" s="87">
        <v>89256</v>
      </c>
      <c r="F19" s="119"/>
      <c r="G19" s="120"/>
      <c r="H19" s="121"/>
      <c r="J19" s="119"/>
      <c r="K19" s="120"/>
      <c r="L19" s="119"/>
      <c r="N19" s="119"/>
      <c r="O19" s="120"/>
      <c r="P19" s="119"/>
      <c r="R19" s="119"/>
      <c r="S19" s="120"/>
      <c r="T19" s="119"/>
      <c r="V19" s="119"/>
      <c r="W19" s="120"/>
      <c r="X19" s="119"/>
      <c r="Z19" s="119"/>
      <c r="AA19" s="120"/>
      <c r="AB19" s="119"/>
      <c r="AD19" s="119"/>
      <c r="AE19" s="120"/>
      <c r="AF19" s="119"/>
      <c r="AH19" s="119"/>
      <c r="AI19" s="120"/>
      <c r="AJ19" s="119"/>
      <c r="AL19" s="119"/>
      <c r="AM19" s="120"/>
      <c r="AN19" s="119"/>
      <c r="AP19" s="119"/>
      <c r="AQ19" s="120"/>
      <c r="AR19" s="119"/>
      <c r="AT19" s="119"/>
      <c r="AU19" s="120"/>
      <c r="AV19" s="119"/>
      <c r="AX19" s="119"/>
      <c r="AY19" s="120"/>
      <c r="AZ19" s="119"/>
      <c r="BB19" s="119"/>
      <c r="BC19" s="120"/>
      <c r="BD19" s="119"/>
      <c r="BF19" s="119"/>
      <c r="BG19" s="120"/>
      <c r="BH19" s="119"/>
      <c r="BJ19" s="119"/>
      <c r="BK19" s="120"/>
      <c r="BL19" s="119"/>
      <c r="BN19" s="119"/>
      <c r="BO19" s="120"/>
      <c r="BP19" s="119"/>
      <c r="BR19" s="119"/>
      <c r="BS19" s="120"/>
      <c r="BT19" s="119"/>
      <c r="BV19" s="119"/>
      <c r="BW19" s="120"/>
      <c r="BX19" s="119"/>
      <c r="BZ19" s="119"/>
      <c r="CA19" s="120"/>
      <c r="CB19" s="119"/>
      <c r="CD19" s="119"/>
      <c r="CE19" s="120"/>
      <c r="CF19" s="119"/>
      <c r="CH19" s="119"/>
      <c r="CI19" s="120"/>
      <c r="CJ19" s="119"/>
      <c r="CL19" s="119"/>
      <c r="CM19" s="120"/>
      <c r="CN19" s="119"/>
      <c r="CP19" s="119"/>
      <c r="CQ19" s="120"/>
      <c r="CR19" s="119"/>
      <c r="CT19" s="119"/>
      <c r="CU19" s="120"/>
      <c r="CV19" s="119"/>
      <c r="CX19" s="119"/>
      <c r="CY19" s="120"/>
      <c r="CZ19" s="119"/>
      <c r="DB19" s="119"/>
      <c r="DC19" s="120"/>
      <c r="DD19" s="119"/>
      <c r="DF19" s="119"/>
      <c r="DG19" s="120"/>
      <c r="DH19" s="119"/>
      <c r="DJ19" s="119"/>
      <c r="DK19" s="120"/>
      <c r="DL19" s="119"/>
      <c r="DN19" s="119"/>
      <c r="DO19" s="120"/>
      <c r="DP19" s="119"/>
      <c r="DR19" s="119"/>
      <c r="DS19" s="120"/>
      <c r="DT19" s="119"/>
      <c r="DV19" s="119"/>
      <c r="DW19" s="120"/>
      <c r="DX19" s="119"/>
      <c r="DZ19" s="119"/>
      <c r="EA19" s="120"/>
      <c r="EB19" s="119"/>
      <c r="ED19" s="119"/>
      <c r="EE19" s="120"/>
      <c r="EF19" s="119"/>
      <c r="EH19" s="119"/>
      <c r="EI19" s="120"/>
      <c r="EJ19" s="119"/>
      <c r="EL19" s="119"/>
      <c r="EM19" s="120"/>
      <c r="EN19" s="119"/>
      <c r="EP19" s="119"/>
      <c r="EQ19" s="120"/>
      <c r="ER19" s="119"/>
      <c r="ET19" s="119"/>
      <c r="EU19" s="120"/>
      <c r="EV19" s="119"/>
      <c r="EX19" s="119"/>
      <c r="EY19" s="120"/>
      <c r="EZ19" s="119"/>
      <c r="FB19" s="119"/>
      <c r="FC19" s="120"/>
      <c r="FD19" s="119"/>
      <c r="FF19" s="119"/>
      <c r="FG19" s="120"/>
      <c r="FH19" s="119"/>
      <c r="FJ19" s="119"/>
      <c r="FK19" s="120"/>
      <c r="FL19" s="119"/>
      <c r="FN19" s="119"/>
      <c r="FO19" s="120"/>
      <c r="FP19" s="119"/>
      <c r="FR19" s="119"/>
      <c r="FS19" s="120"/>
      <c r="FT19" s="119"/>
      <c r="FV19" s="119"/>
      <c r="FW19" s="120"/>
      <c r="FX19" s="119"/>
      <c r="FZ19" s="119"/>
      <c r="GA19" s="120"/>
      <c r="GB19" s="119"/>
      <c r="GD19" s="119"/>
      <c r="GE19" s="120"/>
      <c r="GF19" s="119"/>
      <c r="GH19" s="119"/>
      <c r="GI19" s="120"/>
      <c r="GJ19" s="119"/>
      <c r="GL19" s="119"/>
      <c r="GM19" s="120"/>
      <c r="GN19" s="95"/>
      <c r="GP19" s="119"/>
      <c r="GQ19" s="120"/>
      <c r="GR19" s="119"/>
      <c r="GT19" s="119"/>
      <c r="GU19" s="120"/>
      <c r="GV19" s="119"/>
      <c r="GX19" s="119"/>
      <c r="GY19" s="120"/>
      <c r="GZ19" s="119"/>
      <c r="HB19" s="119"/>
      <c r="HC19" s="120"/>
      <c r="HD19" s="119"/>
      <c r="HF19" s="119"/>
      <c r="HG19" s="120"/>
      <c r="HH19" s="119"/>
      <c r="HJ19" s="119"/>
      <c r="HK19" s="120"/>
      <c r="HL19" s="119"/>
      <c r="HN19" s="119"/>
      <c r="HO19" s="120"/>
      <c r="HP19" s="119"/>
      <c r="HR19" s="119"/>
      <c r="HS19" s="120"/>
      <c r="HT19" s="119"/>
      <c r="HV19" s="119"/>
      <c r="HW19" s="120"/>
      <c r="HX19" s="119"/>
      <c r="HZ19" s="119"/>
      <c r="IA19" s="120"/>
      <c r="IB19" s="119"/>
      <c r="ID19" s="119"/>
      <c r="IE19" s="120"/>
      <c r="IF19" s="119"/>
      <c r="IH19" s="119"/>
      <c r="II19" s="120"/>
      <c r="IJ19" s="119"/>
      <c r="IL19" s="119"/>
      <c r="IM19" s="120"/>
      <c r="IN19" s="119"/>
      <c r="IP19" s="119"/>
      <c r="IQ19" s="120"/>
      <c r="IR19" s="119"/>
      <c r="IT19" s="119"/>
      <c r="IU19" s="120"/>
      <c r="IV19" s="119"/>
      <c r="IX19" s="119"/>
      <c r="IY19" s="120"/>
      <c r="IZ19" s="119"/>
      <c r="JB19" s="119"/>
      <c r="JC19" s="120"/>
      <c r="JD19" s="119"/>
      <c r="JF19" s="119"/>
      <c r="JG19" s="120"/>
      <c r="JH19" s="119"/>
      <c r="JJ19" s="119"/>
      <c r="JK19" s="120"/>
      <c r="JL19" s="119"/>
      <c r="JN19" s="119"/>
      <c r="JO19" s="120"/>
      <c r="JP19" s="119"/>
      <c r="JR19" s="119"/>
      <c r="JS19" s="120"/>
      <c r="JT19" s="119"/>
      <c r="JV19" s="119"/>
      <c r="JW19" s="120"/>
      <c r="JX19" s="119"/>
      <c r="JZ19" s="119"/>
      <c r="KA19" s="120"/>
      <c r="KB19" s="119"/>
      <c r="KD19" s="119"/>
      <c r="KE19" s="120"/>
      <c r="KF19" s="119"/>
      <c r="KH19" s="119"/>
      <c r="KI19" s="120"/>
      <c r="KJ19" s="119"/>
      <c r="KL19" s="119"/>
      <c r="KM19" s="120"/>
      <c r="KN19" s="119"/>
      <c r="KP19" s="119"/>
      <c r="KQ19" s="120"/>
      <c r="KR19" s="119"/>
      <c r="KT19" s="119"/>
      <c r="KU19" s="120"/>
      <c r="KV19" s="119"/>
      <c r="KX19" s="119"/>
      <c r="KY19" s="120"/>
      <c r="KZ19" s="119"/>
      <c r="LB19" s="119"/>
      <c r="LC19" s="120"/>
      <c r="LD19" s="119"/>
      <c r="LF19" s="119"/>
      <c r="LG19" s="120"/>
      <c r="LH19" s="119"/>
      <c r="LJ19" s="119"/>
      <c r="LK19" s="120"/>
      <c r="LL19" s="119"/>
      <c r="LN19" s="119"/>
      <c r="LO19" s="120"/>
      <c r="LP19" s="119"/>
      <c r="LR19" s="122"/>
      <c r="LS19" s="120"/>
      <c r="LT19" s="119"/>
      <c r="LV19" s="122"/>
      <c r="LW19" s="120"/>
      <c r="LX19" s="119"/>
      <c r="LZ19" s="119"/>
      <c r="MA19" s="120"/>
      <c r="MB19" s="119"/>
      <c r="MD19" s="119"/>
      <c r="ME19" s="120"/>
      <c r="MF19" s="119"/>
      <c r="MH19" s="119"/>
      <c r="MI19" s="120"/>
      <c r="MJ19" s="119"/>
      <c r="ML19" s="119"/>
      <c r="MM19" s="120"/>
      <c r="MN19" s="119"/>
      <c r="MP19" s="115"/>
      <c r="MQ19" s="116">
        <v>1</v>
      </c>
      <c r="MR19" s="115"/>
      <c r="MT19" s="115">
        <v>1</v>
      </c>
      <c r="MU19" s="116"/>
      <c r="MV19" s="115">
        <f>IF(ISNUMBER(MT19), (MP19+MQ19)-MT19, "")</f>
        <v>0</v>
      </c>
      <c r="MX19" s="95">
        <v>0.3</v>
      </c>
      <c r="MY19" s="96">
        <v>1</v>
      </c>
      <c r="MZ19" s="95">
        <f t="shared" si="88"/>
        <v>0.7</v>
      </c>
      <c r="NB19" s="95">
        <v>1</v>
      </c>
      <c r="NC19" s="96"/>
      <c r="ND19" s="95">
        <f t="shared" si="89"/>
        <v>0.30000000000000004</v>
      </c>
      <c r="NF19" s="105">
        <v>0.6</v>
      </c>
      <c r="NG19" s="96"/>
      <c r="NH19" s="95">
        <f t="shared" si="90"/>
        <v>0.4</v>
      </c>
      <c r="NJ19" s="95">
        <v>0.4</v>
      </c>
      <c r="NK19" s="96"/>
      <c r="NL19" s="95">
        <f t="shared" si="91"/>
        <v>0.19999999999999996</v>
      </c>
      <c r="NN19" s="95">
        <v>0.4</v>
      </c>
      <c r="NO19" s="96"/>
      <c r="NP19" s="95">
        <f t="shared" si="92"/>
        <v>0</v>
      </c>
      <c r="NR19" s="95">
        <v>0.4</v>
      </c>
      <c r="NS19" s="96"/>
      <c r="NT19" s="95">
        <f t="shared" si="93"/>
        <v>0</v>
      </c>
      <c r="NV19" s="95">
        <v>0.4</v>
      </c>
      <c r="NW19" s="96"/>
      <c r="NX19" s="95">
        <f t="shared" si="94"/>
        <v>0</v>
      </c>
      <c r="NZ19" s="95">
        <v>0.4</v>
      </c>
      <c r="OA19" s="96"/>
      <c r="OB19" s="95">
        <f t="shared" si="95"/>
        <v>0</v>
      </c>
      <c r="OD19" s="95">
        <v>0.4</v>
      </c>
      <c r="OE19" s="96"/>
      <c r="OF19" s="95">
        <f t="shared" si="96"/>
        <v>0</v>
      </c>
      <c r="OH19" s="105">
        <v>0.4</v>
      </c>
      <c r="OI19" s="96"/>
      <c r="OJ19" s="95">
        <f t="shared" si="97"/>
        <v>0</v>
      </c>
      <c r="OL19" s="95">
        <v>0.4</v>
      </c>
      <c r="OM19" s="96"/>
      <c r="ON19" s="95">
        <f t="shared" si="98"/>
        <v>0</v>
      </c>
      <c r="OP19" s="105">
        <v>0.4</v>
      </c>
      <c r="OQ19" s="96"/>
      <c r="OR19" s="95">
        <f t="shared" si="99"/>
        <v>0</v>
      </c>
      <c r="OT19" s="95">
        <v>0.4</v>
      </c>
      <c r="OU19" s="96"/>
      <c r="OV19" s="95">
        <f t="shared" si="100"/>
        <v>0</v>
      </c>
      <c r="OX19" s="105">
        <v>0.4</v>
      </c>
      <c r="OY19" s="142"/>
      <c r="OZ19" s="95">
        <f t="shared" si="101"/>
        <v>0</v>
      </c>
      <c r="PB19" s="95">
        <v>0.4</v>
      </c>
      <c r="PC19" s="142"/>
      <c r="PD19" s="95">
        <f t="shared" si="102"/>
        <v>0</v>
      </c>
      <c r="PF19" s="95">
        <v>0.4</v>
      </c>
      <c r="PG19" s="142"/>
      <c r="PH19" s="95">
        <f t="shared" si="103"/>
        <v>0</v>
      </c>
      <c r="PJ19" s="105">
        <v>0.4</v>
      </c>
      <c r="PK19" s="142"/>
      <c r="PL19" s="95">
        <f t="shared" si="104"/>
        <v>0</v>
      </c>
      <c r="PN19" s="105">
        <v>0.4</v>
      </c>
      <c r="PO19" s="142"/>
      <c r="PP19" s="95">
        <f t="shared" si="105"/>
        <v>0</v>
      </c>
      <c r="PR19" s="95">
        <v>0.4</v>
      </c>
      <c r="PS19" s="142"/>
      <c r="PT19" s="95">
        <f t="shared" si="106"/>
        <v>0</v>
      </c>
      <c r="PV19" s="190">
        <v>0.4</v>
      </c>
      <c r="PW19" s="199"/>
      <c r="PX19" s="190">
        <f t="shared" si="107"/>
        <v>0</v>
      </c>
      <c r="PZ19" s="105"/>
      <c r="QA19" s="142"/>
      <c r="QB19" s="95" t="str">
        <f t="shared" si="108"/>
        <v/>
      </c>
    </row>
    <row r="20" spans="1:444" ht="12.75" customHeight="1" x14ac:dyDescent="0.2">
      <c r="A20" s="124" t="s">
        <v>77</v>
      </c>
      <c r="B20" s="98" t="s">
        <v>93</v>
      </c>
      <c r="C20" s="87">
        <v>0.8</v>
      </c>
      <c r="D20" s="87">
        <v>89626</v>
      </c>
      <c r="F20" s="95">
        <v>1.4</v>
      </c>
      <c r="G20" s="96"/>
      <c r="H20" s="113"/>
      <c r="J20" s="95">
        <v>1.3</v>
      </c>
      <c r="K20" s="96"/>
      <c r="L20" s="95">
        <f t="shared" ref="L20:L24" si="112">IF(ISNUMBER(J20), (F20+G20)-J20, "")</f>
        <v>9.9999999999999867E-2</v>
      </c>
      <c r="N20" s="105">
        <v>1.3</v>
      </c>
      <c r="O20" s="96"/>
      <c r="P20" s="95">
        <f>IF(ISNUMBER(N20), (J20+K20)-N20, "")</f>
        <v>0</v>
      </c>
      <c r="R20" s="95">
        <v>1.3</v>
      </c>
      <c r="S20" s="96"/>
      <c r="T20" s="95">
        <f>IF(ISNUMBER(R20), (N20+O20)-R20, "")</f>
        <v>0</v>
      </c>
      <c r="V20" s="95">
        <v>1.3</v>
      </c>
      <c r="W20" s="96"/>
      <c r="X20" s="95">
        <f>IF(ISNUMBER(V20), (R20+S20)-V20, "")</f>
        <v>0</v>
      </c>
      <c r="Z20" s="105">
        <v>1.3</v>
      </c>
      <c r="AA20" s="96"/>
      <c r="AB20" s="95">
        <f>IF(ISNUMBER(Z20), (V20+W20)-Z20, "")</f>
        <v>0</v>
      </c>
      <c r="AD20" s="105">
        <v>1.3</v>
      </c>
      <c r="AE20" s="96"/>
      <c r="AF20" s="95">
        <f>IF(ISNUMBER(AD20), (Z20+AA20)-AD20, "")</f>
        <v>0</v>
      </c>
      <c r="AH20" s="95">
        <v>1.3</v>
      </c>
      <c r="AI20" s="96"/>
      <c r="AJ20" s="95">
        <f>IF(ISNUMBER(AH20), (AD20+AE20)-AH20, "")</f>
        <v>0</v>
      </c>
      <c r="AL20" s="105">
        <v>1.3</v>
      </c>
      <c r="AM20" s="96"/>
      <c r="AN20" s="95">
        <f>IF(ISNUMBER(AL20), (AH20+AI20)-AL20, "")</f>
        <v>0</v>
      </c>
      <c r="AP20" s="105">
        <v>1.3</v>
      </c>
      <c r="AQ20" s="96"/>
      <c r="AR20" s="95">
        <f>IF(ISNUMBER(AP20), (AL20+AM20)-AP20, "")</f>
        <v>0</v>
      </c>
      <c r="AT20" s="95">
        <v>1.3</v>
      </c>
      <c r="AU20" s="96"/>
      <c r="AV20" s="95">
        <f>IF(ISNUMBER(AT20), (AP20+AQ20)-AT20, "")</f>
        <v>0</v>
      </c>
      <c r="AX20" s="95">
        <v>1.3</v>
      </c>
      <c r="AY20" s="96"/>
      <c r="AZ20" s="95">
        <f>IF(ISNUMBER(AX20), (AT20+AU20)-AX20, "")</f>
        <v>0</v>
      </c>
      <c r="BB20" s="95">
        <v>1.3</v>
      </c>
      <c r="BC20" s="96"/>
      <c r="BD20" s="95">
        <f>IF(ISNUMBER(BB20), (AX20+AY20)-BB20, "")</f>
        <v>0</v>
      </c>
      <c r="BF20" s="95">
        <v>1.3</v>
      </c>
      <c r="BG20" s="96"/>
      <c r="BH20" s="95">
        <f>IF(ISNUMBER(BF20), (BB20+BC20)-BF20, "")</f>
        <v>0</v>
      </c>
      <c r="BJ20" s="95">
        <v>1.3</v>
      </c>
      <c r="BK20" s="96"/>
      <c r="BL20" s="95">
        <f>IF(ISNUMBER(BJ20), (BF20+BG20)-BJ20, "")</f>
        <v>0</v>
      </c>
      <c r="BN20" s="95">
        <v>1.3</v>
      </c>
      <c r="BO20" s="96"/>
      <c r="BP20" s="95">
        <f>IF(ISNUMBER(BN20), (BJ20+BK20)-BN20, "")</f>
        <v>0</v>
      </c>
      <c r="BR20" s="115">
        <v>1.3</v>
      </c>
      <c r="BS20" s="116"/>
      <c r="BT20" s="115">
        <f t="shared" ref="BT20:BT28" si="113">IF(ISNUMBER(BR20), (BN20+BO20)-BR20, "")</f>
        <v>0</v>
      </c>
      <c r="BV20" s="105">
        <v>1.3</v>
      </c>
      <c r="BW20" s="96"/>
      <c r="BX20" s="95">
        <f>IF(ISNUMBER(BV20), (BR20+BS20)-BV20, "")</f>
        <v>0</v>
      </c>
      <c r="BZ20" s="95">
        <v>1.3</v>
      </c>
      <c r="CA20" s="96"/>
      <c r="CB20" s="95">
        <f>IF(ISNUMBER(BZ20), (BV20+BW20)-BZ20, "")</f>
        <v>0</v>
      </c>
      <c r="CD20" s="95">
        <v>1.3</v>
      </c>
      <c r="CE20" s="96"/>
      <c r="CF20" s="95">
        <f>IF(ISNUMBER(CD20), (BZ20+CA20)-CD20, "")</f>
        <v>0</v>
      </c>
      <c r="CH20" s="95">
        <v>1.3</v>
      </c>
      <c r="CI20" s="96"/>
      <c r="CJ20" s="95">
        <f>IF(ISNUMBER(CH20), (CD20+CE20)-CH20, "")</f>
        <v>0</v>
      </c>
      <c r="CL20" s="95">
        <v>1.3</v>
      </c>
      <c r="CM20" s="96"/>
      <c r="CN20" s="95">
        <f>IF(ISNUMBER(CL20), (CH20+CI20)-CL20, "")</f>
        <v>0</v>
      </c>
      <c r="CP20" s="95">
        <v>1.3</v>
      </c>
      <c r="CQ20" s="96"/>
      <c r="CR20" s="95">
        <f>IF(ISNUMBER(CP20), (CL20+CM20)-CP20, "")</f>
        <v>0</v>
      </c>
      <c r="CT20" s="95">
        <v>1.3</v>
      </c>
      <c r="CU20" s="96"/>
      <c r="CV20" s="95">
        <f>IF(ISNUMBER(CT20), (CP20+CQ20)-CT20, "")</f>
        <v>0</v>
      </c>
      <c r="CX20" s="95">
        <v>1.3</v>
      </c>
      <c r="CY20" s="96"/>
      <c r="CZ20" s="95">
        <f>IF(ISNUMBER(CX20), (CT20+CU20)-CX20, "")</f>
        <v>0</v>
      </c>
      <c r="DB20" s="95">
        <v>1.3</v>
      </c>
      <c r="DC20" s="96"/>
      <c r="DD20" s="95">
        <f>IF(ISNUMBER(DB20), (CX20+CY20)-DB20, "")</f>
        <v>0</v>
      </c>
      <c r="DF20" s="95">
        <v>0.3</v>
      </c>
      <c r="DG20" s="96"/>
      <c r="DH20" s="118">
        <f>IF(ISNUMBER(DF20), (DB20+DC20)-DF20, "")</f>
        <v>1</v>
      </c>
      <c r="DJ20" s="95">
        <v>0.3</v>
      </c>
      <c r="DK20" s="96"/>
      <c r="DL20" s="95">
        <f>IF(ISNUMBER(DJ20), (DF20+DG20)-DJ20, "")</f>
        <v>0</v>
      </c>
      <c r="DN20" s="95">
        <v>0.3</v>
      </c>
      <c r="DO20" s="96"/>
      <c r="DP20" s="95">
        <f>IF(ISNUMBER(DN20), (DJ20+DK20)-DN20, "")</f>
        <v>0</v>
      </c>
      <c r="DR20" s="95">
        <v>0.3</v>
      </c>
      <c r="DS20" s="96"/>
      <c r="DT20" s="95">
        <f>IF(ISNUMBER(DR20), (DN20+DO20)-DR20, "")</f>
        <v>0</v>
      </c>
      <c r="DV20" s="95">
        <v>0.3</v>
      </c>
      <c r="DW20" s="96"/>
      <c r="DX20" s="95">
        <f>IF(ISNUMBER(DV20), (DR20+DS20)-DV20, "")</f>
        <v>0</v>
      </c>
      <c r="DZ20" s="95">
        <v>0.3</v>
      </c>
      <c r="EA20" s="96"/>
      <c r="EB20" s="95">
        <f>IF(ISNUMBER(DZ20), (DV20+DW20)-DZ20, "")</f>
        <v>0</v>
      </c>
      <c r="ED20" s="95">
        <v>0.3</v>
      </c>
      <c r="EE20" s="96"/>
      <c r="EF20" s="95">
        <f>IF(ISNUMBER(ED20), (DZ20+EA20)-ED20, "")</f>
        <v>0</v>
      </c>
      <c r="EH20" s="95">
        <v>0.2</v>
      </c>
      <c r="EI20" s="96">
        <v>1</v>
      </c>
      <c r="EJ20" s="95">
        <f>IF(ISNUMBER(EH20), (ED20+EE20)-EH20, "")</f>
        <v>9.9999999999999978E-2</v>
      </c>
      <c r="EL20" s="95">
        <v>1</v>
      </c>
      <c r="EM20" s="96"/>
      <c r="EN20" s="95">
        <f>IF(ISNUMBER(EL20), (EH20+EI20)-EL20, "")</f>
        <v>0.19999999999999996</v>
      </c>
      <c r="EP20" s="95">
        <v>0.9</v>
      </c>
      <c r="EQ20" s="96"/>
      <c r="ER20" s="95">
        <f>IF(ISNUMBER(EP20), (EL20+EM20)-EP20, "")</f>
        <v>9.9999999999999978E-2</v>
      </c>
      <c r="ET20" s="95">
        <v>0.9</v>
      </c>
      <c r="EU20" s="96"/>
      <c r="EV20" s="95">
        <f>IF(ISNUMBER(ET20), (EP20+EQ20)-ET20, "")</f>
        <v>0</v>
      </c>
      <c r="EX20" s="95">
        <v>0.7</v>
      </c>
      <c r="EY20" s="96">
        <v>1</v>
      </c>
      <c r="EZ20" s="95">
        <f>IF(ISNUMBER(EX20), (ET20+EU20)-EX20, "")</f>
        <v>0.20000000000000007</v>
      </c>
      <c r="FB20" s="95">
        <v>1.7</v>
      </c>
      <c r="FC20" s="96"/>
      <c r="FD20" s="95">
        <f>IF(ISNUMBER(FB20), (EX20+EY20)-FB20, "")</f>
        <v>0</v>
      </c>
      <c r="FF20" s="95">
        <v>1.7</v>
      </c>
      <c r="FG20" s="96"/>
      <c r="FH20" s="95">
        <f>IF(ISNUMBER(FF20), (FB20+FC20)-FF20, "")</f>
        <v>0</v>
      </c>
      <c r="FJ20" s="95">
        <v>1.7</v>
      </c>
      <c r="FK20" s="96"/>
      <c r="FL20" s="95">
        <f>IF(ISNUMBER(FJ20), (FF20+FG20)-FJ20, "")</f>
        <v>0</v>
      </c>
      <c r="FN20" s="95">
        <v>1.6</v>
      </c>
      <c r="FO20" s="96"/>
      <c r="FP20" s="95">
        <f>IF(ISNUMBER(FN20), (FJ20+FK20)-FN20, "")</f>
        <v>9.9999999999999867E-2</v>
      </c>
      <c r="FR20" s="95">
        <v>1.6</v>
      </c>
      <c r="FS20" s="96"/>
      <c r="FT20" s="95">
        <f>IF(ISNUMBER(FR20), (FN20+FO20)-FR20, "")</f>
        <v>0</v>
      </c>
      <c r="FV20" s="95">
        <v>1.6</v>
      </c>
      <c r="FW20" s="96"/>
      <c r="FX20" s="95">
        <f>IF(ISNUMBER(FV20), (FR20+FS20)-FV20, "")</f>
        <v>0</v>
      </c>
      <c r="FZ20" s="95">
        <v>1.6</v>
      </c>
      <c r="GA20" s="96"/>
      <c r="GB20" s="95">
        <f>IF(ISNUMBER(FZ20), (FV20+FW20)-FZ20, "")</f>
        <v>0</v>
      </c>
      <c r="GD20" s="95">
        <v>1.5</v>
      </c>
      <c r="GE20" s="96"/>
      <c r="GF20" s="95">
        <f>IF(ISNUMBER(GD20), (FZ20+GA20)-GD20, "")</f>
        <v>0.10000000000000009</v>
      </c>
      <c r="GH20" s="105">
        <v>1.5</v>
      </c>
      <c r="GI20" s="96"/>
      <c r="GJ20" s="95">
        <f>IF(ISNUMBER(GH20), (GD20+GE20)-GH20, "")</f>
        <v>0</v>
      </c>
      <c r="GL20" s="105">
        <v>1.5</v>
      </c>
      <c r="GM20" s="96"/>
      <c r="GN20" s="95">
        <f t="shared" si="46"/>
        <v>0</v>
      </c>
      <c r="GP20" s="95">
        <v>1.5</v>
      </c>
      <c r="GQ20" s="96"/>
      <c r="GR20" s="95">
        <f t="shared" ref="GR20:GR28" si="114">IF(ISNUMBER(GP20), (GL20+GM20)-GP20, "")</f>
        <v>0</v>
      </c>
      <c r="GT20" s="95">
        <v>1.5</v>
      </c>
      <c r="GU20" s="96"/>
      <c r="GV20" s="95">
        <f>IF(ISNUMBER(GT20), (GP20+GQ20)-GT20, "")</f>
        <v>0</v>
      </c>
      <c r="GX20" s="95">
        <v>1.4</v>
      </c>
      <c r="GY20" s="96"/>
      <c r="GZ20" s="95">
        <f>IF(ISNUMBER(GX20), (GT20+GU20)-GX20, "")</f>
        <v>0.10000000000000009</v>
      </c>
      <c r="HB20" s="95">
        <v>1.4</v>
      </c>
      <c r="HC20" s="96"/>
      <c r="HD20" s="95">
        <f>IF(ISNUMBER(HB20), (GX20+GY20)-HB20, "")</f>
        <v>0</v>
      </c>
      <c r="HF20" s="95">
        <v>1.4</v>
      </c>
      <c r="HG20" s="96"/>
      <c r="HH20" s="95">
        <f>IF(ISNUMBER(HF20), (HB20+HC20)-HF20, "")</f>
        <v>0</v>
      </c>
      <c r="HJ20" s="95">
        <v>1.3</v>
      </c>
      <c r="HK20" s="96"/>
      <c r="HL20" s="95">
        <f>IF(ISNUMBER(HJ20), (HF20+HG20)-HJ20, "")</f>
        <v>9.9999999999999867E-2</v>
      </c>
      <c r="HN20" s="95">
        <v>1.3</v>
      </c>
      <c r="HO20" s="96"/>
      <c r="HP20" s="95">
        <f>IF(ISNUMBER(HN20), (HJ20+HK20)-HN20, "")</f>
        <v>0</v>
      </c>
      <c r="HR20" s="95">
        <v>1.2</v>
      </c>
      <c r="HS20" s="96"/>
      <c r="HT20" s="95">
        <f>IF(ISNUMBER(HR20), (HN20+HO20)-HR20, "")</f>
        <v>0.10000000000000009</v>
      </c>
      <c r="HV20" s="95">
        <v>1</v>
      </c>
      <c r="HW20" s="96"/>
      <c r="HX20" s="95">
        <f>IF(ISNUMBER(HV20), (HR20+HS20)-HV20, "")</f>
        <v>0.19999999999999996</v>
      </c>
      <c r="HZ20" s="115">
        <v>1</v>
      </c>
      <c r="IA20" s="96"/>
      <c r="IB20" s="95">
        <f>IF(ISNUMBER(HZ20), (HV20+HW20)-HZ20, "")</f>
        <v>0</v>
      </c>
      <c r="ID20" s="95">
        <v>0.9</v>
      </c>
      <c r="IE20" s="96"/>
      <c r="IF20" s="95">
        <f>IF(ISNUMBER(ID20), (HZ20+IA20)-ID20, "")</f>
        <v>9.9999999999999978E-2</v>
      </c>
      <c r="IH20" s="115">
        <v>0.9</v>
      </c>
      <c r="II20" s="96"/>
      <c r="IJ20" s="95">
        <f t="shared" si="58"/>
        <v>0</v>
      </c>
      <c r="IL20" s="95">
        <v>0.8</v>
      </c>
      <c r="IM20" s="96"/>
      <c r="IN20" s="95">
        <f t="shared" si="59"/>
        <v>9.9999999999999978E-2</v>
      </c>
      <c r="IP20" s="95">
        <v>0.8</v>
      </c>
      <c r="IQ20" s="96"/>
      <c r="IR20" s="95">
        <f t="shared" si="60"/>
        <v>0</v>
      </c>
      <c r="IT20" s="95">
        <v>0.8</v>
      </c>
      <c r="IU20" s="96"/>
      <c r="IV20" s="95">
        <f t="shared" si="61"/>
        <v>0</v>
      </c>
      <c r="IX20" s="95">
        <v>0.7</v>
      </c>
      <c r="IY20" s="96"/>
      <c r="IZ20" s="95">
        <f t="shared" si="62"/>
        <v>0.10000000000000009</v>
      </c>
      <c r="JB20" s="95">
        <v>0.7</v>
      </c>
      <c r="JC20" s="96"/>
      <c r="JD20" s="95">
        <f t="shared" si="63"/>
        <v>0</v>
      </c>
      <c r="JF20" s="95">
        <v>0.7</v>
      </c>
      <c r="JG20" s="96"/>
      <c r="JH20" s="95">
        <f t="shared" si="64"/>
        <v>0</v>
      </c>
      <c r="JJ20" s="95">
        <v>0.6</v>
      </c>
      <c r="JK20" s="96"/>
      <c r="JL20" s="95">
        <f t="shared" si="65"/>
        <v>9.9999999999999978E-2</v>
      </c>
      <c r="JN20" s="95">
        <v>0.6</v>
      </c>
      <c r="JO20" s="96"/>
      <c r="JP20" s="95">
        <f t="shared" si="66"/>
        <v>0</v>
      </c>
      <c r="JR20" s="95">
        <v>0.4</v>
      </c>
      <c r="JS20" s="96">
        <v>1</v>
      </c>
      <c r="JT20" s="95">
        <f t="shared" si="67"/>
        <v>0.19999999999999996</v>
      </c>
      <c r="JV20" s="95">
        <v>1.3</v>
      </c>
      <c r="JW20" s="96"/>
      <c r="JX20" s="95">
        <f t="shared" si="68"/>
        <v>9.9999999999999867E-2</v>
      </c>
      <c r="JZ20" s="95">
        <v>0.9</v>
      </c>
      <c r="KA20" s="96"/>
      <c r="KB20" s="95">
        <f t="shared" si="69"/>
        <v>0.4</v>
      </c>
      <c r="KD20" s="95">
        <v>0.9</v>
      </c>
      <c r="KE20" s="96">
        <v>1</v>
      </c>
      <c r="KF20" s="95">
        <f t="shared" si="70"/>
        <v>0</v>
      </c>
      <c r="KH20" s="95">
        <v>1.9</v>
      </c>
      <c r="KI20" s="96"/>
      <c r="KJ20" s="95">
        <f t="shared" si="71"/>
        <v>0</v>
      </c>
      <c r="KL20" s="95">
        <v>1.7</v>
      </c>
      <c r="KM20" s="96"/>
      <c r="KN20" s="95">
        <f t="shared" si="72"/>
        <v>0.19999999999999996</v>
      </c>
      <c r="KP20" s="95">
        <v>1.5</v>
      </c>
      <c r="KQ20" s="96"/>
      <c r="KR20" s="95">
        <f t="shared" si="73"/>
        <v>0.19999999999999996</v>
      </c>
      <c r="KT20" s="95">
        <v>1.1000000000000001</v>
      </c>
      <c r="KU20" s="96"/>
      <c r="KV20" s="95">
        <f t="shared" si="74"/>
        <v>0.39999999999999991</v>
      </c>
      <c r="KX20" s="95">
        <v>0.5</v>
      </c>
      <c r="KY20" s="96"/>
      <c r="KZ20" s="95">
        <f t="shared" si="75"/>
        <v>0.60000000000000009</v>
      </c>
      <c r="LB20" s="95">
        <v>0.3</v>
      </c>
      <c r="LC20" s="96">
        <v>1</v>
      </c>
      <c r="LD20" s="95">
        <f t="shared" si="76"/>
        <v>0.2</v>
      </c>
      <c r="LF20" s="95">
        <v>1.1000000000000001</v>
      </c>
      <c r="LG20" s="96"/>
      <c r="LH20" s="95">
        <f t="shared" si="77"/>
        <v>0.19999999999999996</v>
      </c>
      <c r="LJ20" s="95">
        <v>1.1000000000000001</v>
      </c>
      <c r="LK20" s="96"/>
      <c r="LL20" s="95">
        <f t="shared" si="78"/>
        <v>0</v>
      </c>
      <c r="LN20" s="95">
        <v>1.1000000000000001</v>
      </c>
      <c r="LO20" s="96"/>
      <c r="LP20" s="95">
        <f t="shared" si="79"/>
        <v>0</v>
      </c>
      <c r="LR20" s="105">
        <v>1.1000000000000001</v>
      </c>
      <c r="LS20" s="96"/>
      <c r="LT20" s="95">
        <f t="shared" si="80"/>
        <v>0</v>
      </c>
      <c r="LV20" s="105">
        <v>1.1000000000000001</v>
      </c>
      <c r="LW20" s="96"/>
      <c r="LX20" s="95">
        <f t="shared" ref="LX20:LX28" si="115">IF(ISNUMBER(LV20), (LR20+LS20)-LV20, "")</f>
        <v>0</v>
      </c>
      <c r="LZ20" s="95">
        <v>0.8</v>
      </c>
      <c r="MA20" s="96"/>
      <c r="MB20" s="95">
        <f t="shared" si="82"/>
        <v>0.30000000000000004</v>
      </c>
      <c r="MD20" s="95">
        <v>0.6</v>
      </c>
      <c r="ME20" s="96"/>
      <c r="MF20" s="95">
        <f t="shared" ref="MF20:MF28" si="116">IF(ISNUMBER(MD20), (LZ20+MA20)-MD20, "")</f>
        <v>0.20000000000000007</v>
      </c>
      <c r="MH20" s="95">
        <v>0.1</v>
      </c>
      <c r="MI20" s="96">
        <v>1</v>
      </c>
      <c r="MJ20" s="95">
        <f t="shared" si="84"/>
        <v>0.5</v>
      </c>
      <c r="ML20" s="95">
        <v>0.9</v>
      </c>
      <c r="MM20" s="96"/>
      <c r="MN20" s="95">
        <f t="shared" si="85"/>
        <v>0.20000000000000007</v>
      </c>
      <c r="MP20" s="95">
        <v>0.9</v>
      </c>
      <c r="MQ20" s="96"/>
      <c r="MR20" s="95">
        <f t="shared" si="86"/>
        <v>0</v>
      </c>
      <c r="MT20" s="95">
        <v>0.8</v>
      </c>
      <c r="MU20" s="96"/>
      <c r="MV20" s="95">
        <f t="shared" si="87"/>
        <v>9.9999999999999978E-2</v>
      </c>
      <c r="MX20" s="95">
        <v>0.5</v>
      </c>
      <c r="MY20" s="96">
        <v>1</v>
      </c>
      <c r="MZ20" s="95">
        <f t="shared" si="88"/>
        <v>0.30000000000000004</v>
      </c>
      <c r="NB20" s="95">
        <v>1.3</v>
      </c>
      <c r="NC20" s="96"/>
      <c r="ND20" s="95">
        <f t="shared" si="89"/>
        <v>0.19999999999999996</v>
      </c>
      <c r="NF20" s="105">
        <v>1.2</v>
      </c>
      <c r="NG20" s="96"/>
      <c r="NH20" s="95">
        <f t="shared" si="90"/>
        <v>0.10000000000000009</v>
      </c>
      <c r="NJ20" s="95">
        <v>1.2</v>
      </c>
      <c r="NK20" s="96"/>
      <c r="NL20" s="95">
        <f t="shared" si="91"/>
        <v>0</v>
      </c>
      <c r="NN20" s="95">
        <v>0.9</v>
      </c>
      <c r="NO20" s="96"/>
      <c r="NP20" s="95">
        <f t="shared" si="92"/>
        <v>0.29999999999999993</v>
      </c>
      <c r="NR20" s="95">
        <v>0.9</v>
      </c>
      <c r="NS20" s="96"/>
      <c r="NT20" s="95">
        <f t="shared" si="93"/>
        <v>0</v>
      </c>
      <c r="NV20" s="95">
        <v>0.8</v>
      </c>
      <c r="NW20" s="96"/>
      <c r="NX20" s="95">
        <f t="shared" si="94"/>
        <v>9.9999999999999978E-2</v>
      </c>
      <c r="NZ20" s="95">
        <v>0.8</v>
      </c>
      <c r="OA20" s="96"/>
      <c r="OB20" s="95">
        <f t="shared" si="95"/>
        <v>0</v>
      </c>
      <c r="OD20" s="95">
        <v>0.7</v>
      </c>
      <c r="OE20" s="96"/>
      <c r="OF20" s="95">
        <f t="shared" si="96"/>
        <v>0.10000000000000009</v>
      </c>
      <c r="OH20" s="105">
        <v>0.7</v>
      </c>
      <c r="OI20" s="96"/>
      <c r="OJ20" s="95">
        <f t="shared" si="97"/>
        <v>0</v>
      </c>
      <c r="OL20" s="95">
        <v>0.7</v>
      </c>
      <c r="OM20" s="96"/>
      <c r="ON20" s="95">
        <f t="shared" si="98"/>
        <v>0</v>
      </c>
      <c r="OP20" s="105">
        <v>0.4</v>
      </c>
      <c r="OQ20" s="96"/>
      <c r="OR20" s="95">
        <f t="shared" si="99"/>
        <v>0.29999999999999993</v>
      </c>
      <c r="OT20" s="95">
        <v>0.4</v>
      </c>
      <c r="OU20" s="96"/>
      <c r="OV20" s="95">
        <f t="shared" si="100"/>
        <v>0</v>
      </c>
      <c r="OX20" s="105">
        <v>0.2</v>
      </c>
      <c r="OY20" s="96"/>
      <c r="OZ20" s="95">
        <f t="shared" si="101"/>
        <v>0.2</v>
      </c>
      <c r="PB20" s="95">
        <v>0.1</v>
      </c>
      <c r="PC20" s="96">
        <v>1</v>
      </c>
      <c r="PD20" s="95">
        <f t="shared" si="102"/>
        <v>0.1</v>
      </c>
      <c r="PF20" s="95">
        <v>0.9</v>
      </c>
      <c r="PG20" s="96"/>
      <c r="PH20" s="95">
        <f t="shared" si="103"/>
        <v>0.20000000000000007</v>
      </c>
      <c r="PJ20" s="105">
        <v>0.9</v>
      </c>
      <c r="PK20" s="96"/>
      <c r="PL20" s="95">
        <f t="shared" si="104"/>
        <v>0</v>
      </c>
      <c r="PN20" s="105">
        <v>0.9</v>
      </c>
      <c r="PO20" s="96"/>
      <c r="PP20" s="95">
        <f t="shared" si="105"/>
        <v>0</v>
      </c>
      <c r="PR20" s="95">
        <v>0.6</v>
      </c>
      <c r="PS20" s="96">
        <v>1</v>
      </c>
      <c r="PT20" s="95">
        <f t="shared" si="106"/>
        <v>0.30000000000000004</v>
      </c>
      <c r="PV20" s="190">
        <v>1.6</v>
      </c>
      <c r="PW20" s="194"/>
      <c r="PX20" s="190">
        <f t="shared" si="107"/>
        <v>0</v>
      </c>
      <c r="PZ20" s="105"/>
      <c r="QA20" s="96"/>
      <c r="QB20" s="95" t="str">
        <f t="shared" si="108"/>
        <v/>
      </c>
    </row>
    <row r="21" spans="1:444" ht="12.75" customHeight="1" x14ac:dyDescent="0.2">
      <c r="A21" s="124" t="s">
        <v>86</v>
      </c>
      <c r="B21" s="100" t="s">
        <v>94</v>
      </c>
      <c r="C21" s="87">
        <v>0.8</v>
      </c>
      <c r="D21" s="87">
        <v>34433</v>
      </c>
      <c r="F21" s="95">
        <v>1</v>
      </c>
      <c r="G21" s="96"/>
      <c r="H21" s="113"/>
      <c r="J21" s="95">
        <v>1</v>
      </c>
      <c r="K21" s="96"/>
      <c r="L21" s="95">
        <f t="shared" si="112"/>
        <v>0</v>
      </c>
      <c r="N21" s="105">
        <v>1</v>
      </c>
      <c r="O21" s="96"/>
      <c r="P21" s="95">
        <f>IF(ISNUMBER(N21), (J21+K21)-N21, "")</f>
        <v>0</v>
      </c>
      <c r="R21" s="95">
        <v>1</v>
      </c>
      <c r="S21" s="96"/>
      <c r="T21" s="95">
        <f>IF(ISNUMBER(R21), (N21+O21)-R21, "")</f>
        <v>0</v>
      </c>
      <c r="V21" s="95">
        <v>1</v>
      </c>
      <c r="W21" s="96"/>
      <c r="X21" s="95">
        <f>IF(ISNUMBER(V21), (R21+S21)-V21, "")</f>
        <v>0</v>
      </c>
      <c r="Z21" s="105">
        <v>1</v>
      </c>
      <c r="AA21" s="96"/>
      <c r="AB21" s="95">
        <f>IF(ISNUMBER(Z21), (V21+W21)-Z21, "")</f>
        <v>0</v>
      </c>
      <c r="AD21" s="105">
        <v>1</v>
      </c>
      <c r="AE21" s="96"/>
      <c r="AF21" s="95">
        <f>IF(ISNUMBER(AD21), (Z21+AA21)-AD21, "")</f>
        <v>0</v>
      </c>
      <c r="AH21" s="95">
        <v>1</v>
      </c>
      <c r="AI21" s="96"/>
      <c r="AJ21" s="95">
        <f>IF(ISNUMBER(AH21), (AD21+AE21)-AH21, "")</f>
        <v>0</v>
      </c>
      <c r="AL21" s="105">
        <v>1</v>
      </c>
      <c r="AM21" s="96"/>
      <c r="AN21" s="95">
        <f>IF(ISNUMBER(AL21), (AH21+AI21)-AL21, "")</f>
        <v>0</v>
      </c>
      <c r="AP21" s="105">
        <v>1</v>
      </c>
      <c r="AQ21" s="96"/>
      <c r="AR21" s="95">
        <f>IF(ISNUMBER(AP21), (AL21+AM21)-AP21, "")</f>
        <v>0</v>
      </c>
      <c r="AT21" s="95">
        <v>1</v>
      </c>
      <c r="AU21" s="96"/>
      <c r="AV21" s="95">
        <f>IF(ISNUMBER(AT21), (AP21+AQ21)-AT21, "")</f>
        <v>0</v>
      </c>
      <c r="AX21" s="95">
        <v>1</v>
      </c>
      <c r="AY21" s="96"/>
      <c r="AZ21" s="95">
        <f>IF(ISNUMBER(AX21), (AT21+AU21)-AX21, "")</f>
        <v>0</v>
      </c>
      <c r="BB21" s="95">
        <v>1</v>
      </c>
      <c r="BC21" s="96"/>
      <c r="BD21" s="95">
        <f>IF(ISNUMBER(BB21), (AX21+AY21)-BB21, "")</f>
        <v>0</v>
      </c>
      <c r="BF21" s="95">
        <v>1</v>
      </c>
      <c r="BG21" s="96"/>
      <c r="BH21" s="95">
        <f>IF(ISNUMBER(BF21), (BB21+BC21)-BF21, "")</f>
        <v>0</v>
      </c>
      <c r="BJ21" s="95">
        <v>0.8</v>
      </c>
      <c r="BK21" s="96"/>
      <c r="BL21" s="95">
        <f>IF(ISNUMBER(BJ21), (BF21+BG21)-BJ21, "")</f>
        <v>0.19999999999999996</v>
      </c>
      <c r="BN21" s="95">
        <v>0.8</v>
      </c>
      <c r="BO21" s="96"/>
      <c r="BP21" s="95">
        <f>IF(ISNUMBER(BN21), (BJ21+BK21)-BN21, "")</f>
        <v>0</v>
      </c>
      <c r="BR21" s="115">
        <v>0.8</v>
      </c>
      <c r="BS21" s="116"/>
      <c r="BT21" s="115">
        <f t="shared" si="113"/>
        <v>0</v>
      </c>
      <c r="BV21" s="105">
        <v>0.8</v>
      </c>
      <c r="BW21" s="96"/>
      <c r="BX21" s="95">
        <f>IF(ISNUMBER(BV21), (BR21+BS21)-BV21, "")</f>
        <v>0</v>
      </c>
      <c r="BZ21" s="95">
        <v>0.8</v>
      </c>
      <c r="CA21" s="96"/>
      <c r="CB21" s="95">
        <f>IF(ISNUMBER(BZ21), (BV21+BW21)-BZ21, "")</f>
        <v>0</v>
      </c>
      <c r="CD21" s="95">
        <v>0.8</v>
      </c>
      <c r="CE21" s="96"/>
      <c r="CF21" s="95">
        <f>IF(ISNUMBER(CD21), (BZ21+CA21)-CD21, "")</f>
        <v>0</v>
      </c>
      <c r="CH21" s="95">
        <v>0.8</v>
      </c>
      <c r="CI21" s="96"/>
      <c r="CJ21" s="95">
        <f>IF(ISNUMBER(CH21), (CD21+CE21)-CH21, "")</f>
        <v>0</v>
      </c>
      <c r="CL21" s="95">
        <v>0.8</v>
      </c>
      <c r="CM21" s="96">
        <v>1</v>
      </c>
      <c r="CN21" s="95">
        <f>IF(ISNUMBER(CL21), (CH21+CI21)-CL21, "")</f>
        <v>0</v>
      </c>
      <c r="CP21" s="95">
        <v>1.8</v>
      </c>
      <c r="CQ21" s="96"/>
      <c r="CR21" s="95">
        <f>IF(ISNUMBER(CP21), (CL21+CM21)-CP21, "")</f>
        <v>0</v>
      </c>
      <c r="CT21" s="95">
        <v>1.8</v>
      </c>
      <c r="CU21" s="96"/>
      <c r="CV21" s="95">
        <f>IF(ISNUMBER(CT21), (CP21+CQ21)-CT21, "")</f>
        <v>0</v>
      </c>
      <c r="CX21" s="95">
        <v>1.8</v>
      </c>
      <c r="CY21" s="96"/>
      <c r="CZ21" s="95">
        <f>IF(ISNUMBER(CX21), (CT21+CU21)-CX21, "")</f>
        <v>0</v>
      </c>
      <c r="DB21" s="95">
        <v>1.7</v>
      </c>
      <c r="DC21" s="96"/>
      <c r="DD21" s="95">
        <f>IF(ISNUMBER(DB21), (CX21+CY21)-DB21, "")</f>
        <v>0.10000000000000009</v>
      </c>
      <c r="DF21" s="95">
        <v>1.7</v>
      </c>
      <c r="DG21" s="96"/>
      <c r="DH21" s="95">
        <f>IF(ISNUMBER(DF21), (DB21+DC21)-DF21, "")</f>
        <v>0</v>
      </c>
      <c r="DJ21" s="95">
        <v>1.7</v>
      </c>
      <c r="DK21" s="96"/>
      <c r="DL21" s="95">
        <f>IF(ISNUMBER(DJ21), (DF21+DG21)-DJ21, "")</f>
        <v>0</v>
      </c>
      <c r="DN21" s="95">
        <v>1.7</v>
      </c>
      <c r="DO21" s="96"/>
      <c r="DP21" s="95">
        <f>IF(ISNUMBER(DN21), (DJ21+DK21)-DN21, "")</f>
        <v>0</v>
      </c>
      <c r="DR21" s="95">
        <v>1.6</v>
      </c>
      <c r="DS21" s="96"/>
      <c r="DT21" s="95">
        <f>IF(ISNUMBER(DR21), (DN21+DO21)-DR21, "")</f>
        <v>9.9999999999999867E-2</v>
      </c>
      <c r="DV21" s="95">
        <v>1.6</v>
      </c>
      <c r="DW21" s="96"/>
      <c r="DX21" s="95">
        <f>IF(ISNUMBER(DV21), (DR21+DS21)-DV21, "")</f>
        <v>0</v>
      </c>
      <c r="DZ21" s="95">
        <v>1.6</v>
      </c>
      <c r="EA21" s="96"/>
      <c r="EB21" s="95">
        <f>IF(ISNUMBER(DZ21), (DV21+DW21)-DZ21, "")</f>
        <v>0</v>
      </c>
      <c r="ED21" s="95">
        <v>1.6</v>
      </c>
      <c r="EE21" s="96"/>
      <c r="EF21" s="95">
        <f>IF(ISNUMBER(ED21), (DZ21+EA21)-ED21, "")</f>
        <v>0</v>
      </c>
      <c r="EH21" s="95">
        <v>1.6</v>
      </c>
      <c r="EI21" s="96"/>
      <c r="EJ21" s="95">
        <f>IF(ISNUMBER(EH21), (ED21+EE21)-EH21, "")</f>
        <v>0</v>
      </c>
      <c r="EL21" s="95">
        <v>1.6</v>
      </c>
      <c r="EM21" s="96"/>
      <c r="EN21" s="95">
        <f>IF(ISNUMBER(EL21), (EH21+EI21)-EL21, "")</f>
        <v>0</v>
      </c>
      <c r="EP21" s="95">
        <v>1.6</v>
      </c>
      <c r="EQ21" s="96"/>
      <c r="ER21" s="95">
        <f>IF(ISNUMBER(EP21), (EL21+EM21)-EP21, "")</f>
        <v>0</v>
      </c>
      <c r="ET21" s="95">
        <v>1.6</v>
      </c>
      <c r="EU21" s="96"/>
      <c r="EV21" s="95">
        <f>IF(ISNUMBER(ET21), (EP21+EQ21)-ET21, "")</f>
        <v>0</v>
      </c>
      <c r="EX21" s="95">
        <v>1.6</v>
      </c>
      <c r="EY21" s="96"/>
      <c r="EZ21" s="95">
        <f>IF(ISNUMBER(EX21), (ET21+EU21)-EX21, "")</f>
        <v>0</v>
      </c>
      <c r="FB21" s="95">
        <v>1.6</v>
      </c>
      <c r="FC21" s="96"/>
      <c r="FD21" s="95">
        <f>IF(ISNUMBER(FB21), (EX21+EY21)-FB21, "")</f>
        <v>0</v>
      </c>
      <c r="FF21" s="95">
        <v>1.6</v>
      </c>
      <c r="FG21" s="96"/>
      <c r="FH21" s="95">
        <f>IF(ISNUMBER(FF21), (FB21+FC21)-FF21, "")</f>
        <v>0</v>
      </c>
      <c r="FJ21" s="95">
        <v>1.5</v>
      </c>
      <c r="FK21" s="96"/>
      <c r="FL21" s="95">
        <f>IF(ISNUMBER(FJ21), (FF21+FG21)-FJ21, "")</f>
        <v>0.10000000000000009</v>
      </c>
      <c r="FN21" s="95">
        <v>1.5</v>
      </c>
      <c r="FO21" s="96"/>
      <c r="FP21" s="95">
        <f>IF(ISNUMBER(FN21), (FJ21+FK21)-FN21, "")</f>
        <v>0</v>
      </c>
      <c r="FR21" s="95">
        <v>1.5</v>
      </c>
      <c r="FS21" s="96"/>
      <c r="FT21" s="95">
        <f>IF(ISNUMBER(FR21), (FN21+FO21)-FR21, "")</f>
        <v>0</v>
      </c>
      <c r="FV21" s="95">
        <v>1.5</v>
      </c>
      <c r="FW21" s="96"/>
      <c r="FX21" s="95">
        <f>IF(ISNUMBER(FV21), (FR21+FS21)-FV21, "")</f>
        <v>0</v>
      </c>
      <c r="FZ21" s="95">
        <v>1.5</v>
      </c>
      <c r="GA21" s="96"/>
      <c r="GB21" s="95">
        <f>IF(ISNUMBER(FZ21), (FV21+FW21)-FZ21, "")</f>
        <v>0</v>
      </c>
      <c r="GD21" s="95">
        <v>1.5</v>
      </c>
      <c r="GE21" s="96"/>
      <c r="GF21" s="95">
        <f>IF(ISNUMBER(GD21), (FZ21+GA21)-GD21, "")</f>
        <v>0</v>
      </c>
      <c r="GH21" s="105">
        <v>1.5</v>
      </c>
      <c r="GI21" s="96"/>
      <c r="GJ21" s="95">
        <f>IF(ISNUMBER(GH21), (GD21+GE21)-GH21, "")</f>
        <v>0</v>
      </c>
      <c r="GL21" s="105">
        <v>1.4</v>
      </c>
      <c r="GM21" s="96"/>
      <c r="GN21" s="95">
        <f t="shared" si="46"/>
        <v>0.10000000000000009</v>
      </c>
      <c r="GP21" s="95">
        <v>1.4</v>
      </c>
      <c r="GQ21" s="96"/>
      <c r="GR21" s="95">
        <f t="shared" si="114"/>
        <v>0</v>
      </c>
      <c r="GT21" s="95">
        <v>1.4</v>
      </c>
      <c r="GU21" s="96"/>
      <c r="GV21" s="95">
        <f>IF(ISNUMBER(GT21), (GP21+GQ21)-GT21, "")</f>
        <v>0</v>
      </c>
      <c r="GX21" s="95">
        <v>1.4</v>
      </c>
      <c r="GY21" s="96"/>
      <c r="GZ21" s="95">
        <f>IF(ISNUMBER(GX21), (GT21+GU21)-GX21, "")</f>
        <v>0</v>
      </c>
      <c r="HB21" s="95">
        <v>1.4</v>
      </c>
      <c r="HC21" s="96"/>
      <c r="HD21" s="95">
        <f>IF(ISNUMBER(HB21), (GX21+GY21)-HB21, "")</f>
        <v>0</v>
      </c>
      <c r="HF21" s="95">
        <v>1.4</v>
      </c>
      <c r="HG21" s="96"/>
      <c r="HH21" s="95">
        <f>IF(ISNUMBER(HF21), (HB21+HC21)-HF21, "")</f>
        <v>0</v>
      </c>
      <c r="HJ21" s="95">
        <v>1.3</v>
      </c>
      <c r="HK21" s="96"/>
      <c r="HL21" s="95">
        <f>IF(ISNUMBER(HJ21), (HF21+HG21)-HJ21, "")</f>
        <v>9.9999999999999867E-2</v>
      </c>
      <c r="HN21" s="95">
        <v>1.3</v>
      </c>
      <c r="HO21" s="96"/>
      <c r="HP21" s="95">
        <f>IF(ISNUMBER(HN21), (HJ21+HK21)-HN21, "")</f>
        <v>0</v>
      </c>
      <c r="HR21" s="95">
        <v>1.3</v>
      </c>
      <c r="HS21" s="96"/>
      <c r="HT21" s="95">
        <f>IF(ISNUMBER(HR21), (HN21+HO21)-HR21, "")</f>
        <v>0</v>
      </c>
      <c r="HV21" s="95">
        <v>1.3</v>
      </c>
      <c r="HW21" s="96"/>
      <c r="HX21" s="95">
        <f>IF(ISNUMBER(HV21), (HR21+HS21)-HV21, "")</f>
        <v>0</v>
      </c>
      <c r="HZ21" s="115">
        <v>1.3</v>
      </c>
      <c r="IA21" s="96"/>
      <c r="IB21" s="95">
        <f t="shared" ref="IB21:IB28" si="117">IF(ISNUMBER(HZ21), (HV21+HW21)-HZ21, "")</f>
        <v>0</v>
      </c>
      <c r="ID21" s="95">
        <v>1.3</v>
      </c>
      <c r="IE21" s="96"/>
      <c r="IF21" s="95">
        <f t="shared" ref="IF21:IF28" si="118">IF(ISNUMBER(ID21), (HZ21+IA21)-ID21, "")</f>
        <v>0</v>
      </c>
      <c r="IH21" s="115">
        <v>1.3</v>
      </c>
      <c r="II21" s="96"/>
      <c r="IJ21" s="95">
        <f t="shared" si="58"/>
        <v>0</v>
      </c>
      <c r="IL21" s="95">
        <v>1.3</v>
      </c>
      <c r="IM21" s="96"/>
      <c r="IN21" s="95">
        <f t="shared" si="59"/>
        <v>0</v>
      </c>
      <c r="IP21" s="95">
        <v>1.3</v>
      </c>
      <c r="IQ21" s="96"/>
      <c r="IR21" s="95">
        <f t="shared" si="60"/>
        <v>0</v>
      </c>
      <c r="IT21" s="95">
        <v>1.3</v>
      </c>
      <c r="IU21" s="96"/>
      <c r="IV21" s="95">
        <f t="shared" si="61"/>
        <v>0</v>
      </c>
      <c r="IX21" s="95">
        <v>1.3</v>
      </c>
      <c r="IY21" s="96"/>
      <c r="IZ21" s="95">
        <f t="shared" si="62"/>
        <v>0</v>
      </c>
      <c r="JB21" s="95">
        <v>1.3</v>
      </c>
      <c r="JC21" s="96"/>
      <c r="JD21" s="95">
        <f t="shared" si="63"/>
        <v>0</v>
      </c>
      <c r="JF21" s="95">
        <v>1.3</v>
      </c>
      <c r="JG21" s="96"/>
      <c r="JH21" s="95">
        <f t="shared" si="64"/>
        <v>0</v>
      </c>
      <c r="JJ21" s="95">
        <v>1.3</v>
      </c>
      <c r="JK21" s="96"/>
      <c r="JL21" s="95">
        <f t="shared" si="65"/>
        <v>0</v>
      </c>
      <c r="JN21" s="95">
        <v>1.1000000000000001</v>
      </c>
      <c r="JO21" s="96"/>
      <c r="JP21" s="95">
        <f t="shared" si="66"/>
        <v>0.19999999999999996</v>
      </c>
      <c r="JR21" s="95">
        <v>1.1000000000000001</v>
      </c>
      <c r="JS21" s="96"/>
      <c r="JT21" s="95">
        <f t="shared" si="67"/>
        <v>0</v>
      </c>
      <c r="JV21" s="95">
        <v>1.1000000000000001</v>
      </c>
      <c r="JW21" s="96"/>
      <c r="JX21" s="95">
        <f t="shared" si="68"/>
        <v>0</v>
      </c>
      <c r="JZ21" s="95">
        <v>1.1000000000000001</v>
      </c>
      <c r="KA21" s="96"/>
      <c r="KB21" s="95">
        <f t="shared" si="69"/>
        <v>0</v>
      </c>
      <c r="KD21" s="95">
        <v>0.8</v>
      </c>
      <c r="KE21" s="96"/>
      <c r="KF21" s="95">
        <f t="shared" si="70"/>
        <v>0.30000000000000004</v>
      </c>
      <c r="KH21" s="95">
        <v>0.8</v>
      </c>
      <c r="KI21" s="96"/>
      <c r="KJ21" s="95">
        <f t="shared" si="71"/>
        <v>0</v>
      </c>
      <c r="KL21" s="95">
        <v>0.8</v>
      </c>
      <c r="KM21" s="96"/>
      <c r="KN21" s="95">
        <f t="shared" si="72"/>
        <v>0</v>
      </c>
      <c r="KP21" s="95">
        <v>0.8</v>
      </c>
      <c r="KQ21" s="96"/>
      <c r="KR21" s="95">
        <f t="shared" si="73"/>
        <v>0</v>
      </c>
      <c r="KT21" s="95">
        <v>0.8</v>
      </c>
      <c r="KU21" s="96"/>
      <c r="KV21" s="95">
        <f t="shared" si="74"/>
        <v>0</v>
      </c>
      <c r="KX21" s="95">
        <v>0.8</v>
      </c>
      <c r="KY21" s="96"/>
      <c r="KZ21" s="95">
        <f t="shared" si="75"/>
        <v>0</v>
      </c>
      <c r="LB21" s="95">
        <v>0.8</v>
      </c>
      <c r="LC21" s="96"/>
      <c r="LD21" s="95">
        <f t="shared" si="76"/>
        <v>0</v>
      </c>
      <c r="LF21" s="95">
        <v>0.8</v>
      </c>
      <c r="LG21" s="96"/>
      <c r="LH21" s="95">
        <f t="shared" si="77"/>
        <v>0</v>
      </c>
      <c r="LJ21" s="95">
        <v>0.8</v>
      </c>
      <c r="LK21" s="96"/>
      <c r="LL21" s="95">
        <f t="shared" si="78"/>
        <v>0</v>
      </c>
      <c r="LN21" s="95">
        <v>0.8</v>
      </c>
      <c r="LO21" s="96"/>
      <c r="LP21" s="95">
        <f t="shared" si="79"/>
        <v>0</v>
      </c>
      <c r="LR21" s="105">
        <v>0.8</v>
      </c>
      <c r="LS21" s="96"/>
      <c r="LT21" s="95">
        <f t="shared" si="80"/>
        <v>0</v>
      </c>
      <c r="LV21" s="105">
        <v>0.8</v>
      </c>
      <c r="LW21" s="96"/>
      <c r="LX21" s="95">
        <f t="shared" si="115"/>
        <v>0</v>
      </c>
      <c r="LZ21" s="95">
        <v>0.8</v>
      </c>
      <c r="MA21" s="96"/>
      <c r="MB21" s="95">
        <f t="shared" si="82"/>
        <v>0</v>
      </c>
      <c r="MD21" s="95">
        <v>0.6</v>
      </c>
      <c r="ME21" s="96"/>
      <c r="MF21" s="95">
        <f t="shared" si="116"/>
        <v>0.20000000000000007</v>
      </c>
      <c r="MH21" s="95">
        <v>0.5</v>
      </c>
      <c r="MI21" s="96"/>
      <c r="MJ21" s="95">
        <f t="shared" si="84"/>
        <v>9.9999999999999978E-2</v>
      </c>
      <c r="ML21" s="95">
        <v>0.5</v>
      </c>
      <c r="MM21" s="96"/>
      <c r="MN21" s="95">
        <f t="shared" si="85"/>
        <v>0</v>
      </c>
      <c r="MP21" s="95">
        <v>0.5</v>
      </c>
      <c r="MQ21" s="116">
        <v>1</v>
      </c>
      <c r="MR21" s="95">
        <f t="shared" si="86"/>
        <v>0</v>
      </c>
      <c r="MT21" s="95">
        <v>1.5</v>
      </c>
      <c r="MU21" s="96"/>
      <c r="MV21" s="95">
        <f t="shared" si="87"/>
        <v>0</v>
      </c>
      <c r="MX21" s="95">
        <v>1.5</v>
      </c>
      <c r="MY21" s="96"/>
      <c r="MZ21" s="95">
        <f t="shared" si="88"/>
        <v>0</v>
      </c>
      <c r="NB21" s="95">
        <v>1.5</v>
      </c>
      <c r="NC21" s="96"/>
      <c r="ND21" s="95">
        <f t="shared" si="89"/>
        <v>0</v>
      </c>
      <c r="NF21" s="105">
        <v>1.4</v>
      </c>
      <c r="NG21" s="96"/>
      <c r="NH21" s="95">
        <f t="shared" si="90"/>
        <v>0.10000000000000009</v>
      </c>
      <c r="NJ21" s="95">
        <v>1.1000000000000001</v>
      </c>
      <c r="NK21" s="96"/>
      <c r="NL21" s="95">
        <f t="shared" si="91"/>
        <v>0.29999999999999982</v>
      </c>
      <c r="NN21" s="95">
        <v>1</v>
      </c>
      <c r="NO21" s="96"/>
      <c r="NP21" s="95">
        <f t="shared" si="92"/>
        <v>0.10000000000000009</v>
      </c>
      <c r="NR21" s="95">
        <v>1</v>
      </c>
      <c r="NS21" s="96"/>
      <c r="NT21" s="95">
        <f t="shared" si="93"/>
        <v>0</v>
      </c>
      <c r="NV21" s="95">
        <v>1</v>
      </c>
      <c r="NW21" s="96"/>
      <c r="NX21" s="95">
        <f t="shared" si="94"/>
        <v>0</v>
      </c>
      <c r="NZ21" s="95">
        <v>1</v>
      </c>
      <c r="OA21" s="96"/>
      <c r="OB21" s="95">
        <f t="shared" si="95"/>
        <v>0</v>
      </c>
      <c r="OD21" s="95">
        <v>1</v>
      </c>
      <c r="OE21" s="96"/>
      <c r="OF21" s="95">
        <f t="shared" si="96"/>
        <v>0</v>
      </c>
      <c r="OH21" s="105">
        <v>1</v>
      </c>
      <c r="OI21" s="96"/>
      <c r="OJ21" s="95">
        <f t="shared" si="97"/>
        <v>0</v>
      </c>
      <c r="OL21" s="95">
        <v>1</v>
      </c>
      <c r="OM21" s="96"/>
      <c r="ON21" s="95">
        <f t="shared" si="98"/>
        <v>0</v>
      </c>
      <c r="OP21" s="105">
        <v>0.9</v>
      </c>
      <c r="OQ21" s="96"/>
      <c r="OR21" s="95">
        <f t="shared" si="99"/>
        <v>9.9999999999999978E-2</v>
      </c>
      <c r="OT21" s="95">
        <v>0.9</v>
      </c>
      <c r="OU21" s="96"/>
      <c r="OV21" s="95">
        <f t="shared" si="100"/>
        <v>0</v>
      </c>
      <c r="OX21" s="105">
        <v>0.9</v>
      </c>
      <c r="OY21" s="96"/>
      <c r="OZ21" s="95">
        <f t="shared" si="101"/>
        <v>0</v>
      </c>
      <c r="PB21" s="95">
        <v>0.9</v>
      </c>
      <c r="PC21" s="96"/>
      <c r="PD21" s="95">
        <f t="shared" si="102"/>
        <v>0</v>
      </c>
      <c r="PF21" s="95">
        <v>0.9</v>
      </c>
      <c r="PG21" s="96"/>
      <c r="PH21" s="95">
        <f t="shared" si="103"/>
        <v>0</v>
      </c>
      <c r="PJ21" s="105">
        <v>0.9</v>
      </c>
      <c r="PK21" s="96"/>
      <c r="PL21" s="95">
        <f t="shared" si="104"/>
        <v>0</v>
      </c>
      <c r="PN21" s="105">
        <v>0.9</v>
      </c>
      <c r="PO21" s="96"/>
      <c r="PP21" s="95">
        <f t="shared" si="105"/>
        <v>0</v>
      </c>
      <c r="PR21" s="95">
        <v>0.9</v>
      </c>
      <c r="PS21" s="96"/>
      <c r="PT21" s="95">
        <f t="shared" si="106"/>
        <v>0</v>
      </c>
      <c r="PV21" s="190">
        <v>0.9</v>
      </c>
      <c r="PW21" s="194"/>
      <c r="PX21" s="190">
        <f t="shared" si="107"/>
        <v>0</v>
      </c>
      <c r="PZ21" s="105"/>
      <c r="QA21" s="96"/>
      <c r="QB21" s="95" t="str">
        <f t="shared" si="108"/>
        <v/>
      </c>
    </row>
    <row r="22" spans="1:444" ht="12.75" customHeight="1" x14ac:dyDescent="0.2">
      <c r="A22" s="124" t="s">
        <v>88</v>
      </c>
      <c r="B22" s="102" t="s">
        <v>95</v>
      </c>
      <c r="C22" s="87">
        <v>0.4</v>
      </c>
      <c r="D22" s="87">
        <v>43621</v>
      </c>
      <c r="F22" s="95">
        <v>0.3</v>
      </c>
      <c r="G22" s="96"/>
      <c r="H22" s="113"/>
      <c r="J22" s="95">
        <v>0.3</v>
      </c>
      <c r="K22" s="96"/>
      <c r="L22" s="95">
        <f t="shared" si="112"/>
        <v>0</v>
      </c>
      <c r="N22" s="105">
        <v>0.3</v>
      </c>
      <c r="O22" s="96"/>
      <c r="P22" s="95">
        <f t="shared" ref="P22" si="119">IF(ISNUMBER(N22), (J22+K22)-N22, "")</f>
        <v>0</v>
      </c>
      <c r="R22" s="95">
        <v>0.3</v>
      </c>
      <c r="S22" s="96"/>
      <c r="T22" s="95">
        <f t="shared" ref="T22" si="120">IF(ISNUMBER(R22), (N22+O22)-R22, "")</f>
        <v>0</v>
      </c>
      <c r="V22" s="95">
        <v>0.3</v>
      </c>
      <c r="W22" s="96"/>
      <c r="X22" s="95">
        <f t="shared" ref="X22" si="121">IF(ISNUMBER(V22), (R22+S22)-V22, "")</f>
        <v>0</v>
      </c>
      <c r="Z22" s="105">
        <v>0.3</v>
      </c>
      <c r="AA22" s="96"/>
      <c r="AB22" s="95">
        <f t="shared" ref="AB22" si="122">IF(ISNUMBER(Z22), (V22+W22)-Z22, "")</f>
        <v>0</v>
      </c>
      <c r="AD22" s="105">
        <v>0.3</v>
      </c>
      <c r="AE22" s="96"/>
      <c r="AF22" s="95">
        <f t="shared" ref="AF22" si="123">IF(ISNUMBER(AD22), (Z22+AA22)-AD22, "")</f>
        <v>0</v>
      </c>
      <c r="AH22" s="95">
        <v>0.3</v>
      </c>
      <c r="AI22" s="96"/>
      <c r="AJ22" s="95">
        <f t="shared" ref="AJ22" si="124">IF(ISNUMBER(AH22), (AD22+AE22)-AH22, "")</f>
        <v>0</v>
      </c>
      <c r="AL22" s="105">
        <v>0.3</v>
      </c>
      <c r="AM22" s="96"/>
      <c r="AN22" s="95">
        <f t="shared" ref="AN22" si="125">IF(ISNUMBER(AL22), (AH22+AI22)-AL22, "")</f>
        <v>0</v>
      </c>
      <c r="AP22" s="105">
        <v>0.1</v>
      </c>
      <c r="AQ22" s="96"/>
      <c r="AR22" s="95">
        <f t="shared" ref="AR22" si="126">IF(ISNUMBER(AP22), (AL22+AM22)-AP22, "")</f>
        <v>0.19999999999999998</v>
      </c>
      <c r="AT22" s="95">
        <v>0.1</v>
      </c>
      <c r="AU22" s="96"/>
      <c r="AV22" s="95">
        <f t="shared" ref="AV22" si="127">IF(ISNUMBER(AT22), (AP22+AQ22)-AT22, "")</f>
        <v>0</v>
      </c>
      <c r="AX22" s="95">
        <v>0.1</v>
      </c>
      <c r="AY22" s="96"/>
      <c r="AZ22" s="95">
        <f t="shared" ref="AZ22" si="128">IF(ISNUMBER(AX22), (AT22+AU22)-AX22, "")</f>
        <v>0</v>
      </c>
      <c r="BB22" s="95">
        <v>0</v>
      </c>
      <c r="BC22" s="96">
        <v>1</v>
      </c>
      <c r="BD22" s="95">
        <f t="shared" ref="BD22" si="129">IF(ISNUMBER(BB22), (AX22+AY22)-BB22, "")</f>
        <v>0.1</v>
      </c>
      <c r="BF22" s="95">
        <v>1.1000000000000001</v>
      </c>
      <c r="BG22" s="96"/>
      <c r="BH22" s="95">
        <f t="shared" ref="BH22" si="130">IF(ISNUMBER(BF22), (BB22+BC22)-BF22, "")</f>
        <v>-0.10000000000000009</v>
      </c>
      <c r="BJ22" s="95">
        <v>1.1000000000000001</v>
      </c>
      <c r="BK22" s="96"/>
      <c r="BL22" s="95">
        <f t="shared" ref="BL22" si="131">IF(ISNUMBER(BJ22), (BF22+BG22)-BJ22, "")</f>
        <v>0</v>
      </c>
      <c r="BN22" s="95">
        <v>1</v>
      </c>
      <c r="BO22" s="96"/>
      <c r="BP22" s="95">
        <f t="shared" ref="BP22" si="132">IF(ISNUMBER(BN22), (BJ22+BK22)-BN22, "")</f>
        <v>0.10000000000000009</v>
      </c>
      <c r="BR22" s="115">
        <v>1</v>
      </c>
      <c r="BS22" s="116"/>
      <c r="BT22" s="115">
        <f t="shared" si="113"/>
        <v>0</v>
      </c>
      <c r="BV22" s="105">
        <v>0.8</v>
      </c>
      <c r="BW22" s="96"/>
      <c r="BX22" s="95">
        <f t="shared" ref="BX22" si="133">IF(ISNUMBER(BV22), (BR22+BS22)-BV22, "")</f>
        <v>0.19999999999999996</v>
      </c>
      <c r="BZ22" s="95">
        <v>0.8</v>
      </c>
      <c r="CA22" s="96"/>
      <c r="CB22" s="95">
        <f t="shared" ref="CB22" si="134">IF(ISNUMBER(BZ22), (BV22+BW22)-BZ22, "")</f>
        <v>0</v>
      </c>
      <c r="CD22" s="95">
        <v>0.8</v>
      </c>
      <c r="CE22" s="96"/>
      <c r="CF22" s="95">
        <f t="shared" ref="CF22" si="135">IF(ISNUMBER(CD22), (BZ22+CA22)-CD22, "")</f>
        <v>0</v>
      </c>
      <c r="CH22" s="95">
        <v>0.8</v>
      </c>
      <c r="CI22" s="96"/>
      <c r="CJ22" s="95">
        <f t="shared" ref="CJ22" si="136">IF(ISNUMBER(CH22), (CD22+CE22)-CH22, "")</f>
        <v>0</v>
      </c>
      <c r="CL22" s="95">
        <v>0.8</v>
      </c>
      <c r="CM22" s="96"/>
      <c r="CN22" s="95">
        <f t="shared" ref="CN22" si="137">IF(ISNUMBER(CL22), (CH22+CI22)-CL22, "")</f>
        <v>0</v>
      </c>
      <c r="CP22" s="95">
        <v>0.8</v>
      </c>
      <c r="CQ22" s="96"/>
      <c r="CR22" s="95">
        <f t="shared" ref="CR22" si="138">IF(ISNUMBER(CP22), (CL22+CM22)-CP22, "")</f>
        <v>0</v>
      </c>
      <c r="CT22" s="95">
        <v>0.8</v>
      </c>
      <c r="CU22" s="96"/>
      <c r="CV22" s="95">
        <f t="shared" ref="CV22" si="139">IF(ISNUMBER(CT22), (CP22+CQ22)-CT22, "")</f>
        <v>0</v>
      </c>
      <c r="CX22" s="95">
        <v>0.7</v>
      </c>
      <c r="CY22" s="96"/>
      <c r="CZ22" s="95">
        <f t="shared" ref="CZ22" si="140">IF(ISNUMBER(CX22), (CT22+CU22)-CX22, "")</f>
        <v>0.10000000000000009</v>
      </c>
      <c r="DB22" s="95">
        <v>0.7</v>
      </c>
      <c r="DC22" s="96"/>
      <c r="DD22" s="95">
        <f t="shared" ref="DD22" si="141">IF(ISNUMBER(DB22), (CX22+CY22)-DB22, "")</f>
        <v>0</v>
      </c>
      <c r="DF22" s="95">
        <v>0.7</v>
      </c>
      <c r="DG22" s="96"/>
      <c r="DH22" s="95">
        <f t="shared" ref="DH22" si="142">IF(ISNUMBER(DF22), (DB22+DC22)-DF22, "")</f>
        <v>0</v>
      </c>
      <c r="DJ22" s="95">
        <v>0.7</v>
      </c>
      <c r="DK22" s="96"/>
      <c r="DL22" s="95">
        <f t="shared" ref="DL22" si="143">IF(ISNUMBER(DJ22), (DF22+DG22)-DJ22, "")</f>
        <v>0</v>
      </c>
      <c r="DN22" s="95">
        <v>0.6</v>
      </c>
      <c r="DO22" s="96"/>
      <c r="DP22" s="95">
        <f t="shared" ref="DP22" si="144">IF(ISNUMBER(DN22), (DJ22+DK22)-DN22, "")</f>
        <v>9.9999999999999978E-2</v>
      </c>
      <c r="DR22" s="95">
        <v>0.6</v>
      </c>
      <c r="DS22" s="96"/>
      <c r="DT22" s="95">
        <f t="shared" ref="DT22" si="145">IF(ISNUMBER(DR22), (DN22+DO22)-DR22, "")</f>
        <v>0</v>
      </c>
      <c r="DV22" s="95">
        <v>0.6</v>
      </c>
      <c r="DW22" s="96"/>
      <c r="DX22" s="95">
        <f t="shared" ref="DX22" si="146">IF(ISNUMBER(DV22), (DR22+DS22)-DV22, "")</f>
        <v>0</v>
      </c>
      <c r="DZ22" s="95">
        <v>0.6</v>
      </c>
      <c r="EA22" s="96"/>
      <c r="EB22" s="95">
        <f t="shared" ref="EB22" si="147">IF(ISNUMBER(DZ22), (DV22+DW22)-DZ22, "")</f>
        <v>0</v>
      </c>
      <c r="ED22" s="95">
        <v>0.4</v>
      </c>
      <c r="EE22" s="96"/>
      <c r="EF22" s="95">
        <f t="shared" ref="EF22" si="148">IF(ISNUMBER(ED22), (DZ22+EA22)-ED22, "")</f>
        <v>0.19999999999999996</v>
      </c>
      <c r="EH22" s="95">
        <v>0.4</v>
      </c>
      <c r="EI22" s="96"/>
      <c r="EJ22" s="95">
        <f t="shared" ref="EJ22" si="149">IF(ISNUMBER(EH22), (ED22+EE22)-EH22, "")</f>
        <v>0</v>
      </c>
      <c r="EL22" s="95">
        <v>0.4</v>
      </c>
      <c r="EM22" s="96"/>
      <c r="EN22" s="95">
        <f t="shared" ref="EN22" si="150">IF(ISNUMBER(EL22), (EH22+EI22)-EL22, "")</f>
        <v>0</v>
      </c>
      <c r="EP22" s="95">
        <v>0.4</v>
      </c>
      <c r="EQ22" s="96"/>
      <c r="ER22" s="95">
        <f t="shared" ref="ER22" si="151">IF(ISNUMBER(EP22), (EL22+EM22)-EP22, "")</f>
        <v>0</v>
      </c>
      <c r="ET22" s="95">
        <v>0.4</v>
      </c>
      <c r="EU22" s="96"/>
      <c r="EV22" s="95">
        <f t="shared" ref="EV22" si="152">IF(ISNUMBER(ET22), (EP22+EQ22)-ET22, "")</f>
        <v>0</v>
      </c>
      <c r="EX22" s="95">
        <v>0.4</v>
      </c>
      <c r="EY22" s="96"/>
      <c r="EZ22" s="95">
        <f t="shared" ref="EZ22" si="153">IF(ISNUMBER(EX22), (ET22+EU22)-EX22, "")</f>
        <v>0</v>
      </c>
      <c r="FB22" s="95">
        <v>0.4</v>
      </c>
      <c r="FC22" s="96"/>
      <c r="FD22" s="95">
        <f t="shared" ref="FD22" si="154">IF(ISNUMBER(FB22), (EX22+EY22)-FB22, "")</f>
        <v>0</v>
      </c>
      <c r="FF22" s="95">
        <v>0.4</v>
      </c>
      <c r="FG22" s="96"/>
      <c r="FH22" s="95">
        <f t="shared" ref="FH22" si="155">IF(ISNUMBER(FF22), (FB22+FC22)-FF22, "")</f>
        <v>0</v>
      </c>
      <c r="FJ22" s="95">
        <v>0.4</v>
      </c>
      <c r="FK22" s="96"/>
      <c r="FL22" s="95">
        <f t="shared" ref="FL22" si="156">IF(ISNUMBER(FJ22), (FF22+FG22)-FJ22, "")</f>
        <v>0</v>
      </c>
      <c r="FN22" s="95">
        <v>0.4</v>
      </c>
      <c r="FO22" s="96"/>
      <c r="FP22" s="95">
        <f t="shared" ref="FP22" si="157">IF(ISNUMBER(FN22), (FJ22+FK22)-FN22, "")</f>
        <v>0</v>
      </c>
      <c r="FR22" s="95">
        <v>0.4</v>
      </c>
      <c r="FS22" s="96"/>
      <c r="FT22" s="95">
        <f t="shared" ref="FT22" si="158">IF(ISNUMBER(FR22), (FN22+FO22)-FR22, "")</f>
        <v>0</v>
      </c>
      <c r="FV22" s="95">
        <v>0.4</v>
      </c>
      <c r="FW22" s="96"/>
      <c r="FX22" s="95">
        <f t="shared" ref="FX22" si="159">IF(ISNUMBER(FV22), (FR22+FS22)-FV22, "")</f>
        <v>0</v>
      </c>
      <c r="FZ22" s="95">
        <v>0.4</v>
      </c>
      <c r="GA22" s="96"/>
      <c r="GB22" s="95">
        <f t="shared" ref="GB22" si="160">IF(ISNUMBER(FZ22), (FV22+FW22)-FZ22, "")</f>
        <v>0</v>
      </c>
      <c r="GD22" s="95">
        <v>0.4</v>
      </c>
      <c r="GE22" s="96"/>
      <c r="GF22" s="95">
        <f t="shared" ref="GF22" si="161">IF(ISNUMBER(GD22), (FZ22+GA22)-GD22, "")</f>
        <v>0</v>
      </c>
      <c r="GH22" s="105">
        <v>0.4</v>
      </c>
      <c r="GI22" s="96"/>
      <c r="GJ22" s="95">
        <f t="shared" ref="GJ22" si="162">IF(ISNUMBER(GH22), (GD22+GE22)-GH22, "")</f>
        <v>0</v>
      </c>
      <c r="GL22" s="105">
        <v>0.4</v>
      </c>
      <c r="GM22" s="96"/>
      <c r="GN22" s="95">
        <f t="shared" si="46"/>
        <v>0</v>
      </c>
      <c r="GP22" s="95">
        <v>0.4</v>
      </c>
      <c r="GQ22" s="96"/>
      <c r="GR22" s="95">
        <f t="shared" si="114"/>
        <v>0</v>
      </c>
      <c r="GT22" s="95">
        <v>0.3</v>
      </c>
      <c r="GU22" s="96"/>
      <c r="GV22" s="95">
        <f t="shared" ref="GV22" si="163">IF(ISNUMBER(GT22), (GP22+GQ22)-GT22, "")</f>
        <v>0.10000000000000003</v>
      </c>
      <c r="GX22" s="95">
        <v>0.3</v>
      </c>
      <c r="GY22" s="96"/>
      <c r="GZ22" s="95">
        <f t="shared" ref="GZ22" si="164">IF(ISNUMBER(GX22), (GT22+GU22)-GX22, "")</f>
        <v>0</v>
      </c>
      <c r="HB22" s="95">
        <v>0.3</v>
      </c>
      <c r="HC22" s="96"/>
      <c r="HD22" s="95">
        <f t="shared" ref="HD22" si="165">IF(ISNUMBER(HB22), (GX22+GY22)-HB22, "")</f>
        <v>0</v>
      </c>
      <c r="HF22" s="95">
        <v>0.3</v>
      </c>
      <c r="HG22" s="96"/>
      <c r="HH22" s="95">
        <f t="shared" ref="HH22" si="166">IF(ISNUMBER(HF22), (HB22+HC22)-HF22, "")</f>
        <v>0</v>
      </c>
      <c r="HJ22" s="95">
        <v>0.3</v>
      </c>
      <c r="HK22" s="96"/>
      <c r="HL22" s="95">
        <f t="shared" ref="HL22" si="167">IF(ISNUMBER(HJ22), (HF22+HG22)-HJ22, "")</f>
        <v>0</v>
      </c>
      <c r="HN22" s="95">
        <v>0.3</v>
      </c>
      <c r="HO22" s="96"/>
      <c r="HP22" s="95">
        <f t="shared" ref="HP22" si="168">IF(ISNUMBER(HN22), (HJ22+HK22)-HN22, "")</f>
        <v>0</v>
      </c>
      <c r="HR22" s="95">
        <v>0.3</v>
      </c>
      <c r="HS22" s="96"/>
      <c r="HT22" s="95">
        <f t="shared" ref="HT22" si="169">IF(ISNUMBER(HR22), (HN22+HO22)-HR22, "")</f>
        <v>0</v>
      </c>
      <c r="HV22" s="95">
        <v>0.3</v>
      </c>
      <c r="HW22" s="96"/>
      <c r="HX22" s="95">
        <f t="shared" ref="HX22" si="170">IF(ISNUMBER(HV22), (HR22+HS22)-HV22, "")</f>
        <v>0</v>
      </c>
      <c r="HZ22" s="115">
        <v>0.3</v>
      </c>
      <c r="IA22" s="96"/>
      <c r="IB22" s="95">
        <f t="shared" si="117"/>
        <v>0</v>
      </c>
      <c r="ID22" s="95">
        <v>0.3</v>
      </c>
      <c r="IE22" s="96"/>
      <c r="IF22" s="95">
        <f t="shared" si="118"/>
        <v>0</v>
      </c>
      <c r="IH22" s="115">
        <v>0.3</v>
      </c>
      <c r="II22" s="96"/>
      <c r="IJ22" s="95">
        <f t="shared" si="58"/>
        <v>0</v>
      </c>
      <c r="IL22" s="95">
        <v>0.3</v>
      </c>
      <c r="IM22" s="96"/>
      <c r="IN22" s="95">
        <f t="shared" si="59"/>
        <v>0</v>
      </c>
      <c r="IP22" s="95">
        <v>0.3</v>
      </c>
      <c r="IQ22" s="96"/>
      <c r="IR22" s="95">
        <f t="shared" si="60"/>
        <v>0</v>
      </c>
      <c r="IT22" s="95">
        <v>0.3</v>
      </c>
      <c r="IU22" s="96"/>
      <c r="IV22" s="95">
        <f t="shared" si="61"/>
        <v>0</v>
      </c>
      <c r="IX22" s="95">
        <v>0.3</v>
      </c>
      <c r="IY22" s="96"/>
      <c r="IZ22" s="95">
        <f t="shared" si="62"/>
        <v>0</v>
      </c>
      <c r="JB22" s="95">
        <v>0.3</v>
      </c>
      <c r="JC22" s="96"/>
      <c r="JD22" s="95">
        <f t="shared" si="63"/>
        <v>0</v>
      </c>
      <c r="JF22" s="95">
        <v>0.3</v>
      </c>
      <c r="JG22" s="96"/>
      <c r="JH22" s="95">
        <f t="shared" si="64"/>
        <v>0</v>
      </c>
      <c r="JJ22" s="95">
        <v>0.3</v>
      </c>
      <c r="JK22" s="96"/>
      <c r="JL22" s="95">
        <f t="shared" si="65"/>
        <v>0</v>
      </c>
      <c r="JN22" s="95">
        <v>0.3</v>
      </c>
      <c r="JO22" s="96"/>
      <c r="JP22" s="95">
        <f t="shared" si="66"/>
        <v>0</v>
      </c>
      <c r="JR22" s="95">
        <v>0.3</v>
      </c>
      <c r="JS22" s="96"/>
      <c r="JT22" s="95">
        <f t="shared" si="67"/>
        <v>0</v>
      </c>
      <c r="JV22" s="95">
        <v>0.3</v>
      </c>
      <c r="JW22" s="96"/>
      <c r="JX22" s="95">
        <f t="shared" si="68"/>
        <v>0</v>
      </c>
      <c r="JZ22" s="95">
        <v>0.2</v>
      </c>
      <c r="KA22" s="96"/>
      <c r="KB22" s="95">
        <f t="shared" si="69"/>
        <v>9.9999999999999978E-2</v>
      </c>
      <c r="KD22" s="95">
        <v>0.2</v>
      </c>
      <c r="KE22" s="96"/>
      <c r="KF22" s="95">
        <f t="shared" si="70"/>
        <v>0</v>
      </c>
      <c r="KH22" s="95">
        <v>0.2</v>
      </c>
      <c r="KI22" s="96"/>
      <c r="KJ22" s="95">
        <f t="shared" si="71"/>
        <v>0</v>
      </c>
      <c r="KL22" s="95">
        <v>0.1</v>
      </c>
      <c r="KM22" s="96">
        <v>1</v>
      </c>
      <c r="KN22" s="95">
        <f t="shared" si="72"/>
        <v>0.1</v>
      </c>
      <c r="KP22" s="95">
        <v>1.1000000000000001</v>
      </c>
      <c r="KQ22" s="96"/>
      <c r="KR22" s="95">
        <f t="shared" si="73"/>
        <v>0</v>
      </c>
      <c r="KT22" s="95">
        <v>1.1000000000000001</v>
      </c>
      <c r="KU22" s="96"/>
      <c r="KV22" s="95">
        <f t="shared" si="74"/>
        <v>0</v>
      </c>
      <c r="KX22" s="95">
        <v>1.1000000000000001</v>
      </c>
      <c r="KY22" s="96"/>
      <c r="KZ22" s="95">
        <f t="shared" si="75"/>
        <v>0</v>
      </c>
      <c r="LB22" s="95">
        <v>1.1000000000000001</v>
      </c>
      <c r="LC22" s="96"/>
      <c r="LD22" s="95">
        <f t="shared" si="76"/>
        <v>0</v>
      </c>
      <c r="LF22" s="95">
        <v>1.1000000000000001</v>
      </c>
      <c r="LG22" s="96"/>
      <c r="LH22" s="95">
        <f t="shared" si="77"/>
        <v>0</v>
      </c>
      <c r="LJ22" s="95">
        <v>1.1000000000000001</v>
      </c>
      <c r="LK22" s="96"/>
      <c r="LL22" s="95">
        <f t="shared" si="78"/>
        <v>0</v>
      </c>
      <c r="LN22" s="95">
        <v>1.1000000000000001</v>
      </c>
      <c r="LO22" s="96"/>
      <c r="LP22" s="95">
        <f t="shared" si="79"/>
        <v>0</v>
      </c>
      <c r="LR22" s="105">
        <v>1</v>
      </c>
      <c r="LS22" s="96"/>
      <c r="LT22" s="95">
        <f t="shared" si="80"/>
        <v>0.10000000000000009</v>
      </c>
      <c r="LV22" s="105">
        <v>0.7</v>
      </c>
      <c r="LW22" s="96"/>
      <c r="LX22" s="95">
        <f t="shared" si="115"/>
        <v>0.30000000000000004</v>
      </c>
      <c r="LZ22" s="95">
        <v>0.7</v>
      </c>
      <c r="MA22" s="96"/>
      <c r="MB22" s="95">
        <f t="shared" si="82"/>
        <v>0</v>
      </c>
      <c r="MD22" s="95">
        <v>0.7</v>
      </c>
      <c r="ME22" s="96"/>
      <c r="MF22" s="95">
        <f t="shared" si="116"/>
        <v>0</v>
      </c>
      <c r="MH22" s="95">
        <v>0.7</v>
      </c>
      <c r="MI22" s="96"/>
      <c r="MJ22" s="95">
        <f t="shared" si="84"/>
        <v>0</v>
      </c>
      <c r="ML22" s="95">
        <v>0.7</v>
      </c>
      <c r="MM22" s="96"/>
      <c r="MN22" s="95">
        <f t="shared" si="85"/>
        <v>0</v>
      </c>
      <c r="MP22" s="95">
        <v>0.7</v>
      </c>
      <c r="MQ22" s="96"/>
      <c r="MR22" s="95">
        <f t="shared" si="86"/>
        <v>0</v>
      </c>
      <c r="MT22" s="95">
        <v>0.7</v>
      </c>
      <c r="MU22" s="96"/>
      <c r="MV22" s="95">
        <f t="shared" si="87"/>
        <v>0</v>
      </c>
      <c r="MX22" s="95">
        <v>0.7</v>
      </c>
      <c r="MY22" s="96"/>
      <c r="MZ22" s="95">
        <f t="shared" si="88"/>
        <v>0</v>
      </c>
      <c r="NB22" s="95">
        <v>0.7</v>
      </c>
      <c r="NC22" s="96"/>
      <c r="ND22" s="95">
        <f t="shared" si="89"/>
        <v>0</v>
      </c>
      <c r="NF22" s="105">
        <v>0.7</v>
      </c>
      <c r="NG22" s="96"/>
      <c r="NH22" s="95">
        <f t="shared" si="90"/>
        <v>0</v>
      </c>
      <c r="NJ22" s="95">
        <v>0.7</v>
      </c>
      <c r="NK22" s="96"/>
      <c r="NL22" s="95">
        <f t="shared" si="91"/>
        <v>0</v>
      </c>
      <c r="NN22" s="95">
        <v>0.7</v>
      </c>
      <c r="NO22" s="96"/>
      <c r="NP22" s="95">
        <f t="shared" si="92"/>
        <v>0</v>
      </c>
      <c r="NR22" s="95">
        <v>0.7</v>
      </c>
      <c r="NS22" s="96"/>
      <c r="NT22" s="95">
        <f t="shared" si="93"/>
        <v>0</v>
      </c>
      <c r="NV22" s="95">
        <v>0.7</v>
      </c>
      <c r="NW22" s="96"/>
      <c r="NX22" s="95">
        <f t="shared" si="94"/>
        <v>0</v>
      </c>
      <c r="NZ22" s="95">
        <v>0.5</v>
      </c>
      <c r="OA22" s="96"/>
      <c r="OB22" s="95">
        <f t="shared" si="95"/>
        <v>0.19999999999999996</v>
      </c>
      <c r="OD22" s="95">
        <v>0.5</v>
      </c>
      <c r="OE22" s="96"/>
      <c r="OF22" s="95">
        <f t="shared" si="96"/>
        <v>0</v>
      </c>
      <c r="OH22" s="105">
        <v>0.5</v>
      </c>
      <c r="OI22" s="96"/>
      <c r="OJ22" s="95">
        <f t="shared" si="97"/>
        <v>0</v>
      </c>
      <c r="OL22" s="95">
        <v>0.5</v>
      </c>
      <c r="OM22" s="96"/>
      <c r="ON22" s="95">
        <f t="shared" si="98"/>
        <v>0</v>
      </c>
      <c r="OP22" s="105">
        <v>0.5</v>
      </c>
      <c r="OQ22" s="96"/>
      <c r="OR22" s="95">
        <f t="shared" si="99"/>
        <v>0</v>
      </c>
      <c r="OT22" s="95">
        <v>0.3</v>
      </c>
      <c r="OU22" s="96">
        <v>1</v>
      </c>
      <c r="OV22" s="95">
        <f t="shared" si="100"/>
        <v>0.2</v>
      </c>
      <c r="OX22" s="105">
        <v>1.3</v>
      </c>
      <c r="OY22" s="96"/>
      <c r="OZ22" s="95">
        <f t="shared" si="101"/>
        <v>0</v>
      </c>
      <c r="PB22" s="95">
        <v>1.3</v>
      </c>
      <c r="PC22" s="96"/>
      <c r="PD22" s="95">
        <f t="shared" si="102"/>
        <v>0</v>
      </c>
      <c r="PF22" s="95">
        <v>1.3</v>
      </c>
      <c r="PG22" s="96"/>
      <c r="PH22" s="95">
        <f t="shared" si="103"/>
        <v>0</v>
      </c>
      <c r="PJ22" s="105">
        <v>1.3</v>
      </c>
      <c r="PK22" s="96"/>
      <c r="PL22" s="95">
        <f t="shared" si="104"/>
        <v>0</v>
      </c>
      <c r="PN22" s="105">
        <v>1.3</v>
      </c>
      <c r="PO22" s="96"/>
      <c r="PP22" s="95">
        <f t="shared" si="105"/>
        <v>0</v>
      </c>
      <c r="PR22" s="95">
        <v>1.3</v>
      </c>
      <c r="PS22" s="96"/>
      <c r="PT22" s="95">
        <f t="shared" si="106"/>
        <v>0</v>
      </c>
      <c r="PV22" s="190">
        <v>0.2</v>
      </c>
      <c r="PW22" s="194"/>
      <c r="PX22" s="190">
        <f t="shared" si="107"/>
        <v>1.1000000000000001</v>
      </c>
      <c r="PZ22" s="105"/>
      <c r="QA22" s="96"/>
      <c r="QB22" s="95" t="str">
        <f t="shared" si="108"/>
        <v/>
      </c>
    </row>
    <row r="23" spans="1:444" ht="12.75" customHeight="1" x14ac:dyDescent="0.2">
      <c r="A23" s="124" t="s">
        <v>96</v>
      </c>
      <c r="B23" s="98" t="s">
        <v>97</v>
      </c>
      <c r="C23" s="87">
        <v>0.4</v>
      </c>
      <c r="D23" s="87" t="s">
        <v>98</v>
      </c>
      <c r="F23" s="95">
        <v>0.7</v>
      </c>
      <c r="G23" s="96"/>
      <c r="H23" s="113"/>
      <c r="J23" s="95">
        <v>0.7</v>
      </c>
      <c r="K23" s="96"/>
      <c r="L23" s="95">
        <f t="shared" si="112"/>
        <v>0</v>
      </c>
      <c r="N23" s="105">
        <v>0.6</v>
      </c>
      <c r="O23" s="96"/>
      <c r="P23" s="95">
        <f>IF(ISNUMBER(N23), (J23+K23)-N23, "")</f>
        <v>9.9999999999999978E-2</v>
      </c>
      <c r="R23" s="95">
        <v>0.5</v>
      </c>
      <c r="S23" s="96"/>
      <c r="T23" s="95">
        <f>IF(ISNUMBER(R23), (N23+O23)-R23, "")</f>
        <v>9.9999999999999978E-2</v>
      </c>
      <c r="V23" s="95">
        <v>0.5</v>
      </c>
      <c r="W23" s="96"/>
      <c r="X23" s="95">
        <f>IF(ISNUMBER(V23), (R23+S23)-V23, "")</f>
        <v>0</v>
      </c>
      <c r="Z23" s="105">
        <v>0.4</v>
      </c>
      <c r="AA23" s="96"/>
      <c r="AB23" s="95">
        <f>IF(ISNUMBER(Z23), (V23+W23)-Z23, "")</f>
        <v>9.9999999999999978E-2</v>
      </c>
      <c r="AD23" s="105">
        <v>0.4</v>
      </c>
      <c r="AE23" s="96"/>
      <c r="AF23" s="95">
        <f>IF(ISNUMBER(AD23), (Z23+AA23)-AD23, "")</f>
        <v>0</v>
      </c>
      <c r="AH23" s="95">
        <v>0.1</v>
      </c>
      <c r="AI23" s="96"/>
      <c r="AJ23" s="95">
        <f>IF(ISNUMBER(AH23), (AD23+AE23)-AH23, "")</f>
        <v>0.30000000000000004</v>
      </c>
      <c r="AL23" s="105">
        <v>0.1</v>
      </c>
      <c r="AM23" s="96">
        <v>1</v>
      </c>
      <c r="AN23" s="95">
        <f>IF(ISNUMBER(AL23), (AH23+AI23)-AL23, "")</f>
        <v>0</v>
      </c>
      <c r="AP23" s="105">
        <v>1.1000000000000001</v>
      </c>
      <c r="AQ23" s="96"/>
      <c r="AR23" s="95">
        <f>IF(ISNUMBER(AP23), (AL23+AM23)-AP23, "")</f>
        <v>0</v>
      </c>
      <c r="AT23" s="95">
        <v>1</v>
      </c>
      <c r="AU23" s="96"/>
      <c r="AV23" s="95">
        <f>IF(ISNUMBER(AT23), (AP23+AQ23)-AT23, "")</f>
        <v>0.10000000000000009</v>
      </c>
      <c r="AX23" s="95">
        <v>0.8</v>
      </c>
      <c r="AY23" s="96"/>
      <c r="AZ23" s="95">
        <f>IF(ISNUMBER(AX23), (AT23+AU23)-AX23, "")</f>
        <v>0.19999999999999996</v>
      </c>
      <c r="BB23" s="95">
        <v>0.7</v>
      </c>
      <c r="BC23" s="96"/>
      <c r="BD23" s="95">
        <f>IF(ISNUMBER(BB23), (AX23+AY23)-BB23, "")</f>
        <v>0.10000000000000009</v>
      </c>
      <c r="BF23" s="95">
        <v>0.7</v>
      </c>
      <c r="BG23" s="96"/>
      <c r="BH23" s="95">
        <f>IF(ISNUMBER(BF23), (BB23+BC23)-BF23, "")</f>
        <v>0</v>
      </c>
      <c r="BJ23" s="95">
        <v>0.7</v>
      </c>
      <c r="BK23" s="96"/>
      <c r="BL23" s="95">
        <f>IF(ISNUMBER(BJ23), (BF23+BG23)-BJ23, "")</f>
        <v>0</v>
      </c>
      <c r="BN23" s="95">
        <v>0.7</v>
      </c>
      <c r="BO23" s="96"/>
      <c r="BP23" s="95">
        <f>IF(ISNUMBER(BN23), (BJ23+BK23)-BN23, "")</f>
        <v>0</v>
      </c>
      <c r="BR23" s="115">
        <v>0.7</v>
      </c>
      <c r="BS23" s="116"/>
      <c r="BT23" s="115">
        <f t="shared" si="113"/>
        <v>0</v>
      </c>
      <c r="BV23" s="105">
        <v>0.7</v>
      </c>
      <c r="BW23" s="96"/>
      <c r="BX23" s="95">
        <f>IF(ISNUMBER(BV23), (BR23+BS23)-BV23, "")</f>
        <v>0</v>
      </c>
      <c r="BZ23" s="95">
        <v>0.5</v>
      </c>
      <c r="CA23" s="96"/>
      <c r="CB23" s="95">
        <f>IF(ISNUMBER(BZ23), (BV23+BW23)-BZ23, "")</f>
        <v>0.19999999999999996</v>
      </c>
      <c r="CD23" s="95">
        <v>0.4</v>
      </c>
      <c r="CE23" s="96"/>
      <c r="CF23" s="95">
        <f>IF(ISNUMBER(CD23), (BZ23+CA23)-CD23, "")</f>
        <v>9.9999999999999978E-2</v>
      </c>
      <c r="CH23" s="95">
        <v>0.4</v>
      </c>
      <c r="CI23" s="96"/>
      <c r="CJ23" s="95">
        <f>IF(ISNUMBER(CH23), (CD23+CE23)-CH23, "")</f>
        <v>0</v>
      </c>
      <c r="CL23" s="95">
        <v>0.4</v>
      </c>
      <c r="CM23" s="96"/>
      <c r="CN23" s="95">
        <f>IF(ISNUMBER(CL23), (CH23+CI23)-CL23, "")</f>
        <v>0</v>
      </c>
      <c r="CP23" s="95">
        <v>0.3</v>
      </c>
      <c r="CQ23" s="96"/>
      <c r="CR23" s="95">
        <f>IF(ISNUMBER(CP23), (CL23+CM23)-CP23, "")</f>
        <v>0.10000000000000003</v>
      </c>
      <c r="CT23" s="95">
        <v>1.3</v>
      </c>
      <c r="CU23" s="96"/>
      <c r="CV23" s="95">
        <f>IF(ISNUMBER(CT23), (CP23+CQ23)-CT23, "")</f>
        <v>-1</v>
      </c>
      <c r="CX23" s="95">
        <v>1.3</v>
      </c>
      <c r="CY23" s="96"/>
      <c r="CZ23" s="95">
        <f>IF(ISNUMBER(CX23), (CT23+CU23)-CX23, "")</f>
        <v>0</v>
      </c>
      <c r="DB23" s="95">
        <v>1.2</v>
      </c>
      <c r="DC23" s="96"/>
      <c r="DD23" s="95">
        <f>IF(ISNUMBER(DB23), (CX23+CY23)-DB23, "")</f>
        <v>0.10000000000000009</v>
      </c>
      <c r="DF23" s="95">
        <v>1.2</v>
      </c>
      <c r="DG23" s="96"/>
      <c r="DH23" s="95">
        <f>IF(ISNUMBER(DF23), (DB23+DC23)-DF23, "")</f>
        <v>0</v>
      </c>
      <c r="DJ23" s="95">
        <v>1.2</v>
      </c>
      <c r="DK23" s="96"/>
      <c r="DL23" s="95">
        <f>IF(ISNUMBER(DJ23), (DF23+DG23)-DJ23, "")</f>
        <v>0</v>
      </c>
      <c r="DN23" s="95">
        <v>1.2</v>
      </c>
      <c r="DO23" s="96"/>
      <c r="DP23" s="95">
        <f>IF(ISNUMBER(DN23), (DJ23+DK23)-DN23, "")</f>
        <v>0</v>
      </c>
      <c r="DR23" s="95">
        <v>1.2</v>
      </c>
      <c r="DS23" s="96"/>
      <c r="DT23" s="95">
        <f>IF(ISNUMBER(DR23), (DN23+DO23)-DR23, "")</f>
        <v>0</v>
      </c>
      <c r="DV23" s="95">
        <v>1.2</v>
      </c>
      <c r="DW23" s="96"/>
      <c r="DX23" s="95">
        <f>IF(ISNUMBER(DV23), (DR23+DS23)-DV23, "")</f>
        <v>0</v>
      </c>
      <c r="DZ23" s="95">
        <v>1.1000000000000001</v>
      </c>
      <c r="EA23" s="96"/>
      <c r="EB23" s="95">
        <f>IF(ISNUMBER(DZ23), (DV23+DW23)-DZ23, "")</f>
        <v>9.9999999999999867E-2</v>
      </c>
      <c r="ED23" s="95">
        <v>1</v>
      </c>
      <c r="EE23" s="96"/>
      <c r="EF23" s="95">
        <f>IF(ISNUMBER(ED23), (DZ23+EA23)-ED23, "")</f>
        <v>0.10000000000000009</v>
      </c>
      <c r="EH23" s="95">
        <v>1</v>
      </c>
      <c r="EI23" s="96"/>
      <c r="EJ23" s="95">
        <f>IF(ISNUMBER(EH23), (ED23+EE23)-EH23, "")</f>
        <v>0</v>
      </c>
      <c r="EL23" s="95">
        <v>1</v>
      </c>
      <c r="EM23" s="96"/>
      <c r="EN23" s="95">
        <f>IF(ISNUMBER(EL23), (EH23+EI23)-EL23, "")</f>
        <v>0</v>
      </c>
      <c r="EP23" s="95">
        <v>0.9</v>
      </c>
      <c r="EQ23" s="96"/>
      <c r="ER23" s="95">
        <f>IF(ISNUMBER(EP23), (EL23+EM23)-EP23, "")</f>
        <v>9.9999999999999978E-2</v>
      </c>
      <c r="ET23" s="95">
        <v>0.9</v>
      </c>
      <c r="EU23" s="96"/>
      <c r="EV23" s="95">
        <f>IF(ISNUMBER(ET23), (EP23+EQ23)-ET23, "")</f>
        <v>0</v>
      </c>
      <c r="EX23" s="95">
        <v>0.9</v>
      </c>
      <c r="EY23" s="96"/>
      <c r="EZ23" s="95">
        <f>IF(ISNUMBER(EX23), (ET23+EU23)-EX23, "")</f>
        <v>0</v>
      </c>
      <c r="FB23" s="95">
        <v>0.8</v>
      </c>
      <c r="FC23" s="96"/>
      <c r="FD23" s="95">
        <f>IF(ISNUMBER(FB23), (EX23+EY23)-FB23, "")</f>
        <v>9.9999999999999978E-2</v>
      </c>
      <c r="FF23" s="95">
        <v>0.8</v>
      </c>
      <c r="FG23" s="96"/>
      <c r="FH23" s="95">
        <f>IF(ISNUMBER(FF23), (FB23+FC23)-FF23, "")</f>
        <v>0</v>
      </c>
      <c r="FJ23" s="95">
        <v>0.7</v>
      </c>
      <c r="FK23" s="96"/>
      <c r="FL23" s="95">
        <f>IF(ISNUMBER(FJ23), (FF23+FG23)-FJ23, "")</f>
        <v>0.10000000000000009</v>
      </c>
      <c r="FN23" s="95">
        <v>0.7</v>
      </c>
      <c r="FO23" s="96"/>
      <c r="FP23" s="95">
        <f>IF(ISNUMBER(FN23), (FJ23+FK23)-FN23, "")</f>
        <v>0</v>
      </c>
      <c r="FR23" s="95">
        <v>0.7</v>
      </c>
      <c r="FS23" s="96"/>
      <c r="FT23" s="95">
        <f>IF(ISNUMBER(FR23), (FN23+FO23)-FR23, "")</f>
        <v>0</v>
      </c>
      <c r="FV23" s="95">
        <v>0.7</v>
      </c>
      <c r="FW23" s="96"/>
      <c r="FX23" s="95">
        <f>IF(ISNUMBER(FV23), (FR23+FS23)-FV23, "")</f>
        <v>0</v>
      </c>
      <c r="FZ23" s="95">
        <v>0.7</v>
      </c>
      <c r="GA23" s="96"/>
      <c r="GB23" s="95">
        <f>IF(ISNUMBER(FZ23), (FV23+FW23)-FZ23, "")</f>
        <v>0</v>
      </c>
      <c r="GD23" s="95">
        <v>0.7</v>
      </c>
      <c r="GE23" s="96"/>
      <c r="GF23" s="95">
        <f>IF(ISNUMBER(GD23), (FZ23+GA23)-GD23, "")</f>
        <v>0</v>
      </c>
      <c r="GH23" s="105">
        <v>0.7</v>
      </c>
      <c r="GI23" s="96"/>
      <c r="GJ23" s="95">
        <f>IF(ISNUMBER(GH23), (GD23+GE23)-GH23, "")</f>
        <v>0</v>
      </c>
      <c r="GL23" s="105">
        <v>0.7</v>
      </c>
      <c r="GM23" s="96"/>
      <c r="GN23" s="95">
        <f t="shared" si="46"/>
        <v>0</v>
      </c>
      <c r="GP23" s="95">
        <v>0.7</v>
      </c>
      <c r="GQ23" s="96"/>
      <c r="GR23" s="95">
        <f t="shared" si="114"/>
        <v>0</v>
      </c>
      <c r="GT23" s="95">
        <v>0.7</v>
      </c>
      <c r="GU23" s="96"/>
      <c r="GV23" s="95">
        <f>IF(ISNUMBER(GT23), (GP23+GQ23)-GT23, "")</f>
        <v>0</v>
      </c>
      <c r="GX23" s="95">
        <v>0.7</v>
      </c>
      <c r="GY23" s="96"/>
      <c r="GZ23" s="95">
        <f>IF(ISNUMBER(GX23), (GT23+GU23)-GX23, "")</f>
        <v>0</v>
      </c>
      <c r="HB23" s="95">
        <v>0.7</v>
      </c>
      <c r="HC23" s="96"/>
      <c r="HD23" s="95">
        <f>IF(ISNUMBER(HB23), (GX23+GY23)-HB23, "")</f>
        <v>0</v>
      </c>
      <c r="HF23" s="95">
        <v>0.7</v>
      </c>
      <c r="HG23" s="96"/>
      <c r="HH23" s="95">
        <f>IF(ISNUMBER(HF23), (HB23+HC23)-HF23, "")</f>
        <v>0</v>
      </c>
      <c r="HJ23" s="95">
        <v>0.7</v>
      </c>
      <c r="HK23" s="96"/>
      <c r="HL23" s="95">
        <f>IF(ISNUMBER(HJ23), (HF23+HG23)-HJ23, "")</f>
        <v>0</v>
      </c>
      <c r="HN23" s="95">
        <v>0.7</v>
      </c>
      <c r="HO23" s="96"/>
      <c r="HP23" s="95">
        <f>IF(ISNUMBER(HN23), (HJ23+HK23)-HN23, "")</f>
        <v>0</v>
      </c>
      <c r="HR23" s="95">
        <v>0.8</v>
      </c>
      <c r="HS23" s="96"/>
      <c r="HT23" s="95">
        <f>IF(ISNUMBER(HR23), (HN23+HO23)-HR23, "")</f>
        <v>-0.10000000000000009</v>
      </c>
      <c r="HV23" s="95">
        <v>0.8</v>
      </c>
      <c r="HW23" s="96"/>
      <c r="HX23" s="95">
        <f>IF(ISNUMBER(HV23), (HR23+HS23)-HV23, "")</f>
        <v>0</v>
      </c>
      <c r="HZ23" s="115">
        <v>0.8</v>
      </c>
      <c r="IA23" s="96"/>
      <c r="IB23" s="95">
        <f t="shared" si="117"/>
        <v>0</v>
      </c>
      <c r="ID23" s="95">
        <v>0.6</v>
      </c>
      <c r="IE23" s="96"/>
      <c r="IF23" s="95">
        <f t="shared" si="118"/>
        <v>0.20000000000000007</v>
      </c>
      <c r="IH23" s="115">
        <v>0.6</v>
      </c>
      <c r="II23" s="96"/>
      <c r="IJ23" s="95">
        <f t="shared" si="58"/>
        <v>0</v>
      </c>
      <c r="IL23" s="95">
        <v>0.5</v>
      </c>
      <c r="IM23" s="96"/>
      <c r="IN23" s="95">
        <f t="shared" si="59"/>
        <v>9.9999999999999978E-2</v>
      </c>
      <c r="IP23" s="95">
        <v>0.5</v>
      </c>
      <c r="IQ23" s="96"/>
      <c r="IR23" s="95">
        <f t="shared" si="60"/>
        <v>0</v>
      </c>
      <c r="IT23" s="95">
        <v>0.5</v>
      </c>
      <c r="IU23" s="96"/>
      <c r="IV23" s="95">
        <f t="shared" si="61"/>
        <v>0</v>
      </c>
      <c r="IX23" s="95">
        <v>0.5</v>
      </c>
      <c r="IY23" s="96"/>
      <c r="IZ23" s="95">
        <f t="shared" si="62"/>
        <v>0</v>
      </c>
      <c r="JB23" s="95">
        <v>0.5</v>
      </c>
      <c r="JC23" s="96"/>
      <c r="JD23" s="95">
        <f t="shared" si="63"/>
        <v>0</v>
      </c>
      <c r="JF23" s="95">
        <v>0.4</v>
      </c>
      <c r="JG23" s="96"/>
      <c r="JH23" s="95">
        <f t="shared" si="64"/>
        <v>9.9999999999999978E-2</v>
      </c>
      <c r="JJ23" s="95">
        <v>0.4</v>
      </c>
      <c r="JK23" s="96"/>
      <c r="JL23" s="95">
        <f t="shared" si="65"/>
        <v>0</v>
      </c>
      <c r="JN23" s="95">
        <v>0.4</v>
      </c>
      <c r="JO23" s="96"/>
      <c r="JP23" s="95">
        <f t="shared" si="66"/>
        <v>0</v>
      </c>
      <c r="JR23" s="95">
        <v>0.3</v>
      </c>
      <c r="JS23" s="96">
        <v>1</v>
      </c>
      <c r="JT23" s="95">
        <f t="shared" si="67"/>
        <v>0.10000000000000003</v>
      </c>
      <c r="JV23" s="95">
        <v>1.3</v>
      </c>
      <c r="JW23" s="96"/>
      <c r="JX23" s="95">
        <f t="shared" si="68"/>
        <v>0</v>
      </c>
      <c r="JZ23" s="95">
        <v>1.3</v>
      </c>
      <c r="KA23" s="96"/>
      <c r="KB23" s="95">
        <f t="shared" si="69"/>
        <v>0</v>
      </c>
      <c r="KD23" s="95">
        <v>1.3</v>
      </c>
      <c r="KE23" s="96"/>
      <c r="KF23" s="95">
        <f t="shared" si="70"/>
        <v>0</v>
      </c>
      <c r="KH23" s="95">
        <v>1.2</v>
      </c>
      <c r="KI23" s="96"/>
      <c r="KJ23" s="95">
        <f t="shared" si="71"/>
        <v>0.10000000000000009</v>
      </c>
      <c r="KL23" s="95">
        <v>0.7</v>
      </c>
      <c r="KM23" s="96">
        <v>1</v>
      </c>
      <c r="KN23" s="95">
        <f t="shared" si="72"/>
        <v>0.5</v>
      </c>
      <c r="KP23" s="95">
        <v>1.2</v>
      </c>
      <c r="KQ23" s="96"/>
      <c r="KR23" s="95">
        <f t="shared" si="73"/>
        <v>0.5</v>
      </c>
      <c r="KT23" s="95">
        <v>0.3</v>
      </c>
      <c r="KU23" s="116">
        <v>1</v>
      </c>
      <c r="KV23" s="95">
        <f t="shared" si="74"/>
        <v>0.89999999999999991</v>
      </c>
      <c r="KX23" s="95">
        <v>1.1000000000000001</v>
      </c>
      <c r="KY23" s="96"/>
      <c r="KZ23" s="95">
        <f t="shared" si="75"/>
        <v>0.19999999999999996</v>
      </c>
      <c r="LB23" s="95">
        <v>0.9</v>
      </c>
      <c r="LC23" s="96"/>
      <c r="LD23" s="95">
        <f t="shared" si="76"/>
        <v>0.20000000000000007</v>
      </c>
      <c r="LF23" s="95">
        <v>0</v>
      </c>
      <c r="LG23" s="96">
        <v>1</v>
      </c>
      <c r="LH23" s="95">
        <f t="shared" si="77"/>
        <v>0.9</v>
      </c>
      <c r="LJ23" s="95">
        <v>1</v>
      </c>
      <c r="LK23" s="96"/>
      <c r="LL23" s="95">
        <f t="shared" si="78"/>
        <v>0</v>
      </c>
      <c r="LN23" s="95">
        <v>1</v>
      </c>
      <c r="LO23" s="96"/>
      <c r="LP23" s="95">
        <f t="shared" si="79"/>
        <v>0</v>
      </c>
      <c r="LR23" s="105">
        <v>0.7</v>
      </c>
      <c r="LS23" s="96">
        <v>1</v>
      </c>
      <c r="LT23" s="95">
        <f t="shared" si="80"/>
        <v>0.30000000000000004</v>
      </c>
      <c r="LV23" s="105">
        <v>1.5</v>
      </c>
      <c r="LW23" s="96"/>
      <c r="LX23" s="95">
        <f t="shared" si="115"/>
        <v>0.19999999999999996</v>
      </c>
      <c r="LZ23" s="95">
        <v>1.5</v>
      </c>
      <c r="MA23" s="96"/>
      <c r="MB23" s="95">
        <f t="shared" si="82"/>
        <v>0</v>
      </c>
      <c r="MD23" s="95">
        <v>1.5</v>
      </c>
      <c r="ME23" s="96"/>
      <c r="MF23" s="95">
        <f t="shared" si="116"/>
        <v>0</v>
      </c>
      <c r="MH23" s="95">
        <v>1.5</v>
      </c>
      <c r="MI23" s="96"/>
      <c r="MJ23" s="95">
        <f t="shared" si="84"/>
        <v>0</v>
      </c>
      <c r="ML23" s="95">
        <v>1.4</v>
      </c>
      <c r="MM23" s="96"/>
      <c r="MN23" s="95">
        <f t="shared" si="85"/>
        <v>0.10000000000000009</v>
      </c>
      <c r="MP23" s="95">
        <v>1.4</v>
      </c>
      <c r="MQ23" s="96"/>
      <c r="MR23" s="95">
        <f t="shared" si="86"/>
        <v>0</v>
      </c>
      <c r="MT23" s="95">
        <v>1.4</v>
      </c>
      <c r="MU23" s="96"/>
      <c r="MV23" s="95">
        <f t="shared" si="87"/>
        <v>0</v>
      </c>
      <c r="MX23" s="95">
        <v>1.4</v>
      </c>
      <c r="MY23" s="96"/>
      <c r="MZ23" s="95">
        <f t="shared" si="88"/>
        <v>0</v>
      </c>
      <c r="NB23" s="95">
        <v>1.4</v>
      </c>
      <c r="NC23" s="96"/>
      <c r="ND23" s="95">
        <f t="shared" si="89"/>
        <v>0</v>
      </c>
      <c r="NF23" s="105">
        <v>1.4</v>
      </c>
      <c r="NG23" s="96"/>
      <c r="NH23" s="95">
        <f t="shared" si="90"/>
        <v>0</v>
      </c>
      <c r="NJ23" s="95">
        <v>1.3</v>
      </c>
      <c r="NK23" s="96"/>
      <c r="NL23" s="95">
        <f t="shared" si="91"/>
        <v>9.9999999999999867E-2</v>
      </c>
      <c r="NN23" s="95">
        <v>0.9</v>
      </c>
      <c r="NO23" s="96"/>
      <c r="NP23" s="95">
        <f t="shared" si="92"/>
        <v>0.4</v>
      </c>
      <c r="NR23" s="95">
        <v>0.9</v>
      </c>
      <c r="NS23" s="96"/>
      <c r="NT23" s="95">
        <f t="shared" si="93"/>
        <v>0</v>
      </c>
      <c r="NV23" s="95">
        <v>0</v>
      </c>
      <c r="NW23" s="96">
        <v>2</v>
      </c>
      <c r="NX23" s="95">
        <f t="shared" si="94"/>
        <v>0.9</v>
      </c>
      <c r="NZ23" s="95">
        <v>2</v>
      </c>
      <c r="OA23" s="96"/>
      <c r="OB23" s="95">
        <f t="shared" si="95"/>
        <v>0</v>
      </c>
      <c r="OD23" s="95">
        <v>1.6</v>
      </c>
      <c r="OE23" s="96"/>
      <c r="OF23" s="95">
        <f t="shared" si="96"/>
        <v>0.39999999999999991</v>
      </c>
      <c r="OH23" s="105">
        <v>1.6</v>
      </c>
      <c r="OI23" s="96"/>
      <c r="OJ23" s="95">
        <f t="shared" si="97"/>
        <v>0</v>
      </c>
      <c r="OL23" s="95">
        <v>1.6</v>
      </c>
      <c r="OM23" s="96"/>
      <c r="ON23" s="95">
        <f t="shared" si="98"/>
        <v>0</v>
      </c>
      <c r="OP23" s="105">
        <v>1.5</v>
      </c>
      <c r="OQ23" s="96"/>
      <c r="OR23" s="95">
        <f t="shared" si="99"/>
        <v>0.10000000000000009</v>
      </c>
      <c r="OT23" s="95">
        <v>1.4</v>
      </c>
      <c r="OU23" s="96"/>
      <c r="OV23" s="95">
        <f t="shared" si="100"/>
        <v>0.10000000000000009</v>
      </c>
      <c r="OX23" s="105">
        <v>1.3</v>
      </c>
      <c r="OY23" s="96"/>
      <c r="OZ23" s="95">
        <f t="shared" si="101"/>
        <v>9.9999999999999867E-2</v>
      </c>
      <c r="PB23" s="95">
        <v>1.3</v>
      </c>
      <c r="PC23" s="96"/>
      <c r="PD23" s="95">
        <f t="shared" si="102"/>
        <v>0</v>
      </c>
      <c r="PF23" s="95">
        <v>1.3</v>
      </c>
      <c r="PG23" s="96"/>
      <c r="PH23" s="95">
        <f t="shared" si="103"/>
        <v>0</v>
      </c>
      <c r="PJ23" s="105">
        <v>1.3</v>
      </c>
      <c r="PK23" s="96"/>
      <c r="PL23" s="95">
        <f t="shared" si="104"/>
        <v>0</v>
      </c>
      <c r="PN23" s="105">
        <v>1.3</v>
      </c>
      <c r="PO23" s="96"/>
      <c r="PP23" s="95">
        <f t="shared" si="105"/>
        <v>0</v>
      </c>
      <c r="PR23" s="95">
        <v>1.3</v>
      </c>
      <c r="PS23" s="96"/>
      <c r="PT23" s="95">
        <f t="shared" si="106"/>
        <v>0</v>
      </c>
      <c r="PV23" s="190">
        <v>1.3</v>
      </c>
      <c r="PW23" s="194"/>
      <c r="PX23" s="190">
        <f t="shared" si="107"/>
        <v>0</v>
      </c>
      <c r="PZ23" s="105"/>
      <c r="QA23" s="96"/>
      <c r="QB23" s="95" t="str">
        <f t="shared" si="108"/>
        <v/>
      </c>
    </row>
    <row r="24" spans="1:444" ht="12.75" customHeight="1" x14ac:dyDescent="0.2">
      <c r="A24" s="124" t="s">
        <v>81</v>
      </c>
      <c r="B24" s="99" t="s">
        <v>99</v>
      </c>
      <c r="C24" s="87">
        <v>0.4</v>
      </c>
      <c r="D24" s="87">
        <v>68036</v>
      </c>
      <c r="F24" s="95">
        <v>1.1000000000000001</v>
      </c>
      <c r="G24" s="96"/>
      <c r="H24" s="113"/>
      <c r="J24" s="95">
        <v>1.1000000000000001</v>
      </c>
      <c r="K24" s="96"/>
      <c r="L24" s="95">
        <f t="shared" si="112"/>
        <v>0</v>
      </c>
      <c r="N24" s="105">
        <v>1.1000000000000001</v>
      </c>
      <c r="O24" s="96"/>
      <c r="P24" s="95">
        <f>IF(ISNUMBER(N24), (J24+K24)-N24, "")</f>
        <v>0</v>
      </c>
      <c r="R24" s="95">
        <v>1.1000000000000001</v>
      </c>
      <c r="S24" s="96"/>
      <c r="T24" s="95">
        <f>IF(ISNUMBER(R24), (N24+O24)-R24, "")</f>
        <v>0</v>
      </c>
      <c r="V24" s="95">
        <v>1.1000000000000001</v>
      </c>
      <c r="W24" s="96"/>
      <c r="X24" s="95">
        <f>IF(ISNUMBER(V24), (R24+S24)-V24, "")</f>
        <v>0</v>
      </c>
      <c r="Z24" s="105">
        <v>1.1000000000000001</v>
      </c>
      <c r="AA24" s="96"/>
      <c r="AB24" s="95">
        <f>IF(ISNUMBER(Z24), (V24+W24)-Z24, "")</f>
        <v>0</v>
      </c>
      <c r="AD24" s="105">
        <v>1.1000000000000001</v>
      </c>
      <c r="AE24" s="96"/>
      <c r="AF24" s="95">
        <f>IF(ISNUMBER(AD24), (Z24+AA24)-AD24, "")</f>
        <v>0</v>
      </c>
      <c r="AH24" s="95">
        <v>1</v>
      </c>
      <c r="AI24" s="96"/>
      <c r="AJ24" s="95">
        <f>IF(ISNUMBER(AH24), (AD24+AE24)-AH24, "")</f>
        <v>0.10000000000000009</v>
      </c>
      <c r="AL24" s="105">
        <v>1</v>
      </c>
      <c r="AM24" s="96"/>
      <c r="AN24" s="95">
        <f>IF(ISNUMBER(AL24), (AH24+AI24)-AL24, "")</f>
        <v>0</v>
      </c>
      <c r="AP24" s="105">
        <v>1</v>
      </c>
      <c r="AQ24" s="96"/>
      <c r="AR24" s="95">
        <f>IF(ISNUMBER(AP24), (AL24+AM24)-AP24, "")</f>
        <v>0</v>
      </c>
      <c r="AT24" s="95">
        <v>1</v>
      </c>
      <c r="AU24" s="96"/>
      <c r="AV24" s="95">
        <f>IF(ISNUMBER(AT24), (AP24+AQ24)-AT24, "")</f>
        <v>0</v>
      </c>
      <c r="AX24" s="95">
        <v>1</v>
      </c>
      <c r="AY24" s="96"/>
      <c r="AZ24" s="95">
        <f>IF(ISNUMBER(AX24), (AT24+AU24)-AX24, "")</f>
        <v>0</v>
      </c>
      <c r="BB24" s="95">
        <v>1</v>
      </c>
      <c r="BC24" s="96"/>
      <c r="BD24" s="95">
        <f>IF(ISNUMBER(BB24), (AX24+AY24)-BB24, "")</f>
        <v>0</v>
      </c>
      <c r="BF24" s="95">
        <v>1.1000000000000001</v>
      </c>
      <c r="BG24" s="96"/>
      <c r="BH24" s="95">
        <f>IF(ISNUMBER(BF24), (BB24+BC24)-BF24, "")</f>
        <v>-0.10000000000000009</v>
      </c>
      <c r="BJ24" s="95">
        <v>1.1000000000000001</v>
      </c>
      <c r="BK24" s="96"/>
      <c r="BL24" s="95">
        <f>IF(ISNUMBER(BJ24), (BF24+BG24)-BJ24, "")</f>
        <v>0</v>
      </c>
      <c r="BN24" s="95">
        <v>1</v>
      </c>
      <c r="BO24" s="96"/>
      <c r="BP24" s="95">
        <f>IF(ISNUMBER(BN24), (BJ24+BK24)-BN24, "")</f>
        <v>0.10000000000000009</v>
      </c>
      <c r="BR24" s="115">
        <v>1</v>
      </c>
      <c r="BS24" s="116"/>
      <c r="BT24" s="115">
        <f t="shared" si="113"/>
        <v>0</v>
      </c>
      <c r="BV24" s="105">
        <v>1</v>
      </c>
      <c r="BW24" s="96"/>
      <c r="BX24" s="95">
        <f>IF(ISNUMBER(BV24), (BR24+BS24)-BV24, "")</f>
        <v>0</v>
      </c>
      <c r="BZ24" s="95">
        <v>1</v>
      </c>
      <c r="CA24" s="96"/>
      <c r="CB24" s="95">
        <f>IF(ISNUMBER(BZ24), (BV24+BW24)-BZ24, "")</f>
        <v>0</v>
      </c>
      <c r="CD24" s="95">
        <v>1</v>
      </c>
      <c r="CE24" s="96"/>
      <c r="CF24" s="95">
        <f>IF(ISNUMBER(CD24), (BZ24+CA24)-CD24, "")</f>
        <v>0</v>
      </c>
      <c r="CH24" s="95">
        <v>1</v>
      </c>
      <c r="CI24" s="96"/>
      <c r="CJ24" s="95">
        <f>IF(ISNUMBER(CH24), (CD24+CE24)-CH24, "")</f>
        <v>0</v>
      </c>
      <c r="CL24" s="95">
        <v>1</v>
      </c>
      <c r="CM24" s="96"/>
      <c r="CN24" s="95">
        <f>IF(ISNUMBER(CL24), (CH24+CI24)-CL24, "")</f>
        <v>0</v>
      </c>
      <c r="CP24" s="95">
        <v>1</v>
      </c>
      <c r="CQ24" s="96"/>
      <c r="CR24" s="95">
        <f>IF(ISNUMBER(CP24), (CL24+CM24)-CP24, "")</f>
        <v>0</v>
      </c>
      <c r="CT24" s="95">
        <v>1</v>
      </c>
      <c r="CU24" s="96"/>
      <c r="CV24" s="95">
        <f>IF(ISNUMBER(CT24), (CP24+CQ24)-CT24, "")</f>
        <v>0</v>
      </c>
      <c r="CX24" s="95">
        <v>1</v>
      </c>
      <c r="CY24" s="96"/>
      <c r="CZ24" s="95">
        <f>IF(ISNUMBER(CX24), (CT24+CU24)-CX24, "")</f>
        <v>0</v>
      </c>
      <c r="DB24" s="95">
        <v>1</v>
      </c>
      <c r="DC24" s="96"/>
      <c r="DD24" s="95">
        <f>IF(ISNUMBER(DB24), (CX24+CY24)-DB24, "")</f>
        <v>0</v>
      </c>
      <c r="DF24" s="95">
        <v>1</v>
      </c>
      <c r="DG24" s="96"/>
      <c r="DH24" s="95">
        <f>IF(ISNUMBER(DF24), (DB24+DC24)-DF24, "")</f>
        <v>0</v>
      </c>
      <c r="DJ24" s="95">
        <v>1</v>
      </c>
      <c r="DK24" s="96"/>
      <c r="DL24" s="95">
        <f>IF(ISNUMBER(DJ24), (DF24+DG24)-DJ24, "")</f>
        <v>0</v>
      </c>
      <c r="DN24" s="95">
        <v>1</v>
      </c>
      <c r="DO24" s="96"/>
      <c r="DP24" s="95">
        <f>IF(ISNUMBER(DN24), (DJ24+DK24)-DN24, "")</f>
        <v>0</v>
      </c>
      <c r="DR24" s="95">
        <v>1</v>
      </c>
      <c r="DS24" s="96"/>
      <c r="DT24" s="95">
        <f>IF(ISNUMBER(DR24), (DN24+DO24)-DR24, "")</f>
        <v>0</v>
      </c>
      <c r="DV24" s="95">
        <v>1</v>
      </c>
      <c r="DW24" s="96"/>
      <c r="DX24" s="95">
        <f>IF(ISNUMBER(DV24), (DR24+DS24)-DV24, "")</f>
        <v>0</v>
      </c>
      <c r="DZ24" s="95">
        <v>1</v>
      </c>
      <c r="EA24" s="96"/>
      <c r="EB24" s="95">
        <f>IF(ISNUMBER(DZ24), (DV24+DW24)-DZ24, "")</f>
        <v>0</v>
      </c>
      <c r="ED24" s="95">
        <v>1</v>
      </c>
      <c r="EE24" s="96"/>
      <c r="EF24" s="95">
        <f>IF(ISNUMBER(ED24), (DZ24+EA24)-ED24, "")</f>
        <v>0</v>
      </c>
      <c r="EH24" s="95">
        <v>1</v>
      </c>
      <c r="EI24" s="96"/>
      <c r="EJ24" s="95">
        <f>IF(ISNUMBER(EH24), (ED24+EE24)-EH24, "")</f>
        <v>0</v>
      </c>
      <c r="EL24" s="95">
        <v>1</v>
      </c>
      <c r="EM24" s="96"/>
      <c r="EN24" s="95">
        <f>IF(ISNUMBER(EL24), (EH24+EI24)-EL24, "")</f>
        <v>0</v>
      </c>
      <c r="EP24" s="95">
        <v>1</v>
      </c>
      <c r="EQ24" s="96"/>
      <c r="ER24" s="95">
        <f>IF(ISNUMBER(EP24), (EL24+EM24)-EP24, "")</f>
        <v>0</v>
      </c>
      <c r="ET24" s="95">
        <v>1</v>
      </c>
      <c r="EU24" s="96"/>
      <c r="EV24" s="95">
        <f>IF(ISNUMBER(ET24), (EP24+EQ24)-ET24, "")</f>
        <v>0</v>
      </c>
      <c r="EX24" s="95">
        <v>1</v>
      </c>
      <c r="EY24" s="96"/>
      <c r="EZ24" s="95">
        <f>IF(ISNUMBER(EX24), (ET24+EU24)-EX24, "")</f>
        <v>0</v>
      </c>
      <c r="FB24" s="95">
        <v>1</v>
      </c>
      <c r="FC24" s="96"/>
      <c r="FD24" s="95">
        <f>IF(ISNUMBER(FB24), (EX24+EY24)-FB24, "")</f>
        <v>0</v>
      </c>
      <c r="FF24" s="95">
        <v>1</v>
      </c>
      <c r="FG24" s="96"/>
      <c r="FH24" s="95">
        <f>IF(ISNUMBER(FF24), (FB24+FC24)-FF24, "")</f>
        <v>0</v>
      </c>
      <c r="FJ24" s="95">
        <v>1</v>
      </c>
      <c r="FK24" s="96"/>
      <c r="FL24" s="95">
        <f>IF(ISNUMBER(FJ24), (FF24+FG24)-FJ24, "")</f>
        <v>0</v>
      </c>
      <c r="FN24" s="95">
        <v>1</v>
      </c>
      <c r="FO24" s="96"/>
      <c r="FP24" s="95">
        <f>IF(ISNUMBER(FN24), (FJ24+FK24)-FN24, "")</f>
        <v>0</v>
      </c>
      <c r="FR24" s="95">
        <v>0.9</v>
      </c>
      <c r="FS24" s="96"/>
      <c r="FT24" s="95">
        <f>IF(ISNUMBER(FR24), (FN24+FO24)-FR24, "")</f>
        <v>9.9999999999999978E-2</v>
      </c>
      <c r="FV24" s="95">
        <v>0.9</v>
      </c>
      <c r="FW24" s="96"/>
      <c r="FX24" s="95">
        <f>IF(ISNUMBER(FV24), (FR24+FS24)-FV24, "")</f>
        <v>0</v>
      </c>
      <c r="FZ24" s="95">
        <v>0.9</v>
      </c>
      <c r="GA24" s="96"/>
      <c r="GB24" s="95">
        <f>IF(ISNUMBER(FZ24), (FV24+FW24)-FZ24, "")</f>
        <v>0</v>
      </c>
      <c r="GD24" s="95">
        <v>0.9</v>
      </c>
      <c r="GE24" s="96"/>
      <c r="GF24" s="95">
        <f>IF(ISNUMBER(GD24), (FZ24+GA24)-GD24, "")</f>
        <v>0</v>
      </c>
      <c r="GH24" s="105">
        <v>0.9</v>
      </c>
      <c r="GI24" s="96"/>
      <c r="GJ24" s="95">
        <f>IF(ISNUMBER(GH24), (GD24+GE24)-GH24, "")</f>
        <v>0</v>
      </c>
      <c r="GL24" s="105">
        <v>0.7</v>
      </c>
      <c r="GM24" s="96"/>
      <c r="GN24" s="95">
        <f t="shared" si="46"/>
        <v>0.20000000000000007</v>
      </c>
      <c r="GP24" s="95">
        <v>0.7</v>
      </c>
      <c r="GQ24" s="96"/>
      <c r="GR24" s="95">
        <f t="shared" si="114"/>
        <v>0</v>
      </c>
      <c r="GT24" s="95">
        <v>0.7</v>
      </c>
      <c r="GU24" s="96"/>
      <c r="GV24" s="95">
        <f>IF(ISNUMBER(GT24), (GP24+GQ24)-GT24, "")</f>
        <v>0</v>
      </c>
      <c r="GX24" s="95">
        <v>0.7</v>
      </c>
      <c r="GY24" s="96"/>
      <c r="GZ24" s="95">
        <f>IF(ISNUMBER(GX24), (GT24+GU24)-GX24, "")</f>
        <v>0</v>
      </c>
      <c r="HB24" s="95">
        <v>0.7</v>
      </c>
      <c r="HC24" s="96"/>
      <c r="HD24" s="95">
        <f>IF(ISNUMBER(HB24), (GX24+GY24)-HB24, "")</f>
        <v>0</v>
      </c>
      <c r="HF24" s="95">
        <v>0.7</v>
      </c>
      <c r="HG24" s="96"/>
      <c r="HH24" s="95">
        <f>IF(ISNUMBER(HF24), (HB24+HC24)-HF24, "")</f>
        <v>0</v>
      </c>
      <c r="HJ24" s="95">
        <v>0.7</v>
      </c>
      <c r="HK24" s="96"/>
      <c r="HL24" s="95">
        <f>IF(ISNUMBER(HJ24), (HF24+HG24)-HJ24, "")</f>
        <v>0</v>
      </c>
      <c r="HN24" s="95">
        <v>0.7</v>
      </c>
      <c r="HO24" s="96"/>
      <c r="HP24" s="95">
        <f>IF(ISNUMBER(HN24), (HJ24+HK24)-HN24, "")</f>
        <v>0</v>
      </c>
      <c r="HR24" s="95">
        <v>0.7</v>
      </c>
      <c r="HS24" s="96"/>
      <c r="HT24" s="95">
        <f>IF(ISNUMBER(HR24), (HN24+HO24)-HR24, "")</f>
        <v>0</v>
      </c>
      <c r="HV24" s="95">
        <v>0.7</v>
      </c>
      <c r="HW24" s="96"/>
      <c r="HX24" s="95">
        <f>IF(ISNUMBER(HV24), (HR24+HS24)-HV24, "")</f>
        <v>0</v>
      </c>
      <c r="HZ24" s="115">
        <v>0.7</v>
      </c>
      <c r="IA24" s="96"/>
      <c r="IB24" s="95">
        <f t="shared" si="117"/>
        <v>0</v>
      </c>
      <c r="ID24" s="95">
        <v>0.7</v>
      </c>
      <c r="IE24" s="96"/>
      <c r="IF24" s="95">
        <f t="shared" si="118"/>
        <v>0</v>
      </c>
      <c r="IH24" s="115">
        <v>0.7</v>
      </c>
      <c r="II24" s="96"/>
      <c r="IJ24" s="95">
        <f t="shared" si="58"/>
        <v>0</v>
      </c>
      <c r="IL24" s="95">
        <v>0.7</v>
      </c>
      <c r="IM24" s="96"/>
      <c r="IN24" s="95">
        <f t="shared" si="59"/>
        <v>0</v>
      </c>
      <c r="IP24" s="95">
        <v>0.7</v>
      </c>
      <c r="IQ24" s="96"/>
      <c r="IR24" s="95">
        <f t="shared" si="60"/>
        <v>0</v>
      </c>
      <c r="IT24" s="95">
        <v>0.7</v>
      </c>
      <c r="IU24" s="96"/>
      <c r="IV24" s="95">
        <f t="shared" si="61"/>
        <v>0</v>
      </c>
      <c r="IX24" s="95">
        <v>0.7</v>
      </c>
      <c r="IY24" s="96"/>
      <c r="IZ24" s="95">
        <f t="shared" si="62"/>
        <v>0</v>
      </c>
      <c r="JB24" s="95">
        <v>0.7</v>
      </c>
      <c r="JC24" s="96"/>
      <c r="JD24" s="95">
        <f t="shared" si="63"/>
        <v>0</v>
      </c>
      <c r="JF24" s="95">
        <v>0.7</v>
      </c>
      <c r="JG24" s="96"/>
      <c r="JH24" s="95">
        <f t="shared" si="64"/>
        <v>0</v>
      </c>
      <c r="JJ24" s="95">
        <v>0.7</v>
      </c>
      <c r="JK24" s="96"/>
      <c r="JL24" s="95">
        <f t="shared" si="65"/>
        <v>0</v>
      </c>
      <c r="JN24" s="95">
        <v>0.7</v>
      </c>
      <c r="JO24" s="96"/>
      <c r="JP24" s="95">
        <f t="shared" si="66"/>
        <v>0</v>
      </c>
      <c r="JR24" s="95">
        <v>0.7</v>
      </c>
      <c r="JS24" s="96"/>
      <c r="JT24" s="95">
        <f t="shared" si="67"/>
        <v>0</v>
      </c>
      <c r="JV24" s="95">
        <v>0.7</v>
      </c>
      <c r="JW24" s="96"/>
      <c r="JX24" s="95">
        <f t="shared" si="68"/>
        <v>0</v>
      </c>
      <c r="JZ24" s="95">
        <v>0.7</v>
      </c>
      <c r="KA24" s="96"/>
      <c r="KB24" s="95">
        <f t="shared" si="69"/>
        <v>0</v>
      </c>
      <c r="KD24" s="95">
        <v>0.7</v>
      </c>
      <c r="KE24" s="96"/>
      <c r="KF24" s="95">
        <f t="shared" si="70"/>
        <v>0</v>
      </c>
      <c r="KH24" s="95">
        <v>0.7</v>
      </c>
      <c r="KI24" s="96"/>
      <c r="KJ24" s="95">
        <f t="shared" si="71"/>
        <v>0</v>
      </c>
      <c r="KL24" s="95">
        <v>0.7</v>
      </c>
      <c r="KM24" s="96"/>
      <c r="KN24" s="95">
        <f t="shared" si="72"/>
        <v>0</v>
      </c>
      <c r="KP24" s="95">
        <v>0.7</v>
      </c>
      <c r="KQ24" s="96"/>
      <c r="KR24" s="95">
        <f t="shared" si="73"/>
        <v>0</v>
      </c>
      <c r="KT24" s="95">
        <v>0.7</v>
      </c>
      <c r="KU24" s="96"/>
      <c r="KV24" s="95">
        <f t="shared" si="74"/>
        <v>0</v>
      </c>
      <c r="KX24" s="95">
        <v>0.7</v>
      </c>
      <c r="KY24" s="96"/>
      <c r="KZ24" s="95">
        <f t="shared" si="75"/>
        <v>0</v>
      </c>
      <c r="LB24" s="95">
        <v>0.7</v>
      </c>
      <c r="LC24" s="96"/>
      <c r="LD24" s="95">
        <f t="shared" si="76"/>
        <v>0</v>
      </c>
      <c r="LF24" s="95">
        <v>0.7</v>
      </c>
      <c r="LG24" s="96"/>
      <c r="LH24" s="95">
        <f t="shared" si="77"/>
        <v>0</v>
      </c>
      <c r="LJ24" s="95">
        <v>0.7</v>
      </c>
      <c r="LK24" s="96"/>
      <c r="LL24" s="95">
        <f t="shared" si="78"/>
        <v>0</v>
      </c>
      <c r="LN24" s="95">
        <v>0.7</v>
      </c>
      <c r="LO24" s="96"/>
      <c r="LP24" s="95">
        <f t="shared" si="79"/>
        <v>0</v>
      </c>
      <c r="LR24" s="105">
        <v>0.7</v>
      </c>
      <c r="LS24" s="96"/>
      <c r="LT24" s="95">
        <f t="shared" si="80"/>
        <v>0</v>
      </c>
      <c r="LV24" s="105">
        <v>0.6</v>
      </c>
      <c r="LW24" s="96"/>
      <c r="LX24" s="95">
        <f t="shared" si="115"/>
        <v>9.9999999999999978E-2</v>
      </c>
      <c r="LZ24" s="95">
        <v>0.6</v>
      </c>
      <c r="MA24" s="96"/>
      <c r="MB24" s="95">
        <f t="shared" si="82"/>
        <v>0</v>
      </c>
      <c r="MD24" s="95">
        <v>0.6</v>
      </c>
      <c r="ME24" s="96"/>
      <c r="MF24" s="95">
        <f t="shared" si="116"/>
        <v>0</v>
      </c>
      <c r="MH24" s="95">
        <v>0.5</v>
      </c>
      <c r="MI24" s="96"/>
      <c r="MJ24" s="95">
        <f t="shared" si="84"/>
        <v>9.9999999999999978E-2</v>
      </c>
      <c r="ML24" s="95">
        <v>0.5</v>
      </c>
      <c r="MM24" s="96"/>
      <c r="MN24" s="95">
        <f t="shared" si="85"/>
        <v>0</v>
      </c>
      <c r="MP24" s="95">
        <v>0.5</v>
      </c>
      <c r="MQ24" s="96"/>
      <c r="MR24" s="95">
        <f t="shared" si="86"/>
        <v>0</v>
      </c>
      <c r="MT24" s="95">
        <v>0.5</v>
      </c>
      <c r="MU24" s="96"/>
      <c r="MV24" s="95">
        <f t="shared" si="87"/>
        <v>0</v>
      </c>
      <c r="MX24" s="95">
        <v>0.5</v>
      </c>
      <c r="MY24" s="96"/>
      <c r="MZ24" s="95">
        <f t="shared" si="88"/>
        <v>0</v>
      </c>
      <c r="NB24" s="95">
        <v>0.3</v>
      </c>
      <c r="NC24" s="96"/>
      <c r="ND24" s="95">
        <f t="shared" si="89"/>
        <v>0.2</v>
      </c>
      <c r="NF24" s="105">
        <v>0.3</v>
      </c>
      <c r="NG24" s="96"/>
      <c r="NH24" s="95">
        <f t="shared" si="90"/>
        <v>0</v>
      </c>
      <c r="NJ24" s="95">
        <v>0.2</v>
      </c>
      <c r="NK24" s="96"/>
      <c r="NL24" s="95">
        <f t="shared" si="91"/>
        <v>9.9999999999999978E-2</v>
      </c>
      <c r="NN24" s="95">
        <v>0.2</v>
      </c>
      <c r="NO24" s="96"/>
      <c r="NP24" s="95">
        <f t="shared" si="92"/>
        <v>0</v>
      </c>
      <c r="NR24" s="95">
        <v>0.2</v>
      </c>
      <c r="NS24" s="96"/>
      <c r="NT24" s="95">
        <f t="shared" si="93"/>
        <v>0</v>
      </c>
      <c r="NV24" s="95">
        <v>0.2</v>
      </c>
      <c r="NW24" s="96"/>
      <c r="NX24" s="95">
        <f t="shared" si="94"/>
        <v>0</v>
      </c>
      <c r="NZ24" s="95">
        <v>0.2</v>
      </c>
      <c r="OA24" s="96"/>
      <c r="OB24" s="95">
        <f t="shared" si="95"/>
        <v>0</v>
      </c>
      <c r="OD24" s="95">
        <v>0.2</v>
      </c>
      <c r="OE24" s="96"/>
      <c r="OF24" s="95">
        <f t="shared" si="96"/>
        <v>0</v>
      </c>
      <c r="OH24" s="105">
        <v>0.2</v>
      </c>
      <c r="OI24" s="96"/>
      <c r="OJ24" s="95">
        <f t="shared" si="97"/>
        <v>0</v>
      </c>
      <c r="OL24" s="95">
        <v>0.2</v>
      </c>
      <c r="OM24" s="96"/>
      <c r="ON24" s="95">
        <f t="shared" si="98"/>
        <v>0</v>
      </c>
      <c r="OP24" s="105">
        <v>0.2</v>
      </c>
      <c r="OQ24" s="96"/>
      <c r="OR24" s="95">
        <f t="shared" si="99"/>
        <v>0</v>
      </c>
      <c r="OT24" s="95">
        <v>0.2</v>
      </c>
      <c r="OU24" s="96"/>
      <c r="OV24" s="95">
        <f t="shared" si="100"/>
        <v>0</v>
      </c>
      <c r="OX24" s="105">
        <v>0.2</v>
      </c>
      <c r="OY24" s="96"/>
      <c r="OZ24" s="95">
        <f t="shared" si="101"/>
        <v>0</v>
      </c>
      <c r="PB24" s="95">
        <v>0.2</v>
      </c>
      <c r="PC24" s="96"/>
      <c r="PD24" s="95">
        <f t="shared" si="102"/>
        <v>0</v>
      </c>
      <c r="PF24" s="95">
        <v>0.2</v>
      </c>
      <c r="PG24" s="96"/>
      <c r="PH24" s="95">
        <f t="shared" si="103"/>
        <v>0</v>
      </c>
      <c r="PJ24" s="105">
        <v>0.2</v>
      </c>
      <c r="PK24" s="96"/>
      <c r="PL24" s="95">
        <f t="shared" si="104"/>
        <v>0</v>
      </c>
      <c r="PN24" s="105">
        <v>0.2</v>
      </c>
      <c r="PO24" s="96"/>
      <c r="PP24" s="95">
        <f t="shared" si="105"/>
        <v>0</v>
      </c>
      <c r="PR24" s="95">
        <v>0.2</v>
      </c>
      <c r="PS24" s="96"/>
      <c r="PT24" s="95">
        <f t="shared" si="106"/>
        <v>0</v>
      </c>
      <c r="PV24" s="190">
        <v>0.2</v>
      </c>
      <c r="PW24" s="194"/>
      <c r="PX24" s="190">
        <f t="shared" si="107"/>
        <v>0</v>
      </c>
      <c r="PZ24" s="105"/>
      <c r="QA24" s="96"/>
      <c r="QB24" s="95" t="str">
        <f t="shared" si="108"/>
        <v/>
      </c>
    </row>
    <row r="25" spans="1:444" ht="12.75" customHeight="1" x14ac:dyDescent="0.2">
      <c r="A25" s="124" t="s">
        <v>90</v>
      </c>
      <c r="B25" s="102" t="s">
        <v>100</v>
      </c>
      <c r="C25" s="87">
        <v>0.4</v>
      </c>
      <c r="D25" s="87" t="s">
        <v>101</v>
      </c>
      <c r="F25" s="95">
        <v>0.8</v>
      </c>
      <c r="G25" s="96"/>
      <c r="H25" s="113"/>
      <c r="J25" s="95">
        <v>0.8</v>
      </c>
      <c r="K25" s="96"/>
      <c r="L25" s="95">
        <f t="shared" ref="L25" si="171">IF(ISNUMBER(J25), (F25+G25)-J25, "")</f>
        <v>0</v>
      </c>
      <c r="N25" s="105">
        <v>0.8</v>
      </c>
      <c r="O25" s="96"/>
      <c r="P25" s="95">
        <f t="shared" ref="P25" si="172">IF(ISNUMBER(N25), (J25+K25)-N25, "")</f>
        <v>0</v>
      </c>
      <c r="R25" s="95">
        <v>0.8</v>
      </c>
      <c r="S25" s="96"/>
      <c r="T25" s="95">
        <f t="shared" ref="T25" si="173">IF(ISNUMBER(R25), (N25+O25)-R25, "")</f>
        <v>0</v>
      </c>
      <c r="V25" s="95">
        <v>0.8</v>
      </c>
      <c r="W25" s="96"/>
      <c r="X25" s="95">
        <f t="shared" ref="X25" si="174">IF(ISNUMBER(V25), (R25+S25)-V25, "")</f>
        <v>0</v>
      </c>
      <c r="Z25" s="105">
        <v>0.8</v>
      </c>
      <c r="AA25" s="96"/>
      <c r="AB25" s="95">
        <f t="shared" ref="AB25" si="175">IF(ISNUMBER(Z25), (V25+W25)-Z25, "")</f>
        <v>0</v>
      </c>
      <c r="AD25" s="105">
        <v>0.8</v>
      </c>
      <c r="AE25" s="96"/>
      <c r="AF25" s="95">
        <f t="shared" ref="AF25" si="176">IF(ISNUMBER(AD25), (Z25+AA25)-AD25, "")</f>
        <v>0</v>
      </c>
      <c r="AH25" s="95">
        <v>0.8</v>
      </c>
      <c r="AI25" s="96"/>
      <c r="AJ25" s="95">
        <f t="shared" ref="AJ25" si="177">IF(ISNUMBER(AH25), (AD25+AE25)-AH25, "")</f>
        <v>0</v>
      </c>
      <c r="AL25" s="105">
        <v>0.8</v>
      </c>
      <c r="AM25" s="96"/>
      <c r="AN25" s="95">
        <f t="shared" ref="AN25" si="178">IF(ISNUMBER(AL25), (AH25+AI25)-AL25, "")</f>
        <v>0</v>
      </c>
      <c r="AP25" s="105">
        <v>0.8</v>
      </c>
      <c r="AQ25" s="96"/>
      <c r="AR25" s="95">
        <f t="shared" ref="AR25" si="179">IF(ISNUMBER(AP25), (AL25+AM25)-AP25, "")</f>
        <v>0</v>
      </c>
      <c r="AT25" s="95">
        <v>0.8</v>
      </c>
      <c r="AU25" s="96"/>
      <c r="AV25" s="95">
        <f t="shared" ref="AV25" si="180">IF(ISNUMBER(AT25), (AP25+AQ25)-AT25, "")</f>
        <v>0</v>
      </c>
      <c r="AX25" s="95">
        <v>0.5</v>
      </c>
      <c r="AY25" s="96"/>
      <c r="AZ25" s="95">
        <f t="shared" ref="AZ25" si="181">IF(ISNUMBER(AX25), (AT25+AU25)-AX25, "")</f>
        <v>0.30000000000000004</v>
      </c>
      <c r="BB25" s="95">
        <v>0.5</v>
      </c>
      <c r="BC25" s="96"/>
      <c r="BD25" s="95">
        <f t="shared" ref="BD25" si="182">IF(ISNUMBER(BB25), (AX25+AY25)-BB25, "")</f>
        <v>0</v>
      </c>
      <c r="BF25" s="95">
        <v>0.5</v>
      </c>
      <c r="BG25" s="96"/>
      <c r="BH25" s="95">
        <f t="shared" ref="BH25" si="183">IF(ISNUMBER(BF25), (BB25+BC25)-BF25, "")</f>
        <v>0</v>
      </c>
      <c r="BJ25" s="95">
        <v>0.5</v>
      </c>
      <c r="BK25" s="96"/>
      <c r="BL25" s="95">
        <f t="shared" ref="BL25" si="184">IF(ISNUMBER(BJ25), (BF25+BG25)-BJ25, "")</f>
        <v>0</v>
      </c>
      <c r="BN25" s="95">
        <v>0.5</v>
      </c>
      <c r="BO25" s="96"/>
      <c r="BP25" s="95">
        <f t="shared" ref="BP25" si="185">IF(ISNUMBER(BN25), (BJ25+BK25)-BN25, "")</f>
        <v>0</v>
      </c>
      <c r="BR25" s="115">
        <v>0.5</v>
      </c>
      <c r="BS25" s="116"/>
      <c r="BT25" s="115">
        <f t="shared" si="113"/>
        <v>0</v>
      </c>
      <c r="BV25" s="105">
        <v>0.5</v>
      </c>
      <c r="BW25" s="96"/>
      <c r="BX25" s="95">
        <f t="shared" ref="BX25" si="186">IF(ISNUMBER(BV25), (BR25+BS25)-BV25, "")</f>
        <v>0</v>
      </c>
      <c r="BZ25" s="95">
        <v>0.5</v>
      </c>
      <c r="CA25" s="96"/>
      <c r="CB25" s="95">
        <f t="shared" ref="CB25" si="187">IF(ISNUMBER(BZ25), (BV25+BW25)-BZ25, "")</f>
        <v>0</v>
      </c>
      <c r="CD25" s="95">
        <v>0.5</v>
      </c>
      <c r="CE25" s="96"/>
      <c r="CF25" s="95">
        <f t="shared" ref="CF25" si="188">IF(ISNUMBER(CD25), (BZ25+CA25)-CD25, "")</f>
        <v>0</v>
      </c>
      <c r="CH25" s="95">
        <v>0.3</v>
      </c>
      <c r="CI25" s="96"/>
      <c r="CJ25" s="95">
        <f t="shared" ref="CJ25" si="189">IF(ISNUMBER(CH25), (CD25+CE25)-CH25, "")</f>
        <v>0.2</v>
      </c>
      <c r="CL25" s="95">
        <v>0.3</v>
      </c>
      <c r="CM25" s="96"/>
      <c r="CN25" s="95">
        <f t="shared" ref="CN25" si="190">IF(ISNUMBER(CL25), (CH25+CI25)-CL25, "")</f>
        <v>0</v>
      </c>
      <c r="CP25" s="95">
        <v>0.3</v>
      </c>
      <c r="CQ25" s="96"/>
      <c r="CR25" s="95">
        <f t="shared" ref="CR25" si="191">IF(ISNUMBER(CP25), (CL25+CM25)-CP25, "")</f>
        <v>0</v>
      </c>
      <c r="CT25" s="95">
        <v>0.2</v>
      </c>
      <c r="CU25" s="96"/>
      <c r="CV25" s="95">
        <f t="shared" ref="CV25" si="192">IF(ISNUMBER(CT25), (CP25+CQ25)-CT25, "")</f>
        <v>9.9999999999999978E-2</v>
      </c>
      <c r="CX25" s="95">
        <v>0.2</v>
      </c>
      <c r="CY25" s="96"/>
      <c r="CZ25" s="95">
        <f t="shared" ref="CZ25" si="193">IF(ISNUMBER(CX25), (CT25+CU25)-CX25, "")</f>
        <v>0</v>
      </c>
      <c r="DB25" s="95">
        <v>0.2</v>
      </c>
      <c r="DC25" s="96"/>
      <c r="DD25" s="95">
        <f t="shared" ref="DD25" si="194">IF(ISNUMBER(DB25), (CX25+CY25)-DB25, "")</f>
        <v>0</v>
      </c>
      <c r="DF25" s="95">
        <v>0.2</v>
      </c>
      <c r="DG25" s="96"/>
      <c r="DH25" s="95">
        <f t="shared" ref="DH25" si="195">IF(ISNUMBER(DF25), (DB25+DC25)-DF25, "")</f>
        <v>0</v>
      </c>
      <c r="DJ25" s="95">
        <v>0.2</v>
      </c>
      <c r="DK25" s="96"/>
      <c r="DL25" s="95">
        <f t="shared" ref="DL25" si="196">IF(ISNUMBER(DJ25), (DF25+DG25)-DJ25, "")</f>
        <v>0</v>
      </c>
      <c r="DN25" s="95">
        <v>0.2</v>
      </c>
      <c r="DO25" s="96"/>
      <c r="DP25" s="95">
        <f t="shared" ref="DP25" si="197">IF(ISNUMBER(DN25), (DJ25+DK25)-DN25, "")</f>
        <v>0</v>
      </c>
      <c r="DR25" s="95">
        <v>0.2</v>
      </c>
      <c r="DS25" s="96"/>
      <c r="DT25" s="95">
        <f t="shared" ref="DT25" si="198">IF(ISNUMBER(DR25), (DN25+DO25)-DR25, "")</f>
        <v>0</v>
      </c>
      <c r="DV25" s="95">
        <v>0.2</v>
      </c>
      <c r="DW25" s="96"/>
      <c r="DX25" s="95">
        <f t="shared" ref="DX25" si="199">IF(ISNUMBER(DV25), (DR25+DS25)-DV25, "")</f>
        <v>0</v>
      </c>
      <c r="DZ25" s="95">
        <v>0.2</v>
      </c>
      <c r="EA25" s="96"/>
      <c r="EB25" s="95">
        <f t="shared" ref="EB25" si="200">IF(ISNUMBER(DZ25), (DV25+DW25)-DZ25, "")</f>
        <v>0</v>
      </c>
      <c r="ED25" s="95">
        <v>0.2</v>
      </c>
      <c r="EE25" s="96"/>
      <c r="EF25" s="95">
        <f t="shared" ref="EF25" si="201">IF(ISNUMBER(ED25), (DZ25+EA25)-ED25, "")</f>
        <v>0</v>
      </c>
      <c r="EH25" s="95">
        <v>0.2</v>
      </c>
      <c r="EI25" s="96"/>
      <c r="EJ25" s="95">
        <f t="shared" ref="EJ25" si="202">IF(ISNUMBER(EH25), (ED25+EE25)-EH25, "")</f>
        <v>0</v>
      </c>
      <c r="EL25" s="95">
        <v>0.2</v>
      </c>
      <c r="EM25" s="96"/>
      <c r="EN25" s="95">
        <f t="shared" ref="EN25" si="203">IF(ISNUMBER(EL25), (EH25+EI25)-EL25, "")</f>
        <v>0</v>
      </c>
      <c r="EP25" s="95">
        <v>0.2</v>
      </c>
      <c r="EQ25" s="96"/>
      <c r="ER25" s="95">
        <f t="shared" ref="ER25" si="204">IF(ISNUMBER(EP25), (EL25+EM25)-EP25, "")</f>
        <v>0</v>
      </c>
      <c r="ET25" s="95">
        <v>0.2</v>
      </c>
      <c r="EU25" s="96"/>
      <c r="EV25" s="95">
        <f t="shared" ref="EV25" si="205">IF(ISNUMBER(ET25), (EP25+EQ25)-ET25, "")</f>
        <v>0</v>
      </c>
      <c r="EX25" s="95">
        <v>0.2</v>
      </c>
      <c r="EY25" s="96"/>
      <c r="EZ25" s="95">
        <f t="shared" ref="EZ25" si="206">IF(ISNUMBER(EX25), (ET25+EU25)-EX25, "")</f>
        <v>0</v>
      </c>
      <c r="FB25" s="95">
        <v>0.1</v>
      </c>
      <c r="FC25" s="96"/>
      <c r="FD25" s="95">
        <f t="shared" ref="FD25" si="207">IF(ISNUMBER(FB25), (EX25+EY25)-FB25, "")</f>
        <v>0.1</v>
      </c>
      <c r="FF25" s="95">
        <v>0.1</v>
      </c>
      <c r="FG25" s="96"/>
      <c r="FH25" s="95">
        <f t="shared" ref="FH25" si="208">IF(ISNUMBER(FF25), (FB25+FC25)-FF25, "")</f>
        <v>0</v>
      </c>
      <c r="FJ25" s="95">
        <v>0.1</v>
      </c>
      <c r="FK25" s="96">
        <v>1</v>
      </c>
      <c r="FL25" s="95">
        <f t="shared" ref="FL25" si="209">IF(ISNUMBER(FJ25), (FF25+FG25)-FJ25, "")</f>
        <v>0</v>
      </c>
      <c r="FN25" s="95">
        <v>1.1000000000000001</v>
      </c>
      <c r="FO25" s="96"/>
      <c r="FP25" s="95">
        <f t="shared" ref="FP25" si="210">IF(ISNUMBER(FN25), (FJ25+FK25)-FN25, "")</f>
        <v>0</v>
      </c>
      <c r="FR25" s="95">
        <v>1.1000000000000001</v>
      </c>
      <c r="FS25" s="96"/>
      <c r="FT25" s="95">
        <f t="shared" ref="FT25" si="211">IF(ISNUMBER(FR25), (FN25+FO25)-FR25, "")</f>
        <v>0</v>
      </c>
      <c r="FV25" s="95">
        <v>1.1000000000000001</v>
      </c>
      <c r="FW25" s="96"/>
      <c r="FX25" s="95">
        <f t="shared" ref="FX25" si="212">IF(ISNUMBER(FV25), (FR25+FS25)-FV25, "")</f>
        <v>0</v>
      </c>
      <c r="FZ25" s="95">
        <v>1.1000000000000001</v>
      </c>
      <c r="GA25" s="96"/>
      <c r="GB25" s="95">
        <f t="shared" ref="GB25" si="213">IF(ISNUMBER(FZ25), (FV25+FW25)-FZ25, "")</f>
        <v>0</v>
      </c>
      <c r="GD25" s="95">
        <v>1.1000000000000001</v>
      </c>
      <c r="GE25" s="96"/>
      <c r="GF25" s="95">
        <f t="shared" ref="GF25" si="214">IF(ISNUMBER(GD25), (FZ25+GA25)-GD25, "")</f>
        <v>0</v>
      </c>
      <c r="GH25" s="105">
        <v>1.1000000000000001</v>
      </c>
      <c r="GI25" s="96"/>
      <c r="GJ25" s="95">
        <f t="shared" ref="GJ25" si="215">IF(ISNUMBER(GH25), (GD25+GE25)-GH25, "")</f>
        <v>0</v>
      </c>
      <c r="GL25" s="105">
        <v>1.2</v>
      </c>
      <c r="GM25" s="96"/>
      <c r="GN25" s="95">
        <f t="shared" si="46"/>
        <v>-9.9999999999999867E-2</v>
      </c>
      <c r="GP25" s="95">
        <v>1.2</v>
      </c>
      <c r="GQ25" s="96"/>
      <c r="GR25" s="95">
        <f t="shared" si="114"/>
        <v>0</v>
      </c>
      <c r="GT25" s="95">
        <v>1.2</v>
      </c>
      <c r="GU25" s="96"/>
      <c r="GV25" s="95">
        <f t="shared" ref="GV25" si="216">IF(ISNUMBER(GT25), (GP25+GQ25)-GT25, "")</f>
        <v>0</v>
      </c>
      <c r="GX25" s="95">
        <v>1.2</v>
      </c>
      <c r="GY25" s="96"/>
      <c r="GZ25" s="95">
        <f t="shared" ref="GZ25" si="217">IF(ISNUMBER(GX25), (GT25+GU25)-GX25, "")</f>
        <v>0</v>
      </c>
      <c r="HB25" s="95">
        <v>1.2</v>
      </c>
      <c r="HC25" s="96"/>
      <c r="HD25" s="95">
        <f t="shared" ref="HD25" si="218">IF(ISNUMBER(HB25), (GX25+GY25)-HB25, "")</f>
        <v>0</v>
      </c>
      <c r="HF25" s="95">
        <v>1.2</v>
      </c>
      <c r="HG25" s="96"/>
      <c r="HH25" s="95">
        <f t="shared" ref="HH25" si="219">IF(ISNUMBER(HF25), (HB25+HC25)-HF25, "")</f>
        <v>0</v>
      </c>
      <c r="HJ25" s="95">
        <v>1.2</v>
      </c>
      <c r="HK25" s="96"/>
      <c r="HL25" s="95">
        <f t="shared" ref="HL25" si="220">IF(ISNUMBER(HJ25), (HF25+HG25)-HJ25, "")</f>
        <v>0</v>
      </c>
      <c r="HN25" s="95">
        <v>1.2</v>
      </c>
      <c r="HO25" s="96"/>
      <c r="HP25" s="95">
        <f t="shared" ref="HP25" si="221">IF(ISNUMBER(HN25), (HJ25+HK25)-HN25, "")</f>
        <v>0</v>
      </c>
      <c r="HR25" s="95">
        <v>1.1000000000000001</v>
      </c>
      <c r="HS25" s="96"/>
      <c r="HT25" s="95">
        <f t="shared" ref="HT25" si="222">IF(ISNUMBER(HR25), (HN25+HO25)-HR25, "")</f>
        <v>9.9999999999999867E-2</v>
      </c>
      <c r="HV25" s="95">
        <v>1.1000000000000001</v>
      </c>
      <c r="HW25" s="96"/>
      <c r="HX25" s="95">
        <f t="shared" ref="HX25" si="223">IF(ISNUMBER(HV25), (HR25+HS25)-HV25, "")</f>
        <v>0</v>
      </c>
      <c r="HZ25" s="115">
        <v>1.1000000000000001</v>
      </c>
      <c r="IA25" s="96"/>
      <c r="IB25" s="95">
        <f t="shared" si="117"/>
        <v>0</v>
      </c>
      <c r="ID25" s="95">
        <v>1.1000000000000001</v>
      </c>
      <c r="IE25" s="96"/>
      <c r="IF25" s="95">
        <f t="shared" si="118"/>
        <v>0</v>
      </c>
      <c r="IH25" s="115">
        <v>0.7</v>
      </c>
      <c r="II25" s="96"/>
      <c r="IJ25" s="95">
        <f t="shared" si="58"/>
        <v>0.40000000000000013</v>
      </c>
      <c r="IL25" s="95">
        <v>0.7</v>
      </c>
      <c r="IM25" s="96"/>
      <c r="IN25" s="95">
        <f t="shared" si="59"/>
        <v>0</v>
      </c>
      <c r="IP25" s="95">
        <v>0.7</v>
      </c>
      <c r="IQ25" s="96"/>
      <c r="IR25" s="95">
        <f t="shared" si="60"/>
        <v>0</v>
      </c>
      <c r="IT25" s="95">
        <v>0.7</v>
      </c>
      <c r="IU25" s="96"/>
      <c r="IV25" s="95">
        <f t="shared" si="61"/>
        <v>0</v>
      </c>
      <c r="IX25" s="95">
        <v>0.7</v>
      </c>
      <c r="IY25" s="96"/>
      <c r="IZ25" s="95">
        <f t="shared" si="62"/>
        <v>0</v>
      </c>
      <c r="JB25" s="95">
        <v>0.7</v>
      </c>
      <c r="JC25" s="96"/>
      <c r="JD25" s="95">
        <f t="shared" si="63"/>
        <v>0</v>
      </c>
      <c r="JF25" s="95">
        <v>0.7</v>
      </c>
      <c r="JG25" s="96"/>
      <c r="JH25" s="95">
        <f t="shared" si="64"/>
        <v>0</v>
      </c>
      <c r="JJ25" s="95">
        <v>0.7</v>
      </c>
      <c r="JK25" s="96"/>
      <c r="JL25" s="95">
        <f t="shared" si="65"/>
        <v>0</v>
      </c>
      <c r="JN25" s="95">
        <v>0.7</v>
      </c>
      <c r="JO25" s="96"/>
      <c r="JP25" s="95">
        <f t="shared" si="66"/>
        <v>0</v>
      </c>
      <c r="JR25" s="95">
        <v>0.7</v>
      </c>
      <c r="JS25" s="96"/>
      <c r="JT25" s="95">
        <f t="shared" si="67"/>
        <v>0</v>
      </c>
      <c r="JV25" s="95">
        <v>0.7</v>
      </c>
      <c r="JW25" s="96"/>
      <c r="JX25" s="95">
        <f t="shared" si="68"/>
        <v>0</v>
      </c>
      <c r="JZ25" s="95">
        <v>0.7</v>
      </c>
      <c r="KA25" s="96"/>
      <c r="KB25" s="95">
        <f t="shared" si="69"/>
        <v>0</v>
      </c>
      <c r="KD25" s="95">
        <v>0.7</v>
      </c>
      <c r="KE25" s="96"/>
      <c r="KF25" s="95">
        <f t="shared" si="70"/>
        <v>0</v>
      </c>
      <c r="KH25" s="95">
        <v>0.4</v>
      </c>
      <c r="KI25" s="96"/>
      <c r="KJ25" s="95">
        <f t="shared" si="71"/>
        <v>0.29999999999999993</v>
      </c>
      <c r="KL25" s="95">
        <v>0.4</v>
      </c>
      <c r="KM25" s="96">
        <v>1</v>
      </c>
      <c r="KN25" s="95">
        <f t="shared" si="72"/>
        <v>0</v>
      </c>
      <c r="KP25" s="95">
        <v>1.3</v>
      </c>
      <c r="KQ25" s="96"/>
      <c r="KR25" s="95">
        <f t="shared" si="73"/>
        <v>9.9999999999999867E-2</v>
      </c>
      <c r="KT25" s="95">
        <v>1.3</v>
      </c>
      <c r="KU25" s="96"/>
      <c r="KV25" s="95">
        <f t="shared" si="74"/>
        <v>0</v>
      </c>
      <c r="KX25" s="95">
        <v>1.3</v>
      </c>
      <c r="KY25" s="96"/>
      <c r="KZ25" s="95">
        <f t="shared" si="75"/>
        <v>0</v>
      </c>
      <c r="LB25" s="95">
        <v>1.3</v>
      </c>
      <c r="LC25" s="96"/>
      <c r="LD25" s="95">
        <f t="shared" si="76"/>
        <v>0</v>
      </c>
      <c r="LF25" s="95">
        <v>1.3</v>
      </c>
      <c r="LG25" s="96"/>
      <c r="LH25" s="95">
        <f t="shared" si="77"/>
        <v>0</v>
      </c>
      <c r="LJ25" s="95">
        <v>1.2</v>
      </c>
      <c r="LK25" s="96"/>
      <c r="LL25" s="95">
        <f t="shared" si="78"/>
        <v>0.10000000000000009</v>
      </c>
      <c r="LN25" s="95">
        <v>1.2</v>
      </c>
      <c r="LO25" s="96"/>
      <c r="LP25" s="95">
        <f t="shared" si="79"/>
        <v>0</v>
      </c>
      <c r="LR25" s="105">
        <v>1.2</v>
      </c>
      <c r="LS25" s="96"/>
      <c r="LT25" s="95">
        <f t="shared" si="80"/>
        <v>0</v>
      </c>
      <c r="LV25" s="105">
        <v>1.2</v>
      </c>
      <c r="LW25" s="96"/>
      <c r="LX25" s="95">
        <f t="shared" si="115"/>
        <v>0</v>
      </c>
      <c r="LZ25" s="95">
        <v>0.9</v>
      </c>
      <c r="MA25" s="96"/>
      <c r="MB25" s="95">
        <f t="shared" si="82"/>
        <v>0.29999999999999993</v>
      </c>
      <c r="MD25" s="95">
        <v>0.9</v>
      </c>
      <c r="ME25" s="96"/>
      <c r="MF25" s="95">
        <f t="shared" si="116"/>
        <v>0</v>
      </c>
      <c r="MH25" s="95">
        <v>0.9</v>
      </c>
      <c r="MI25" s="96"/>
      <c r="MJ25" s="95">
        <f t="shared" si="84"/>
        <v>0</v>
      </c>
      <c r="ML25" s="95">
        <v>0.9</v>
      </c>
      <c r="MM25" s="96"/>
      <c r="MN25" s="95">
        <f t="shared" si="85"/>
        <v>0</v>
      </c>
      <c r="MP25" s="95">
        <v>0.9</v>
      </c>
      <c r="MQ25" s="96"/>
      <c r="MR25" s="95">
        <f t="shared" si="86"/>
        <v>0</v>
      </c>
      <c r="MT25" s="95">
        <v>0.9</v>
      </c>
      <c r="MU25" s="96"/>
      <c r="MV25" s="95">
        <f t="shared" si="87"/>
        <v>0</v>
      </c>
      <c r="MX25" s="95">
        <v>0.9</v>
      </c>
      <c r="MY25" s="96"/>
      <c r="MZ25" s="95">
        <f t="shared" si="88"/>
        <v>0</v>
      </c>
      <c r="NB25" s="95">
        <v>0.9</v>
      </c>
      <c r="NC25" s="96"/>
      <c r="ND25" s="95">
        <f t="shared" si="89"/>
        <v>0</v>
      </c>
      <c r="NF25" s="105">
        <v>0.9</v>
      </c>
      <c r="NG25" s="96"/>
      <c r="NH25" s="95">
        <f t="shared" si="90"/>
        <v>0</v>
      </c>
      <c r="NJ25" s="95">
        <v>0.9</v>
      </c>
      <c r="NK25" s="96"/>
      <c r="NL25" s="95">
        <f t="shared" si="91"/>
        <v>0</v>
      </c>
      <c r="NN25" s="95">
        <v>0.9</v>
      </c>
      <c r="NO25" s="96"/>
      <c r="NP25" s="95">
        <f t="shared" si="92"/>
        <v>0</v>
      </c>
      <c r="NR25" s="95">
        <v>0.9</v>
      </c>
      <c r="NS25" s="96"/>
      <c r="NT25" s="95">
        <f t="shared" si="93"/>
        <v>0</v>
      </c>
      <c r="NV25" s="95">
        <v>0.9</v>
      </c>
      <c r="NW25" s="96"/>
      <c r="NX25" s="95">
        <f t="shared" si="94"/>
        <v>0</v>
      </c>
      <c r="NZ25" s="95">
        <v>0.9</v>
      </c>
      <c r="OA25" s="96"/>
      <c r="OB25" s="95">
        <f t="shared" si="95"/>
        <v>0</v>
      </c>
      <c r="OD25" s="95">
        <v>0.9</v>
      </c>
      <c r="OE25" s="96"/>
      <c r="OF25" s="95">
        <f t="shared" si="96"/>
        <v>0</v>
      </c>
      <c r="OH25" s="105">
        <v>0.9</v>
      </c>
      <c r="OI25" s="96"/>
      <c r="OJ25" s="95">
        <f t="shared" si="97"/>
        <v>0</v>
      </c>
      <c r="OL25" s="95">
        <v>0.9</v>
      </c>
      <c r="OM25" s="96"/>
      <c r="ON25" s="95">
        <f t="shared" si="98"/>
        <v>0</v>
      </c>
      <c r="OP25" s="105">
        <v>0.9</v>
      </c>
      <c r="OQ25" s="96"/>
      <c r="OR25" s="95">
        <f t="shared" si="99"/>
        <v>0</v>
      </c>
      <c r="OT25" s="95">
        <v>0.9</v>
      </c>
      <c r="OU25" s="96"/>
      <c r="OV25" s="95">
        <f t="shared" si="100"/>
        <v>0</v>
      </c>
      <c r="OX25" s="105">
        <v>0.9</v>
      </c>
      <c r="OY25" s="96"/>
      <c r="OZ25" s="95">
        <f t="shared" si="101"/>
        <v>0</v>
      </c>
      <c r="PB25" s="95">
        <v>0.9</v>
      </c>
      <c r="PC25" s="96"/>
      <c r="PD25" s="95">
        <f t="shared" si="102"/>
        <v>0</v>
      </c>
      <c r="PF25" s="95">
        <v>0.9</v>
      </c>
      <c r="PG25" s="96"/>
      <c r="PH25" s="95">
        <f t="shared" si="103"/>
        <v>0</v>
      </c>
      <c r="PJ25" s="105">
        <v>0.9</v>
      </c>
      <c r="PK25" s="96"/>
      <c r="PL25" s="95">
        <f t="shared" si="104"/>
        <v>0</v>
      </c>
      <c r="PN25" s="105">
        <v>0.9</v>
      </c>
      <c r="PO25" s="96"/>
      <c r="PP25" s="95">
        <f t="shared" si="105"/>
        <v>0</v>
      </c>
      <c r="PR25" s="95">
        <v>0.9</v>
      </c>
      <c r="PS25" s="96"/>
      <c r="PT25" s="95">
        <f t="shared" si="106"/>
        <v>0</v>
      </c>
      <c r="PV25" s="190">
        <v>0.9</v>
      </c>
      <c r="PW25" s="194"/>
      <c r="PX25" s="190">
        <f t="shared" si="107"/>
        <v>0</v>
      </c>
      <c r="PZ25" s="105"/>
      <c r="QA25" s="96"/>
      <c r="QB25" s="95" t="str">
        <f t="shared" si="108"/>
        <v/>
      </c>
    </row>
    <row r="26" spans="1:444" ht="12.75" customHeight="1" x14ac:dyDescent="0.2">
      <c r="A26" s="124" t="s">
        <v>102</v>
      </c>
      <c r="B26" s="98" t="s">
        <v>103</v>
      </c>
      <c r="C26" s="87">
        <v>1.5</v>
      </c>
      <c r="D26" s="87">
        <v>19476</v>
      </c>
      <c r="F26" s="95">
        <v>0.8</v>
      </c>
      <c r="G26" s="96"/>
      <c r="H26" s="113"/>
      <c r="J26" s="95">
        <v>0.7</v>
      </c>
      <c r="K26" s="96"/>
      <c r="L26" s="95">
        <f>IF(ISNUMBER(J26), (F26+G26)-J26, "")</f>
        <v>0.10000000000000009</v>
      </c>
      <c r="N26" s="105">
        <v>0.7</v>
      </c>
      <c r="O26" s="96"/>
      <c r="P26" s="95">
        <f>IF(ISNUMBER(N26), (J26+K26)-N26, "")</f>
        <v>0</v>
      </c>
      <c r="R26" s="95">
        <v>0.7</v>
      </c>
      <c r="S26" s="96"/>
      <c r="T26" s="95">
        <f>IF(ISNUMBER(R26), (N26+O26)-R26, "")</f>
        <v>0</v>
      </c>
      <c r="V26" s="95">
        <v>0.6</v>
      </c>
      <c r="W26" s="96"/>
      <c r="X26" s="95">
        <f>IF(ISNUMBER(V26), (R26+S26)-V26, "")</f>
        <v>9.9999999999999978E-2</v>
      </c>
      <c r="Z26" s="105">
        <v>0.6</v>
      </c>
      <c r="AA26" s="96"/>
      <c r="AB26" s="95">
        <f>IF(ISNUMBER(Z26), (V26+W26)-Z26, "")</f>
        <v>0</v>
      </c>
      <c r="AD26" s="105">
        <v>0.6</v>
      </c>
      <c r="AE26" s="96"/>
      <c r="AF26" s="95">
        <f>IF(ISNUMBER(AD26), (Z26+AA26)-AD26, "")</f>
        <v>0</v>
      </c>
      <c r="AH26" s="95">
        <v>0.6</v>
      </c>
      <c r="AI26" s="96"/>
      <c r="AJ26" s="95">
        <f>IF(ISNUMBER(AH26), (AD26+AE26)-AH26, "")</f>
        <v>0</v>
      </c>
      <c r="AL26" s="105">
        <v>0.6</v>
      </c>
      <c r="AM26" s="96"/>
      <c r="AN26" s="95">
        <f>IF(ISNUMBER(AL26), (AH26+AI26)-AL26, "")</f>
        <v>0</v>
      </c>
      <c r="AP26" s="105">
        <v>0.5</v>
      </c>
      <c r="AQ26" s="96"/>
      <c r="AR26" s="95">
        <f>IF(ISNUMBER(AP26), (AL26+AM26)-AP26, "")</f>
        <v>9.9999999999999978E-2</v>
      </c>
      <c r="AT26" s="95">
        <v>0.2</v>
      </c>
      <c r="AU26" s="96"/>
      <c r="AV26" s="95">
        <f>IF(ISNUMBER(AT26), (AP26+AQ26)-AT26, "")</f>
        <v>0.3</v>
      </c>
      <c r="AX26" s="95">
        <v>0.2</v>
      </c>
      <c r="AY26" s="96"/>
      <c r="AZ26" s="95">
        <f>IF(ISNUMBER(AX26), (AT26+AU26)-AX26, "")</f>
        <v>0</v>
      </c>
      <c r="BB26" s="95">
        <v>0.2</v>
      </c>
      <c r="BC26" s="96">
        <v>1</v>
      </c>
      <c r="BD26" s="95">
        <f>IF(ISNUMBER(BB26), (AX26+AY26)-BB26, "")</f>
        <v>0</v>
      </c>
      <c r="BF26" s="95">
        <v>1.2</v>
      </c>
      <c r="BG26" s="96"/>
      <c r="BH26" s="95">
        <f>IF(ISNUMBER(BF26), (BB26+BC26)-BF26, "")</f>
        <v>0</v>
      </c>
      <c r="BJ26" s="95">
        <v>1.2</v>
      </c>
      <c r="BK26" s="96"/>
      <c r="BL26" s="95">
        <f>IF(ISNUMBER(BJ26), (BF26+BG26)-BJ26, "")</f>
        <v>0</v>
      </c>
      <c r="BN26" s="95">
        <v>1.1000000000000001</v>
      </c>
      <c r="BO26" s="96"/>
      <c r="BP26" s="95">
        <f>IF(ISNUMBER(BN26), (BJ26+BK26)-BN26, "")</f>
        <v>9.9999999999999867E-2</v>
      </c>
      <c r="BR26" s="115">
        <v>1.1000000000000001</v>
      </c>
      <c r="BS26" s="116"/>
      <c r="BT26" s="115">
        <f t="shared" si="113"/>
        <v>0</v>
      </c>
      <c r="BV26" s="105">
        <v>1.1000000000000001</v>
      </c>
      <c r="BW26" s="96"/>
      <c r="BX26" s="95">
        <f>IF(ISNUMBER(BV26), (BR26+BS26)-BV26, "")</f>
        <v>0</v>
      </c>
      <c r="BZ26" s="95">
        <v>0.9</v>
      </c>
      <c r="CA26" s="96"/>
      <c r="CB26" s="95">
        <f>IF(ISNUMBER(BZ26), (BV26+BW26)-BZ26, "")</f>
        <v>0.20000000000000007</v>
      </c>
      <c r="CD26" s="95">
        <v>0.9</v>
      </c>
      <c r="CE26" s="96"/>
      <c r="CF26" s="95">
        <f>IF(ISNUMBER(CD26), (BZ26+CA26)-CD26, "")</f>
        <v>0</v>
      </c>
      <c r="CH26" s="95">
        <v>0.9</v>
      </c>
      <c r="CI26" s="96"/>
      <c r="CJ26" s="95">
        <f>IF(ISNUMBER(CH26), (CD26+CE26)-CH26, "")</f>
        <v>0</v>
      </c>
      <c r="CL26" s="95">
        <v>0.8</v>
      </c>
      <c r="CM26" s="96"/>
      <c r="CN26" s="95">
        <f>IF(ISNUMBER(CL26), (CH26+CI26)-CL26, "")</f>
        <v>9.9999999999999978E-2</v>
      </c>
      <c r="CP26" s="95">
        <v>0.8</v>
      </c>
      <c r="CQ26" s="96"/>
      <c r="CR26" s="95">
        <f>IF(ISNUMBER(CP26), (CL26+CM26)-CP26, "")</f>
        <v>0</v>
      </c>
      <c r="CT26" s="95">
        <v>0.7</v>
      </c>
      <c r="CU26" s="96"/>
      <c r="CV26" s="95">
        <f>IF(ISNUMBER(CT26), (CP26+CQ26)-CT26, "")</f>
        <v>0.10000000000000009</v>
      </c>
      <c r="CX26" s="95">
        <v>0.7</v>
      </c>
      <c r="CY26" s="96"/>
      <c r="CZ26" s="95">
        <f>IF(ISNUMBER(CX26), (CT26+CU26)-CX26, "")</f>
        <v>0</v>
      </c>
      <c r="DB26" s="95">
        <v>0.7</v>
      </c>
      <c r="DC26" s="96"/>
      <c r="DD26" s="95">
        <f>IF(ISNUMBER(DB26), (CX26+CY26)-DB26, "")</f>
        <v>0</v>
      </c>
      <c r="DF26" s="95">
        <v>0.7</v>
      </c>
      <c r="DG26" s="96"/>
      <c r="DH26" s="95">
        <f>IF(ISNUMBER(DF26), (DB26+DC26)-DF26, "")</f>
        <v>0</v>
      </c>
      <c r="DJ26" s="95">
        <v>0.5</v>
      </c>
      <c r="DK26" s="96"/>
      <c r="DL26" s="95">
        <f>IF(ISNUMBER(DJ26), (DF26+DG26)-DJ26, "")</f>
        <v>0.19999999999999996</v>
      </c>
      <c r="DN26" s="95">
        <v>0.4</v>
      </c>
      <c r="DO26" s="96"/>
      <c r="DP26" s="95">
        <f>IF(ISNUMBER(DN26), (DJ26+DK26)-DN26, "")</f>
        <v>9.9999999999999978E-2</v>
      </c>
      <c r="DR26" s="95">
        <v>0.2</v>
      </c>
      <c r="DS26" s="96"/>
      <c r="DT26" s="95">
        <f>IF(ISNUMBER(DR26), (DN26+DO26)-DR26, "")</f>
        <v>0.2</v>
      </c>
      <c r="DV26" s="95">
        <v>0.2</v>
      </c>
      <c r="DW26" s="96"/>
      <c r="DX26" s="95">
        <f>IF(ISNUMBER(DV26), (DR26+DS26)-DV26, "")</f>
        <v>0</v>
      </c>
      <c r="DZ26" s="95">
        <v>0.1</v>
      </c>
      <c r="EA26" s="96">
        <v>1</v>
      </c>
      <c r="EB26" s="95">
        <f>IF(ISNUMBER(DZ26), (DV26+DW26)-DZ26, "")</f>
        <v>0.1</v>
      </c>
      <c r="ED26" s="95">
        <v>1.1000000000000001</v>
      </c>
      <c r="EE26" s="96"/>
      <c r="EF26" s="95">
        <f>IF(ISNUMBER(ED26), (DZ26+EA26)-ED26, "")</f>
        <v>0</v>
      </c>
      <c r="EH26" s="95">
        <v>0.9</v>
      </c>
      <c r="EI26" s="96"/>
      <c r="EJ26" s="95">
        <f>IF(ISNUMBER(EH26), (ED26+EE26)-EH26, "")</f>
        <v>0.20000000000000007</v>
      </c>
      <c r="EL26" s="95">
        <v>0.9</v>
      </c>
      <c r="EM26" s="96"/>
      <c r="EN26" s="95">
        <f>IF(ISNUMBER(EL26), (EH26+EI26)-EL26, "")</f>
        <v>0</v>
      </c>
      <c r="EP26" s="95">
        <v>0.9</v>
      </c>
      <c r="EQ26" s="96"/>
      <c r="ER26" s="95">
        <f>IF(ISNUMBER(EP26), (EL26+EM26)-EP26, "")</f>
        <v>0</v>
      </c>
      <c r="ET26" s="95">
        <v>0.8</v>
      </c>
      <c r="EU26" s="96"/>
      <c r="EV26" s="95">
        <f>IF(ISNUMBER(ET26), (EP26+EQ26)-ET26, "")</f>
        <v>9.9999999999999978E-2</v>
      </c>
      <c r="EX26" s="95">
        <v>0.8</v>
      </c>
      <c r="EY26" s="96"/>
      <c r="EZ26" s="95">
        <f>IF(ISNUMBER(EX26), (ET26+EU26)-EX26, "")</f>
        <v>0</v>
      </c>
      <c r="FB26" s="95">
        <v>0.8</v>
      </c>
      <c r="FC26" s="96"/>
      <c r="FD26" s="95">
        <f>IF(ISNUMBER(FB26), (EX26+EY26)-FB26, "")</f>
        <v>0</v>
      </c>
      <c r="FF26" s="95">
        <v>0.8</v>
      </c>
      <c r="FG26" s="96"/>
      <c r="FH26" s="95">
        <f>IF(ISNUMBER(FF26), (FB26+FC26)-FF26, "")</f>
        <v>0</v>
      </c>
      <c r="FJ26" s="95">
        <v>0.7</v>
      </c>
      <c r="FK26" s="96"/>
      <c r="FL26" s="95">
        <f>IF(ISNUMBER(FJ26), (FF26+FG26)-FJ26, "")</f>
        <v>0.10000000000000009</v>
      </c>
      <c r="FN26" s="95">
        <v>0.7</v>
      </c>
      <c r="FO26" s="96"/>
      <c r="FP26" s="95">
        <f>IF(ISNUMBER(FN26), (FJ26+FK26)-FN26, "")</f>
        <v>0</v>
      </c>
      <c r="FR26" s="95">
        <v>0.7</v>
      </c>
      <c r="FS26" s="96"/>
      <c r="FT26" s="95">
        <f>IF(ISNUMBER(FR26), (FN26+FO26)-FR26, "")</f>
        <v>0</v>
      </c>
      <c r="FV26" s="95">
        <v>0.7</v>
      </c>
      <c r="FW26" s="96"/>
      <c r="FX26" s="95">
        <f>IF(ISNUMBER(FV26), (FR26+FS26)-FV26, "")</f>
        <v>0</v>
      </c>
      <c r="FZ26" s="95">
        <v>0.7</v>
      </c>
      <c r="GA26" s="96"/>
      <c r="GB26" s="95">
        <f>IF(ISNUMBER(FZ26), (FV26+FW26)-FZ26, "")</f>
        <v>0</v>
      </c>
      <c r="GD26" s="95">
        <v>0.6</v>
      </c>
      <c r="GE26" s="96"/>
      <c r="GF26" s="95">
        <f>IF(ISNUMBER(GD26), (FZ26+GA26)-GD26, "")</f>
        <v>9.9999999999999978E-2</v>
      </c>
      <c r="GH26" s="105">
        <v>0.6</v>
      </c>
      <c r="GI26" s="96"/>
      <c r="GJ26" s="95">
        <f>IF(ISNUMBER(GH26), (GD26+GE26)-GH26, "")</f>
        <v>0</v>
      </c>
      <c r="GL26" s="105">
        <v>0.7</v>
      </c>
      <c r="GM26" s="96"/>
      <c r="GN26" s="95">
        <f t="shared" si="46"/>
        <v>-9.9999999999999978E-2</v>
      </c>
      <c r="GP26" s="95">
        <v>0.7</v>
      </c>
      <c r="GQ26" s="96"/>
      <c r="GR26" s="95">
        <f t="shared" si="114"/>
        <v>0</v>
      </c>
      <c r="GT26" s="95">
        <v>0.7</v>
      </c>
      <c r="GU26" s="96"/>
      <c r="GV26" s="95">
        <f>IF(ISNUMBER(GT26), (GP26+GQ26)-GT26, "")</f>
        <v>0</v>
      </c>
      <c r="GX26" s="95">
        <v>0.7</v>
      </c>
      <c r="GY26" s="96"/>
      <c r="GZ26" s="95">
        <f>IF(ISNUMBER(GX26), (GT26+GU26)-GX26, "")</f>
        <v>0</v>
      </c>
      <c r="HB26" s="95">
        <v>0.7</v>
      </c>
      <c r="HC26" s="96"/>
      <c r="HD26" s="95">
        <f>IF(ISNUMBER(HB26), (GX26+GY26)-HB26, "")</f>
        <v>0</v>
      </c>
      <c r="HF26" s="95">
        <v>0.7</v>
      </c>
      <c r="HG26" s="96"/>
      <c r="HH26" s="95">
        <f>IF(ISNUMBER(HF26), (HB26+HC26)-HF26, "")</f>
        <v>0</v>
      </c>
      <c r="HJ26" s="95">
        <v>0.7</v>
      </c>
      <c r="HK26" s="96"/>
      <c r="HL26" s="95">
        <f>IF(ISNUMBER(HJ26), (HF26+HG26)-HJ26, "")</f>
        <v>0</v>
      </c>
      <c r="HN26" s="95">
        <v>0.7</v>
      </c>
      <c r="HO26" s="96"/>
      <c r="HP26" s="95">
        <f>IF(ISNUMBER(HN26), (HJ26+HK26)-HN26, "")</f>
        <v>0</v>
      </c>
      <c r="HR26" s="95">
        <v>0.5</v>
      </c>
      <c r="HS26" s="96"/>
      <c r="HT26" s="95">
        <f>IF(ISNUMBER(HR26), (HN26+HO26)-HR26, "")</f>
        <v>0.19999999999999996</v>
      </c>
      <c r="HV26" s="95">
        <v>0.5</v>
      </c>
      <c r="HW26" s="96"/>
      <c r="HX26" s="95">
        <f>IF(ISNUMBER(HV26), (HR26+HS26)-HV26, "")</f>
        <v>0</v>
      </c>
      <c r="HZ26" s="115">
        <v>0.5</v>
      </c>
      <c r="IA26" s="96"/>
      <c r="IB26" s="95">
        <f t="shared" si="117"/>
        <v>0</v>
      </c>
      <c r="ID26" s="95">
        <v>0.5</v>
      </c>
      <c r="IE26" s="96"/>
      <c r="IF26" s="95">
        <f t="shared" si="118"/>
        <v>0</v>
      </c>
      <c r="IH26" s="115">
        <v>0.4</v>
      </c>
      <c r="II26" s="96"/>
      <c r="IJ26" s="95">
        <f t="shared" si="58"/>
        <v>9.9999999999999978E-2</v>
      </c>
      <c r="IL26" s="95">
        <v>0.4</v>
      </c>
      <c r="IM26" s="96"/>
      <c r="IN26" s="95">
        <f t="shared" si="59"/>
        <v>0</v>
      </c>
      <c r="IP26" s="95">
        <v>0.4</v>
      </c>
      <c r="IQ26" s="96"/>
      <c r="IR26" s="95">
        <f t="shared" si="60"/>
        <v>0</v>
      </c>
      <c r="IT26" s="95">
        <v>0.4</v>
      </c>
      <c r="IU26" s="96"/>
      <c r="IV26" s="95">
        <f t="shared" si="61"/>
        <v>0</v>
      </c>
      <c r="IX26" s="95">
        <v>0.2</v>
      </c>
      <c r="IY26" s="96"/>
      <c r="IZ26" s="95">
        <f t="shared" si="62"/>
        <v>0.2</v>
      </c>
      <c r="JB26" s="95">
        <v>0.2</v>
      </c>
      <c r="JC26" s="96">
        <v>1</v>
      </c>
      <c r="JD26" s="95">
        <f t="shared" si="63"/>
        <v>0</v>
      </c>
      <c r="JF26" s="95">
        <v>0.8</v>
      </c>
      <c r="JG26" s="96"/>
      <c r="JH26" s="95">
        <f t="shared" si="64"/>
        <v>0.39999999999999991</v>
      </c>
      <c r="JJ26" s="95">
        <v>0.8</v>
      </c>
      <c r="JK26" s="96"/>
      <c r="JL26" s="95">
        <f t="shared" si="65"/>
        <v>0</v>
      </c>
      <c r="JN26" s="95">
        <v>0.7</v>
      </c>
      <c r="JO26" s="96"/>
      <c r="JP26" s="95">
        <f t="shared" si="66"/>
        <v>0.10000000000000009</v>
      </c>
      <c r="JR26" s="95">
        <v>0.6</v>
      </c>
      <c r="JS26" s="96"/>
      <c r="JT26" s="95">
        <f t="shared" si="67"/>
        <v>9.9999999999999978E-2</v>
      </c>
      <c r="JV26" s="95">
        <v>0.3</v>
      </c>
      <c r="JW26" s="96">
        <v>1</v>
      </c>
      <c r="JX26" s="95">
        <f t="shared" si="68"/>
        <v>0.3</v>
      </c>
      <c r="JZ26" s="95">
        <v>1.2</v>
      </c>
      <c r="KA26" s="96"/>
      <c r="KB26" s="95">
        <f t="shared" si="69"/>
        <v>0.10000000000000009</v>
      </c>
      <c r="KD26" s="95">
        <v>1.1000000000000001</v>
      </c>
      <c r="KE26" s="96"/>
      <c r="KF26" s="95">
        <f t="shared" si="70"/>
        <v>9.9999999999999867E-2</v>
      </c>
      <c r="KH26" s="95">
        <v>0.9</v>
      </c>
      <c r="KI26" s="96"/>
      <c r="KJ26" s="95">
        <f t="shared" si="71"/>
        <v>0.20000000000000007</v>
      </c>
      <c r="KL26" s="95">
        <v>0.3</v>
      </c>
      <c r="KM26" s="96">
        <v>1</v>
      </c>
      <c r="KN26" s="95">
        <f t="shared" si="72"/>
        <v>0.60000000000000009</v>
      </c>
      <c r="KP26" s="95">
        <v>0.5</v>
      </c>
      <c r="KQ26" s="96"/>
      <c r="KR26" s="95">
        <f t="shared" si="73"/>
        <v>0.8</v>
      </c>
      <c r="KT26" s="95">
        <v>0</v>
      </c>
      <c r="KU26" s="116">
        <v>1</v>
      </c>
      <c r="KV26" s="95">
        <f t="shared" si="74"/>
        <v>0.5</v>
      </c>
      <c r="KX26" s="95">
        <v>0.8</v>
      </c>
      <c r="KY26" s="96"/>
      <c r="KZ26" s="95">
        <f t="shared" si="75"/>
        <v>0.19999999999999996</v>
      </c>
      <c r="LB26" s="95">
        <v>0.8</v>
      </c>
      <c r="LC26" s="96">
        <v>1</v>
      </c>
      <c r="LD26" s="95">
        <f t="shared" si="76"/>
        <v>0</v>
      </c>
      <c r="LF26" s="95">
        <v>1.7</v>
      </c>
      <c r="LG26" s="96"/>
      <c r="LH26" s="95">
        <f t="shared" si="77"/>
        <v>0.10000000000000009</v>
      </c>
      <c r="LJ26" s="95">
        <v>0.8</v>
      </c>
      <c r="LK26" s="96">
        <v>1</v>
      </c>
      <c r="LL26" s="95">
        <f t="shared" si="78"/>
        <v>0.89999999999999991</v>
      </c>
      <c r="LN26" s="95">
        <v>0.9</v>
      </c>
      <c r="LO26" s="96"/>
      <c r="LP26" s="95">
        <f t="shared" si="79"/>
        <v>0.9</v>
      </c>
      <c r="LR26" s="105">
        <v>0.7</v>
      </c>
      <c r="LS26" s="96">
        <v>1</v>
      </c>
      <c r="LT26" s="95">
        <f t="shared" si="80"/>
        <v>0.20000000000000007</v>
      </c>
      <c r="LV26" s="105">
        <v>0.9</v>
      </c>
      <c r="LW26" s="96"/>
      <c r="LX26" s="95">
        <f t="shared" si="115"/>
        <v>0.79999999999999993</v>
      </c>
      <c r="LZ26" s="95">
        <v>0.8</v>
      </c>
      <c r="MA26" s="96"/>
      <c r="MB26" s="95">
        <f t="shared" si="82"/>
        <v>9.9999999999999978E-2</v>
      </c>
      <c r="MD26" s="95">
        <v>0.8</v>
      </c>
      <c r="ME26" s="96"/>
      <c r="MF26" s="95">
        <f t="shared" si="116"/>
        <v>0</v>
      </c>
      <c r="MH26" s="95">
        <v>0.3</v>
      </c>
      <c r="MI26" s="96">
        <v>1</v>
      </c>
      <c r="MJ26" s="95">
        <f t="shared" si="84"/>
        <v>0.5</v>
      </c>
      <c r="ML26" s="95">
        <v>0.9</v>
      </c>
      <c r="MM26" s="96"/>
      <c r="MN26" s="95">
        <f t="shared" si="85"/>
        <v>0.4</v>
      </c>
      <c r="MP26" s="95">
        <v>0.7</v>
      </c>
      <c r="MQ26" s="96"/>
      <c r="MR26" s="95">
        <f t="shared" si="86"/>
        <v>0.20000000000000007</v>
      </c>
      <c r="MT26" s="95">
        <v>0.7</v>
      </c>
      <c r="MU26" s="96"/>
      <c r="MV26" s="95">
        <f t="shared" si="87"/>
        <v>0</v>
      </c>
      <c r="MX26" s="95">
        <v>0.7</v>
      </c>
      <c r="MY26" s="96"/>
      <c r="MZ26" s="95">
        <f t="shared" si="88"/>
        <v>0</v>
      </c>
      <c r="NB26" s="95">
        <v>0.7</v>
      </c>
      <c r="NC26" s="96"/>
      <c r="ND26" s="95">
        <f t="shared" si="89"/>
        <v>0</v>
      </c>
      <c r="NF26" s="105">
        <v>0.5</v>
      </c>
      <c r="NG26" s="96"/>
      <c r="NH26" s="95">
        <f t="shared" si="90"/>
        <v>0.19999999999999996</v>
      </c>
      <c r="NJ26" s="95">
        <v>0.2</v>
      </c>
      <c r="NK26" s="96"/>
      <c r="NL26" s="95">
        <f t="shared" si="91"/>
        <v>0.3</v>
      </c>
      <c r="NN26" s="95">
        <v>0</v>
      </c>
      <c r="NO26" s="96">
        <v>1</v>
      </c>
      <c r="NP26" s="95">
        <f t="shared" si="92"/>
        <v>0.2</v>
      </c>
      <c r="NR26" s="95">
        <v>0.5</v>
      </c>
      <c r="NS26" s="96"/>
      <c r="NT26" s="95">
        <f t="shared" si="93"/>
        <v>0.5</v>
      </c>
      <c r="NV26" s="95">
        <v>0</v>
      </c>
      <c r="NW26" s="96">
        <v>1</v>
      </c>
      <c r="NX26" s="95">
        <f t="shared" si="94"/>
        <v>0.5</v>
      </c>
      <c r="NZ26" s="95">
        <v>0.2</v>
      </c>
      <c r="OA26" s="96">
        <v>2</v>
      </c>
      <c r="OB26" s="95">
        <f t="shared" si="95"/>
        <v>0.8</v>
      </c>
      <c r="OD26" s="95">
        <v>1.8</v>
      </c>
      <c r="OE26" s="96"/>
      <c r="OF26" s="95">
        <f t="shared" si="96"/>
        <v>0.40000000000000013</v>
      </c>
      <c r="OH26" s="105">
        <v>1.2</v>
      </c>
      <c r="OI26" s="96"/>
      <c r="OJ26" s="95">
        <f t="shared" si="97"/>
        <v>0.60000000000000009</v>
      </c>
      <c r="OL26" s="95">
        <v>0.9</v>
      </c>
      <c r="OM26" s="96">
        <v>1</v>
      </c>
      <c r="ON26" s="95">
        <f t="shared" si="98"/>
        <v>0.29999999999999993</v>
      </c>
      <c r="OP26" s="105">
        <v>1.8</v>
      </c>
      <c r="OQ26" s="96"/>
      <c r="OR26" s="95">
        <f t="shared" si="99"/>
        <v>9.9999999999999867E-2</v>
      </c>
      <c r="OT26" s="95">
        <v>1.4</v>
      </c>
      <c r="OU26" s="96"/>
      <c r="OV26" s="95">
        <f t="shared" si="100"/>
        <v>0.40000000000000013</v>
      </c>
      <c r="OX26" s="105">
        <v>1.3</v>
      </c>
      <c r="OY26" s="96"/>
      <c r="OZ26" s="95">
        <f t="shared" si="101"/>
        <v>9.9999999999999867E-2</v>
      </c>
      <c r="PB26" s="95">
        <v>1.3</v>
      </c>
      <c r="PC26" s="96"/>
      <c r="PD26" s="95">
        <f t="shared" si="102"/>
        <v>0</v>
      </c>
      <c r="PF26" s="95">
        <v>1.3</v>
      </c>
      <c r="PG26" s="96"/>
      <c r="PH26" s="95">
        <f t="shared" si="103"/>
        <v>0</v>
      </c>
      <c r="PJ26" s="105">
        <v>1.3</v>
      </c>
      <c r="PK26" s="96"/>
      <c r="PL26" s="95">
        <f t="shared" si="104"/>
        <v>0</v>
      </c>
      <c r="PN26" s="105">
        <v>1.3</v>
      </c>
      <c r="PO26" s="96"/>
      <c r="PP26" s="95">
        <f t="shared" si="105"/>
        <v>0</v>
      </c>
      <c r="PR26" s="95">
        <v>1.2</v>
      </c>
      <c r="PS26" s="96"/>
      <c r="PT26" s="95">
        <f t="shared" si="106"/>
        <v>0.10000000000000009</v>
      </c>
      <c r="PV26" s="190">
        <v>1.1000000000000001</v>
      </c>
      <c r="PW26" s="194"/>
      <c r="PX26" s="190">
        <f t="shared" si="107"/>
        <v>9.9999999999999867E-2</v>
      </c>
      <c r="PZ26" s="105"/>
      <c r="QA26" s="96"/>
      <c r="QB26" s="95" t="str">
        <f t="shared" si="108"/>
        <v/>
      </c>
    </row>
    <row r="27" spans="1:444" ht="12.75" customHeight="1" x14ac:dyDescent="0.2">
      <c r="A27" s="124" t="s">
        <v>104</v>
      </c>
      <c r="B27" s="94" t="s">
        <v>105</v>
      </c>
      <c r="C27" s="87">
        <v>0.4</v>
      </c>
      <c r="D27" s="87">
        <v>28086</v>
      </c>
      <c r="F27" s="95">
        <v>1.7</v>
      </c>
      <c r="G27" s="96"/>
      <c r="H27" s="113"/>
      <c r="J27" s="95">
        <v>1.7</v>
      </c>
      <c r="K27" s="96"/>
      <c r="L27" s="95">
        <f>IF(ISNUMBER(J27), (F27+G27)-J27, "")</f>
        <v>0</v>
      </c>
      <c r="N27" s="105">
        <v>1.7</v>
      </c>
      <c r="O27" s="96"/>
      <c r="P27" s="95">
        <f>IF(ISNUMBER(N27), (J27+K27)-N27, "")</f>
        <v>0</v>
      </c>
      <c r="R27" s="95">
        <v>1.7</v>
      </c>
      <c r="S27" s="96"/>
      <c r="T27" s="95">
        <f>IF(ISNUMBER(R27), (N27+O27)-R27, "")</f>
        <v>0</v>
      </c>
      <c r="V27" s="95">
        <v>1.6</v>
      </c>
      <c r="W27" s="96"/>
      <c r="X27" s="95">
        <f>IF(ISNUMBER(V27), (R27+S27)-V27, "")</f>
        <v>9.9999999999999867E-2</v>
      </c>
      <c r="Z27" s="105">
        <v>1.6</v>
      </c>
      <c r="AA27" s="96"/>
      <c r="AB27" s="95">
        <f>IF(ISNUMBER(Z27), (V27+W27)-Z27, "")</f>
        <v>0</v>
      </c>
      <c r="AD27" s="105">
        <v>1.6</v>
      </c>
      <c r="AE27" s="96"/>
      <c r="AF27" s="95">
        <f>IF(ISNUMBER(AD27), (Z27+AA27)-AD27, "")</f>
        <v>0</v>
      </c>
      <c r="AH27" s="95">
        <v>1.6</v>
      </c>
      <c r="AI27" s="96"/>
      <c r="AJ27" s="95">
        <f>IF(ISNUMBER(AH27), (AD27+AE27)-AH27, "")</f>
        <v>0</v>
      </c>
      <c r="AL27" s="105">
        <v>1.6</v>
      </c>
      <c r="AM27" s="96"/>
      <c r="AN27" s="95">
        <f>IF(ISNUMBER(AL27), (AH27+AI27)-AL27, "")</f>
        <v>0</v>
      </c>
      <c r="AP27" s="105">
        <v>1.6</v>
      </c>
      <c r="AQ27" s="96"/>
      <c r="AR27" s="95">
        <f>IF(ISNUMBER(AP27), (AL27+AM27)-AP27, "")</f>
        <v>0</v>
      </c>
      <c r="AT27" s="95">
        <v>1.6</v>
      </c>
      <c r="AU27" s="96"/>
      <c r="AV27" s="95">
        <f>IF(ISNUMBER(AT27), (AP27+AQ27)-AT27, "")</f>
        <v>0</v>
      </c>
      <c r="AX27" s="95">
        <v>1.6</v>
      </c>
      <c r="AY27" s="96"/>
      <c r="AZ27" s="95">
        <f>IF(ISNUMBER(AX27), (AT27+AU27)-AX27, "")</f>
        <v>0</v>
      </c>
      <c r="BB27" s="95">
        <v>1.6</v>
      </c>
      <c r="BC27" s="96"/>
      <c r="BD27" s="95">
        <f>IF(ISNUMBER(BB27), (AX27+AY27)-BB27, "")</f>
        <v>0</v>
      </c>
      <c r="BF27" s="95">
        <v>0</v>
      </c>
      <c r="BG27" s="96"/>
      <c r="BH27" s="95">
        <f>IF(ISNUMBER(BF27), (BB27+BC27)-BF27, "")</f>
        <v>1.6</v>
      </c>
      <c r="BJ27" s="95">
        <v>1.6</v>
      </c>
      <c r="BK27" s="96"/>
      <c r="BL27" s="95">
        <f>IF(ISNUMBER(BJ27), (BF27+BG27)-BJ27, "")</f>
        <v>-1.6</v>
      </c>
      <c r="BN27" s="95">
        <v>1.6</v>
      </c>
      <c r="BO27" s="96"/>
      <c r="BP27" s="95">
        <f>IF(ISNUMBER(BN27), (BJ27+BK27)-BN27, "")</f>
        <v>0</v>
      </c>
      <c r="BR27" s="115">
        <v>1.6</v>
      </c>
      <c r="BS27" s="116"/>
      <c r="BT27" s="115">
        <f t="shared" si="113"/>
        <v>0</v>
      </c>
      <c r="BV27" s="105">
        <v>1.6</v>
      </c>
      <c r="BW27" s="96"/>
      <c r="BX27" s="95">
        <f>IF(ISNUMBER(BV27), (BR27+BS27)-BV27, "")</f>
        <v>0</v>
      </c>
      <c r="BZ27" s="95">
        <v>1.5</v>
      </c>
      <c r="CA27" s="96"/>
      <c r="CB27" s="95">
        <f>IF(ISNUMBER(BZ27), (BV27+BW27)-BZ27, "")</f>
        <v>0.10000000000000009</v>
      </c>
      <c r="CD27" s="95">
        <v>1.4</v>
      </c>
      <c r="CE27" s="96"/>
      <c r="CF27" s="95">
        <f>IF(ISNUMBER(CD27), (BZ27+CA27)-CD27, "")</f>
        <v>0.10000000000000009</v>
      </c>
      <c r="CH27" s="95">
        <v>1.4</v>
      </c>
      <c r="CI27" s="96"/>
      <c r="CJ27" s="95">
        <f>IF(ISNUMBER(CH27), (CD27+CE27)-CH27, "")</f>
        <v>0</v>
      </c>
      <c r="CL27" s="95">
        <v>1.4</v>
      </c>
      <c r="CM27" s="96"/>
      <c r="CN27" s="95">
        <f>IF(ISNUMBER(CL27), (CH27+CI27)-CL27, "")</f>
        <v>0</v>
      </c>
      <c r="CP27" s="95">
        <v>1.4</v>
      </c>
      <c r="CQ27" s="96"/>
      <c r="CR27" s="95">
        <f>IF(ISNUMBER(CP27), (CL27+CM27)-CP27, "")</f>
        <v>0</v>
      </c>
      <c r="CT27" s="95">
        <v>1.4</v>
      </c>
      <c r="CU27" s="96"/>
      <c r="CV27" s="95">
        <f>IF(ISNUMBER(CT27), (CP27+CQ27)-CT27, "")</f>
        <v>0</v>
      </c>
      <c r="CX27" s="95">
        <v>1.4</v>
      </c>
      <c r="CY27" s="96"/>
      <c r="CZ27" s="95">
        <f>IF(ISNUMBER(CX27), (CT27+CU27)-CX27, "")</f>
        <v>0</v>
      </c>
      <c r="DB27" s="95">
        <v>1.4</v>
      </c>
      <c r="DC27" s="96"/>
      <c r="DD27" s="95">
        <f>IF(ISNUMBER(DB27), (CX27+CY27)-DB27, "")</f>
        <v>0</v>
      </c>
      <c r="DF27" s="95">
        <v>1.3</v>
      </c>
      <c r="DG27" s="96"/>
      <c r="DH27" s="95">
        <f>IF(ISNUMBER(DF27), (DB27+DC27)-DF27, "")</f>
        <v>9.9999999999999867E-2</v>
      </c>
      <c r="DJ27" s="95">
        <v>1.3</v>
      </c>
      <c r="DK27" s="96"/>
      <c r="DL27" s="95">
        <f>IF(ISNUMBER(DJ27), (DF27+DG27)-DJ27, "")</f>
        <v>0</v>
      </c>
      <c r="DN27" s="95">
        <v>1.3</v>
      </c>
      <c r="DO27" s="96"/>
      <c r="DP27" s="95">
        <f>IF(ISNUMBER(DN27), (DJ27+DK27)-DN27, "")</f>
        <v>0</v>
      </c>
      <c r="DR27" s="95">
        <v>1.3</v>
      </c>
      <c r="DS27" s="96"/>
      <c r="DT27" s="95">
        <f>IF(ISNUMBER(DR27), (DN27+DO27)-DR27, "")</f>
        <v>0</v>
      </c>
      <c r="DV27" s="95">
        <v>1.3</v>
      </c>
      <c r="DW27" s="96"/>
      <c r="DX27" s="95">
        <f>IF(ISNUMBER(DV27), (DR27+DS27)-DV27, "")</f>
        <v>0</v>
      </c>
      <c r="DZ27" s="95">
        <v>1.3</v>
      </c>
      <c r="EA27" s="96"/>
      <c r="EB27" s="95">
        <f>IF(ISNUMBER(DZ27), (DV27+DW27)-DZ27, "")</f>
        <v>0</v>
      </c>
      <c r="ED27" s="95">
        <v>1.1000000000000001</v>
      </c>
      <c r="EE27" s="96"/>
      <c r="EF27" s="95">
        <f>IF(ISNUMBER(ED27), (DZ27+EA27)-ED27, "")</f>
        <v>0.19999999999999996</v>
      </c>
      <c r="EH27" s="95">
        <v>1.1000000000000001</v>
      </c>
      <c r="EI27" s="96"/>
      <c r="EJ27" s="95">
        <f>IF(ISNUMBER(EH27), (ED27+EE27)-EH27, "")</f>
        <v>0</v>
      </c>
      <c r="EL27" s="95">
        <v>1.1000000000000001</v>
      </c>
      <c r="EM27" s="96"/>
      <c r="EN27" s="95">
        <f>IF(ISNUMBER(EL27), (EH27+EI27)-EL27, "")</f>
        <v>0</v>
      </c>
      <c r="EP27" s="95">
        <v>1.1000000000000001</v>
      </c>
      <c r="EQ27" s="96"/>
      <c r="ER27" s="95">
        <f>IF(ISNUMBER(EP27), (EL27+EM27)-EP27, "")</f>
        <v>0</v>
      </c>
      <c r="ET27" s="95">
        <v>1.1000000000000001</v>
      </c>
      <c r="EU27" s="96"/>
      <c r="EV27" s="95">
        <f>IF(ISNUMBER(ET27), (EP27+EQ27)-ET27, "")</f>
        <v>0</v>
      </c>
      <c r="EX27" s="95">
        <v>1.1000000000000001</v>
      </c>
      <c r="EY27" s="96"/>
      <c r="EZ27" s="95">
        <f>IF(ISNUMBER(EX27), (ET27+EU27)-EX27, "")</f>
        <v>0</v>
      </c>
      <c r="FB27" s="95">
        <v>1.1000000000000001</v>
      </c>
      <c r="FC27" s="96"/>
      <c r="FD27" s="95">
        <f>IF(ISNUMBER(FB27), (EX27+EY27)-FB27, "")</f>
        <v>0</v>
      </c>
      <c r="FF27" s="95">
        <v>1.1000000000000001</v>
      </c>
      <c r="FG27" s="96"/>
      <c r="FH27" s="95">
        <f>IF(ISNUMBER(FF27), (FB27+FC27)-FF27, "")</f>
        <v>0</v>
      </c>
      <c r="FJ27" s="95">
        <v>1.1000000000000001</v>
      </c>
      <c r="FK27" s="96"/>
      <c r="FL27" s="95">
        <f>IF(ISNUMBER(FJ27), (FF27+FG27)-FJ27, "")</f>
        <v>0</v>
      </c>
      <c r="FN27" s="95">
        <v>1.1000000000000001</v>
      </c>
      <c r="FO27" s="96"/>
      <c r="FP27" s="95">
        <f>IF(ISNUMBER(FN27), (FJ27+FK27)-FN27, "")</f>
        <v>0</v>
      </c>
      <c r="FR27" s="95">
        <v>1.1000000000000001</v>
      </c>
      <c r="FS27" s="96"/>
      <c r="FT27" s="95">
        <f>IF(ISNUMBER(FR27), (FN27+FO27)-FR27, "")</f>
        <v>0</v>
      </c>
      <c r="FV27" s="95">
        <v>1.1000000000000001</v>
      </c>
      <c r="FW27" s="96"/>
      <c r="FX27" s="95">
        <f>IF(ISNUMBER(FV27), (FR27+FS27)-FV27, "")</f>
        <v>0</v>
      </c>
      <c r="FZ27" s="95">
        <v>1.1000000000000001</v>
      </c>
      <c r="GA27" s="96"/>
      <c r="GB27" s="95">
        <f>IF(ISNUMBER(FZ27), (FV27+FW27)-FZ27, "")</f>
        <v>0</v>
      </c>
      <c r="GD27" s="95">
        <v>1.1000000000000001</v>
      </c>
      <c r="GE27" s="96"/>
      <c r="GF27" s="95">
        <f>IF(ISNUMBER(GD27), (FZ27+GA27)-GD27, "")</f>
        <v>0</v>
      </c>
      <c r="GH27" s="105">
        <v>1.1000000000000001</v>
      </c>
      <c r="GI27" s="96"/>
      <c r="GJ27" s="95">
        <f>IF(ISNUMBER(GH27), (GD27+GE27)-GH27, "")</f>
        <v>0</v>
      </c>
      <c r="GL27" s="105">
        <v>1.1000000000000001</v>
      </c>
      <c r="GM27" s="96"/>
      <c r="GN27" s="95">
        <f t="shared" si="46"/>
        <v>0</v>
      </c>
      <c r="GP27" s="95">
        <v>1.2</v>
      </c>
      <c r="GQ27" s="96"/>
      <c r="GR27" s="95">
        <f t="shared" si="114"/>
        <v>-9.9999999999999867E-2</v>
      </c>
      <c r="GT27" s="95">
        <v>1.1000000000000001</v>
      </c>
      <c r="GU27" s="96"/>
      <c r="GV27" s="95">
        <f>IF(ISNUMBER(GT27), (GP27+GQ27)-GT27, "")</f>
        <v>9.9999999999999867E-2</v>
      </c>
      <c r="GX27" s="95">
        <v>1.1000000000000001</v>
      </c>
      <c r="GY27" s="96"/>
      <c r="GZ27" s="95">
        <f>IF(ISNUMBER(GX27), (GT27+GU27)-GX27, "")</f>
        <v>0</v>
      </c>
      <c r="HB27" s="95">
        <v>1.1000000000000001</v>
      </c>
      <c r="HC27" s="96"/>
      <c r="HD27" s="95">
        <f>IF(ISNUMBER(HB27), (GX27+GY27)-HB27, "")</f>
        <v>0</v>
      </c>
      <c r="HF27" s="95">
        <v>1.1000000000000001</v>
      </c>
      <c r="HG27" s="96"/>
      <c r="HH27" s="95">
        <f>IF(ISNUMBER(HF27), (HB27+HC27)-HF27, "")</f>
        <v>0</v>
      </c>
      <c r="HJ27" s="95">
        <v>1.1000000000000001</v>
      </c>
      <c r="HK27" s="96"/>
      <c r="HL27" s="95">
        <f>IF(ISNUMBER(HJ27), (HF27+HG27)-HJ27, "")</f>
        <v>0</v>
      </c>
      <c r="HN27" s="95">
        <v>1.1000000000000001</v>
      </c>
      <c r="HO27" s="96"/>
      <c r="HP27" s="95">
        <f>IF(ISNUMBER(HN27), (HJ27+HK27)-HN27, "")</f>
        <v>0</v>
      </c>
      <c r="HR27" s="95">
        <v>1.1000000000000001</v>
      </c>
      <c r="HS27" s="96"/>
      <c r="HT27" s="95">
        <f>IF(ISNUMBER(HR27), (HN27+HO27)-HR27, "")</f>
        <v>0</v>
      </c>
      <c r="HV27" s="95">
        <v>1.1000000000000001</v>
      </c>
      <c r="HW27" s="96"/>
      <c r="HX27" s="95">
        <f>IF(ISNUMBER(HV27), (HR27+HS27)-HV27, "")</f>
        <v>0</v>
      </c>
      <c r="HZ27" s="115">
        <v>1.1000000000000001</v>
      </c>
      <c r="IA27" s="96"/>
      <c r="IB27" s="95">
        <f t="shared" si="117"/>
        <v>0</v>
      </c>
      <c r="ID27" s="95">
        <v>1.1000000000000001</v>
      </c>
      <c r="IE27" s="96"/>
      <c r="IF27" s="95">
        <f t="shared" si="118"/>
        <v>0</v>
      </c>
      <c r="IH27" s="115">
        <v>1.1000000000000001</v>
      </c>
      <c r="II27" s="96"/>
      <c r="IJ27" s="95">
        <f t="shared" si="58"/>
        <v>0</v>
      </c>
      <c r="IL27" s="95">
        <v>1.1000000000000001</v>
      </c>
      <c r="IM27" s="96"/>
      <c r="IN27" s="95">
        <f t="shared" si="59"/>
        <v>0</v>
      </c>
      <c r="IP27" s="95">
        <v>1.1000000000000001</v>
      </c>
      <c r="IQ27" s="96"/>
      <c r="IR27" s="95">
        <f t="shared" si="60"/>
        <v>0</v>
      </c>
      <c r="IT27" s="95">
        <v>1.1000000000000001</v>
      </c>
      <c r="IU27" s="96"/>
      <c r="IV27" s="95">
        <f t="shared" si="61"/>
        <v>0</v>
      </c>
      <c r="IX27" s="95">
        <v>1.1000000000000001</v>
      </c>
      <c r="IY27" s="96"/>
      <c r="IZ27" s="95">
        <f t="shared" si="62"/>
        <v>0</v>
      </c>
      <c r="JB27" s="95">
        <v>1.1000000000000001</v>
      </c>
      <c r="JC27" s="96"/>
      <c r="JD27" s="95">
        <f t="shared" si="63"/>
        <v>0</v>
      </c>
      <c r="JF27" s="95">
        <v>1.1000000000000001</v>
      </c>
      <c r="JG27" s="96"/>
      <c r="JH27" s="95">
        <f t="shared" si="64"/>
        <v>0</v>
      </c>
      <c r="JJ27" s="95">
        <v>1.1000000000000001</v>
      </c>
      <c r="JK27" s="96"/>
      <c r="JL27" s="95">
        <f t="shared" si="65"/>
        <v>0</v>
      </c>
      <c r="JN27" s="95">
        <v>1.1000000000000001</v>
      </c>
      <c r="JO27" s="96"/>
      <c r="JP27" s="95">
        <f t="shared" si="66"/>
        <v>0</v>
      </c>
      <c r="JR27" s="95">
        <v>1.1000000000000001</v>
      </c>
      <c r="JS27" s="96"/>
      <c r="JT27" s="95">
        <f t="shared" si="67"/>
        <v>0</v>
      </c>
      <c r="JV27" s="95">
        <v>1.1000000000000001</v>
      </c>
      <c r="JW27" s="96"/>
      <c r="JX27" s="95">
        <f t="shared" si="68"/>
        <v>0</v>
      </c>
      <c r="JZ27" s="95">
        <v>1.1000000000000001</v>
      </c>
      <c r="KA27" s="96"/>
      <c r="KB27" s="95">
        <f t="shared" si="69"/>
        <v>0</v>
      </c>
      <c r="KD27" s="95">
        <v>0.8</v>
      </c>
      <c r="KE27" s="96"/>
      <c r="KF27" s="95">
        <f t="shared" si="70"/>
        <v>0.30000000000000004</v>
      </c>
      <c r="KH27" s="95">
        <v>0.8</v>
      </c>
      <c r="KI27" s="96"/>
      <c r="KJ27" s="95">
        <f t="shared" si="71"/>
        <v>0</v>
      </c>
      <c r="KL27" s="95">
        <v>0.8</v>
      </c>
      <c r="KM27" s="96"/>
      <c r="KN27" s="95">
        <f t="shared" si="72"/>
        <v>0</v>
      </c>
      <c r="KP27" s="95">
        <v>0.8</v>
      </c>
      <c r="KQ27" s="96"/>
      <c r="KR27" s="95">
        <f t="shared" si="73"/>
        <v>0</v>
      </c>
      <c r="KT27" s="95">
        <v>0.8</v>
      </c>
      <c r="KU27" s="96"/>
      <c r="KV27" s="95">
        <f t="shared" si="74"/>
        <v>0</v>
      </c>
      <c r="KX27" s="95">
        <v>0.8</v>
      </c>
      <c r="KY27" s="96"/>
      <c r="KZ27" s="95">
        <f t="shared" si="75"/>
        <v>0</v>
      </c>
      <c r="LB27" s="95">
        <v>0.7</v>
      </c>
      <c r="LC27" s="96"/>
      <c r="LD27" s="95">
        <f t="shared" si="76"/>
        <v>0.10000000000000009</v>
      </c>
      <c r="LF27" s="95">
        <v>0.7</v>
      </c>
      <c r="LG27" s="96"/>
      <c r="LH27" s="95">
        <f t="shared" si="77"/>
        <v>0</v>
      </c>
      <c r="LJ27" s="95">
        <v>0.6</v>
      </c>
      <c r="LK27" s="96">
        <v>1</v>
      </c>
      <c r="LL27" s="95">
        <f t="shared" si="78"/>
        <v>9.9999999999999978E-2</v>
      </c>
      <c r="LN27" s="95">
        <v>1.6</v>
      </c>
      <c r="LO27" s="96"/>
      <c r="LP27" s="95">
        <f t="shared" si="79"/>
        <v>0</v>
      </c>
      <c r="LR27" s="105">
        <v>1.6</v>
      </c>
      <c r="LS27" s="96"/>
      <c r="LT27" s="95">
        <f t="shared" si="80"/>
        <v>0</v>
      </c>
      <c r="LV27" s="105">
        <v>1.5</v>
      </c>
      <c r="LW27" s="96"/>
      <c r="LX27" s="95">
        <f t="shared" si="115"/>
        <v>0.10000000000000009</v>
      </c>
      <c r="LZ27" s="95">
        <v>1.4</v>
      </c>
      <c r="MA27" s="96"/>
      <c r="MB27" s="95">
        <f t="shared" si="82"/>
        <v>0.10000000000000009</v>
      </c>
      <c r="MD27" s="95">
        <v>1.4</v>
      </c>
      <c r="ME27" s="96"/>
      <c r="MF27" s="95">
        <f t="shared" si="116"/>
        <v>0</v>
      </c>
      <c r="MH27" s="95">
        <v>1.4</v>
      </c>
      <c r="MI27" s="96"/>
      <c r="MJ27" s="95">
        <f t="shared" si="84"/>
        <v>0</v>
      </c>
      <c r="ML27" s="95">
        <v>1.4</v>
      </c>
      <c r="MM27" s="96"/>
      <c r="MN27" s="95">
        <f t="shared" si="85"/>
        <v>0</v>
      </c>
      <c r="MP27" s="95">
        <v>1.2</v>
      </c>
      <c r="MQ27" s="96"/>
      <c r="MR27" s="95">
        <f t="shared" si="86"/>
        <v>0.19999999999999996</v>
      </c>
      <c r="MT27" s="95">
        <v>1.2</v>
      </c>
      <c r="MU27" s="96"/>
      <c r="MV27" s="95">
        <f t="shared" si="87"/>
        <v>0</v>
      </c>
      <c r="MX27" s="95">
        <v>1.2</v>
      </c>
      <c r="MY27" s="96"/>
      <c r="MZ27" s="95">
        <f t="shared" si="88"/>
        <v>0</v>
      </c>
      <c r="NB27" s="95">
        <v>1.2</v>
      </c>
      <c r="NC27" s="96"/>
      <c r="ND27" s="95">
        <f t="shared" si="89"/>
        <v>0</v>
      </c>
      <c r="NF27" s="105">
        <v>1.1000000000000001</v>
      </c>
      <c r="NG27" s="96"/>
      <c r="NH27" s="95">
        <f t="shared" si="90"/>
        <v>9.9999999999999867E-2</v>
      </c>
      <c r="NJ27" s="95">
        <v>1.1000000000000001</v>
      </c>
      <c r="NK27" s="96"/>
      <c r="NL27" s="95">
        <f t="shared" si="91"/>
        <v>0</v>
      </c>
      <c r="NN27" s="95">
        <v>1.1000000000000001</v>
      </c>
      <c r="NO27" s="96"/>
      <c r="NP27" s="95">
        <f t="shared" si="92"/>
        <v>0</v>
      </c>
      <c r="NR27" s="95">
        <v>1.1000000000000001</v>
      </c>
      <c r="NS27" s="96"/>
      <c r="NT27" s="95">
        <f t="shared" si="93"/>
        <v>0</v>
      </c>
      <c r="NV27" s="95">
        <v>1</v>
      </c>
      <c r="NW27" s="96"/>
      <c r="NX27" s="95">
        <f t="shared" si="94"/>
        <v>0.10000000000000009</v>
      </c>
      <c r="NZ27" s="95">
        <v>1</v>
      </c>
      <c r="OA27" s="96"/>
      <c r="OB27" s="95">
        <f t="shared" si="95"/>
        <v>0</v>
      </c>
      <c r="OD27" s="95">
        <v>1</v>
      </c>
      <c r="OE27" s="96"/>
      <c r="OF27" s="95">
        <f t="shared" si="96"/>
        <v>0</v>
      </c>
      <c r="OH27" s="105">
        <v>1</v>
      </c>
      <c r="OI27" s="96"/>
      <c r="OJ27" s="95">
        <f t="shared" si="97"/>
        <v>0</v>
      </c>
      <c r="OL27" s="95">
        <v>0.9</v>
      </c>
      <c r="OM27" s="96"/>
      <c r="ON27" s="95">
        <f t="shared" si="98"/>
        <v>9.9999999999999978E-2</v>
      </c>
      <c r="OP27" s="105">
        <v>0.9</v>
      </c>
      <c r="OQ27" s="96"/>
      <c r="OR27" s="95">
        <f t="shared" si="99"/>
        <v>0</v>
      </c>
      <c r="OT27" s="95">
        <v>0.9</v>
      </c>
      <c r="OU27" s="96"/>
      <c r="OV27" s="95">
        <f t="shared" si="100"/>
        <v>0</v>
      </c>
      <c r="OX27" s="105">
        <v>0.8</v>
      </c>
      <c r="OY27" s="96"/>
      <c r="OZ27" s="95">
        <f t="shared" si="101"/>
        <v>9.9999999999999978E-2</v>
      </c>
      <c r="PB27" s="95">
        <v>0.7</v>
      </c>
      <c r="PC27" s="96"/>
      <c r="PD27" s="95">
        <f t="shared" si="102"/>
        <v>0.10000000000000009</v>
      </c>
      <c r="PF27" s="95">
        <v>0.7</v>
      </c>
      <c r="PG27" s="96"/>
      <c r="PH27" s="95">
        <f t="shared" si="103"/>
        <v>0</v>
      </c>
      <c r="PJ27" s="105">
        <v>0.7</v>
      </c>
      <c r="PK27" s="96"/>
      <c r="PL27" s="95">
        <f t="shared" si="104"/>
        <v>0</v>
      </c>
      <c r="PN27" s="105">
        <v>0.7</v>
      </c>
      <c r="PO27" s="96"/>
      <c r="PP27" s="95">
        <f t="shared" si="105"/>
        <v>0</v>
      </c>
      <c r="PR27" s="95">
        <v>0.7</v>
      </c>
      <c r="PS27" s="96"/>
      <c r="PT27" s="95">
        <f t="shared" si="106"/>
        <v>0</v>
      </c>
      <c r="PV27" s="190">
        <v>0.7</v>
      </c>
      <c r="PW27" s="194"/>
      <c r="PX27" s="190">
        <f t="shared" si="107"/>
        <v>0</v>
      </c>
      <c r="PZ27" s="105"/>
      <c r="QA27" s="96"/>
      <c r="QB27" s="95" t="str">
        <f t="shared" si="108"/>
        <v/>
      </c>
    </row>
    <row r="28" spans="1:444" ht="12.75" customHeight="1" x14ac:dyDescent="0.2">
      <c r="A28" s="124" t="s">
        <v>106</v>
      </c>
      <c r="B28" s="98" t="s">
        <v>107</v>
      </c>
      <c r="C28" s="87">
        <v>0.3</v>
      </c>
      <c r="D28" s="97" t="s">
        <v>108</v>
      </c>
      <c r="F28" s="95">
        <v>0.5</v>
      </c>
      <c r="G28" s="96"/>
      <c r="H28" s="113"/>
      <c r="J28" s="95">
        <v>0.4</v>
      </c>
      <c r="K28" s="96"/>
      <c r="L28" s="95">
        <f>IF(ISNUMBER(J28), (F28+G28)-J28, "")</f>
        <v>9.9999999999999978E-2</v>
      </c>
      <c r="N28" s="105">
        <v>0.4</v>
      </c>
      <c r="O28" s="96"/>
      <c r="P28" s="95">
        <f>IF(ISNUMBER(N28), (J28+K28)-N28, "")</f>
        <v>0</v>
      </c>
      <c r="R28" s="95">
        <v>0.4</v>
      </c>
      <c r="S28" s="96"/>
      <c r="T28" s="95">
        <f>IF(ISNUMBER(R28), (N28+O28)-R28, "")</f>
        <v>0</v>
      </c>
      <c r="V28" s="95">
        <v>0.4</v>
      </c>
      <c r="W28" s="96"/>
      <c r="X28" s="95">
        <f>IF(ISNUMBER(V28), (R28+S28)-V28, "")</f>
        <v>0</v>
      </c>
      <c r="Z28" s="105">
        <v>0.4</v>
      </c>
      <c r="AA28" s="96"/>
      <c r="AB28" s="95">
        <f>IF(ISNUMBER(Z28), (V28+W28)-Z28, "")</f>
        <v>0</v>
      </c>
      <c r="AD28" s="105">
        <v>0.4</v>
      </c>
      <c r="AE28" s="96"/>
      <c r="AF28" s="95">
        <f>IF(ISNUMBER(AD28), (Z28+AA28)-AD28, "")</f>
        <v>0</v>
      </c>
      <c r="AH28" s="95">
        <v>0.3</v>
      </c>
      <c r="AI28" s="96"/>
      <c r="AJ28" s="95">
        <f>IF(ISNUMBER(AH28), (AD28+AE28)-AH28, "")</f>
        <v>0.10000000000000003</v>
      </c>
      <c r="AL28" s="105">
        <v>0.3</v>
      </c>
      <c r="AM28" s="96"/>
      <c r="AN28" s="95">
        <f>IF(ISNUMBER(AL28), (AH28+AI28)-AL28, "")</f>
        <v>0</v>
      </c>
      <c r="AP28" s="105">
        <v>0.3</v>
      </c>
      <c r="AQ28" s="96"/>
      <c r="AR28" s="95">
        <f>IF(ISNUMBER(AP28), (AL28+AM28)-AP28, "")</f>
        <v>0</v>
      </c>
      <c r="AT28" s="95">
        <v>0.3</v>
      </c>
      <c r="AU28" s="96"/>
      <c r="AV28" s="95">
        <f>IF(ISNUMBER(AT28), (AP28+AQ28)-AT28, "")</f>
        <v>0</v>
      </c>
      <c r="AX28" s="95">
        <v>0.3</v>
      </c>
      <c r="AY28" s="96"/>
      <c r="AZ28" s="95">
        <f>IF(ISNUMBER(AX28), (AT28+AU28)-AX28, "")</f>
        <v>0</v>
      </c>
      <c r="BB28" s="95">
        <v>0.3</v>
      </c>
      <c r="BC28" s="96"/>
      <c r="BD28" s="95">
        <f>IF(ISNUMBER(BB28), (AX28+AY28)-BB28, "")</f>
        <v>0</v>
      </c>
      <c r="BF28" s="95">
        <v>0.4</v>
      </c>
      <c r="BG28" s="96"/>
      <c r="BH28" s="95">
        <f>IF(ISNUMBER(BF28), (BB28+BC28)-BF28, "")</f>
        <v>-0.10000000000000003</v>
      </c>
      <c r="BJ28" s="95">
        <v>0.4</v>
      </c>
      <c r="BK28" s="96"/>
      <c r="BL28" s="95">
        <f>IF(ISNUMBER(BJ28), (BF28+BG28)-BJ28, "")</f>
        <v>0</v>
      </c>
      <c r="BN28" s="95">
        <v>0.4</v>
      </c>
      <c r="BO28" s="96"/>
      <c r="BP28" s="95">
        <f>IF(ISNUMBER(BN28), (BJ28+BK28)-BN28, "")</f>
        <v>0</v>
      </c>
      <c r="BR28" s="115">
        <v>0.4</v>
      </c>
      <c r="BS28" s="116"/>
      <c r="BT28" s="115">
        <f t="shared" si="113"/>
        <v>0</v>
      </c>
      <c r="BV28" s="105">
        <v>0.4</v>
      </c>
      <c r="BW28" s="96"/>
      <c r="BX28" s="95">
        <f>IF(ISNUMBER(BV28), (BR28+BS28)-BV28, "")</f>
        <v>0</v>
      </c>
      <c r="BZ28" s="95">
        <v>0.4</v>
      </c>
      <c r="CA28" s="96"/>
      <c r="CB28" s="95">
        <f>IF(ISNUMBER(BZ28), (BV28+BW28)-BZ28, "")</f>
        <v>0</v>
      </c>
      <c r="CD28" s="95">
        <v>0.4</v>
      </c>
      <c r="CE28" s="96"/>
      <c r="CF28" s="95">
        <f>IF(ISNUMBER(CD28), (BZ28+CA28)-CD28, "")</f>
        <v>0</v>
      </c>
      <c r="CH28" s="95">
        <v>0.3</v>
      </c>
      <c r="CI28" s="96"/>
      <c r="CJ28" s="95">
        <f>IF(ISNUMBER(CH28), (CD28+CE28)-CH28, "")</f>
        <v>0.10000000000000003</v>
      </c>
      <c r="CL28" s="95">
        <v>0.3</v>
      </c>
      <c r="CM28" s="96"/>
      <c r="CN28" s="95">
        <f>IF(ISNUMBER(CL28), (CH28+CI28)-CL28, "")</f>
        <v>0</v>
      </c>
      <c r="CP28" s="95">
        <v>0.3</v>
      </c>
      <c r="CQ28" s="96"/>
      <c r="CR28" s="95">
        <f>IF(ISNUMBER(CP28), (CL28+CM28)-CP28, "")</f>
        <v>0</v>
      </c>
      <c r="CT28" s="95">
        <v>0.3</v>
      </c>
      <c r="CU28" s="96"/>
      <c r="CV28" s="95">
        <f>IF(ISNUMBER(CT28), (CP28+CQ28)-CT28, "")</f>
        <v>0</v>
      </c>
      <c r="CX28" s="95">
        <v>0.3</v>
      </c>
      <c r="CY28" s="96"/>
      <c r="CZ28" s="95">
        <f>IF(ISNUMBER(CX28), (CT28+CU28)-CX28, "")</f>
        <v>0</v>
      </c>
      <c r="DB28" s="95">
        <v>0.1</v>
      </c>
      <c r="DC28" s="117"/>
      <c r="DD28" s="95">
        <f>IF(ISNUMBER(DB28), (CX28+CY28)-DB28, "")</f>
        <v>0.19999999999999998</v>
      </c>
      <c r="DF28" s="95">
        <v>0.1</v>
      </c>
      <c r="DG28" s="96"/>
      <c r="DH28" s="95">
        <f>IF(ISNUMBER(DF28), (DB28+DC28)-DF28, "")</f>
        <v>0</v>
      </c>
      <c r="DJ28" s="95">
        <v>0.1</v>
      </c>
      <c r="DK28" s="96"/>
      <c r="DL28" s="95">
        <f>IF(ISNUMBER(DJ28), (DF28+DG28)-DJ28, "")</f>
        <v>0</v>
      </c>
      <c r="DN28" s="95">
        <v>0</v>
      </c>
      <c r="DO28" s="96"/>
      <c r="DP28" s="95">
        <f>IF(ISNUMBER(DN28), (DJ28+DK28)-DN28, "")</f>
        <v>0.1</v>
      </c>
      <c r="DR28" s="95">
        <v>0</v>
      </c>
      <c r="DS28" s="96"/>
      <c r="DT28" s="95">
        <f>IF(ISNUMBER(DR28), (DN28+DO28)-DR28, "")</f>
        <v>0</v>
      </c>
      <c r="DV28" s="95">
        <v>0</v>
      </c>
      <c r="DW28" s="96"/>
      <c r="DX28" s="95">
        <f>IF(ISNUMBER(DV28), (DR28+DS28)-DV28, "")</f>
        <v>0</v>
      </c>
      <c r="DZ28" s="95">
        <v>0</v>
      </c>
      <c r="EA28" s="96"/>
      <c r="EB28" s="95">
        <f>IF(ISNUMBER(DZ28), (DV28+DW28)-DZ28, "")</f>
        <v>0</v>
      </c>
      <c r="ED28" s="95">
        <v>0</v>
      </c>
      <c r="EE28" s="96"/>
      <c r="EF28" s="95">
        <f>IF(ISNUMBER(ED28), (DZ28+EA28)-ED28, "")</f>
        <v>0</v>
      </c>
      <c r="EH28" s="95">
        <v>0</v>
      </c>
      <c r="EI28" s="96"/>
      <c r="EJ28" s="95">
        <f>IF(ISNUMBER(EH28), (ED28+EE28)-EH28, "")</f>
        <v>0</v>
      </c>
      <c r="EL28" s="95">
        <v>0</v>
      </c>
      <c r="EM28" s="96"/>
      <c r="EN28" s="95">
        <f>IF(ISNUMBER(EL28), (EH28+EI28)-EL28, "")</f>
        <v>0</v>
      </c>
      <c r="EP28" s="95">
        <v>0</v>
      </c>
      <c r="EQ28" s="96"/>
      <c r="ER28" s="95">
        <f>IF(ISNUMBER(EP28), (EL28+EM28)-EP28, "")</f>
        <v>0</v>
      </c>
      <c r="ET28" s="95">
        <v>0</v>
      </c>
      <c r="EU28" s="96"/>
      <c r="EV28" s="95">
        <f>IF(ISNUMBER(ET28), (EP28+EQ28)-ET28, "")</f>
        <v>0</v>
      </c>
      <c r="EX28" s="95">
        <v>0</v>
      </c>
      <c r="EY28" s="96"/>
      <c r="EZ28" s="95">
        <f>IF(ISNUMBER(EX28), (ET28+EU28)-EX28, "")</f>
        <v>0</v>
      </c>
      <c r="FB28" s="95">
        <v>0</v>
      </c>
      <c r="FC28" s="96"/>
      <c r="FD28" s="95">
        <f>IF(ISNUMBER(FB28), (EX28+EY28)-FB28, "")</f>
        <v>0</v>
      </c>
      <c r="FF28" s="95">
        <v>0</v>
      </c>
      <c r="FG28" s="96"/>
      <c r="FH28" s="95">
        <f>IF(ISNUMBER(FF28), (FB28+FC28)-FF28, "")</f>
        <v>0</v>
      </c>
      <c r="FJ28" s="95">
        <v>0</v>
      </c>
      <c r="FK28" s="96"/>
      <c r="FL28" s="95">
        <f>IF(ISNUMBER(FJ28), (FF28+FG28)-FJ28, "")</f>
        <v>0</v>
      </c>
      <c r="FN28" s="95">
        <v>0</v>
      </c>
      <c r="FO28" s="96"/>
      <c r="FP28" s="95">
        <f>IF(ISNUMBER(FN28), (FJ28+FK28)-FN28, "")</f>
        <v>0</v>
      </c>
      <c r="FR28" s="95">
        <v>0</v>
      </c>
      <c r="FS28" s="96"/>
      <c r="FT28" s="95">
        <f>IF(ISNUMBER(FR28), (FN28+FO28)-FR28, "")</f>
        <v>0</v>
      </c>
      <c r="FV28" s="95">
        <v>0</v>
      </c>
      <c r="FW28" s="96"/>
      <c r="FX28" s="95">
        <f>IF(ISNUMBER(FV28), (FR28+FS28)-FV28, "")</f>
        <v>0</v>
      </c>
      <c r="FZ28" s="95">
        <v>0</v>
      </c>
      <c r="GA28" s="96"/>
      <c r="GB28" s="95">
        <f>IF(ISNUMBER(FZ28), (FV28+FW28)-FZ28, "")</f>
        <v>0</v>
      </c>
      <c r="GD28" s="95">
        <v>0</v>
      </c>
      <c r="GE28" s="96"/>
      <c r="GF28" s="95">
        <f>IF(ISNUMBER(GD28), (FZ28+GA28)-GD28, "")</f>
        <v>0</v>
      </c>
      <c r="GH28" s="105">
        <v>0</v>
      </c>
      <c r="GI28" s="96"/>
      <c r="GJ28" s="95">
        <f>IF(ISNUMBER(GH28), (GD28+GE28)-GH28, "")</f>
        <v>0</v>
      </c>
      <c r="GL28" s="105">
        <v>0.1</v>
      </c>
      <c r="GM28" s="96"/>
      <c r="GN28" s="95">
        <f t="shared" si="46"/>
        <v>-0.1</v>
      </c>
      <c r="GP28" s="95">
        <v>0.1</v>
      </c>
      <c r="GQ28" s="96"/>
      <c r="GR28" s="95">
        <f t="shared" si="114"/>
        <v>0</v>
      </c>
      <c r="GT28" s="95">
        <v>0.1</v>
      </c>
      <c r="GU28" s="96"/>
      <c r="GV28" s="95">
        <f>IF(ISNUMBER(GT28), (GP28+GQ28)-GT28, "")</f>
        <v>0</v>
      </c>
      <c r="GX28" s="95">
        <v>0.1</v>
      </c>
      <c r="GY28" s="96"/>
      <c r="GZ28" s="95">
        <f>IF(ISNUMBER(GX28), (GT28+GU28)-GX28, "")</f>
        <v>0</v>
      </c>
      <c r="HB28" s="95">
        <v>0.1</v>
      </c>
      <c r="HC28" s="96"/>
      <c r="HD28" s="95">
        <f>IF(ISNUMBER(HB28), (GX28+GY28)-HB28, "")</f>
        <v>0</v>
      </c>
      <c r="HF28" s="95">
        <v>0.1</v>
      </c>
      <c r="HG28" s="96"/>
      <c r="HH28" s="95">
        <f>IF(ISNUMBER(HF28), (HB28+HC28)-HF28, "")</f>
        <v>0</v>
      </c>
      <c r="HJ28" s="95">
        <v>0.1</v>
      </c>
      <c r="HK28" s="96"/>
      <c r="HL28" s="95">
        <f>IF(ISNUMBER(HJ28), (HF28+HG28)-HJ28, "")</f>
        <v>0</v>
      </c>
      <c r="HN28" s="95">
        <v>0.1</v>
      </c>
      <c r="HO28" s="96"/>
      <c r="HP28" s="95">
        <f>IF(ISNUMBER(HN28), (HJ28+HK28)-HN28, "")</f>
        <v>0</v>
      </c>
      <c r="HR28" s="95">
        <v>0.1</v>
      </c>
      <c r="HS28" s="96"/>
      <c r="HT28" s="95">
        <f>IF(ISNUMBER(HR28), (HN28+HO28)-HR28, "")</f>
        <v>0</v>
      </c>
      <c r="HV28" s="95">
        <v>0.1</v>
      </c>
      <c r="HW28" s="96"/>
      <c r="HX28" s="95">
        <f>IF(ISNUMBER(HV28), (HR28+HS28)-HV28, "")</f>
        <v>0</v>
      </c>
      <c r="HZ28" s="115">
        <v>0</v>
      </c>
      <c r="IA28" s="96"/>
      <c r="IB28" s="95">
        <f t="shared" si="117"/>
        <v>0.1</v>
      </c>
      <c r="ID28" s="95">
        <v>0</v>
      </c>
      <c r="IE28" s="96">
        <v>1</v>
      </c>
      <c r="IF28" s="95">
        <f t="shared" si="118"/>
        <v>0</v>
      </c>
      <c r="IH28" s="115">
        <v>1</v>
      </c>
      <c r="II28" s="96"/>
      <c r="IJ28" s="95">
        <f t="shared" si="58"/>
        <v>0</v>
      </c>
      <c r="IL28" s="95">
        <v>1</v>
      </c>
      <c r="IM28" s="96"/>
      <c r="IN28" s="95">
        <f t="shared" si="59"/>
        <v>0</v>
      </c>
      <c r="IP28" s="95">
        <v>1</v>
      </c>
      <c r="IQ28" s="96"/>
      <c r="IR28" s="95">
        <f t="shared" si="60"/>
        <v>0</v>
      </c>
      <c r="IT28" s="95">
        <v>1</v>
      </c>
      <c r="IU28" s="96"/>
      <c r="IV28" s="95">
        <f t="shared" si="61"/>
        <v>0</v>
      </c>
      <c r="IX28" s="95">
        <v>0.9</v>
      </c>
      <c r="IY28" s="96"/>
      <c r="IZ28" s="95">
        <f t="shared" si="62"/>
        <v>9.9999999999999978E-2</v>
      </c>
      <c r="JB28" s="95">
        <v>0.8</v>
      </c>
      <c r="JC28" s="96"/>
      <c r="JD28" s="95">
        <f t="shared" si="63"/>
        <v>9.9999999999999978E-2</v>
      </c>
      <c r="JF28" s="95">
        <v>0.8</v>
      </c>
      <c r="JG28" s="96"/>
      <c r="JH28" s="95">
        <f t="shared" si="64"/>
        <v>0</v>
      </c>
      <c r="JJ28" s="95">
        <v>0.8</v>
      </c>
      <c r="JK28" s="96"/>
      <c r="JL28" s="95">
        <f t="shared" si="65"/>
        <v>0</v>
      </c>
      <c r="JN28" s="95">
        <v>0.8</v>
      </c>
      <c r="JO28" s="96"/>
      <c r="JP28" s="95">
        <f t="shared" si="66"/>
        <v>0</v>
      </c>
      <c r="JR28" s="95">
        <v>0.7</v>
      </c>
      <c r="JS28" s="96"/>
      <c r="JT28" s="95">
        <f t="shared" si="67"/>
        <v>0.10000000000000009</v>
      </c>
      <c r="JV28" s="95">
        <v>0.7</v>
      </c>
      <c r="JW28" s="96"/>
      <c r="JX28" s="95">
        <f t="shared" si="68"/>
        <v>0</v>
      </c>
      <c r="JZ28" s="95">
        <v>0.7</v>
      </c>
      <c r="KA28" s="96"/>
      <c r="KB28" s="95">
        <f t="shared" si="69"/>
        <v>0</v>
      </c>
      <c r="KD28" s="95">
        <v>0.7</v>
      </c>
      <c r="KE28" s="96"/>
      <c r="KF28" s="95">
        <f t="shared" si="70"/>
        <v>0</v>
      </c>
      <c r="KH28" s="95">
        <v>0.7</v>
      </c>
      <c r="KI28" s="96"/>
      <c r="KJ28" s="95">
        <f t="shared" si="71"/>
        <v>0</v>
      </c>
      <c r="KL28" s="95">
        <v>0.7</v>
      </c>
      <c r="KM28" s="96"/>
      <c r="KN28" s="95">
        <f t="shared" si="72"/>
        <v>0</v>
      </c>
      <c r="KP28" s="95">
        <v>0.7</v>
      </c>
      <c r="KQ28" s="96"/>
      <c r="KR28" s="95">
        <f t="shared" si="73"/>
        <v>0</v>
      </c>
      <c r="KT28" s="95">
        <v>0.7</v>
      </c>
      <c r="KU28" s="96"/>
      <c r="KV28" s="95">
        <f t="shared" si="74"/>
        <v>0</v>
      </c>
      <c r="KX28" s="95">
        <v>0.7</v>
      </c>
      <c r="KY28" s="96"/>
      <c r="KZ28" s="95">
        <f t="shared" si="75"/>
        <v>0</v>
      </c>
      <c r="LB28" s="95">
        <v>0.7</v>
      </c>
      <c r="LC28" s="96"/>
      <c r="LD28" s="95">
        <f t="shared" si="76"/>
        <v>0</v>
      </c>
      <c r="LF28" s="95">
        <v>0.7</v>
      </c>
      <c r="LG28" s="96"/>
      <c r="LH28" s="95">
        <f t="shared" si="77"/>
        <v>0</v>
      </c>
      <c r="LJ28" s="95">
        <v>0.7</v>
      </c>
      <c r="LK28" s="96"/>
      <c r="LL28" s="95">
        <f t="shared" si="78"/>
        <v>0</v>
      </c>
      <c r="LN28" s="95">
        <v>0.7</v>
      </c>
      <c r="LO28" s="96"/>
      <c r="LP28" s="95">
        <f t="shared" si="79"/>
        <v>0</v>
      </c>
      <c r="LR28" s="105">
        <v>0.7</v>
      </c>
      <c r="LS28" s="96"/>
      <c r="LT28" s="95">
        <f t="shared" si="80"/>
        <v>0</v>
      </c>
      <c r="LV28" s="105">
        <v>0.7</v>
      </c>
      <c r="LW28" s="96"/>
      <c r="LX28" s="95">
        <f t="shared" si="115"/>
        <v>0</v>
      </c>
      <c r="LZ28" s="95">
        <v>0.7</v>
      </c>
      <c r="MA28" s="96"/>
      <c r="MB28" s="95">
        <f t="shared" si="82"/>
        <v>0</v>
      </c>
      <c r="MD28" s="95">
        <v>0.7</v>
      </c>
      <c r="ME28" s="96"/>
      <c r="MF28" s="95">
        <f t="shared" si="116"/>
        <v>0</v>
      </c>
      <c r="MH28" s="95">
        <v>0.7</v>
      </c>
      <c r="MI28" s="96"/>
      <c r="MJ28" s="95">
        <f t="shared" si="84"/>
        <v>0</v>
      </c>
      <c r="ML28" s="95">
        <v>0.7</v>
      </c>
      <c r="MM28" s="96"/>
      <c r="MN28" s="95">
        <f t="shared" si="85"/>
        <v>0</v>
      </c>
      <c r="MP28" s="95">
        <v>0.7</v>
      </c>
      <c r="MQ28" s="96"/>
      <c r="MR28" s="95">
        <f t="shared" si="86"/>
        <v>0</v>
      </c>
      <c r="MT28" s="95">
        <v>0.7</v>
      </c>
      <c r="MU28" s="96"/>
      <c r="MV28" s="95">
        <f t="shared" si="87"/>
        <v>0</v>
      </c>
      <c r="MX28" s="95">
        <v>0.7</v>
      </c>
      <c r="MY28" s="96"/>
      <c r="MZ28" s="95">
        <f t="shared" si="88"/>
        <v>0</v>
      </c>
      <c r="NB28" s="95">
        <v>0.7</v>
      </c>
      <c r="NC28" s="96"/>
      <c r="ND28" s="95">
        <f t="shared" si="89"/>
        <v>0</v>
      </c>
      <c r="NF28" s="105">
        <v>0.7</v>
      </c>
      <c r="NG28" s="96"/>
      <c r="NH28" s="95">
        <f t="shared" si="90"/>
        <v>0</v>
      </c>
      <c r="NJ28" s="95">
        <v>0.7</v>
      </c>
      <c r="NK28" s="96"/>
      <c r="NL28" s="95">
        <f t="shared" si="91"/>
        <v>0</v>
      </c>
      <c r="NN28" s="95">
        <v>0.7</v>
      </c>
      <c r="NO28" s="96"/>
      <c r="NP28" s="95">
        <f t="shared" si="92"/>
        <v>0</v>
      </c>
      <c r="NR28" s="95">
        <v>0.7</v>
      </c>
      <c r="NS28" s="96"/>
      <c r="NT28" s="95">
        <f t="shared" si="93"/>
        <v>0</v>
      </c>
      <c r="NV28" s="95">
        <v>0.7</v>
      </c>
      <c r="NW28" s="96"/>
      <c r="NX28" s="95">
        <f t="shared" si="94"/>
        <v>0</v>
      </c>
      <c r="NZ28" s="95">
        <v>0.7</v>
      </c>
      <c r="OA28" s="96"/>
      <c r="OB28" s="95">
        <f t="shared" si="95"/>
        <v>0</v>
      </c>
      <c r="OD28" s="95">
        <v>0.7</v>
      </c>
      <c r="OE28" s="96"/>
      <c r="OF28" s="95">
        <f t="shared" si="96"/>
        <v>0</v>
      </c>
      <c r="OH28" s="105">
        <v>0.7</v>
      </c>
      <c r="OI28" s="96"/>
      <c r="OJ28" s="95">
        <f t="shared" si="97"/>
        <v>0</v>
      </c>
      <c r="OL28" s="95">
        <v>0.7</v>
      </c>
      <c r="OM28" s="96"/>
      <c r="ON28" s="95">
        <f t="shared" si="98"/>
        <v>0</v>
      </c>
      <c r="OP28" s="105">
        <v>0.7</v>
      </c>
      <c r="OQ28" s="96"/>
      <c r="OR28" s="95">
        <f t="shared" si="99"/>
        <v>0</v>
      </c>
      <c r="OT28" s="95">
        <v>0.7</v>
      </c>
      <c r="OU28" s="96"/>
      <c r="OV28" s="95">
        <f t="shared" si="100"/>
        <v>0</v>
      </c>
      <c r="OX28" s="105">
        <v>0.7</v>
      </c>
      <c r="OY28" s="96"/>
      <c r="OZ28" s="95">
        <f t="shared" si="101"/>
        <v>0</v>
      </c>
      <c r="PB28" s="95">
        <v>0.7</v>
      </c>
      <c r="PC28" s="96"/>
      <c r="PD28" s="95">
        <f t="shared" si="102"/>
        <v>0</v>
      </c>
      <c r="PF28" s="95">
        <v>0.7</v>
      </c>
      <c r="PG28" s="96"/>
      <c r="PH28" s="95">
        <f t="shared" si="103"/>
        <v>0</v>
      </c>
      <c r="PJ28" s="105">
        <v>0.7</v>
      </c>
      <c r="PK28" s="96"/>
      <c r="PL28" s="95">
        <f t="shared" si="104"/>
        <v>0</v>
      </c>
      <c r="PN28" s="105">
        <v>0.7</v>
      </c>
      <c r="PO28" s="96"/>
      <c r="PP28" s="95">
        <f t="shared" si="105"/>
        <v>0</v>
      </c>
      <c r="PR28" s="95">
        <v>0.7</v>
      </c>
      <c r="PS28" s="96"/>
      <c r="PT28" s="95">
        <f t="shared" si="106"/>
        <v>0</v>
      </c>
      <c r="PV28" s="190">
        <v>0.7</v>
      </c>
      <c r="PW28" s="194"/>
      <c r="PX28" s="190">
        <f t="shared" si="107"/>
        <v>0</v>
      </c>
      <c r="PZ28" s="105"/>
      <c r="QA28" s="96"/>
      <c r="QB28" s="95" t="str">
        <f t="shared" si="108"/>
        <v/>
      </c>
    </row>
    <row r="29" spans="1:444" ht="12.75" customHeight="1" x14ac:dyDescent="0.2">
      <c r="A29" s="107"/>
      <c r="D29" s="91"/>
      <c r="G29" s="91"/>
      <c r="H29" s="91"/>
      <c r="K29" s="91"/>
      <c r="O29" s="91"/>
      <c r="S29" s="91"/>
      <c r="W29" s="91"/>
      <c r="AA29" s="91"/>
      <c r="AE29" s="91"/>
      <c r="AI29" s="91"/>
      <c r="AM29" s="91"/>
      <c r="AQ29" s="91"/>
      <c r="AU29" s="91"/>
      <c r="AY29" s="91"/>
      <c r="BC29" s="91"/>
      <c r="BG29" s="91"/>
      <c r="BK29" s="91"/>
      <c r="BO29" s="91"/>
      <c r="BS29" s="91"/>
      <c r="BW29" s="91"/>
      <c r="CA29" s="91"/>
      <c r="CE29" s="91"/>
      <c r="CI29" s="91"/>
      <c r="CM29" s="91"/>
      <c r="CQ29" s="91"/>
      <c r="CU29" s="91"/>
      <c r="CY29" s="91"/>
      <c r="DC29" s="91"/>
      <c r="DG29" s="91"/>
      <c r="DK29" s="91"/>
      <c r="DO29" s="91"/>
      <c r="DS29" s="91"/>
      <c r="DW29" s="91"/>
      <c r="EA29" s="91"/>
      <c r="EE29" s="91"/>
      <c r="EI29" s="91"/>
      <c r="EM29" s="91"/>
      <c r="EQ29" s="91"/>
      <c r="EU29" s="91"/>
      <c r="EY29" s="91"/>
      <c r="FC29" s="91"/>
      <c r="FG29" s="91"/>
      <c r="FK29" s="91"/>
      <c r="FO29" s="91"/>
      <c r="FS29" s="91"/>
      <c r="FW29" s="91"/>
      <c r="GA29" s="91"/>
      <c r="GE29" s="91"/>
      <c r="GI29" s="91"/>
      <c r="GM29" s="91"/>
      <c r="GN29" s="95" t="str">
        <f t="shared" si="46"/>
        <v/>
      </c>
      <c r="GQ29" s="91"/>
      <c r="GU29" s="91"/>
      <c r="GY29" s="91"/>
      <c r="HC29" s="91"/>
      <c r="HG29" s="91"/>
      <c r="HK29" s="91"/>
      <c r="HO29" s="91"/>
      <c r="HS29" s="91"/>
      <c r="HW29" s="91"/>
      <c r="IA29" s="91"/>
      <c r="IE29" s="91"/>
      <c r="II29" s="91"/>
      <c r="IM29" s="91"/>
      <c r="IQ29" s="91"/>
      <c r="IU29" s="91"/>
      <c r="IY29" s="91"/>
      <c r="JC29" s="91"/>
      <c r="JG29" s="91"/>
      <c r="JK29" s="91"/>
      <c r="JO29" s="91"/>
      <c r="JS29" s="91"/>
      <c r="JW29" s="91"/>
      <c r="KA29" s="91"/>
      <c r="KE29" s="91"/>
      <c r="KI29" s="91"/>
      <c r="KM29" s="91"/>
      <c r="KQ29" s="91"/>
      <c r="KU29" s="91"/>
      <c r="KY29" s="91"/>
      <c r="LC29" s="91"/>
      <c r="LG29" s="91"/>
      <c r="LK29" s="91"/>
      <c r="LO29" s="91"/>
      <c r="LR29" s="139"/>
      <c r="LS29" s="91"/>
      <c r="LV29" s="139"/>
      <c r="LW29" s="91"/>
      <c r="MA29" s="91"/>
      <c r="ME29" s="91"/>
      <c r="MH29" s="139"/>
      <c r="MI29" s="91"/>
      <c r="ML29" s="139"/>
      <c r="MM29" s="91"/>
      <c r="MP29" s="139"/>
      <c r="MQ29" s="91"/>
      <c r="MT29" s="139"/>
      <c r="MU29" s="91"/>
      <c r="MX29" s="139"/>
      <c r="MY29" s="91"/>
      <c r="NB29" s="139"/>
      <c r="NC29" s="91"/>
      <c r="NF29" s="139"/>
      <c r="NG29" s="91"/>
      <c r="NJ29" s="139"/>
      <c r="NK29" s="91"/>
      <c r="NN29" s="139"/>
      <c r="NO29" s="91"/>
      <c r="NR29" s="139"/>
      <c r="NS29" s="91"/>
      <c r="NV29" s="139"/>
      <c r="NW29" s="91"/>
      <c r="NZ29" s="139"/>
      <c r="OA29" s="91"/>
      <c r="OD29" s="139"/>
      <c r="OE29" s="91"/>
      <c r="OH29" s="139"/>
      <c r="OI29" s="91"/>
      <c r="OL29" s="139"/>
      <c r="OM29" s="91"/>
      <c r="OP29" s="139"/>
      <c r="OQ29" s="91"/>
      <c r="OT29" s="139"/>
      <c r="OU29" s="91"/>
      <c r="OX29" s="139"/>
      <c r="OY29" s="91"/>
      <c r="PB29" s="139"/>
      <c r="PC29" s="91"/>
      <c r="PF29" s="139"/>
      <c r="PG29" s="91"/>
      <c r="PJ29" s="139"/>
      <c r="PK29" s="91"/>
      <c r="PN29" s="139"/>
      <c r="PO29" s="91"/>
      <c r="PR29" s="139"/>
      <c r="PS29" s="91"/>
      <c r="PV29" s="139"/>
      <c r="PW29" s="91"/>
      <c r="PZ29" s="139"/>
      <c r="QA29" s="91"/>
    </row>
    <row r="30" spans="1:444" s="107" customFormat="1" ht="12.75" customHeight="1" x14ac:dyDescent="0.2">
      <c r="B30" s="91"/>
      <c r="C30" s="91"/>
      <c r="D30" s="103"/>
      <c r="E30" s="91"/>
      <c r="F30" s="91"/>
      <c r="G30" s="104"/>
      <c r="H30" s="114"/>
      <c r="I30" s="91"/>
      <c r="J30" s="91"/>
      <c r="K30" s="104"/>
      <c r="L30" s="91"/>
      <c r="M30" s="91"/>
      <c r="N30" s="91"/>
      <c r="O30" s="104"/>
      <c r="P30" s="91"/>
      <c r="Q30" s="91"/>
      <c r="R30" s="91"/>
      <c r="S30" s="104"/>
      <c r="T30" s="91"/>
      <c r="U30" s="91"/>
      <c r="V30" s="91"/>
      <c r="W30" s="104"/>
      <c r="X30" s="91"/>
      <c r="Y30" s="91"/>
      <c r="Z30" s="91"/>
      <c r="AA30" s="104"/>
      <c r="AB30" s="91"/>
      <c r="AC30" s="91"/>
      <c r="AD30" s="91"/>
      <c r="AE30" s="104"/>
      <c r="AF30" s="91"/>
      <c r="AG30" s="91"/>
      <c r="AH30" s="91"/>
      <c r="AI30" s="104"/>
      <c r="AJ30" s="91"/>
      <c r="AK30" s="91"/>
      <c r="AL30" s="91"/>
      <c r="AM30" s="104"/>
      <c r="AN30" s="91"/>
      <c r="AO30" s="91"/>
      <c r="AP30" s="91"/>
      <c r="AQ30" s="104"/>
      <c r="AR30" s="91"/>
      <c r="AS30" s="91"/>
      <c r="AT30" s="91"/>
      <c r="AU30" s="104"/>
      <c r="AV30" s="91"/>
      <c r="AW30" s="91"/>
      <c r="AX30" s="91"/>
      <c r="AY30" s="104"/>
      <c r="AZ30" s="91"/>
      <c r="BA30" s="91"/>
      <c r="BB30" s="91"/>
      <c r="BC30" s="104"/>
      <c r="BD30" s="91"/>
      <c r="BE30" s="91"/>
      <c r="BF30" s="91"/>
      <c r="BG30" s="104"/>
      <c r="BH30" s="91"/>
      <c r="BI30" s="91"/>
      <c r="BJ30" s="91"/>
      <c r="BK30" s="104"/>
      <c r="BL30" s="91"/>
      <c r="BM30" s="91"/>
      <c r="BN30" s="91"/>
      <c r="BO30" s="104"/>
      <c r="BP30" s="91"/>
      <c r="BQ30" s="91"/>
      <c r="BR30" s="91"/>
      <c r="BS30" s="104"/>
      <c r="BT30" s="91"/>
      <c r="BU30" s="91"/>
      <c r="BV30" s="91"/>
      <c r="BW30" s="104"/>
      <c r="BX30" s="91"/>
      <c r="BY30" s="91"/>
      <c r="BZ30" s="91"/>
      <c r="CA30" s="104"/>
      <c r="CB30" s="91"/>
      <c r="CC30" s="91"/>
      <c r="CD30" s="91"/>
      <c r="CE30" s="104"/>
      <c r="CF30" s="91"/>
      <c r="CG30" s="91"/>
      <c r="CH30" s="91"/>
      <c r="CI30" s="104"/>
      <c r="CJ30" s="91"/>
      <c r="CK30" s="91"/>
      <c r="CL30" s="91"/>
      <c r="CM30" s="104"/>
      <c r="CN30" s="91"/>
      <c r="CO30" s="91"/>
      <c r="CP30" s="91"/>
      <c r="CQ30" s="104"/>
      <c r="CR30" s="91"/>
      <c r="CS30" s="91"/>
      <c r="CT30" s="91"/>
      <c r="CU30" s="104"/>
      <c r="CV30" s="91"/>
      <c r="CW30" s="91"/>
      <c r="CX30" s="91"/>
      <c r="CY30" s="104"/>
      <c r="CZ30" s="91"/>
      <c r="DA30" s="91"/>
      <c r="DB30" s="91"/>
      <c r="DC30" s="104"/>
      <c r="DD30" s="91"/>
      <c r="DE30" s="91"/>
      <c r="DF30" s="91"/>
      <c r="DG30" s="104"/>
      <c r="DH30" s="91"/>
      <c r="DI30" s="91"/>
      <c r="DJ30" s="91"/>
      <c r="DK30" s="104"/>
      <c r="DL30" s="91"/>
      <c r="DM30" s="91"/>
      <c r="DN30" s="91"/>
      <c r="DO30" s="104"/>
      <c r="DP30" s="91"/>
      <c r="DQ30" s="91"/>
      <c r="DR30" s="91"/>
      <c r="DS30" s="104"/>
      <c r="DT30" s="91"/>
      <c r="DU30" s="91"/>
      <c r="DV30" s="91"/>
      <c r="DW30" s="104"/>
      <c r="DX30" s="91"/>
      <c r="DY30" s="91"/>
      <c r="DZ30" s="91"/>
      <c r="EA30" s="104"/>
      <c r="EB30" s="91"/>
      <c r="EC30" s="91"/>
      <c r="ED30" s="91"/>
      <c r="EE30" s="104"/>
      <c r="EF30" s="91"/>
      <c r="EG30" s="91"/>
      <c r="EH30" s="91"/>
      <c r="EI30" s="104"/>
      <c r="EJ30" s="91"/>
      <c r="EK30" s="91"/>
      <c r="EL30" s="91"/>
      <c r="EM30" s="104"/>
      <c r="EN30" s="91"/>
      <c r="EO30" s="91"/>
      <c r="EP30" s="91"/>
      <c r="EQ30" s="104"/>
      <c r="ER30" s="91"/>
      <c r="ES30" s="91"/>
      <c r="ET30" s="91"/>
      <c r="EU30" s="104"/>
      <c r="EV30" s="91"/>
      <c r="EW30" s="108"/>
      <c r="EX30" s="108"/>
      <c r="EZ30" s="108"/>
      <c r="FA30" s="108"/>
      <c r="FB30" s="108"/>
      <c r="FD30" s="108"/>
      <c r="FE30" s="108"/>
      <c r="FF30" s="108"/>
      <c r="FH30" s="108"/>
      <c r="FI30" s="108"/>
      <c r="FJ30" s="108"/>
      <c r="FL30" s="108"/>
      <c r="FM30" s="108"/>
      <c r="FN30" s="108"/>
      <c r="FP30" s="108"/>
      <c r="FQ30" s="91"/>
      <c r="FR30" s="108"/>
      <c r="FT30" s="108"/>
      <c r="FU30" s="91"/>
      <c r="FV30" s="108"/>
      <c r="FX30" s="108"/>
      <c r="FY30" s="91"/>
      <c r="FZ30" s="108"/>
      <c r="GB30" s="108"/>
      <c r="GC30" s="91"/>
      <c r="GD30" s="108"/>
      <c r="GF30" s="108"/>
      <c r="GG30" s="91"/>
      <c r="GH30" s="108"/>
      <c r="GJ30" s="108"/>
      <c r="GK30" s="91"/>
      <c r="GL30" s="108"/>
      <c r="GN30" s="108"/>
      <c r="GO30" s="91"/>
      <c r="GP30" s="108"/>
      <c r="GR30" s="108"/>
      <c r="GS30" s="91"/>
      <c r="GT30" s="108"/>
      <c r="GV30" s="108"/>
      <c r="GW30" s="91"/>
      <c r="GX30" s="108"/>
      <c r="GZ30" s="108"/>
      <c r="HA30" s="91"/>
      <c r="HB30" s="108"/>
      <c r="HD30" s="108"/>
      <c r="HE30" s="91"/>
      <c r="HF30" s="108"/>
      <c r="HH30" s="108"/>
      <c r="HI30" s="91"/>
      <c r="HJ30" s="108"/>
      <c r="HL30" s="108"/>
      <c r="HM30" s="91"/>
      <c r="HN30" s="108"/>
      <c r="HP30" s="108"/>
      <c r="HQ30" s="91"/>
      <c r="HR30" s="108"/>
      <c r="HT30" s="108"/>
      <c r="HU30" s="91"/>
      <c r="HV30" s="108"/>
      <c r="HX30" s="108"/>
      <c r="HY30" s="91"/>
      <c r="HZ30" s="108"/>
      <c r="IB30" s="108"/>
      <c r="IC30" s="91"/>
      <c r="ID30" s="108"/>
      <c r="IF30" s="108"/>
      <c r="IG30" s="91"/>
      <c r="IH30" s="108"/>
      <c r="IJ30" s="108"/>
      <c r="IK30" s="91"/>
      <c r="IL30" s="108"/>
      <c r="IN30" s="108"/>
      <c r="IO30" s="91"/>
      <c r="IP30" s="108"/>
      <c r="IR30" s="108"/>
      <c r="IS30" s="91"/>
      <c r="IT30" s="108"/>
      <c r="IV30" s="108"/>
      <c r="IW30" s="91"/>
      <c r="IX30" s="108"/>
      <c r="IZ30" s="108"/>
      <c r="JA30" s="91"/>
      <c r="JB30" s="108"/>
      <c r="JD30" s="108"/>
      <c r="JE30" s="91"/>
      <c r="JF30" s="108"/>
      <c r="JH30" s="108"/>
      <c r="JI30" s="91"/>
      <c r="JJ30" s="108"/>
      <c r="JL30" s="108"/>
      <c r="JM30" s="91"/>
      <c r="JN30" s="108"/>
      <c r="JP30" s="108"/>
      <c r="JQ30" s="91"/>
      <c r="JR30" s="108"/>
      <c r="JT30" s="108"/>
      <c r="JU30" s="91"/>
      <c r="JV30" s="108"/>
      <c r="JX30" s="108"/>
      <c r="JY30" s="91"/>
      <c r="JZ30" s="108"/>
      <c r="KB30" s="108"/>
      <c r="KC30" s="91"/>
      <c r="KD30" s="108"/>
      <c r="KF30" s="108"/>
      <c r="KG30" s="91"/>
      <c r="KH30" s="108"/>
      <c r="KJ30" s="108"/>
      <c r="KK30" s="91"/>
      <c r="KL30" s="108"/>
      <c r="KN30" s="108"/>
      <c r="KO30" s="91"/>
      <c r="KP30" s="108"/>
      <c r="KR30" s="108"/>
      <c r="KS30" s="91"/>
      <c r="KT30" s="108"/>
      <c r="KV30" s="108"/>
      <c r="KW30" s="91"/>
      <c r="KX30" s="108"/>
      <c r="KZ30" s="108"/>
      <c r="LA30" s="91"/>
      <c r="LB30" s="108"/>
      <c r="LD30" s="108"/>
      <c r="LE30" s="91"/>
      <c r="LF30" s="108"/>
      <c r="LH30" s="108"/>
      <c r="LI30" s="91"/>
      <c r="LJ30" s="108"/>
      <c r="LL30" s="108"/>
      <c r="LM30" s="91"/>
      <c r="LN30" s="108"/>
      <c r="LP30" s="108"/>
      <c r="LQ30" s="91"/>
      <c r="LR30" s="108"/>
      <c r="LT30" s="108"/>
      <c r="LU30" s="91"/>
      <c r="LV30" s="108"/>
      <c r="LX30" s="108"/>
      <c r="LY30" s="91"/>
      <c r="LZ30" s="108"/>
      <c r="MB30" s="108"/>
      <c r="MC30" s="91"/>
      <c r="MD30" s="108"/>
      <c r="MF30" s="108"/>
      <c r="MG30" s="91"/>
      <c r="MH30" s="108"/>
      <c r="MJ30" s="108"/>
      <c r="MK30" s="91"/>
      <c r="ML30" s="108"/>
      <c r="MN30" s="108"/>
      <c r="MO30" s="91"/>
      <c r="MP30" s="108"/>
      <c r="MR30" s="108"/>
      <c r="MS30" s="91"/>
      <c r="MT30" s="108"/>
      <c r="MV30" s="108"/>
      <c r="MW30" s="91"/>
      <c r="MX30" s="108"/>
      <c r="MZ30" s="108"/>
      <c r="NA30" s="91"/>
      <c r="NB30" s="108"/>
      <c r="ND30" s="108"/>
      <c r="NE30" s="91"/>
      <c r="NF30" s="108"/>
      <c r="NH30" s="108"/>
      <c r="NI30" s="91"/>
      <c r="NJ30" s="108"/>
      <c r="NL30" s="108"/>
      <c r="NM30" s="91"/>
      <c r="NN30" s="108"/>
      <c r="NP30" s="108"/>
      <c r="NQ30" s="91"/>
      <c r="NR30" s="108"/>
      <c r="NT30" s="108"/>
      <c r="NU30" s="91"/>
      <c r="NV30" s="108"/>
      <c r="NX30" s="108"/>
      <c r="NY30" s="91"/>
      <c r="NZ30" s="108"/>
      <c r="OB30" s="108"/>
      <c r="OC30" s="91"/>
      <c r="OD30" s="108"/>
      <c r="OF30" s="108"/>
      <c r="OG30" s="91"/>
      <c r="OH30" s="108"/>
      <c r="OJ30" s="108"/>
      <c r="OK30" s="91"/>
      <c r="OL30" s="108"/>
      <c r="ON30" s="108"/>
      <c r="OO30" s="91"/>
      <c r="OP30" s="108"/>
      <c r="OR30" s="108"/>
      <c r="OS30" s="91"/>
      <c r="OT30" s="108"/>
      <c r="OV30" s="108"/>
      <c r="OW30" s="91"/>
      <c r="OX30" s="108"/>
      <c r="OZ30" s="108"/>
      <c r="PA30" s="91"/>
      <c r="PB30" s="108"/>
      <c r="PD30" s="108"/>
      <c r="PE30" s="91"/>
      <c r="PF30" s="108"/>
      <c r="PH30" s="108"/>
      <c r="PI30" s="91"/>
      <c r="PJ30" s="108"/>
      <c r="PL30" s="108"/>
      <c r="PM30" s="91"/>
      <c r="PN30" s="108"/>
      <c r="PP30" s="108"/>
      <c r="PQ30" s="91"/>
      <c r="PR30" s="108"/>
      <c r="PT30" s="108"/>
      <c r="PU30" s="91"/>
      <c r="PV30" s="108"/>
      <c r="PX30" s="108"/>
      <c r="PY30" s="91"/>
      <c r="PZ30" s="108"/>
      <c r="QB30" s="108"/>
    </row>
    <row r="31" spans="1:444" s="107" customFormat="1" ht="12.75" customHeight="1" x14ac:dyDescent="0.2">
      <c r="B31" s="106" t="s">
        <v>109</v>
      </c>
      <c r="F31" s="108"/>
      <c r="G31" s="109"/>
      <c r="H31" s="108"/>
      <c r="I31" s="109"/>
      <c r="J31" s="108"/>
      <c r="K31" s="108"/>
      <c r="L31" s="108"/>
      <c r="M31" s="108"/>
      <c r="N31" s="108"/>
      <c r="P31" s="108"/>
      <c r="Q31" s="108"/>
      <c r="R31" s="108"/>
      <c r="T31" s="108"/>
      <c r="U31" s="108"/>
      <c r="V31" s="108"/>
      <c r="X31" s="108"/>
      <c r="Y31" s="108"/>
      <c r="Z31" s="108"/>
      <c r="AB31" s="108"/>
      <c r="AC31" s="108"/>
      <c r="AD31" s="108"/>
      <c r="AF31" s="108"/>
      <c r="AG31" s="108"/>
      <c r="AH31" s="108"/>
      <c r="AJ31" s="108"/>
      <c r="AK31" s="108"/>
      <c r="AL31" s="108"/>
      <c r="AN31" s="108"/>
      <c r="AO31" s="108"/>
      <c r="AP31" s="108"/>
      <c r="AR31" s="108"/>
      <c r="AS31" s="108"/>
      <c r="AT31" s="108"/>
      <c r="AV31" s="108"/>
      <c r="AW31" s="108"/>
      <c r="AX31" s="108"/>
      <c r="AZ31" s="108"/>
      <c r="BA31" s="108"/>
      <c r="BB31" s="108"/>
      <c r="BD31" s="108"/>
      <c r="BE31" s="108"/>
      <c r="BF31" s="108"/>
      <c r="BH31" s="108"/>
      <c r="BI31" s="108"/>
      <c r="BJ31" s="108"/>
      <c r="BL31" s="108"/>
      <c r="BM31" s="108"/>
      <c r="BN31" s="108"/>
      <c r="BP31" s="108"/>
      <c r="BQ31" s="108"/>
      <c r="BR31" s="108"/>
      <c r="BT31" s="108"/>
      <c r="BU31" s="108"/>
      <c r="BV31" s="108"/>
      <c r="BX31" s="108"/>
      <c r="BY31" s="108"/>
      <c r="BZ31" s="108"/>
      <c r="CB31" s="108"/>
      <c r="CC31" s="108"/>
      <c r="CD31" s="108"/>
      <c r="CF31" s="108"/>
      <c r="CG31" s="108"/>
      <c r="CH31" s="108"/>
      <c r="CJ31" s="108"/>
      <c r="CK31" s="108"/>
      <c r="CL31" s="108"/>
      <c r="CN31" s="108"/>
      <c r="CO31" s="108"/>
      <c r="CP31" s="108"/>
      <c r="CR31" s="108"/>
      <c r="CS31" s="108"/>
      <c r="CT31" s="108"/>
      <c r="CV31" s="108"/>
      <c r="CW31" s="108"/>
      <c r="CX31" s="108"/>
      <c r="CZ31" s="108"/>
      <c r="DA31" s="108"/>
      <c r="DB31" s="108"/>
      <c r="DD31" s="108"/>
      <c r="DE31" s="108"/>
      <c r="DF31" s="108"/>
      <c r="DH31" s="108"/>
      <c r="DI31" s="108"/>
      <c r="DJ31" s="108"/>
      <c r="DL31" s="108"/>
      <c r="DM31" s="108"/>
      <c r="DN31" s="108"/>
      <c r="DP31" s="108"/>
      <c r="DQ31" s="108"/>
      <c r="DR31" s="108"/>
      <c r="DT31" s="108"/>
      <c r="DU31" s="108"/>
      <c r="DV31" s="108"/>
      <c r="DX31" s="108"/>
      <c r="DY31" s="108"/>
      <c r="DZ31" s="108"/>
      <c r="EB31" s="108"/>
      <c r="EC31" s="108"/>
      <c r="ED31" s="108"/>
      <c r="EF31" s="108"/>
      <c r="EG31" s="108"/>
      <c r="EH31" s="108"/>
      <c r="EJ31" s="108"/>
      <c r="EK31" s="108"/>
      <c r="EL31" s="108"/>
      <c r="EN31" s="108"/>
      <c r="EO31" s="108"/>
      <c r="EP31" s="108"/>
      <c r="ER31" s="108"/>
      <c r="ES31" s="108"/>
      <c r="ET31" s="108"/>
      <c r="EV31" s="108"/>
      <c r="EW31" s="108"/>
      <c r="EX31" s="108"/>
      <c r="EZ31" s="108"/>
      <c r="FA31" s="108"/>
      <c r="FB31" s="108"/>
      <c r="FD31" s="108"/>
      <c r="FE31" s="108"/>
      <c r="FF31" s="108"/>
      <c r="FH31" s="108"/>
      <c r="FI31" s="108"/>
      <c r="FJ31" s="108"/>
      <c r="FL31" s="108"/>
      <c r="FM31" s="108"/>
      <c r="FN31" s="108"/>
      <c r="FP31" s="108"/>
      <c r="FQ31" s="91"/>
      <c r="FR31" s="108"/>
      <c r="FT31" s="108"/>
      <c r="FU31" s="91"/>
      <c r="FV31" s="108"/>
      <c r="FX31" s="108"/>
      <c r="FY31" s="91"/>
      <c r="FZ31" s="108"/>
      <c r="GB31" s="108"/>
      <c r="GC31" s="91"/>
      <c r="GD31" s="108"/>
      <c r="GF31" s="108"/>
      <c r="GG31" s="91"/>
      <c r="GH31" s="108"/>
      <c r="GJ31" s="108"/>
      <c r="GK31" s="91"/>
      <c r="GL31" s="108"/>
      <c r="GN31" s="108"/>
      <c r="GO31" s="91"/>
      <c r="GP31" s="108"/>
      <c r="GR31" s="108"/>
      <c r="GS31" s="91"/>
      <c r="GT31" s="108"/>
      <c r="GV31" s="108"/>
      <c r="GW31" s="91"/>
      <c r="GX31" s="108"/>
      <c r="GZ31" s="108"/>
      <c r="HA31" s="91"/>
      <c r="HB31" s="108"/>
      <c r="HD31" s="108"/>
      <c r="HE31" s="91"/>
      <c r="HF31" s="108"/>
      <c r="HH31" s="108"/>
      <c r="HI31" s="91"/>
      <c r="HJ31" s="108"/>
      <c r="HL31" s="108"/>
      <c r="HM31" s="91"/>
      <c r="HN31" s="108"/>
      <c r="HP31" s="108"/>
      <c r="HQ31" s="91"/>
      <c r="HR31" s="108"/>
      <c r="HT31" s="108"/>
      <c r="HU31" s="91"/>
      <c r="HV31" s="108"/>
      <c r="HX31" s="108"/>
      <c r="HY31" s="91"/>
      <c r="HZ31" s="91"/>
      <c r="IA31" s="104"/>
      <c r="IB31" s="91"/>
      <c r="IC31" s="91"/>
      <c r="ID31" s="91"/>
      <c r="IE31" s="104"/>
      <c r="IF31" s="91"/>
      <c r="IG31" s="91"/>
      <c r="IH31" s="91"/>
      <c r="II31" s="104"/>
      <c r="IJ31" s="91"/>
      <c r="IK31" s="91"/>
      <c r="IL31" s="91"/>
      <c r="IM31" s="104"/>
      <c r="IN31" s="91"/>
      <c r="IO31" s="91"/>
      <c r="IP31" s="91"/>
      <c r="IQ31" s="104"/>
      <c r="IR31" s="91"/>
      <c r="IS31" s="91"/>
      <c r="IT31" s="91"/>
      <c r="IU31" s="104"/>
      <c r="IV31" s="91"/>
      <c r="IW31" s="91"/>
      <c r="IX31" s="91"/>
      <c r="IY31" s="104"/>
      <c r="IZ31" s="91"/>
      <c r="JA31" s="91"/>
      <c r="JB31" s="91"/>
      <c r="JC31" s="104"/>
      <c r="JD31" s="91"/>
      <c r="JE31" s="91"/>
      <c r="JF31" s="91"/>
      <c r="JG31" s="104"/>
      <c r="JH31" s="91"/>
      <c r="JI31" s="91"/>
      <c r="JJ31" s="91"/>
      <c r="JK31" s="104"/>
      <c r="JL31" s="91"/>
      <c r="JM31" s="91"/>
      <c r="JN31" s="91"/>
      <c r="JO31" s="104"/>
      <c r="JP31" s="91"/>
      <c r="JQ31" s="91"/>
      <c r="JR31" s="91"/>
      <c r="JS31" s="104"/>
      <c r="JT31" s="91"/>
      <c r="JU31" s="91"/>
      <c r="JV31" s="91"/>
      <c r="JW31" s="104"/>
      <c r="JX31" s="91"/>
      <c r="JY31" s="91"/>
      <c r="JZ31" s="91"/>
      <c r="KA31" s="104"/>
      <c r="KB31" s="91"/>
      <c r="KC31" s="91"/>
      <c r="KD31" s="91"/>
      <c r="KE31" s="104"/>
      <c r="KF31" s="91"/>
      <c r="KG31" s="91"/>
      <c r="KH31" s="91"/>
      <c r="KI31" s="104"/>
      <c r="KJ31" s="91"/>
      <c r="KK31" s="91"/>
      <c r="KL31" s="91"/>
      <c r="KM31" s="104"/>
      <c r="KN31" s="91"/>
      <c r="KO31" s="91"/>
      <c r="KP31" s="91"/>
      <c r="KQ31" s="104"/>
      <c r="KR31" s="91"/>
      <c r="KS31" s="91"/>
      <c r="KT31" s="91"/>
      <c r="KU31" s="104"/>
      <c r="KV31" s="91"/>
      <c r="KW31" s="91"/>
      <c r="KX31" s="91"/>
      <c r="KY31" s="104"/>
      <c r="KZ31" s="91"/>
      <c r="LA31" s="91"/>
      <c r="LB31" s="91"/>
      <c r="LC31" s="104"/>
      <c r="LD31" s="91"/>
      <c r="LE31" s="91"/>
      <c r="LF31" s="91"/>
      <c r="LG31" s="104"/>
      <c r="LH31" s="91"/>
      <c r="LI31" s="91"/>
      <c r="LJ31" s="91"/>
      <c r="LK31" s="104"/>
      <c r="LL31" s="91"/>
      <c r="LM31" s="91"/>
      <c r="LN31" s="91"/>
      <c r="LO31" s="104"/>
      <c r="LP31" s="91"/>
      <c r="LQ31" s="91"/>
      <c r="LR31" s="91"/>
      <c r="LS31" s="104"/>
      <c r="LT31" s="91"/>
      <c r="LU31" s="91"/>
      <c r="LV31" s="91"/>
      <c r="LW31" s="104"/>
      <c r="LX31" s="91"/>
      <c r="LY31" s="91"/>
      <c r="LZ31" s="91"/>
      <c r="MA31" s="104"/>
      <c r="MB31" s="91"/>
      <c r="MC31" s="91"/>
      <c r="MD31" s="91"/>
      <c r="ME31" s="104"/>
      <c r="MF31" s="91"/>
      <c r="MG31" s="91"/>
      <c r="MH31" s="91"/>
      <c r="MI31" s="104"/>
      <c r="MJ31" s="91"/>
      <c r="MK31" s="91"/>
      <c r="ML31" s="91"/>
      <c r="MM31" s="104"/>
      <c r="MN31" s="91"/>
      <c r="MO31" s="91"/>
      <c r="MP31" s="91"/>
      <c r="MQ31" s="104"/>
      <c r="MR31" s="91"/>
      <c r="MS31" s="91"/>
      <c r="MT31" s="91"/>
      <c r="MU31" s="104"/>
      <c r="MV31" s="91"/>
      <c r="MW31" s="91"/>
      <c r="MX31" s="91"/>
      <c r="MY31" s="104"/>
      <c r="MZ31" s="91"/>
      <c r="NA31" s="91"/>
      <c r="NB31" s="91"/>
      <c r="NC31" s="104"/>
      <c r="ND31" s="91"/>
      <c r="NE31" s="91"/>
      <c r="NF31" s="91"/>
      <c r="NG31" s="104"/>
      <c r="NH31" s="91"/>
      <c r="NI31" s="91"/>
      <c r="NJ31" s="91"/>
      <c r="NK31" s="104"/>
      <c r="NL31" s="91"/>
      <c r="NM31" s="91"/>
      <c r="NN31" s="91"/>
      <c r="NO31" s="104"/>
      <c r="NP31" s="91"/>
      <c r="NQ31" s="91"/>
      <c r="NR31" s="91"/>
      <c r="NS31" s="104"/>
      <c r="NT31" s="91"/>
      <c r="NU31" s="91"/>
      <c r="NV31" s="91"/>
      <c r="NW31" s="104"/>
      <c r="NX31" s="91"/>
      <c r="NY31" s="91"/>
      <c r="NZ31" s="91"/>
      <c r="OA31" s="104"/>
      <c r="OB31" s="91"/>
      <c r="OC31" s="91"/>
      <c r="OD31" s="91"/>
      <c r="OE31" s="104"/>
      <c r="OF31" s="91"/>
      <c r="OG31" s="91"/>
      <c r="OH31" s="91"/>
      <c r="OI31" s="104"/>
      <c r="OJ31" s="91"/>
      <c r="OK31" s="91"/>
      <c r="OL31" s="91"/>
      <c r="OM31" s="104"/>
      <c r="ON31" s="91"/>
      <c r="OO31" s="91"/>
      <c r="OP31" s="91"/>
      <c r="OQ31" s="104"/>
      <c r="OR31" s="91"/>
      <c r="OS31" s="91"/>
      <c r="OT31" s="91"/>
      <c r="OU31" s="104"/>
      <c r="OV31" s="91"/>
      <c r="OW31" s="91"/>
      <c r="OX31" s="91"/>
      <c r="OY31" s="104"/>
      <c r="OZ31" s="91"/>
      <c r="PA31" s="91"/>
      <c r="PB31" s="91"/>
      <c r="PC31" s="104"/>
      <c r="PD31" s="91"/>
      <c r="PE31" s="91"/>
      <c r="PF31" s="91"/>
      <c r="PG31" s="104"/>
      <c r="PH31" s="91"/>
      <c r="PI31" s="91"/>
      <c r="PJ31" s="91"/>
      <c r="PK31" s="104"/>
      <c r="PL31" s="91"/>
      <c r="PM31" s="91"/>
      <c r="PN31" s="91"/>
      <c r="PO31" s="104"/>
      <c r="PP31" s="91"/>
      <c r="PQ31" s="91"/>
      <c r="PR31" s="91"/>
      <c r="PS31" s="104"/>
      <c r="PT31" s="91"/>
      <c r="PU31" s="91"/>
      <c r="PV31" s="91"/>
      <c r="PW31" s="104"/>
      <c r="PX31" s="91"/>
      <c r="PY31" s="91"/>
      <c r="PZ31" s="91"/>
      <c r="QA31" s="104"/>
      <c r="QB31" s="91"/>
    </row>
    <row r="32" spans="1:444" ht="12.75" customHeight="1" x14ac:dyDescent="0.2">
      <c r="B32" s="110" t="s">
        <v>110</v>
      </c>
      <c r="C32" s="107"/>
      <c r="D32" s="107"/>
      <c r="E32" s="107"/>
      <c r="F32" s="108"/>
      <c r="G32" s="109"/>
      <c r="H32" s="108"/>
      <c r="I32" s="109"/>
      <c r="J32" s="108"/>
      <c r="K32" s="108"/>
      <c r="L32" s="108"/>
      <c r="M32" s="108"/>
      <c r="N32" s="108"/>
      <c r="O32" s="107"/>
      <c r="P32" s="108"/>
      <c r="Q32" s="108"/>
      <c r="R32" s="108"/>
      <c r="S32" s="107"/>
      <c r="T32" s="108"/>
      <c r="U32" s="108"/>
      <c r="V32" s="108"/>
      <c r="W32" s="107"/>
      <c r="X32" s="108"/>
      <c r="Y32" s="108"/>
      <c r="Z32" s="108"/>
      <c r="AA32" s="107"/>
      <c r="AB32" s="108"/>
      <c r="AC32" s="108"/>
      <c r="AD32" s="108"/>
      <c r="AE32" s="107"/>
      <c r="AF32" s="108"/>
      <c r="AG32" s="108"/>
      <c r="AH32" s="108"/>
      <c r="AI32" s="107"/>
      <c r="AJ32" s="108"/>
      <c r="AK32" s="108"/>
      <c r="AL32" s="108"/>
      <c r="AM32" s="107"/>
      <c r="AN32" s="108"/>
      <c r="AO32" s="108"/>
      <c r="AP32" s="108"/>
      <c r="AQ32" s="107"/>
      <c r="AR32" s="108"/>
      <c r="AS32" s="108"/>
      <c r="AT32" s="108"/>
      <c r="AU32" s="107"/>
      <c r="AV32" s="108"/>
      <c r="AW32" s="108"/>
      <c r="AX32" s="108"/>
      <c r="AY32" s="107"/>
      <c r="AZ32" s="108"/>
      <c r="BA32" s="108"/>
      <c r="BB32" s="108"/>
      <c r="BC32" s="107"/>
      <c r="BD32" s="108"/>
      <c r="BE32" s="108"/>
      <c r="BF32" s="108"/>
      <c r="BG32" s="107"/>
      <c r="BH32" s="108"/>
      <c r="BI32" s="108"/>
      <c r="BJ32" s="108"/>
      <c r="BK32" s="107"/>
      <c r="BL32" s="108"/>
      <c r="BM32" s="108"/>
      <c r="BN32" s="108"/>
      <c r="BO32" s="107"/>
      <c r="BP32" s="108"/>
      <c r="BQ32" s="108"/>
      <c r="BR32" s="108"/>
      <c r="BS32" s="107"/>
      <c r="BT32" s="108"/>
      <c r="BU32" s="108"/>
      <c r="BV32" s="108"/>
      <c r="BW32" s="107"/>
      <c r="BX32" s="108"/>
      <c r="BY32" s="108"/>
      <c r="BZ32" s="108"/>
      <c r="CA32" s="107"/>
      <c r="CB32" s="108"/>
      <c r="CC32" s="108"/>
      <c r="CD32" s="108"/>
      <c r="CE32" s="107"/>
      <c r="CF32" s="108"/>
      <c r="CG32" s="108"/>
      <c r="CH32" s="108"/>
      <c r="CI32" s="107"/>
      <c r="CJ32" s="108"/>
      <c r="CK32" s="108"/>
      <c r="CL32" s="108"/>
      <c r="CM32" s="107"/>
      <c r="CN32" s="108"/>
      <c r="CO32" s="108"/>
      <c r="CP32" s="108"/>
      <c r="CQ32" s="107"/>
      <c r="CR32" s="108"/>
      <c r="CS32" s="108"/>
      <c r="CT32" s="108"/>
      <c r="CU32" s="107"/>
      <c r="CV32" s="108"/>
      <c r="CW32" s="108"/>
      <c r="CX32" s="108"/>
      <c r="CY32" s="107"/>
      <c r="CZ32" s="108"/>
      <c r="DA32" s="108"/>
      <c r="DB32" s="108"/>
      <c r="DC32" s="107"/>
      <c r="DD32" s="108"/>
      <c r="DE32" s="108"/>
      <c r="DF32" s="108"/>
      <c r="DG32" s="107"/>
      <c r="DH32" s="108"/>
      <c r="DI32" s="108"/>
      <c r="DJ32" s="108"/>
      <c r="DK32" s="107"/>
      <c r="DL32" s="108"/>
      <c r="DM32" s="108"/>
      <c r="DN32" s="108"/>
      <c r="DO32" s="107"/>
      <c r="DP32" s="108"/>
      <c r="DQ32" s="108"/>
      <c r="DR32" s="108"/>
      <c r="DS32" s="107"/>
      <c r="DT32" s="108"/>
      <c r="DU32" s="108"/>
      <c r="DV32" s="108"/>
      <c r="DW32" s="107"/>
      <c r="DX32" s="108"/>
      <c r="DY32" s="108"/>
      <c r="DZ32" s="108"/>
      <c r="EA32" s="107"/>
      <c r="EB32" s="108"/>
      <c r="EC32" s="108"/>
      <c r="ED32" s="108"/>
      <c r="EE32" s="107"/>
      <c r="EF32" s="108"/>
      <c r="EG32" s="108"/>
      <c r="EH32" s="108"/>
      <c r="EI32" s="107"/>
      <c r="EJ32" s="108"/>
      <c r="EK32" s="108"/>
      <c r="EL32" s="108"/>
      <c r="EM32" s="107"/>
      <c r="EN32" s="108"/>
      <c r="EO32" s="108"/>
      <c r="EP32" s="108"/>
      <c r="EQ32" s="107"/>
      <c r="ER32" s="108"/>
      <c r="ES32" s="108"/>
      <c r="ET32" s="108"/>
      <c r="EU32" s="107"/>
      <c r="EV32" s="108"/>
    </row>
    <row r="33" spans="2:229" ht="12.75" customHeight="1" x14ac:dyDescent="0.2">
      <c r="B33" s="110" t="s">
        <v>111</v>
      </c>
      <c r="C33" s="107"/>
      <c r="D33" s="107"/>
      <c r="E33" s="107"/>
      <c r="F33" s="108"/>
      <c r="G33" s="109"/>
      <c r="H33" s="108"/>
      <c r="I33" s="109"/>
      <c r="J33" s="108"/>
      <c r="K33" s="108"/>
      <c r="L33" s="108"/>
      <c r="M33" s="108"/>
      <c r="N33" s="108"/>
      <c r="O33" s="107"/>
      <c r="P33" s="108"/>
      <c r="Q33" s="108"/>
      <c r="R33" s="108"/>
      <c r="S33" s="107"/>
      <c r="T33" s="108"/>
      <c r="U33" s="108"/>
      <c r="V33" s="108"/>
      <c r="W33" s="107"/>
      <c r="X33" s="108"/>
      <c r="Y33" s="108"/>
      <c r="Z33" s="108"/>
      <c r="AA33" s="107"/>
      <c r="AB33" s="108"/>
      <c r="AC33" s="108"/>
      <c r="AD33" s="108"/>
      <c r="AE33" s="107"/>
      <c r="AF33" s="108"/>
      <c r="AG33" s="108"/>
      <c r="AH33" s="108"/>
      <c r="AI33" s="107"/>
      <c r="AJ33" s="108"/>
      <c r="AK33" s="108"/>
      <c r="AL33" s="108"/>
      <c r="AM33" s="107"/>
      <c r="AN33" s="108"/>
      <c r="AO33" s="108"/>
      <c r="AP33" s="108"/>
      <c r="AQ33" s="107"/>
      <c r="AR33" s="108"/>
      <c r="AS33" s="108"/>
      <c r="AT33" s="108"/>
      <c r="AU33" s="107"/>
      <c r="AV33" s="108"/>
      <c r="AW33" s="108"/>
      <c r="AX33" s="108"/>
      <c r="AY33" s="107"/>
      <c r="AZ33" s="108"/>
      <c r="BA33" s="108"/>
      <c r="BB33" s="108"/>
      <c r="BC33" s="107"/>
      <c r="BD33" s="108"/>
      <c r="BE33" s="108"/>
      <c r="BF33" s="108"/>
      <c r="BG33" s="107"/>
      <c r="BH33" s="108"/>
      <c r="BI33" s="108"/>
      <c r="BJ33" s="108"/>
      <c r="BK33" s="107"/>
      <c r="BL33" s="108"/>
      <c r="BM33" s="108"/>
      <c r="BN33" s="108"/>
      <c r="BO33" s="107"/>
      <c r="BP33" s="108"/>
      <c r="BQ33" s="108"/>
      <c r="BR33" s="108"/>
      <c r="BS33" s="107"/>
      <c r="BT33" s="108"/>
      <c r="BU33" s="108"/>
      <c r="BV33" s="108"/>
      <c r="BW33" s="107"/>
      <c r="BX33" s="108"/>
      <c r="BY33" s="108"/>
      <c r="BZ33" s="108"/>
      <c r="CA33" s="107"/>
      <c r="CB33" s="108"/>
      <c r="CC33" s="108"/>
      <c r="CD33" s="108"/>
      <c r="CE33" s="107"/>
      <c r="CF33" s="108"/>
      <c r="CG33" s="108"/>
      <c r="CH33" s="108"/>
      <c r="CI33" s="107"/>
      <c r="CJ33" s="108"/>
      <c r="CK33" s="108"/>
      <c r="CL33" s="108"/>
      <c r="CM33" s="107"/>
      <c r="CN33" s="108"/>
      <c r="CO33" s="108"/>
      <c r="CP33" s="108"/>
      <c r="CQ33" s="107"/>
      <c r="CR33" s="108"/>
      <c r="CS33" s="108"/>
      <c r="CT33" s="108"/>
      <c r="CU33" s="107"/>
      <c r="CV33" s="108"/>
      <c r="CW33" s="108"/>
      <c r="CX33" s="108"/>
      <c r="CY33" s="107"/>
      <c r="CZ33" s="108"/>
      <c r="DA33" s="108"/>
      <c r="DB33" s="108"/>
      <c r="DC33" s="107"/>
      <c r="DD33" s="108"/>
      <c r="DE33" s="108"/>
      <c r="DF33" s="108"/>
      <c r="DG33" s="107"/>
      <c r="DH33" s="108"/>
      <c r="DI33" s="108"/>
      <c r="DJ33" s="108"/>
      <c r="DK33" s="107"/>
      <c r="DL33" s="108"/>
      <c r="DM33" s="108"/>
      <c r="DN33" s="108"/>
      <c r="DO33" s="107"/>
      <c r="DP33" s="108"/>
      <c r="DQ33" s="108"/>
      <c r="DR33" s="108"/>
      <c r="DS33" s="107"/>
      <c r="DT33" s="108"/>
      <c r="DU33" s="108"/>
      <c r="DV33" s="108"/>
      <c r="DW33" s="107"/>
      <c r="DX33" s="108"/>
      <c r="DY33" s="108"/>
      <c r="DZ33" s="108"/>
      <c r="EA33" s="107"/>
      <c r="EB33" s="108"/>
      <c r="EC33" s="108"/>
      <c r="ED33" s="108"/>
      <c r="EE33" s="107"/>
      <c r="EF33" s="108"/>
      <c r="EG33" s="108"/>
      <c r="EH33" s="108"/>
      <c r="EI33" s="107"/>
      <c r="EJ33" s="108"/>
      <c r="EK33" s="108"/>
      <c r="EL33" s="108"/>
      <c r="EM33" s="107"/>
      <c r="EN33" s="108"/>
      <c r="EO33" s="108"/>
      <c r="EP33" s="108"/>
      <c r="EQ33" s="107"/>
      <c r="ER33" s="108"/>
      <c r="ES33" s="108"/>
      <c r="ET33" s="108"/>
      <c r="EU33" s="107"/>
      <c r="EV33" s="108"/>
    </row>
    <row r="39" spans="2:229" ht="12.75" customHeight="1" x14ac:dyDescent="0.2">
      <c r="FQ39" s="108"/>
      <c r="FU39" s="108"/>
      <c r="FY39" s="108"/>
      <c r="GC39" s="108"/>
      <c r="GG39" s="108"/>
      <c r="GK39" s="108"/>
      <c r="GO39" s="108"/>
      <c r="GS39" s="108"/>
      <c r="GW39" s="108"/>
      <c r="HA39" s="108"/>
      <c r="HE39" s="108"/>
      <c r="HI39" s="108"/>
      <c r="HM39" s="108"/>
      <c r="HQ39" s="108"/>
      <c r="HU39" s="108"/>
    </row>
    <row r="40" spans="2:229" ht="12.75" customHeight="1" x14ac:dyDescent="0.2">
      <c r="FQ40" s="108"/>
      <c r="FU40" s="108"/>
      <c r="FY40" s="108"/>
      <c r="GC40" s="108"/>
      <c r="GG40" s="108"/>
      <c r="GK40" s="108"/>
      <c r="GO40" s="108"/>
      <c r="GS40" s="108"/>
      <c r="GW40" s="108"/>
      <c r="HA40" s="108"/>
      <c r="HE40" s="108"/>
      <c r="HI40" s="108"/>
      <c r="HM40" s="108"/>
      <c r="HQ40" s="108"/>
      <c r="HU40" s="108"/>
    </row>
    <row r="41" spans="2:229" ht="12.75" customHeight="1" x14ac:dyDescent="0.2">
      <c r="FQ41" s="108"/>
      <c r="FU41" s="108"/>
      <c r="FY41" s="108"/>
      <c r="GC41" s="108"/>
      <c r="GG41" s="108"/>
      <c r="GK41" s="108"/>
      <c r="GO41" s="108"/>
      <c r="GS41" s="108"/>
      <c r="GW41" s="108"/>
      <c r="HA41" s="108"/>
      <c r="HE41" s="108"/>
      <c r="HI41" s="108"/>
      <c r="HM41" s="108"/>
      <c r="HQ41" s="108"/>
      <c r="HU41" s="108"/>
    </row>
    <row r="52" spans="233:441" ht="12.75" customHeight="1" x14ac:dyDescent="0.2">
      <c r="HY52" s="108"/>
      <c r="IC52" s="108"/>
      <c r="IG52" s="108"/>
      <c r="IK52" s="108"/>
      <c r="IO52" s="108"/>
      <c r="IS52" s="108"/>
      <c r="IW52" s="108"/>
      <c r="JA52" s="108"/>
      <c r="JE52" s="108"/>
      <c r="JM52" s="108"/>
      <c r="JQ52" s="108"/>
      <c r="JU52" s="108"/>
      <c r="JY52" s="108"/>
      <c r="KC52" s="108"/>
      <c r="KG52" s="108"/>
      <c r="KK52" s="108"/>
      <c r="KO52" s="108"/>
      <c r="KS52" s="108"/>
      <c r="KW52" s="108"/>
      <c r="LA52" s="108"/>
      <c r="LE52" s="108"/>
      <c r="LI52" s="108"/>
      <c r="LM52" s="108"/>
      <c r="LQ52" s="108"/>
      <c r="LU52" s="108"/>
      <c r="LY52" s="108"/>
      <c r="MC52" s="108"/>
      <c r="MG52" s="108"/>
      <c r="MO52" s="108"/>
      <c r="MS52" s="108"/>
      <c r="MW52" s="108"/>
      <c r="NA52" s="108"/>
      <c r="NE52" s="108"/>
      <c r="NI52" s="108"/>
      <c r="NM52" s="108"/>
      <c r="NQ52" s="108"/>
      <c r="NU52" s="108"/>
      <c r="NY52" s="108"/>
      <c r="OC52" s="108"/>
      <c r="OG52" s="108"/>
      <c r="OK52" s="108"/>
      <c r="OO52" s="108"/>
      <c r="OS52" s="108"/>
      <c r="OW52" s="108"/>
      <c r="PA52" s="108"/>
      <c r="PE52" s="108"/>
      <c r="PI52" s="108"/>
      <c r="PM52" s="108"/>
      <c r="PQ52" s="108"/>
      <c r="PU52" s="108"/>
      <c r="PY52" s="108"/>
    </row>
    <row r="53" spans="233:441" ht="12.75" customHeight="1" x14ac:dyDescent="0.2">
      <c r="HY53" s="108"/>
      <c r="IC53" s="108"/>
      <c r="IG53" s="108"/>
      <c r="IK53" s="108"/>
      <c r="IO53" s="108"/>
      <c r="IS53" s="108"/>
      <c r="IW53" s="108"/>
      <c r="JA53" s="108"/>
      <c r="JE53" s="108"/>
      <c r="JI53" s="108"/>
      <c r="JM53" s="108"/>
      <c r="JQ53" s="108"/>
      <c r="JU53" s="108"/>
      <c r="JY53" s="108"/>
      <c r="KC53" s="108"/>
      <c r="KG53" s="108"/>
      <c r="KK53" s="108"/>
      <c r="KO53" s="108"/>
      <c r="KS53" s="108"/>
      <c r="KW53" s="108"/>
      <c r="LA53" s="108"/>
      <c r="LE53" s="108"/>
      <c r="LI53" s="108"/>
      <c r="LM53" s="108"/>
      <c r="LQ53" s="108"/>
      <c r="LU53" s="108"/>
      <c r="LY53" s="108"/>
      <c r="MC53" s="108"/>
      <c r="MG53" s="108"/>
      <c r="MO53" s="108"/>
      <c r="MS53" s="108"/>
      <c r="MW53" s="108"/>
      <c r="NA53" s="108"/>
      <c r="NE53" s="108"/>
      <c r="NI53" s="108"/>
      <c r="NM53" s="108"/>
      <c r="NQ53" s="108"/>
      <c r="NU53" s="108"/>
      <c r="NY53" s="108"/>
      <c r="OC53" s="108"/>
      <c r="OG53" s="108"/>
      <c r="OK53" s="108"/>
      <c r="OO53" s="108"/>
      <c r="OS53" s="108"/>
      <c r="OW53" s="108"/>
      <c r="PA53" s="108"/>
      <c r="PE53" s="108"/>
      <c r="PI53" s="108"/>
      <c r="PM53" s="108"/>
      <c r="PQ53" s="108"/>
      <c r="PU53" s="108"/>
      <c r="PY53" s="108"/>
    </row>
    <row r="54" spans="233:441" ht="12.75" customHeight="1" x14ac:dyDescent="0.2">
      <c r="HY54" s="108"/>
      <c r="IC54" s="108"/>
      <c r="IG54" s="108"/>
      <c r="IK54" s="108"/>
      <c r="IO54" s="108"/>
      <c r="IS54" s="108"/>
      <c r="IW54" s="108"/>
      <c r="JA54" s="108"/>
      <c r="JE54" s="108"/>
      <c r="JI54" s="108"/>
      <c r="JM54" s="108"/>
      <c r="JQ54" s="108"/>
      <c r="JU54" s="108"/>
      <c r="JY54" s="108"/>
      <c r="KC54" s="108"/>
      <c r="KG54" s="108"/>
      <c r="KK54" s="108"/>
      <c r="KO54" s="108"/>
      <c r="KS54" s="108"/>
      <c r="KW54" s="108"/>
      <c r="LA54" s="108"/>
      <c r="LE54" s="108"/>
      <c r="LI54" s="108"/>
      <c r="LM54" s="108"/>
      <c r="LQ54" s="108"/>
      <c r="LU54" s="108"/>
      <c r="LY54" s="108"/>
      <c r="MC54" s="108"/>
      <c r="MG54" s="108"/>
      <c r="MK54" s="108"/>
      <c r="MO54" s="108"/>
      <c r="MS54" s="108"/>
      <c r="MW54" s="108"/>
      <c r="NA54" s="108"/>
      <c r="NE54" s="108"/>
      <c r="NI54" s="108"/>
      <c r="NM54" s="108"/>
      <c r="NQ54" s="108"/>
      <c r="NU54" s="108"/>
      <c r="NY54" s="108"/>
      <c r="OC54" s="108"/>
      <c r="OG54" s="108"/>
      <c r="OK54" s="108"/>
      <c r="OO54" s="108"/>
      <c r="OS54" s="108"/>
      <c r="OW54" s="108"/>
      <c r="PA54" s="108"/>
      <c r="PE54" s="108"/>
      <c r="PI54" s="108"/>
      <c r="PM54" s="108"/>
      <c r="PQ54" s="108"/>
      <c r="PU54" s="108"/>
      <c r="PY54" s="108"/>
    </row>
    <row r="55" spans="233:441" ht="12.75" customHeight="1" x14ac:dyDescent="0.2">
      <c r="JI55" s="108"/>
      <c r="MK55" s="108"/>
    </row>
    <row r="56" spans="233:441" ht="12.75" customHeight="1" x14ac:dyDescent="0.2">
      <c r="MK56" s="108"/>
    </row>
  </sheetData>
  <sheetProtection algorithmName="SHA-512" hashValue="EI9CJDODI8ARWEIG+2NdikCkF6sGV8owHbBwTVxdYELE37uHcCew+RXS5WYW/JSsSE15NqLZ3pr856jqvBWF6A==" saltValue="qjQlEVX+Atz/kXW054viXg==" spinCount="100000" sheet="1" selectLockedCells="1"/>
  <mergeCells count="385">
    <mergeCell ref="QA1:QB1"/>
    <mergeCell ref="QA2:QB2"/>
    <mergeCell ref="PZ3:QA3"/>
    <mergeCell ref="PZ4:QA4"/>
    <mergeCell ref="PZ5:QA5"/>
    <mergeCell ref="PW1:PX1"/>
    <mergeCell ref="PW2:PX2"/>
    <mergeCell ref="PV3:PW3"/>
    <mergeCell ref="PV4:PW4"/>
    <mergeCell ref="PV5:PW5"/>
    <mergeCell ref="PS1:PT1"/>
    <mergeCell ref="PS2:PT2"/>
    <mergeCell ref="PR3:PS3"/>
    <mergeCell ref="PR4:PS4"/>
    <mergeCell ref="PR5:PS5"/>
    <mergeCell ref="PO1:PP1"/>
    <mergeCell ref="PO2:PP2"/>
    <mergeCell ref="PN3:PO3"/>
    <mergeCell ref="PN4:PO4"/>
    <mergeCell ref="PN5:PO5"/>
    <mergeCell ref="PJ5:PK5"/>
    <mergeCell ref="OD5:OE5"/>
    <mergeCell ref="OA1:OB1"/>
    <mergeCell ref="OA2:OB2"/>
    <mergeCell ref="NZ3:OA3"/>
    <mergeCell ref="NZ4:OA4"/>
    <mergeCell ref="NZ5:OA5"/>
    <mergeCell ref="OM1:ON1"/>
    <mergeCell ref="OM2:ON2"/>
    <mergeCell ref="OL3:OM3"/>
    <mergeCell ref="OL4:OM4"/>
    <mergeCell ref="OL5:OM5"/>
    <mergeCell ref="OI1:OJ1"/>
    <mergeCell ref="OI2:OJ2"/>
    <mergeCell ref="OH3:OI3"/>
    <mergeCell ref="OH4:OI4"/>
    <mergeCell ref="OH5:OI5"/>
    <mergeCell ref="OQ1:OR1"/>
    <mergeCell ref="OQ2:OR2"/>
    <mergeCell ref="OP5:OQ5"/>
    <mergeCell ref="OX5:OY5"/>
    <mergeCell ref="OT5:OU5"/>
    <mergeCell ref="PF4:PG4"/>
    <mergeCell ref="PF5:PG5"/>
    <mergeCell ref="NW1:NX1"/>
    <mergeCell ref="NW2:NX2"/>
    <mergeCell ref="NV3:NW3"/>
    <mergeCell ref="OE1:OF1"/>
    <mergeCell ref="OE2:OF2"/>
    <mergeCell ref="OD3:OE3"/>
    <mergeCell ref="OD4:OE4"/>
    <mergeCell ref="PB5:PC5"/>
    <mergeCell ref="NV4:NW4"/>
    <mergeCell ref="NV5:NW5"/>
    <mergeCell ref="PK1:PL1"/>
    <mergeCell ref="PK2:PL2"/>
    <mergeCell ref="PJ3:PK3"/>
    <mergeCell ref="PJ4:PK4"/>
    <mergeCell ref="OP4:OQ4"/>
    <mergeCell ref="OY1:OZ1"/>
    <mergeCell ref="OY2:OZ2"/>
    <mergeCell ref="OX3:OY3"/>
    <mergeCell ref="OX4:OY4"/>
    <mergeCell ref="OP3:OQ3"/>
    <mergeCell ref="OU1:OV1"/>
    <mergeCell ref="OU2:OV2"/>
    <mergeCell ref="OT3:OU3"/>
    <mergeCell ref="OT4:OU4"/>
    <mergeCell ref="PG1:PH1"/>
    <mergeCell ref="PG2:PH2"/>
    <mergeCell ref="PF3:PG3"/>
    <mergeCell ref="PC1:PD1"/>
    <mergeCell ref="PC2:PD2"/>
    <mergeCell ref="PB3:PC3"/>
    <mergeCell ref="PB4:PC4"/>
    <mergeCell ref="LK1:LL1"/>
    <mergeCell ref="LK2:LL2"/>
    <mergeCell ref="LJ3:LK3"/>
    <mergeCell ref="LJ4:LK4"/>
    <mergeCell ref="LJ5:LK5"/>
    <mergeCell ref="LS1:LT1"/>
    <mergeCell ref="LS2:LT2"/>
    <mergeCell ref="LR3:LS3"/>
    <mergeCell ref="LR4:LS4"/>
    <mergeCell ref="LR5:LS5"/>
    <mergeCell ref="LO1:LP1"/>
    <mergeCell ref="LO2:LP2"/>
    <mergeCell ref="LN3:LO3"/>
    <mergeCell ref="LN4:LO4"/>
    <mergeCell ref="LN5:LO5"/>
    <mergeCell ref="KT5:KU5"/>
    <mergeCell ref="KI2:KJ2"/>
    <mergeCell ref="KH3:KI3"/>
    <mergeCell ref="MH4:MI4"/>
    <mergeCell ref="MA1:MB1"/>
    <mergeCell ref="MA2:MB2"/>
    <mergeCell ref="LZ3:MA3"/>
    <mergeCell ref="LZ4:MA4"/>
    <mergeCell ref="LZ5:MA5"/>
    <mergeCell ref="MD4:ME4"/>
    <mergeCell ref="LG1:LH1"/>
    <mergeCell ref="LG2:LH2"/>
    <mergeCell ref="LF3:LG3"/>
    <mergeCell ref="LF4:LG4"/>
    <mergeCell ref="LF5:LG5"/>
    <mergeCell ref="LW2:LX2"/>
    <mergeCell ref="LV3:LW3"/>
    <mergeCell ref="LV4:LW4"/>
    <mergeCell ref="LV5:LW5"/>
    <mergeCell ref="MH5:MI5"/>
    <mergeCell ref="ME1:MF1"/>
    <mergeCell ref="ME2:MF2"/>
    <mergeCell ref="MD3:ME3"/>
    <mergeCell ref="MD5:ME5"/>
    <mergeCell ref="O1:P1"/>
    <mergeCell ref="CA1:CB1"/>
    <mergeCell ref="ID5:IE5"/>
    <mergeCell ref="IH5:II5"/>
    <mergeCell ref="GI1:GJ1"/>
    <mergeCell ref="GI2:GJ2"/>
    <mergeCell ref="GE1:GF1"/>
    <mergeCell ref="GE2:GF2"/>
    <mergeCell ref="GQ1:GR1"/>
    <mergeCell ref="GQ2:GR2"/>
    <mergeCell ref="GM1:GN1"/>
    <mergeCell ref="GM2:GN2"/>
    <mergeCell ref="GU1:GV1"/>
    <mergeCell ref="GU2:GV2"/>
    <mergeCell ref="HV4:HW4"/>
    <mergeCell ref="GA1:GB1"/>
    <mergeCell ref="GA2:GB2"/>
    <mergeCell ref="FW1:FX1"/>
    <mergeCell ref="FW2:FX2"/>
    <mergeCell ref="CU1:CV1"/>
    <mergeCell ref="CU2:CV2"/>
    <mergeCell ref="EA1:EB1"/>
    <mergeCell ref="EA2:EB2"/>
    <mergeCell ref="EU2:EV2"/>
    <mergeCell ref="BW2:BX2"/>
    <mergeCell ref="AQ1:AR1"/>
    <mergeCell ref="AU2:AV2"/>
    <mergeCell ref="AY1:AZ1"/>
    <mergeCell ref="W2:X2"/>
    <mergeCell ref="AI1:AJ1"/>
    <mergeCell ref="AI2:AJ2"/>
    <mergeCell ref="AM2:AN2"/>
    <mergeCell ref="AQ2:AR2"/>
    <mergeCell ref="BW1:BX1"/>
    <mergeCell ref="BK1:BL1"/>
    <mergeCell ref="AU1:AV1"/>
    <mergeCell ref="AY2:AZ2"/>
    <mergeCell ref="AA1:AB1"/>
    <mergeCell ref="AM1:AN1"/>
    <mergeCell ref="BK2:BL2"/>
    <mergeCell ref="BO1:BP1"/>
    <mergeCell ref="B5:D5"/>
    <mergeCell ref="HV3:HW3"/>
    <mergeCell ref="CM1:CN1"/>
    <mergeCell ref="CM2:CN2"/>
    <mergeCell ref="CI1:CJ1"/>
    <mergeCell ref="CI2:CJ2"/>
    <mergeCell ref="DC1:DD1"/>
    <mergeCell ref="DC2:DD2"/>
    <mergeCell ref="EM1:EN1"/>
    <mergeCell ref="EM2:EN2"/>
    <mergeCell ref="EI1:EJ1"/>
    <mergeCell ref="EI2:EJ2"/>
    <mergeCell ref="EE1:EF1"/>
    <mergeCell ref="EE2:EF2"/>
    <mergeCell ref="CQ1:CR1"/>
    <mergeCell ref="CQ2:CR2"/>
    <mergeCell ref="CY1:CZ1"/>
    <mergeCell ref="BC1:BD1"/>
    <mergeCell ref="BC2:BD2"/>
    <mergeCell ref="BG1:BH1"/>
    <mergeCell ref="FS1:FT1"/>
    <mergeCell ref="FS2:FT2"/>
    <mergeCell ref="BG2:BH2"/>
    <mergeCell ref="CY2:CZ2"/>
    <mergeCell ref="B4:D4"/>
    <mergeCell ref="DW1:DX1"/>
    <mergeCell ref="DW2:DX2"/>
    <mergeCell ref="DG1:DH1"/>
    <mergeCell ref="DG2:DH2"/>
    <mergeCell ref="DS1:DT1"/>
    <mergeCell ref="DS2:DT2"/>
    <mergeCell ref="DO1:DP1"/>
    <mergeCell ref="DO2:DP2"/>
    <mergeCell ref="DK1:DL1"/>
    <mergeCell ref="DK2:DL2"/>
    <mergeCell ref="BS1:BT1"/>
    <mergeCell ref="BS2:BT2"/>
    <mergeCell ref="CE1:CF1"/>
    <mergeCell ref="CE2:CF2"/>
    <mergeCell ref="G1:H1"/>
    <mergeCell ref="G2:H2"/>
    <mergeCell ref="S1:T1"/>
    <mergeCell ref="S2:T2"/>
    <mergeCell ref="AE1:AF1"/>
    <mergeCell ref="AE2:AF2"/>
    <mergeCell ref="K2:L2"/>
    <mergeCell ref="AA2:AB2"/>
    <mergeCell ref="B3:D3"/>
    <mergeCell ref="HV5:HW5"/>
    <mergeCell ref="HW1:HX1"/>
    <mergeCell ref="HW2:HX2"/>
    <mergeCell ref="II1:IJ1"/>
    <mergeCell ref="IH4:II4"/>
    <mergeCell ref="IM2:IN2"/>
    <mergeCell ref="IM1:IN1"/>
    <mergeCell ref="O2:P2"/>
    <mergeCell ref="K1:L1"/>
    <mergeCell ref="W1:X1"/>
    <mergeCell ref="BO2:BP2"/>
    <mergeCell ref="IL5:IM5"/>
    <mergeCell ref="HZ3:IA3"/>
    <mergeCell ref="ID3:IE3"/>
    <mergeCell ref="IH3:II3"/>
    <mergeCell ref="CA2:CB2"/>
    <mergeCell ref="HK1:HL1"/>
    <mergeCell ref="HK2:HL2"/>
    <mergeCell ref="HG1:HH1"/>
    <mergeCell ref="HG2:HH2"/>
    <mergeCell ref="IE1:IF1"/>
    <mergeCell ref="IE2:IF2"/>
    <mergeCell ref="HS1:HT1"/>
    <mergeCell ref="HS2:HT2"/>
    <mergeCell ref="JS2:JT2"/>
    <mergeCell ref="JR3:JS3"/>
    <mergeCell ref="JR4:JS4"/>
    <mergeCell ref="KH4:KI4"/>
    <mergeCell ref="LC1:LD1"/>
    <mergeCell ref="LC2:LD2"/>
    <mergeCell ref="IP5:IQ5"/>
    <mergeCell ref="IA2:IB2"/>
    <mergeCell ref="HZ5:IA5"/>
    <mergeCell ref="IL3:IM3"/>
    <mergeCell ref="IL4:IM4"/>
    <mergeCell ref="IQ1:IR1"/>
    <mergeCell ref="IQ2:IR2"/>
    <mergeCell ref="IP3:IQ3"/>
    <mergeCell ref="II2:IJ2"/>
    <mergeCell ref="IA1:IB1"/>
    <mergeCell ref="HZ4:IA4"/>
    <mergeCell ref="ID4:IE4"/>
    <mergeCell ref="KP4:KQ4"/>
    <mergeCell ref="KP5:KQ5"/>
    <mergeCell ref="KU1:KV1"/>
    <mergeCell ref="KU2:KV2"/>
    <mergeCell ref="KT3:KU3"/>
    <mergeCell ref="KT4:KU4"/>
    <mergeCell ref="IT5:IU5"/>
    <mergeCell ref="KH5:KI5"/>
    <mergeCell ref="LB3:LC3"/>
    <mergeCell ref="LB4:LC4"/>
    <mergeCell ref="LB5:LC5"/>
    <mergeCell ref="KY1:KZ1"/>
    <mergeCell ref="KY2:KZ2"/>
    <mergeCell ref="KX3:KY3"/>
    <mergeCell ref="KX4:KY4"/>
    <mergeCell ref="KX5:KY5"/>
    <mergeCell ref="KQ1:KR1"/>
    <mergeCell ref="KQ2:KR2"/>
    <mergeCell ref="KP3:KQ3"/>
    <mergeCell ref="JG2:JH2"/>
    <mergeCell ref="KA2:KB2"/>
    <mergeCell ref="JZ3:KA3"/>
    <mergeCell ref="JO2:JP2"/>
    <mergeCell ref="JN3:JO3"/>
    <mergeCell ref="JF4:JG4"/>
    <mergeCell ref="JZ4:KA4"/>
    <mergeCell ref="KE1:KF1"/>
    <mergeCell ref="JW1:JX1"/>
    <mergeCell ref="JW2:JX2"/>
    <mergeCell ref="JV3:JW3"/>
    <mergeCell ref="JC1:JD1"/>
    <mergeCell ref="JC2:JD2"/>
    <mergeCell ref="JB3:JC3"/>
    <mergeCell ref="JB4:JC4"/>
    <mergeCell ref="JB5:JC5"/>
    <mergeCell ref="IY1:IZ1"/>
    <mergeCell ref="IY2:IZ2"/>
    <mergeCell ref="IX3:IY3"/>
    <mergeCell ref="IX4:IY4"/>
    <mergeCell ref="IX5:IY5"/>
    <mergeCell ref="IT4:IU4"/>
    <mergeCell ref="EU1:EV1"/>
    <mergeCell ref="FO1:FP1"/>
    <mergeCell ref="FO2:FP2"/>
    <mergeCell ref="EQ1:ER1"/>
    <mergeCell ref="EQ2:ER2"/>
    <mergeCell ref="FK1:FL1"/>
    <mergeCell ref="FK2:FL2"/>
    <mergeCell ref="FC1:FD1"/>
    <mergeCell ref="FC2:FD2"/>
    <mergeCell ref="FG1:FH1"/>
    <mergeCell ref="FG2:FH2"/>
    <mergeCell ref="IP4:IQ4"/>
    <mergeCell ref="IU1:IV1"/>
    <mergeCell ref="IU2:IV2"/>
    <mergeCell ref="IT3:IU3"/>
    <mergeCell ref="GY1:GZ1"/>
    <mergeCell ref="GY2:GZ2"/>
    <mergeCell ref="HC1:HD1"/>
    <mergeCell ref="HC2:HD2"/>
    <mergeCell ref="HO1:HP1"/>
    <mergeCell ref="HO2:HP2"/>
    <mergeCell ref="EY2:EZ2"/>
    <mergeCell ref="EY1:EZ1"/>
    <mergeCell ref="JK1:JL1"/>
    <mergeCell ref="JK2:JL2"/>
    <mergeCell ref="JJ3:JK3"/>
    <mergeCell ref="JJ4:JK4"/>
    <mergeCell ref="JJ5:JK5"/>
    <mergeCell ref="JG1:JH1"/>
    <mergeCell ref="KM1:KN1"/>
    <mergeCell ref="KM2:KN2"/>
    <mergeCell ref="KL3:KM3"/>
    <mergeCell ref="KL4:KM4"/>
    <mergeCell ref="KL5:KM5"/>
    <mergeCell ref="KE2:KF2"/>
    <mergeCell ref="KD3:KE3"/>
    <mergeCell ref="KD4:KE4"/>
    <mergeCell ref="KD5:KE5"/>
    <mergeCell ref="JR5:JS5"/>
    <mergeCell ref="JN5:JO5"/>
    <mergeCell ref="JF5:JG5"/>
    <mergeCell ref="JV5:JW5"/>
    <mergeCell ref="KA1:KB1"/>
    <mergeCell ref="JZ5:KA5"/>
    <mergeCell ref="JV4:JW4"/>
    <mergeCell ref="JO1:JP1"/>
    <mergeCell ref="JF3:JG3"/>
    <mergeCell ref="JN4:JO4"/>
    <mergeCell ref="KI1:KJ1"/>
    <mergeCell ref="JS1:JT1"/>
    <mergeCell ref="MX5:MY5"/>
    <mergeCell ref="MU1:MV1"/>
    <mergeCell ref="MU2:MV2"/>
    <mergeCell ref="MT3:MU3"/>
    <mergeCell ref="MT4:MU4"/>
    <mergeCell ref="MT5:MU5"/>
    <mergeCell ref="MY1:MZ1"/>
    <mergeCell ref="MY2:MZ2"/>
    <mergeCell ref="MX3:MY3"/>
    <mergeCell ref="MX4:MY4"/>
    <mergeCell ref="MQ1:MR1"/>
    <mergeCell ref="MP5:MQ5"/>
    <mergeCell ref="ML5:MM5"/>
    <mergeCell ref="MI1:MJ1"/>
    <mergeCell ref="MI2:MJ2"/>
    <mergeCell ref="MH3:MI3"/>
    <mergeCell ref="LW1:LX1"/>
    <mergeCell ref="MM1:MN1"/>
    <mergeCell ref="MM2:MN2"/>
    <mergeCell ref="ML3:MM3"/>
    <mergeCell ref="ML4:MM4"/>
    <mergeCell ref="MQ2:MR2"/>
    <mergeCell ref="MP3:MQ3"/>
    <mergeCell ref="MP4:MQ4"/>
    <mergeCell ref="NG1:NH1"/>
    <mergeCell ref="NG2:NH2"/>
    <mergeCell ref="NF3:NG3"/>
    <mergeCell ref="NF4:NG4"/>
    <mergeCell ref="NF5:NG5"/>
    <mergeCell ref="NK1:NL1"/>
    <mergeCell ref="NK2:NL2"/>
    <mergeCell ref="NJ3:NK3"/>
    <mergeCell ref="NJ4:NK4"/>
    <mergeCell ref="NJ5:NK5"/>
    <mergeCell ref="NN3:NO3"/>
    <mergeCell ref="NN4:NO4"/>
    <mergeCell ref="NN5:NO5"/>
    <mergeCell ref="NS1:NT1"/>
    <mergeCell ref="NS2:NT2"/>
    <mergeCell ref="NR3:NS3"/>
    <mergeCell ref="NR4:NS4"/>
    <mergeCell ref="NC1:ND1"/>
    <mergeCell ref="NC2:ND2"/>
    <mergeCell ref="NB3:NC3"/>
    <mergeCell ref="NB4:NC4"/>
    <mergeCell ref="NB5:NC5"/>
    <mergeCell ref="NR5:NS5"/>
    <mergeCell ref="NO1:NP1"/>
    <mergeCell ref="NO2:NP2"/>
  </mergeCells>
  <conditionalFormatting sqref="H8 L8:L15 P8:P15 T8:T15 X8:X15 AB8:AB15 AF8:AF15 AJ8:AJ15 AN8:AN15 AR8:AR15 AV8:AV15 AZ8:AZ15 BD8:BD15 BH8:BH15 BL8:BL15 BP8:BP15 BT8:BT15 BX8:BX15 CB8:CB15 CF8:CF15 CJ8:CJ15 CN8:CN15 CR8:CR15 CV8:CV15 CZ8:CZ15 DD8:DD15 DH8:DH15 DL8:DL15 DP8:DP15 DT8:DT15 DX8:DX15 EB8:EB15 EF8:EF15 EJ8:EJ15 EN8:EN15 ER8:ER15 EV8:EV15 EZ8:EZ15 FD8:FD15 FH8:FH15 FL8:FL15 FP8:FP15 GN8:GN15 GN17:GN29 L20:L28 P20:P28 T20:T28 X20:X28 AB20:AB28 AF20:AF28 AJ20:AJ28 AN20:AN28 AR20:AR28 AV20:AV28 AZ20:AZ28 BD20:BD28 BH20:BH28 BL20:BL28 BP20:BP28 BT20:BT28 BX20:BX28 CB20:CB28 CF20:CF28 CJ20:CJ28 CN20:CN28 CR20:CR28 CV20:CV28 CZ20:CZ28 DD20:DD28 DH20:DH28 DL20:DL28 DP20:DP28 DT20:DT28 DX20:DX28 EB20:EB28 EF20:EF28 EJ20:EJ28 EN20:EN28 ER20:ER28 EV20:EV28 EZ20:EZ28 FD20:FD28 FH20:FH28 FL20:FL28 FP20:FP28 FT20:FT28 FX20:FX28 GB20:GB28 GF20:GF28 GJ20:GJ28 GR20:GR28 GV20:GV28 GZ20:GZ28 HD20:HD28 HH20:HH28 HL20:HL28 HP20:HP28 HT20:HT28 HX20:HX28 IB20:IB28 IF20:IF28 IJ20:IJ28 IN20:IN28 IR20:IR28 IV20:IV28">
    <cfRule type="cellIs" dxfId="349" priority="855" operator="lessThan">
      <formula>0</formula>
    </cfRule>
    <cfRule type="cellIs" dxfId="348" priority="856" operator="equal">
      <formula>0</formula>
    </cfRule>
  </conditionalFormatting>
  <conditionalFormatting sqref="FT8:FT15">
    <cfRule type="cellIs" dxfId="347" priority="456" operator="equal">
      <formula>0</formula>
    </cfRule>
    <cfRule type="cellIs" dxfId="346" priority="455" operator="lessThan">
      <formula>0</formula>
    </cfRule>
  </conditionalFormatting>
  <conditionalFormatting sqref="FX8:FX15">
    <cfRule type="cellIs" dxfId="345" priority="452" operator="equal">
      <formula>0</formula>
    </cfRule>
    <cfRule type="cellIs" dxfId="344" priority="451" operator="lessThan">
      <formula>0</formula>
    </cfRule>
  </conditionalFormatting>
  <conditionalFormatting sqref="GB8:GB15">
    <cfRule type="cellIs" dxfId="343" priority="448" operator="equal">
      <formula>0</formula>
    </cfRule>
    <cfRule type="cellIs" dxfId="342" priority="447" operator="lessThan">
      <formula>0</formula>
    </cfRule>
  </conditionalFormatting>
  <conditionalFormatting sqref="GF8:GF15">
    <cfRule type="cellIs" dxfId="341" priority="444" operator="equal">
      <formula>0</formula>
    </cfRule>
    <cfRule type="cellIs" dxfId="340" priority="443" operator="lessThan">
      <formula>0</formula>
    </cfRule>
  </conditionalFormatting>
  <conditionalFormatting sqref="GJ8:GJ15">
    <cfRule type="cellIs" dxfId="339" priority="440" operator="equal">
      <formula>0</formula>
    </cfRule>
    <cfRule type="cellIs" dxfId="338" priority="439" operator="lessThan">
      <formula>0</formula>
    </cfRule>
  </conditionalFormatting>
  <conditionalFormatting sqref="GR8:GR15">
    <cfRule type="cellIs" dxfId="337" priority="418" operator="equal">
      <formula>0</formula>
    </cfRule>
    <cfRule type="cellIs" dxfId="336" priority="417" operator="lessThan">
      <formula>0</formula>
    </cfRule>
  </conditionalFormatting>
  <conditionalFormatting sqref="GV8:GV15">
    <cfRule type="cellIs" dxfId="335" priority="412" operator="equal">
      <formula>0</formula>
    </cfRule>
    <cfRule type="cellIs" dxfId="334" priority="411" operator="lessThan">
      <formula>0</formula>
    </cfRule>
  </conditionalFormatting>
  <conditionalFormatting sqref="GZ8:GZ15">
    <cfRule type="cellIs" dxfId="333" priority="408" operator="equal">
      <formula>0</formula>
    </cfRule>
    <cfRule type="cellIs" dxfId="332" priority="407" operator="lessThan">
      <formula>0</formula>
    </cfRule>
  </conditionalFormatting>
  <conditionalFormatting sqref="HD8:HD15">
    <cfRule type="cellIs" dxfId="331" priority="404" operator="equal">
      <formula>0</formula>
    </cfRule>
    <cfRule type="cellIs" dxfId="330" priority="403" operator="lessThan">
      <formula>0</formula>
    </cfRule>
  </conditionalFormatting>
  <conditionalFormatting sqref="HH8:HH15">
    <cfRule type="cellIs" dxfId="329" priority="400" operator="equal">
      <formula>0</formula>
    </cfRule>
    <cfRule type="cellIs" dxfId="328" priority="399" operator="lessThan">
      <formula>0</formula>
    </cfRule>
  </conditionalFormatting>
  <conditionalFormatting sqref="HL8:HL15">
    <cfRule type="cellIs" dxfId="327" priority="396" operator="equal">
      <formula>0</formula>
    </cfRule>
    <cfRule type="cellIs" dxfId="326" priority="395" operator="lessThan">
      <formula>0</formula>
    </cfRule>
  </conditionalFormatting>
  <conditionalFormatting sqref="HP8:HP15">
    <cfRule type="cellIs" dxfId="325" priority="392" operator="equal">
      <formula>0</formula>
    </cfRule>
    <cfRule type="cellIs" dxfId="324" priority="391" operator="lessThan">
      <formula>0</formula>
    </cfRule>
  </conditionalFormatting>
  <conditionalFormatting sqref="HT8:HT15">
    <cfRule type="cellIs" dxfId="323" priority="388" operator="equal">
      <formula>0</formula>
    </cfRule>
    <cfRule type="cellIs" dxfId="322" priority="387" operator="lessThan">
      <formula>0</formula>
    </cfRule>
  </conditionalFormatting>
  <conditionalFormatting sqref="HX4:HX5">
    <cfRule type="cellIs" dxfId="321" priority="338" operator="equal">
      <formula>0</formula>
    </cfRule>
    <cfRule type="cellIs" dxfId="320" priority="337" operator="lessThan">
      <formula>0</formula>
    </cfRule>
  </conditionalFormatting>
  <conditionalFormatting sqref="HX8:HX15">
    <cfRule type="cellIs" dxfId="319" priority="384" operator="equal">
      <formula>0</formula>
    </cfRule>
    <cfRule type="cellIs" dxfId="318" priority="383" operator="lessThan">
      <formula>0</formula>
    </cfRule>
  </conditionalFormatting>
  <conditionalFormatting sqref="IB4:IB5">
    <cfRule type="cellIs" dxfId="317" priority="336" operator="equal">
      <formula>0</formula>
    </cfRule>
    <cfRule type="cellIs" dxfId="316" priority="335" operator="lessThan">
      <formula>0</formula>
    </cfRule>
  </conditionalFormatting>
  <conditionalFormatting sqref="IB8:IB15">
    <cfRule type="cellIs" dxfId="315" priority="356" operator="equal">
      <formula>0</formula>
    </cfRule>
    <cfRule type="cellIs" dxfId="314" priority="355" operator="lessThan">
      <formula>0</formula>
    </cfRule>
  </conditionalFormatting>
  <conditionalFormatting sqref="IF4:IF5">
    <cfRule type="cellIs" dxfId="313" priority="334" operator="equal">
      <formula>0</formula>
    </cfRule>
    <cfRule type="cellIs" dxfId="312" priority="333" operator="lessThan">
      <formula>0</formula>
    </cfRule>
  </conditionalFormatting>
  <conditionalFormatting sqref="IF8:IF15">
    <cfRule type="cellIs" dxfId="311" priority="354" operator="equal">
      <formula>0</formula>
    </cfRule>
    <cfRule type="cellIs" dxfId="310" priority="353" operator="lessThan">
      <formula>0</formula>
    </cfRule>
  </conditionalFormatting>
  <conditionalFormatting sqref="IJ4:IJ5">
    <cfRule type="cellIs" dxfId="309" priority="332" operator="equal">
      <formula>0</formula>
    </cfRule>
    <cfRule type="cellIs" dxfId="308" priority="331" operator="lessThan">
      <formula>0</formula>
    </cfRule>
  </conditionalFormatting>
  <conditionalFormatting sqref="IJ8:IJ15">
    <cfRule type="cellIs" dxfId="307" priority="344" operator="equal">
      <formula>0</formula>
    </cfRule>
    <cfRule type="cellIs" dxfId="306" priority="343" operator="lessThan">
      <formula>0</formula>
    </cfRule>
  </conditionalFormatting>
  <conditionalFormatting sqref="IN4:IN5">
    <cfRule type="cellIs" dxfId="305" priority="324" operator="equal">
      <formula>0</formula>
    </cfRule>
    <cfRule type="cellIs" dxfId="304" priority="323" operator="lessThan">
      <formula>0</formula>
    </cfRule>
  </conditionalFormatting>
  <conditionalFormatting sqref="IN8:IN15">
    <cfRule type="cellIs" dxfId="303" priority="329" operator="lessThan">
      <formula>0</formula>
    </cfRule>
    <cfRule type="cellIs" dxfId="302" priority="330" operator="equal">
      <formula>0</formula>
    </cfRule>
  </conditionalFormatting>
  <conditionalFormatting sqref="IR4:IR5">
    <cfRule type="cellIs" dxfId="301" priority="316" operator="equal">
      <formula>0</formula>
    </cfRule>
    <cfRule type="cellIs" dxfId="300" priority="315" operator="lessThan">
      <formula>0</formula>
    </cfRule>
  </conditionalFormatting>
  <conditionalFormatting sqref="IR8:IR15">
    <cfRule type="cellIs" dxfId="299" priority="322" operator="equal">
      <formula>0</formula>
    </cfRule>
    <cfRule type="cellIs" dxfId="298" priority="321" operator="lessThan">
      <formula>0</formula>
    </cfRule>
  </conditionalFormatting>
  <conditionalFormatting sqref="IV4:IV5">
    <cfRule type="cellIs" dxfId="297" priority="308" operator="equal">
      <formula>0</formula>
    </cfRule>
    <cfRule type="cellIs" dxfId="296" priority="307" operator="lessThan">
      <formula>0</formula>
    </cfRule>
  </conditionalFormatting>
  <conditionalFormatting sqref="IV8:IV15">
    <cfRule type="cellIs" dxfId="295" priority="314" operator="equal">
      <formula>0</formula>
    </cfRule>
    <cfRule type="cellIs" dxfId="294" priority="313" operator="lessThan">
      <formula>0</formula>
    </cfRule>
  </conditionalFormatting>
  <conditionalFormatting sqref="IZ4:IZ5">
    <cfRule type="cellIs" dxfId="293" priority="302" operator="equal">
      <formula>0</formula>
    </cfRule>
    <cfRule type="cellIs" dxfId="292" priority="301" operator="lessThan">
      <formula>0</formula>
    </cfRule>
  </conditionalFormatting>
  <conditionalFormatting sqref="IZ8:IZ15">
    <cfRule type="cellIs" dxfId="291" priority="304" operator="equal">
      <formula>0</formula>
    </cfRule>
    <cfRule type="cellIs" dxfId="290" priority="303" operator="lessThan">
      <formula>0</formula>
    </cfRule>
  </conditionalFormatting>
  <conditionalFormatting sqref="IZ20:IZ28">
    <cfRule type="cellIs" dxfId="289" priority="306" operator="equal">
      <formula>0</formula>
    </cfRule>
    <cfRule type="cellIs" dxfId="288" priority="305" operator="lessThan">
      <formula>0</formula>
    </cfRule>
  </conditionalFormatting>
  <conditionalFormatting sqref="JD4:JD5">
    <cfRule type="cellIs" dxfId="287" priority="296" operator="equal">
      <formula>0</formula>
    </cfRule>
    <cfRule type="cellIs" dxfId="286" priority="295" operator="lessThan">
      <formula>0</formula>
    </cfRule>
  </conditionalFormatting>
  <conditionalFormatting sqref="JD8:JD15">
    <cfRule type="cellIs" dxfId="285" priority="298" operator="equal">
      <formula>0</formula>
    </cfRule>
    <cfRule type="cellIs" dxfId="284" priority="297" operator="lessThan">
      <formula>0</formula>
    </cfRule>
  </conditionalFormatting>
  <conditionalFormatting sqref="JD20:JD28">
    <cfRule type="cellIs" dxfId="283" priority="300" operator="equal">
      <formula>0</formula>
    </cfRule>
    <cfRule type="cellIs" dxfId="282" priority="299" operator="lessThan">
      <formula>0</formula>
    </cfRule>
  </conditionalFormatting>
  <conditionalFormatting sqref="JH4:JH5">
    <cfRule type="cellIs" dxfId="281" priority="290" operator="equal">
      <formula>0</formula>
    </cfRule>
    <cfRule type="cellIs" dxfId="280" priority="289" operator="lessThan">
      <formula>0</formula>
    </cfRule>
  </conditionalFormatting>
  <conditionalFormatting sqref="JH8:JH15">
    <cfRule type="cellIs" dxfId="279" priority="292" operator="equal">
      <formula>0</formula>
    </cfRule>
    <cfRule type="cellIs" dxfId="278" priority="291" operator="lessThan">
      <formula>0</formula>
    </cfRule>
  </conditionalFormatting>
  <conditionalFormatting sqref="JH20:JH28">
    <cfRule type="cellIs" dxfId="277" priority="293" operator="lessThan">
      <formula>0</formula>
    </cfRule>
    <cfRule type="cellIs" dxfId="276" priority="294" operator="equal">
      <formula>0</formula>
    </cfRule>
  </conditionalFormatting>
  <conditionalFormatting sqref="JL4:JL5">
    <cfRule type="cellIs" dxfId="275" priority="284" operator="equal">
      <formula>0</formula>
    </cfRule>
    <cfRule type="cellIs" dxfId="274" priority="283" operator="lessThan">
      <formula>0</formula>
    </cfRule>
  </conditionalFormatting>
  <conditionalFormatting sqref="JL8:JL15">
    <cfRule type="cellIs" dxfId="273" priority="286" operator="equal">
      <formula>0</formula>
    </cfRule>
    <cfRule type="cellIs" dxfId="272" priority="285" operator="lessThan">
      <formula>0</formula>
    </cfRule>
  </conditionalFormatting>
  <conditionalFormatting sqref="JL20:JL28">
    <cfRule type="cellIs" dxfId="271" priority="288" operator="equal">
      <formula>0</formula>
    </cfRule>
    <cfRule type="cellIs" dxfId="270" priority="287" operator="lessThan">
      <formula>0</formula>
    </cfRule>
  </conditionalFormatting>
  <conditionalFormatting sqref="JP4:JP5">
    <cfRule type="cellIs" dxfId="269" priority="278" operator="equal">
      <formula>0</formula>
    </cfRule>
    <cfRule type="cellIs" dxfId="268" priority="277" operator="lessThan">
      <formula>0</formula>
    </cfRule>
  </conditionalFormatting>
  <conditionalFormatting sqref="JP8:JP15">
    <cfRule type="cellIs" dxfId="267" priority="279" operator="lessThan">
      <formula>0</formula>
    </cfRule>
    <cfRule type="cellIs" dxfId="266" priority="280" operator="equal">
      <formula>0</formula>
    </cfRule>
  </conditionalFormatting>
  <conditionalFormatting sqref="JP20:JP28">
    <cfRule type="cellIs" dxfId="265" priority="281" operator="lessThan">
      <formula>0</formula>
    </cfRule>
    <cfRule type="cellIs" dxfId="264" priority="282" operator="equal">
      <formula>0</formula>
    </cfRule>
  </conditionalFormatting>
  <conditionalFormatting sqref="JT4:JT5">
    <cfRule type="cellIs" dxfId="263" priority="272" operator="equal">
      <formula>0</formula>
    </cfRule>
    <cfRule type="cellIs" dxfId="262" priority="271" operator="lessThan">
      <formula>0</formula>
    </cfRule>
  </conditionalFormatting>
  <conditionalFormatting sqref="JT8:JT15">
    <cfRule type="cellIs" dxfId="261" priority="273" operator="lessThan">
      <formula>0</formula>
    </cfRule>
    <cfRule type="cellIs" dxfId="260" priority="274" operator="equal">
      <formula>0</formula>
    </cfRule>
  </conditionalFormatting>
  <conditionalFormatting sqref="JT20:JT28">
    <cfRule type="cellIs" dxfId="259" priority="276" operator="equal">
      <formula>0</formula>
    </cfRule>
    <cfRule type="cellIs" dxfId="258" priority="275" operator="lessThan">
      <formula>0</formula>
    </cfRule>
  </conditionalFormatting>
  <conditionalFormatting sqref="JX4:JX5">
    <cfRule type="cellIs" dxfId="257" priority="266" operator="equal">
      <formula>0</formula>
    </cfRule>
    <cfRule type="cellIs" dxfId="256" priority="265" operator="lessThan">
      <formula>0</formula>
    </cfRule>
  </conditionalFormatting>
  <conditionalFormatting sqref="JX8:JX15">
    <cfRule type="cellIs" dxfId="255" priority="268" operator="equal">
      <formula>0</formula>
    </cfRule>
    <cfRule type="cellIs" dxfId="254" priority="267" operator="lessThan">
      <formula>0</formula>
    </cfRule>
  </conditionalFormatting>
  <conditionalFormatting sqref="JX20:JX28">
    <cfRule type="cellIs" dxfId="253" priority="270" operator="equal">
      <formula>0</formula>
    </cfRule>
    <cfRule type="cellIs" dxfId="252" priority="269" operator="lessThan">
      <formula>0</formula>
    </cfRule>
  </conditionalFormatting>
  <conditionalFormatting sqref="KB4:KB5">
    <cfRule type="cellIs" dxfId="251" priority="260" operator="equal">
      <formula>0</formula>
    </cfRule>
    <cfRule type="cellIs" dxfId="250" priority="259" operator="lessThan">
      <formula>0</formula>
    </cfRule>
  </conditionalFormatting>
  <conditionalFormatting sqref="KB8:KB15">
    <cfRule type="cellIs" dxfId="249" priority="262" operator="equal">
      <formula>0</formula>
    </cfRule>
    <cfRule type="cellIs" dxfId="248" priority="261" operator="lessThan">
      <formula>0</formula>
    </cfRule>
  </conditionalFormatting>
  <conditionalFormatting sqref="KB20:KB28">
    <cfRule type="cellIs" dxfId="247" priority="264" operator="equal">
      <formula>0</formula>
    </cfRule>
    <cfRule type="cellIs" dxfId="246" priority="263" operator="lessThan">
      <formula>0</formula>
    </cfRule>
  </conditionalFormatting>
  <conditionalFormatting sqref="KF4:KF5">
    <cfRule type="cellIs" dxfId="245" priority="254" operator="equal">
      <formula>0</formula>
    </cfRule>
    <cfRule type="cellIs" dxfId="244" priority="253" operator="lessThan">
      <formula>0</formula>
    </cfRule>
  </conditionalFormatting>
  <conditionalFormatting sqref="KF8:KF15">
    <cfRule type="cellIs" dxfId="243" priority="256" operator="equal">
      <formula>0</formula>
    </cfRule>
    <cfRule type="cellIs" dxfId="242" priority="255" operator="lessThan">
      <formula>0</formula>
    </cfRule>
  </conditionalFormatting>
  <conditionalFormatting sqref="KF20:KF28">
    <cfRule type="cellIs" dxfId="241" priority="258" operator="equal">
      <formula>0</formula>
    </cfRule>
    <cfRule type="cellIs" dxfId="240" priority="257" operator="lessThan">
      <formula>0</formula>
    </cfRule>
  </conditionalFormatting>
  <conditionalFormatting sqref="KJ4:KJ5">
    <cfRule type="cellIs" dxfId="239" priority="247" operator="lessThan">
      <formula>0</formula>
    </cfRule>
    <cfRule type="cellIs" dxfId="238" priority="248" operator="equal">
      <formula>0</formula>
    </cfRule>
  </conditionalFormatting>
  <conditionalFormatting sqref="KJ8:KJ15">
    <cfRule type="cellIs" dxfId="237" priority="250" operator="equal">
      <formula>0</formula>
    </cfRule>
    <cfRule type="cellIs" dxfId="236" priority="249" operator="lessThan">
      <formula>0</formula>
    </cfRule>
  </conditionalFormatting>
  <conditionalFormatting sqref="KJ20:KJ28">
    <cfRule type="cellIs" dxfId="235" priority="251" operator="lessThan">
      <formula>0</formula>
    </cfRule>
    <cfRule type="cellIs" dxfId="234" priority="252" operator="equal">
      <formula>0</formula>
    </cfRule>
  </conditionalFormatting>
  <conditionalFormatting sqref="KN4:KN5">
    <cfRule type="cellIs" dxfId="233" priority="242" operator="equal">
      <formula>0</formula>
    </cfRule>
    <cfRule type="cellIs" dxfId="232" priority="241" operator="lessThan">
      <formula>0</formula>
    </cfRule>
  </conditionalFormatting>
  <conditionalFormatting sqref="KN8:KN15">
    <cfRule type="cellIs" dxfId="231" priority="244" operator="equal">
      <formula>0</formula>
    </cfRule>
    <cfRule type="cellIs" dxfId="230" priority="243" operator="lessThan">
      <formula>0</formula>
    </cfRule>
  </conditionalFormatting>
  <conditionalFormatting sqref="KN20:KN28">
    <cfRule type="cellIs" dxfId="229" priority="246" operator="equal">
      <formula>0</formula>
    </cfRule>
    <cfRule type="cellIs" dxfId="228" priority="245" operator="lessThan">
      <formula>0</formula>
    </cfRule>
  </conditionalFormatting>
  <conditionalFormatting sqref="KR4:KR5">
    <cfRule type="cellIs" dxfId="227" priority="236" operator="equal">
      <formula>0</formula>
    </cfRule>
    <cfRule type="cellIs" dxfId="226" priority="235" operator="lessThan">
      <formula>0</formula>
    </cfRule>
  </conditionalFormatting>
  <conditionalFormatting sqref="KR8:KR15">
    <cfRule type="cellIs" dxfId="225" priority="237" operator="lessThan">
      <formula>0</formula>
    </cfRule>
    <cfRule type="cellIs" dxfId="224" priority="238" operator="equal">
      <formula>0</formula>
    </cfRule>
  </conditionalFormatting>
  <conditionalFormatting sqref="KR20:KR28">
    <cfRule type="cellIs" dxfId="223" priority="240" operator="equal">
      <formula>0</formula>
    </cfRule>
    <cfRule type="cellIs" dxfId="222" priority="239" operator="lessThan">
      <formula>0</formula>
    </cfRule>
  </conditionalFormatting>
  <conditionalFormatting sqref="KV4:KV5">
    <cfRule type="cellIs" dxfId="221" priority="230" operator="equal">
      <formula>0</formula>
    </cfRule>
    <cfRule type="cellIs" dxfId="220" priority="229" operator="lessThan">
      <formula>0</formula>
    </cfRule>
  </conditionalFormatting>
  <conditionalFormatting sqref="KV8:KV15">
    <cfRule type="cellIs" dxfId="219" priority="231" operator="lessThan">
      <formula>0</formula>
    </cfRule>
    <cfRule type="cellIs" dxfId="218" priority="232" operator="equal">
      <formula>0</formula>
    </cfRule>
  </conditionalFormatting>
  <conditionalFormatting sqref="KV20:KV28">
    <cfRule type="cellIs" dxfId="217" priority="234" operator="equal">
      <formula>0</formula>
    </cfRule>
    <cfRule type="cellIs" dxfId="216" priority="233" operator="lessThan">
      <formula>0</formula>
    </cfRule>
  </conditionalFormatting>
  <conditionalFormatting sqref="KZ4:KZ5">
    <cfRule type="cellIs" dxfId="215" priority="224" operator="equal">
      <formula>0</formula>
    </cfRule>
    <cfRule type="cellIs" dxfId="214" priority="223" operator="lessThan">
      <formula>0</formula>
    </cfRule>
  </conditionalFormatting>
  <conditionalFormatting sqref="KZ8:KZ15">
    <cfRule type="cellIs" dxfId="213" priority="226" operator="equal">
      <formula>0</formula>
    </cfRule>
    <cfRule type="cellIs" dxfId="212" priority="225" operator="lessThan">
      <formula>0</formula>
    </cfRule>
  </conditionalFormatting>
  <conditionalFormatting sqref="KZ20:KZ28">
    <cfRule type="cellIs" dxfId="211" priority="228" operator="equal">
      <formula>0</formula>
    </cfRule>
    <cfRule type="cellIs" dxfId="210" priority="227" operator="lessThan">
      <formula>0</formula>
    </cfRule>
  </conditionalFormatting>
  <conditionalFormatting sqref="LD4:LD5">
    <cfRule type="cellIs" dxfId="209" priority="218" operator="equal">
      <formula>0</formula>
    </cfRule>
    <cfRule type="cellIs" dxfId="208" priority="217" operator="lessThan">
      <formula>0</formula>
    </cfRule>
  </conditionalFormatting>
  <conditionalFormatting sqref="LD8:LD15">
    <cfRule type="cellIs" dxfId="207" priority="220" operator="equal">
      <formula>0</formula>
    </cfRule>
    <cfRule type="cellIs" dxfId="206" priority="219" operator="lessThan">
      <formula>0</formula>
    </cfRule>
  </conditionalFormatting>
  <conditionalFormatting sqref="LD20:LD28">
    <cfRule type="cellIs" dxfId="205" priority="222" operator="equal">
      <formula>0</formula>
    </cfRule>
    <cfRule type="cellIs" dxfId="204" priority="221" operator="lessThan">
      <formula>0</formula>
    </cfRule>
  </conditionalFormatting>
  <conditionalFormatting sqref="LH4:LH5">
    <cfRule type="cellIs" dxfId="203" priority="212" operator="equal">
      <formula>0</formula>
    </cfRule>
    <cfRule type="cellIs" dxfId="202" priority="211" operator="lessThan">
      <formula>0</formula>
    </cfRule>
  </conditionalFormatting>
  <conditionalFormatting sqref="LH8:LH15">
    <cfRule type="cellIs" dxfId="201" priority="214" operator="equal">
      <formula>0</formula>
    </cfRule>
    <cfRule type="cellIs" dxfId="200" priority="213" operator="lessThan">
      <formula>0</formula>
    </cfRule>
  </conditionalFormatting>
  <conditionalFormatting sqref="LH20:LH28">
    <cfRule type="cellIs" dxfId="199" priority="216" operator="equal">
      <formula>0</formula>
    </cfRule>
    <cfRule type="cellIs" dxfId="198" priority="215" operator="lessThan">
      <formula>0</formula>
    </cfRule>
  </conditionalFormatting>
  <conditionalFormatting sqref="LL4:LL5">
    <cfRule type="cellIs" dxfId="197" priority="206" operator="equal">
      <formula>0</formula>
    </cfRule>
    <cfRule type="cellIs" dxfId="196" priority="205" operator="lessThan">
      <formula>0</formula>
    </cfRule>
  </conditionalFormatting>
  <conditionalFormatting sqref="LL8:LL15">
    <cfRule type="cellIs" dxfId="195" priority="208" operator="equal">
      <formula>0</formula>
    </cfRule>
    <cfRule type="cellIs" dxfId="194" priority="207" operator="lessThan">
      <formula>0</formula>
    </cfRule>
  </conditionalFormatting>
  <conditionalFormatting sqref="LL20:LL28">
    <cfRule type="cellIs" dxfId="193" priority="210" operator="equal">
      <formula>0</formula>
    </cfRule>
    <cfRule type="cellIs" dxfId="192" priority="209" operator="lessThan">
      <formula>0</formula>
    </cfRule>
  </conditionalFormatting>
  <conditionalFormatting sqref="LP4:LP5">
    <cfRule type="cellIs" dxfId="191" priority="200" operator="equal">
      <formula>0</formula>
    </cfRule>
    <cfRule type="cellIs" dxfId="190" priority="199" operator="lessThan">
      <formula>0</formula>
    </cfRule>
  </conditionalFormatting>
  <conditionalFormatting sqref="LP8:LP15">
    <cfRule type="cellIs" dxfId="189" priority="201" operator="lessThan">
      <formula>0</formula>
    </cfRule>
    <cfRule type="cellIs" dxfId="188" priority="202" operator="equal">
      <formula>0</formula>
    </cfRule>
  </conditionalFormatting>
  <conditionalFormatting sqref="LP20:LP28">
    <cfRule type="cellIs" dxfId="187" priority="204" operator="equal">
      <formula>0</formula>
    </cfRule>
    <cfRule type="cellIs" dxfId="186" priority="203" operator="lessThan">
      <formula>0</formula>
    </cfRule>
  </conditionalFormatting>
  <conditionalFormatting sqref="LT4:LT5">
    <cfRule type="cellIs" dxfId="185" priority="193" operator="lessThan">
      <formula>0</formula>
    </cfRule>
    <cfRule type="cellIs" dxfId="184" priority="194" operator="equal">
      <formula>0</formula>
    </cfRule>
  </conditionalFormatting>
  <conditionalFormatting sqref="LT8:LT15">
    <cfRule type="cellIs" dxfId="183" priority="195" operator="lessThan">
      <formula>0</formula>
    </cfRule>
    <cfRule type="cellIs" dxfId="182" priority="196" operator="equal">
      <formula>0</formula>
    </cfRule>
  </conditionalFormatting>
  <conditionalFormatting sqref="LT20:LT28">
    <cfRule type="cellIs" dxfId="181" priority="197" operator="lessThan">
      <formula>0</formula>
    </cfRule>
    <cfRule type="cellIs" dxfId="180" priority="198" operator="equal">
      <formula>0</formula>
    </cfRule>
  </conditionalFormatting>
  <conditionalFormatting sqref="LX4:LX5">
    <cfRule type="cellIs" dxfId="179" priority="182" operator="equal">
      <formula>0</formula>
    </cfRule>
    <cfRule type="cellIs" dxfId="178" priority="181" operator="lessThan">
      <formula>0</formula>
    </cfRule>
  </conditionalFormatting>
  <conditionalFormatting sqref="LX8:LX15">
    <cfRule type="cellIs" dxfId="177" priority="184" operator="equal">
      <formula>0</formula>
    </cfRule>
    <cfRule type="cellIs" dxfId="176" priority="183" operator="lessThan">
      <formula>0</formula>
    </cfRule>
  </conditionalFormatting>
  <conditionalFormatting sqref="LX20:LX28">
    <cfRule type="cellIs" dxfId="175" priority="186" operator="equal">
      <formula>0</formula>
    </cfRule>
    <cfRule type="cellIs" dxfId="174" priority="185" operator="lessThan">
      <formula>0</formula>
    </cfRule>
  </conditionalFormatting>
  <conditionalFormatting sqref="MB4:MB5">
    <cfRule type="cellIs" dxfId="173" priority="176" operator="equal">
      <formula>0</formula>
    </cfRule>
    <cfRule type="cellIs" dxfId="172" priority="175" operator="lessThan">
      <formula>0</formula>
    </cfRule>
  </conditionalFormatting>
  <conditionalFormatting sqref="MB8:MB15">
    <cfRule type="cellIs" dxfId="171" priority="178" operator="equal">
      <formula>0</formula>
    </cfRule>
    <cfRule type="cellIs" dxfId="170" priority="177" operator="lessThan">
      <formula>0</formula>
    </cfRule>
  </conditionalFormatting>
  <conditionalFormatting sqref="MB20:MB28">
    <cfRule type="cellIs" dxfId="169" priority="180" operator="equal">
      <formula>0</formula>
    </cfRule>
    <cfRule type="cellIs" dxfId="168" priority="179" operator="lessThan">
      <formula>0</formula>
    </cfRule>
  </conditionalFormatting>
  <conditionalFormatting sqref="MF4:MF5">
    <cfRule type="cellIs" dxfId="167" priority="158" operator="equal">
      <formula>0</formula>
    </cfRule>
    <cfRule type="cellIs" dxfId="166" priority="157" operator="lessThan">
      <formula>0</formula>
    </cfRule>
  </conditionalFormatting>
  <conditionalFormatting sqref="MF8:MF15">
    <cfRule type="cellIs" dxfId="165" priority="160" operator="equal">
      <formula>0</formula>
    </cfRule>
    <cfRule type="cellIs" dxfId="164" priority="159" operator="lessThan">
      <formula>0</formula>
    </cfRule>
  </conditionalFormatting>
  <conditionalFormatting sqref="MF20:MF28">
    <cfRule type="cellIs" dxfId="163" priority="162" operator="equal">
      <formula>0</formula>
    </cfRule>
    <cfRule type="cellIs" dxfId="162" priority="161" operator="lessThan">
      <formula>0</formula>
    </cfRule>
  </conditionalFormatting>
  <conditionalFormatting sqref="MJ4:MJ5">
    <cfRule type="cellIs" dxfId="161" priority="151" operator="lessThan">
      <formula>0</formula>
    </cfRule>
    <cfRule type="cellIs" dxfId="160" priority="152" operator="equal">
      <formula>0</formula>
    </cfRule>
  </conditionalFormatting>
  <conditionalFormatting sqref="MJ8:MJ15">
    <cfRule type="cellIs" dxfId="159" priority="154" operator="equal">
      <formula>0</formula>
    </cfRule>
    <cfRule type="cellIs" dxfId="158" priority="153" operator="lessThan">
      <formula>0</formula>
    </cfRule>
  </conditionalFormatting>
  <conditionalFormatting sqref="MJ20:MJ28">
    <cfRule type="cellIs" dxfId="157" priority="156" operator="equal">
      <formula>0</formula>
    </cfRule>
    <cfRule type="cellIs" dxfId="156" priority="155" operator="lessThan">
      <formula>0</formula>
    </cfRule>
  </conditionalFormatting>
  <conditionalFormatting sqref="MN4:MN5">
    <cfRule type="cellIs" dxfId="155" priority="146" operator="equal">
      <formula>0</formula>
    </cfRule>
    <cfRule type="cellIs" dxfId="154" priority="145" operator="lessThan">
      <formula>0</formula>
    </cfRule>
  </conditionalFormatting>
  <conditionalFormatting sqref="MN8:MN15">
    <cfRule type="cellIs" dxfId="153" priority="147" operator="lessThan">
      <formula>0</formula>
    </cfRule>
    <cfRule type="cellIs" dxfId="152" priority="148" operator="equal">
      <formula>0</formula>
    </cfRule>
  </conditionalFormatting>
  <conditionalFormatting sqref="MN20:MN28">
    <cfRule type="cellIs" dxfId="151" priority="150" operator="equal">
      <formula>0</formula>
    </cfRule>
    <cfRule type="cellIs" dxfId="150" priority="149" operator="lessThan">
      <formula>0</formula>
    </cfRule>
  </conditionalFormatting>
  <conditionalFormatting sqref="MR4:MR5">
    <cfRule type="cellIs" dxfId="149" priority="140" operator="equal">
      <formula>0</formula>
    </cfRule>
    <cfRule type="cellIs" dxfId="148" priority="139" operator="lessThan">
      <formula>0</formula>
    </cfRule>
  </conditionalFormatting>
  <conditionalFormatting sqref="MR8:MR15">
    <cfRule type="cellIs" dxfId="147" priority="142" operator="equal">
      <formula>0</formula>
    </cfRule>
    <cfRule type="cellIs" dxfId="146" priority="141" operator="lessThan">
      <formula>0</formula>
    </cfRule>
  </conditionalFormatting>
  <conditionalFormatting sqref="MR18:MR28">
    <cfRule type="cellIs" dxfId="145" priority="132" operator="equal">
      <formula>0</formula>
    </cfRule>
    <cfRule type="cellIs" dxfId="144" priority="131" operator="lessThan">
      <formula>0</formula>
    </cfRule>
  </conditionalFormatting>
  <conditionalFormatting sqref="MV4:MV5">
    <cfRule type="cellIs" dxfId="143" priority="133" operator="lessThan">
      <formula>0</formula>
    </cfRule>
    <cfRule type="cellIs" dxfId="142" priority="134" operator="equal">
      <formula>0</formula>
    </cfRule>
  </conditionalFormatting>
  <conditionalFormatting sqref="MV8:MV15">
    <cfRule type="cellIs" dxfId="141" priority="136" operator="equal">
      <formula>0</formula>
    </cfRule>
    <cfRule type="cellIs" dxfId="140" priority="135" operator="lessThan">
      <formula>0</formula>
    </cfRule>
  </conditionalFormatting>
  <conditionalFormatting sqref="MV18:MV28">
    <cfRule type="cellIs" dxfId="139" priority="130" operator="equal">
      <formula>0</formula>
    </cfRule>
    <cfRule type="cellIs" dxfId="138" priority="129" operator="lessThan">
      <formula>0</formula>
    </cfRule>
  </conditionalFormatting>
  <conditionalFormatting sqref="MZ4:MZ5">
    <cfRule type="cellIs" dxfId="137" priority="124" operator="equal">
      <formula>0</formula>
    </cfRule>
    <cfRule type="cellIs" dxfId="136" priority="123" operator="lessThan">
      <formula>0</formula>
    </cfRule>
  </conditionalFormatting>
  <conditionalFormatting sqref="MZ8:MZ15">
    <cfRule type="cellIs" dxfId="135" priority="126" operator="equal">
      <formula>0</formula>
    </cfRule>
    <cfRule type="cellIs" dxfId="134" priority="125" operator="lessThan">
      <formula>0</formula>
    </cfRule>
  </conditionalFormatting>
  <conditionalFormatting sqref="MZ18:MZ28">
    <cfRule type="cellIs" dxfId="133" priority="128" operator="equal">
      <formula>0</formula>
    </cfRule>
    <cfRule type="cellIs" dxfId="132" priority="127" operator="lessThan">
      <formula>0</formula>
    </cfRule>
  </conditionalFormatting>
  <conditionalFormatting sqref="ND4:ND5">
    <cfRule type="cellIs" dxfId="131" priority="118" operator="equal">
      <formula>0</formula>
    </cfRule>
    <cfRule type="cellIs" dxfId="130" priority="117" operator="lessThan">
      <formula>0</formula>
    </cfRule>
  </conditionalFormatting>
  <conditionalFormatting sqref="ND8:ND15">
    <cfRule type="cellIs" dxfId="129" priority="120" operator="equal">
      <formula>0</formula>
    </cfRule>
    <cfRule type="cellIs" dxfId="128" priority="119" operator="lessThan">
      <formula>0</formula>
    </cfRule>
  </conditionalFormatting>
  <conditionalFormatting sqref="ND18:ND28">
    <cfRule type="cellIs" dxfId="127" priority="122" operator="equal">
      <formula>0</formula>
    </cfRule>
    <cfRule type="cellIs" dxfId="126" priority="121" operator="lessThan">
      <formula>0</formula>
    </cfRule>
  </conditionalFormatting>
  <conditionalFormatting sqref="NH4:NH5">
    <cfRule type="cellIs" dxfId="125" priority="112" operator="equal">
      <formula>0</formula>
    </cfRule>
    <cfRule type="cellIs" dxfId="124" priority="111" operator="lessThan">
      <formula>0</formula>
    </cfRule>
  </conditionalFormatting>
  <conditionalFormatting sqref="NH8:NH15">
    <cfRule type="cellIs" dxfId="123" priority="114" operator="equal">
      <formula>0</formula>
    </cfRule>
    <cfRule type="cellIs" dxfId="122" priority="113" operator="lessThan">
      <formula>0</formula>
    </cfRule>
  </conditionalFormatting>
  <conditionalFormatting sqref="NH18:NH28">
    <cfRule type="cellIs" dxfId="121" priority="116" operator="equal">
      <formula>0</formula>
    </cfRule>
    <cfRule type="cellIs" dxfId="120" priority="115" operator="lessThan">
      <formula>0</formula>
    </cfRule>
  </conditionalFormatting>
  <conditionalFormatting sqref="NL4:NL5">
    <cfRule type="cellIs" dxfId="119" priority="106" operator="equal">
      <formula>0</formula>
    </cfRule>
    <cfRule type="cellIs" dxfId="118" priority="105" operator="lessThan">
      <formula>0</formula>
    </cfRule>
  </conditionalFormatting>
  <conditionalFormatting sqref="NL8:NL15">
    <cfRule type="cellIs" dxfId="117" priority="108" operator="equal">
      <formula>0</formula>
    </cfRule>
    <cfRule type="cellIs" dxfId="116" priority="107" operator="lessThan">
      <formula>0</formula>
    </cfRule>
  </conditionalFormatting>
  <conditionalFormatting sqref="NL18:NL28">
    <cfRule type="cellIs" dxfId="115" priority="109" operator="lessThan">
      <formula>0</formula>
    </cfRule>
    <cfRule type="cellIs" dxfId="114" priority="110" operator="equal">
      <formula>0</formula>
    </cfRule>
  </conditionalFormatting>
  <conditionalFormatting sqref="NP4:NP5">
    <cfRule type="cellIs" dxfId="113" priority="99" operator="lessThan">
      <formula>0</formula>
    </cfRule>
    <cfRule type="cellIs" dxfId="112" priority="100" operator="equal">
      <formula>0</formula>
    </cfRule>
  </conditionalFormatting>
  <conditionalFormatting sqref="NP8:NP15">
    <cfRule type="cellIs" dxfId="111" priority="102" operator="equal">
      <formula>0</formula>
    </cfRule>
    <cfRule type="cellIs" dxfId="110" priority="101" operator="lessThan">
      <formula>0</formula>
    </cfRule>
  </conditionalFormatting>
  <conditionalFormatting sqref="NP18:NP28">
    <cfRule type="cellIs" dxfId="109" priority="104" operator="equal">
      <formula>0</formula>
    </cfRule>
    <cfRule type="cellIs" dxfId="108" priority="103" operator="lessThan">
      <formula>0</formula>
    </cfRule>
  </conditionalFormatting>
  <conditionalFormatting sqref="NT4:NT5">
    <cfRule type="cellIs" dxfId="107" priority="94" operator="equal">
      <formula>0</formula>
    </cfRule>
    <cfRule type="cellIs" dxfId="106" priority="93" operator="lessThan">
      <formula>0</formula>
    </cfRule>
  </conditionalFormatting>
  <conditionalFormatting sqref="NT8:NT15">
    <cfRule type="cellIs" dxfId="105" priority="96" operator="equal">
      <formula>0</formula>
    </cfRule>
    <cfRule type="cellIs" dxfId="104" priority="95" operator="lessThan">
      <formula>0</formula>
    </cfRule>
  </conditionalFormatting>
  <conditionalFormatting sqref="NT18:NT28">
    <cfRule type="cellIs" dxfId="103" priority="98" operator="equal">
      <formula>0</formula>
    </cfRule>
    <cfRule type="cellIs" dxfId="102" priority="97" operator="lessThan">
      <formula>0</formula>
    </cfRule>
  </conditionalFormatting>
  <conditionalFormatting sqref="NX4:NX5">
    <cfRule type="cellIs" dxfId="101" priority="88" operator="equal">
      <formula>0</formula>
    </cfRule>
    <cfRule type="cellIs" dxfId="100" priority="87" operator="lessThan">
      <formula>0</formula>
    </cfRule>
  </conditionalFormatting>
  <conditionalFormatting sqref="NX8:NX15">
    <cfRule type="cellIs" dxfId="99" priority="89" operator="lessThan">
      <formula>0</formula>
    </cfRule>
    <cfRule type="cellIs" dxfId="98" priority="90" operator="equal">
      <formula>0</formula>
    </cfRule>
  </conditionalFormatting>
  <conditionalFormatting sqref="NX18:NX28">
    <cfRule type="cellIs" dxfId="97" priority="92" operator="equal">
      <formula>0</formula>
    </cfRule>
    <cfRule type="cellIs" dxfId="96" priority="91" operator="lessThan">
      <formula>0</formula>
    </cfRule>
  </conditionalFormatting>
  <conditionalFormatting sqref="OB4:OB5">
    <cfRule type="cellIs" dxfId="95" priority="82" operator="equal">
      <formula>0</formula>
    </cfRule>
    <cfRule type="cellIs" dxfId="94" priority="81" operator="lessThan">
      <formula>0</formula>
    </cfRule>
  </conditionalFormatting>
  <conditionalFormatting sqref="OB8:OB15">
    <cfRule type="cellIs" dxfId="93" priority="84" operator="equal">
      <formula>0</formula>
    </cfRule>
    <cfRule type="cellIs" dxfId="92" priority="83" operator="lessThan">
      <formula>0</formula>
    </cfRule>
  </conditionalFormatting>
  <conditionalFormatting sqref="OB18:OB28">
    <cfRule type="cellIs" dxfId="91" priority="86" operator="equal">
      <formula>0</formula>
    </cfRule>
    <cfRule type="cellIs" dxfId="90" priority="85" operator="lessThan">
      <formula>0</formula>
    </cfRule>
  </conditionalFormatting>
  <conditionalFormatting sqref="OF4:OF5">
    <cfRule type="cellIs" dxfId="89" priority="76" operator="equal">
      <formula>0</formula>
    </cfRule>
    <cfRule type="cellIs" dxfId="88" priority="75" operator="lessThan">
      <formula>0</formula>
    </cfRule>
  </conditionalFormatting>
  <conditionalFormatting sqref="OF8:OF15">
    <cfRule type="cellIs" dxfId="87" priority="78" operator="equal">
      <formula>0</formula>
    </cfRule>
    <cfRule type="cellIs" dxfId="86" priority="77" operator="lessThan">
      <formula>0</formula>
    </cfRule>
  </conditionalFormatting>
  <conditionalFormatting sqref="OF18:OF28">
    <cfRule type="cellIs" dxfId="85" priority="80" operator="equal">
      <formula>0</formula>
    </cfRule>
    <cfRule type="cellIs" dxfId="84" priority="79" operator="lessThan">
      <formula>0</formula>
    </cfRule>
  </conditionalFormatting>
  <conditionalFormatting sqref="OJ4:OJ5">
    <cfRule type="cellIs" dxfId="83" priority="70" operator="equal">
      <formula>0</formula>
    </cfRule>
    <cfRule type="cellIs" dxfId="82" priority="69" operator="lessThan">
      <formula>0</formula>
    </cfRule>
  </conditionalFormatting>
  <conditionalFormatting sqref="OJ8:OJ15">
    <cfRule type="cellIs" dxfId="81" priority="72" operator="equal">
      <formula>0</formula>
    </cfRule>
    <cfRule type="cellIs" dxfId="80" priority="71" operator="lessThan">
      <formula>0</formula>
    </cfRule>
  </conditionalFormatting>
  <conditionalFormatting sqref="OJ18:OJ28">
    <cfRule type="cellIs" dxfId="79" priority="74" operator="equal">
      <formula>0</formula>
    </cfRule>
    <cfRule type="cellIs" dxfId="78" priority="73" operator="lessThan">
      <formula>0</formula>
    </cfRule>
  </conditionalFormatting>
  <conditionalFormatting sqref="ON4:ON5">
    <cfRule type="cellIs" dxfId="77" priority="64" operator="equal">
      <formula>0</formula>
    </cfRule>
    <cfRule type="cellIs" dxfId="76" priority="63" operator="lessThan">
      <formula>0</formula>
    </cfRule>
  </conditionalFormatting>
  <conditionalFormatting sqref="ON8:ON15">
    <cfRule type="cellIs" dxfId="75" priority="66" operator="equal">
      <formula>0</formula>
    </cfRule>
    <cfRule type="cellIs" dxfId="74" priority="65" operator="lessThan">
      <formula>0</formula>
    </cfRule>
  </conditionalFormatting>
  <conditionalFormatting sqref="ON18:ON28">
    <cfRule type="cellIs" dxfId="73" priority="68" operator="equal">
      <formula>0</formula>
    </cfRule>
    <cfRule type="cellIs" dxfId="72" priority="67" operator="lessThan">
      <formula>0</formula>
    </cfRule>
  </conditionalFormatting>
  <conditionalFormatting sqref="OR4:OR5">
    <cfRule type="cellIs" dxfId="71" priority="57" operator="lessThan">
      <formula>0</formula>
    </cfRule>
    <cfRule type="cellIs" dxfId="70" priority="58" operator="equal">
      <formula>0</formula>
    </cfRule>
  </conditionalFormatting>
  <conditionalFormatting sqref="OR8:OR15">
    <cfRule type="cellIs" dxfId="69" priority="60" operator="equal">
      <formula>0</formula>
    </cfRule>
    <cfRule type="cellIs" dxfId="68" priority="59" operator="lessThan">
      <formula>0</formula>
    </cfRule>
  </conditionalFormatting>
  <conditionalFormatting sqref="OR18:OR28">
    <cfRule type="cellIs" dxfId="67" priority="62" operator="equal">
      <formula>0</formula>
    </cfRule>
    <cfRule type="cellIs" dxfId="66" priority="61" operator="lessThan">
      <formula>0</formula>
    </cfRule>
  </conditionalFormatting>
  <conditionalFormatting sqref="OV4:OV5">
    <cfRule type="cellIs" dxfId="65" priority="52" operator="equal">
      <formula>0</formula>
    </cfRule>
    <cfRule type="cellIs" dxfId="64" priority="51" operator="lessThan">
      <formula>0</formula>
    </cfRule>
  </conditionalFormatting>
  <conditionalFormatting sqref="OV8:OV15">
    <cfRule type="cellIs" dxfId="63" priority="54" operator="equal">
      <formula>0</formula>
    </cfRule>
    <cfRule type="cellIs" dxfId="62" priority="53" operator="lessThan">
      <formula>0</formula>
    </cfRule>
  </conditionalFormatting>
  <conditionalFormatting sqref="OV18:OV28">
    <cfRule type="cellIs" dxfId="61" priority="55" operator="lessThan">
      <formula>0</formula>
    </cfRule>
    <cfRule type="cellIs" dxfId="60" priority="56" operator="equal">
      <formula>0</formula>
    </cfRule>
  </conditionalFormatting>
  <conditionalFormatting sqref="OZ4:OZ5">
    <cfRule type="cellIs" dxfId="59" priority="46" operator="equal">
      <formula>0</formula>
    </cfRule>
    <cfRule type="cellIs" dxfId="58" priority="45" operator="lessThan">
      <formula>0</formula>
    </cfRule>
  </conditionalFormatting>
  <conditionalFormatting sqref="OZ8:OZ15">
    <cfRule type="cellIs" dxfId="57" priority="47" operator="lessThan">
      <formula>0</formula>
    </cfRule>
    <cfRule type="cellIs" dxfId="56" priority="48" operator="equal">
      <formula>0</formula>
    </cfRule>
  </conditionalFormatting>
  <conditionalFormatting sqref="OZ18:OZ28">
    <cfRule type="cellIs" dxfId="55" priority="49" operator="lessThan">
      <formula>0</formula>
    </cfRule>
    <cfRule type="cellIs" dxfId="54" priority="50" operator="equal">
      <formula>0</formula>
    </cfRule>
  </conditionalFormatting>
  <conditionalFormatting sqref="PD4:PD5">
    <cfRule type="cellIs" dxfId="53" priority="40" operator="equal">
      <formula>0</formula>
    </cfRule>
    <cfRule type="cellIs" dxfId="52" priority="39" operator="lessThan">
      <formula>0</formula>
    </cfRule>
  </conditionalFormatting>
  <conditionalFormatting sqref="PD8:PD15">
    <cfRule type="cellIs" dxfId="51" priority="42" operator="equal">
      <formula>0</formula>
    </cfRule>
    <cfRule type="cellIs" dxfId="50" priority="41" operator="lessThan">
      <formula>0</formula>
    </cfRule>
  </conditionalFormatting>
  <conditionalFormatting sqref="PD18:PD28">
    <cfRule type="cellIs" dxfId="49" priority="44" operator="equal">
      <formula>0</formula>
    </cfRule>
    <cfRule type="cellIs" dxfId="48" priority="43" operator="lessThan">
      <formula>0</formula>
    </cfRule>
  </conditionalFormatting>
  <conditionalFormatting sqref="PH4:PH5">
    <cfRule type="cellIs" dxfId="47" priority="34" operator="equal">
      <formula>0</formula>
    </cfRule>
    <cfRule type="cellIs" dxfId="46" priority="33" operator="lessThan">
      <formula>0</formula>
    </cfRule>
  </conditionalFormatting>
  <conditionalFormatting sqref="PH8:PH15">
    <cfRule type="cellIs" dxfId="45" priority="36" operator="equal">
      <formula>0</formula>
    </cfRule>
    <cfRule type="cellIs" dxfId="44" priority="35" operator="lessThan">
      <formula>0</formula>
    </cfRule>
  </conditionalFormatting>
  <conditionalFormatting sqref="PH18:PH28">
    <cfRule type="cellIs" dxfId="43" priority="38" operator="equal">
      <formula>0</formula>
    </cfRule>
    <cfRule type="cellIs" dxfId="42" priority="37" operator="lessThan">
      <formula>0</formula>
    </cfRule>
  </conditionalFormatting>
  <conditionalFormatting sqref="PL4:PL5">
    <cfRule type="cellIs" dxfId="41" priority="28" operator="equal">
      <formula>0</formula>
    </cfRule>
    <cfRule type="cellIs" dxfId="40" priority="27" operator="lessThan">
      <formula>0</formula>
    </cfRule>
  </conditionalFormatting>
  <conditionalFormatting sqref="PL8:PL15">
    <cfRule type="cellIs" dxfId="39" priority="30" operator="equal">
      <formula>0</formula>
    </cfRule>
    <cfRule type="cellIs" dxfId="38" priority="29" operator="lessThan">
      <formula>0</formula>
    </cfRule>
  </conditionalFormatting>
  <conditionalFormatting sqref="PL18:PL28">
    <cfRule type="cellIs" dxfId="37" priority="32" operator="equal">
      <formula>0</formula>
    </cfRule>
    <cfRule type="cellIs" dxfId="36" priority="31" operator="lessThan">
      <formula>0</formula>
    </cfRule>
  </conditionalFormatting>
  <conditionalFormatting sqref="PP4:PP5">
    <cfRule type="cellIs" dxfId="35" priority="22" operator="equal">
      <formula>0</formula>
    </cfRule>
    <cfRule type="cellIs" dxfId="34" priority="21" operator="lessThan">
      <formula>0</formula>
    </cfRule>
  </conditionalFormatting>
  <conditionalFormatting sqref="PP8:PP15">
    <cfRule type="cellIs" dxfId="33" priority="24" operator="equal">
      <formula>0</formula>
    </cfRule>
    <cfRule type="cellIs" dxfId="32" priority="23" operator="lessThan">
      <formula>0</formula>
    </cfRule>
  </conditionalFormatting>
  <conditionalFormatting sqref="PP18:PP28">
    <cfRule type="cellIs" dxfId="31" priority="14" operator="equal">
      <formula>0</formula>
    </cfRule>
    <cfRule type="cellIs" dxfId="30" priority="13" operator="lessThan">
      <formula>0</formula>
    </cfRule>
  </conditionalFormatting>
  <conditionalFormatting sqref="PT4:PT5">
    <cfRule type="cellIs" dxfId="29" priority="15" operator="lessThan">
      <formula>0</formula>
    </cfRule>
    <cfRule type="cellIs" dxfId="28" priority="16" operator="equal">
      <formula>0</formula>
    </cfRule>
  </conditionalFormatting>
  <conditionalFormatting sqref="PT8:PT15">
    <cfRule type="cellIs" dxfId="27" priority="18" operator="equal">
      <formula>0</formula>
    </cfRule>
    <cfRule type="cellIs" dxfId="26" priority="17" operator="lessThan">
      <formula>0</formula>
    </cfRule>
  </conditionalFormatting>
  <conditionalFormatting sqref="PT18:PT28">
    <cfRule type="cellIs" dxfId="25" priority="20" operator="equal">
      <formula>0</formula>
    </cfRule>
    <cfRule type="cellIs" dxfId="24" priority="19" operator="lessThan">
      <formula>0</formula>
    </cfRule>
  </conditionalFormatting>
  <conditionalFormatting sqref="PX4:PX5">
    <cfRule type="cellIs" dxfId="23" priority="7" operator="lessThan">
      <formula>0</formula>
    </cfRule>
    <cfRule type="cellIs" dxfId="22" priority="8" operator="equal">
      <formula>0</formula>
    </cfRule>
  </conditionalFormatting>
  <conditionalFormatting sqref="PX8:PX15">
    <cfRule type="cellIs" dxfId="21" priority="10" operator="equal">
      <formula>0</formula>
    </cfRule>
    <cfRule type="cellIs" dxfId="20" priority="9" operator="lessThan">
      <formula>0</formula>
    </cfRule>
  </conditionalFormatting>
  <conditionalFormatting sqref="PX18:PX28">
    <cfRule type="cellIs" dxfId="19" priority="12" operator="equal">
      <formula>0</formula>
    </cfRule>
    <cfRule type="cellIs" dxfId="18" priority="11" operator="lessThan">
      <formula>0</formula>
    </cfRule>
  </conditionalFormatting>
  <conditionalFormatting sqref="QB18:QB28">
    <cfRule type="cellIs" dxfId="5" priority="5" operator="lessThan">
      <formula>0</formula>
    </cfRule>
    <cfRule type="cellIs" dxfId="4" priority="6" operator="equal">
      <formula>0</formula>
    </cfRule>
  </conditionalFormatting>
  <conditionalFormatting sqref="QB4:QB5">
    <cfRule type="cellIs" dxfId="3" priority="1" operator="lessThan">
      <formula>0</formula>
    </cfRule>
    <cfRule type="cellIs" dxfId="2" priority="2" operator="equal">
      <formula>0</formula>
    </cfRule>
  </conditionalFormatting>
  <conditionalFormatting sqref="QB8:QB15">
    <cfRule type="cellIs" dxfId="1" priority="3" operator="lessThan">
      <formula>0</formula>
    </cfRule>
    <cfRule type="cellIs" dxfId="0" priority="4" operator="equal">
      <formula>0</formula>
    </cfRule>
  </conditionalFormatting>
  <pageMargins left="0.25" right="0.25" top="0.71557971014492749" bottom="0.59782608695652173" header="0.3" footer="0.3"/>
  <pageSetup scale="98" fitToWidth="0" fitToHeight="0" orientation="portrait" r:id="rId1"/>
  <headerFooter>
    <oddHeader>&amp;L&amp;"Times New Roman,Bold"&amp;14NORTH&amp;C&amp;"Times New Roman,Bold"&amp;14LIQUOR USAGE&amp;R&amp;"Times New Roman,Bold"&amp;14SAT for TUE - &amp;UBK&amp;"Times New Roman,Regular"&amp;11
&amp;7&amp;UPrinted &amp;D &amp;T</oddHeader>
    <oddFooter>&amp;C&amp;"Times New Roman,Regular"&amp;7&amp;Z
&amp;F (GV 9/22/25)&amp;R&amp;7&amp;P of &amp;N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EA3CA-620F-4FEF-A6EA-DD1969718901}">
  <sheetPr>
    <tabColor rgb="FFFF0000"/>
  </sheetPr>
  <dimension ref="A1:H54"/>
  <sheetViews>
    <sheetView topLeftCell="E1" workbookViewId="0">
      <selection activeCell="H3" sqref="E1:H1048576"/>
    </sheetView>
  </sheetViews>
  <sheetFormatPr defaultRowHeight="15" x14ac:dyDescent="0.25"/>
  <cols>
    <col min="1" max="1" width="2.5703125" style="91" hidden="1" customWidth="1"/>
    <col min="2" max="2" width="5.140625" style="91" hidden="1" customWidth="1"/>
    <col min="3" max="3" width="5.140625" style="104" hidden="1" customWidth="1"/>
    <col min="4" max="4" width="5.140625" style="91" hidden="1" customWidth="1"/>
    <col min="5" max="5" width="1.28515625" style="91" customWidth="1"/>
    <col min="6" max="6" width="5" style="91" customWidth="1"/>
    <col min="7" max="7" width="5" style="104" customWidth="1"/>
    <col min="8" max="8" width="5" style="91" customWidth="1"/>
  </cols>
  <sheetData>
    <row r="1" spans="2:8" x14ac:dyDescent="0.25">
      <c r="B1" s="111" t="s">
        <v>2</v>
      </c>
      <c r="C1" s="181" t="s">
        <v>67</v>
      </c>
      <c r="D1" s="181"/>
      <c r="F1" s="132" t="s">
        <v>2</v>
      </c>
      <c r="G1" s="149"/>
      <c r="H1" s="149"/>
    </row>
    <row r="2" spans="2:8" x14ac:dyDescent="0.25">
      <c r="B2" s="111" t="s">
        <v>1</v>
      </c>
      <c r="C2" s="150">
        <v>45535</v>
      </c>
      <c r="D2" s="150"/>
      <c r="F2" s="132" t="s">
        <v>1</v>
      </c>
      <c r="G2" s="150"/>
      <c r="H2" s="150"/>
    </row>
    <row r="3" spans="2:8" x14ac:dyDescent="0.25">
      <c r="B3" s="92" t="s">
        <v>76</v>
      </c>
      <c r="C3" s="93" t="s">
        <v>15</v>
      </c>
      <c r="D3" s="92" t="s">
        <v>52</v>
      </c>
      <c r="F3" s="167" t="s">
        <v>76</v>
      </c>
      <c r="G3" s="168"/>
      <c r="H3" s="92" t="s">
        <v>12</v>
      </c>
    </row>
    <row r="4" spans="2:8" x14ac:dyDescent="0.25">
      <c r="B4" s="105">
        <v>1.8</v>
      </c>
      <c r="C4" s="96"/>
      <c r="D4" s="95" t="e">
        <f>IF(ISNUMBER(B4), (#REF!+#REF!)-B4, "")</f>
        <v>#REF!</v>
      </c>
      <c r="F4" s="151"/>
      <c r="G4" s="152"/>
      <c r="H4" s="95" t="s">
        <v>120</v>
      </c>
    </row>
    <row r="5" spans="2:8" x14ac:dyDescent="0.25">
      <c r="B5" s="105">
        <v>2.6</v>
      </c>
      <c r="C5" s="96">
        <v>4</v>
      </c>
      <c r="D5" s="95" t="e">
        <f t="shared" ref="D5" si="0">IF(ISNUMBER(B5), (#REF!+#REF!)-B5, "")</f>
        <v>#REF!</v>
      </c>
      <c r="F5" s="151"/>
      <c r="G5" s="152"/>
      <c r="H5" s="95" t="s">
        <v>120</v>
      </c>
    </row>
    <row r="6" spans="2:8" x14ac:dyDescent="0.25">
      <c r="B6" s="105">
        <v>3.2</v>
      </c>
      <c r="C6" s="96">
        <v>3</v>
      </c>
      <c r="D6" s="95" t="e">
        <f t="shared" ref="D6" si="1">IF(ISNUMBER(B6), (#REF!+#REF!)-B6, "")</f>
        <v>#REF!</v>
      </c>
    </row>
    <row r="7" spans="2:8" x14ac:dyDescent="0.25">
      <c r="B7" s="105">
        <v>1.8</v>
      </c>
      <c r="C7" s="96">
        <v>2</v>
      </c>
      <c r="D7" s="95" t="e">
        <f t="shared" ref="D7" si="2">IF(ISNUMBER(B7), (#REF!+#REF!)-B7, "")</f>
        <v>#REF!</v>
      </c>
      <c r="F7" s="133" t="s">
        <v>76</v>
      </c>
      <c r="G7" s="93" t="s">
        <v>15</v>
      </c>
      <c r="H7" s="92" t="s">
        <v>52</v>
      </c>
    </row>
    <row r="8" spans="2:8" x14ac:dyDescent="0.25">
      <c r="B8" s="105">
        <v>1.8</v>
      </c>
      <c r="C8" s="96">
        <v>1</v>
      </c>
      <c r="D8" s="95" t="e">
        <f t="shared" ref="D8" si="3">IF(ISNUMBER(B8), (#REF!+#REF!)-B8, "")</f>
        <v>#REF!</v>
      </c>
      <c r="F8" s="105"/>
      <c r="G8" s="96"/>
      <c r="H8" s="95" t="str">
        <f>IF(ISNUMBER(F8), (B8+C8)-F8, "")</f>
        <v/>
      </c>
    </row>
    <row r="9" spans="2:8" x14ac:dyDescent="0.25">
      <c r="B9" s="105">
        <v>1.1000000000000001</v>
      </c>
      <c r="C9" s="96"/>
      <c r="D9" s="95" t="e">
        <f t="shared" ref="D9" si="4">IF(ISNUMBER(B9), (#REF!+#REF!)-B9, "")</f>
        <v>#REF!</v>
      </c>
      <c r="F9" s="105"/>
      <c r="G9" s="116"/>
      <c r="H9" s="95" t="str">
        <f t="shared" ref="H9:H28" si="5">IF(ISNUMBER(F9), (B9+C9)-F9, "")</f>
        <v/>
      </c>
    </row>
    <row r="10" spans="2:8" x14ac:dyDescent="0.25">
      <c r="B10" s="105">
        <v>1.7</v>
      </c>
      <c r="C10" s="96"/>
      <c r="D10" s="95" t="e">
        <f>IF(ISNUMBER(B10), (#REF!+#REF!)-B10, "")</f>
        <v>#REF!</v>
      </c>
      <c r="F10" s="105"/>
      <c r="G10" s="116"/>
      <c r="H10" s="95" t="str">
        <f t="shared" si="5"/>
        <v/>
      </c>
    </row>
    <row r="11" spans="2:8" x14ac:dyDescent="0.25">
      <c r="B11" s="92" t="s">
        <v>76</v>
      </c>
      <c r="C11" s="93" t="s">
        <v>15</v>
      </c>
      <c r="D11" s="92" t="s">
        <v>52</v>
      </c>
      <c r="F11" s="105"/>
      <c r="G11" s="116"/>
      <c r="H11" s="95" t="str">
        <f t="shared" si="5"/>
        <v/>
      </c>
    </row>
    <row r="12" spans="2:8" x14ac:dyDescent="0.25">
      <c r="B12" s="105">
        <v>0.7</v>
      </c>
      <c r="C12" s="96">
        <v>1</v>
      </c>
      <c r="D12" s="95" t="e">
        <f t="shared" ref="D12" si="6">IF(ISNUMBER(B12), (#REF!+#REF!)-B12, "")</f>
        <v>#REF!</v>
      </c>
      <c r="F12" s="122"/>
      <c r="G12" s="120"/>
      <c r="H12" s="95" t="str">
        <f t="shared" si="5"/>
        <v/>
      </c>
    </row>
    <row r="13" spans="2:8" x14ac:dyDescent="0.25">
      <c r="B13" s="105">
        <v>1.4</v>
      </c>
      <c r="C13" s="96"/>
      <c r="D13" s="95" t="e">
        <f t="shared" ref="D13" si="7">IF(ISNUMBER(B13), (#REF!+#REF!)-B13, "")</f>
        <v>#REF!</v>
      </c>
      <c r="F13" s="105"/>
      <c r="G13" s="116"/>
      <c r="H13" s="95" t="str">
        <f t="shared" si="5"/>
        <v/>
      </c>
    </row>
    <row r="14" spans="2:8" x14ac:dyDescent="0.25">
      <c r="B14" s="105">
        <v>1.3</v>
      </c>
      <c r="C14" s="96"/>
      <c r="D14" s="95" t="e">
        <f t="shared" ref="D14" si="8">IF(ISNUMBER(B14), (#REF!+#REF!)-B14, "")</f>
        <v>#REF!</v>
      </c>
      <c r="F14" s="105"/>
      <c r="G14" s="96"/>
      <c r="H14" s="95" t="str">
        <f t="shared" si="5"/>
        <v/>
      </c>
    </row>
    <row r="15" spans="2:8" x14ac:dyDescent="0.25">
      <c r="B15" s="105">
        <v>0.6</v>
      </c>
      <c r="C15" s="96"/>
      <c r="D15" s="95" t="e">
        <f t="shared" ref="D15" si="9">IF(ISNUMBER(B15), (#REF!+#REF!)-B15, "")</f>
        <v>#REF!</v>
      </c>
      <c r="F15" s="105"/>
      <c r="G15" s="96"/>
      <c r="H15" s="95" t="str">
        <f t="shared" si="5"/>
        <v/>
      </c>
    </row>
    <row r="16" spans="2:8" x14ac:dyDescent="0.25">
      <c r="B16" s="101" t="s">
        <v>76</v>
      </c>
      <c r="C16" s="93" t="s">
        <v>15</v>
      </c>
      <c r="D16" s="92" t="s">
        <v>52</v>
      </c>
      <c r="G16" s="91"/>
    </row>
    <row r="17" spans="2:8" x14ac:dyDescent="0.25">
      <c r="B17" s="105">
        <v>1</v>
      </c>
      <c r="C17" s="96"/>
      <c r="D17" s="95" t="e">
        <f t="shared" ref="D17" si="10">IF(ISNUMBER(B17), (#REF!+#REF!)-B17, "")</f>
        <v>#REF!</v>
      </c>
      <c r="F17" s="138" t="s">
        <v>76</v>
      </c>
      <c r="G17" s="93" t="s">
        <v>15</v>
      </c>
      <c r="H17" s="92" t="s">
        <v>52</v>
      </c>
    </row>
    <row r="18" spans="2:8" x14ac:dyDescent="0.25">
      <c r="B18" s="105">
        <v>1</v>
      </c>
      <c r="C18" s="96"/>
      <c r="D18" s="95" t="e">
        <f t="shared" ref="D18" si="11">IF(ISNUMBER(B18), (#REF!+#REF!)-B18, "")</f>
        <v>#REF!</v>
      </c>
      <c r="F18" s="105"/>
      <c r="G18" s="141"/>
      <c r="H18" s="95" t="str">
        <f t="shared" si="5"/>
        <v/>
      </c>
    </row>
    <row r="19" spans="2:8" x14ac:dyDescent="0.25">
      <c r="B19" s="105"/>
      <c r="C19" s="96"/>
      <c r="D19" s="95"/>
      <c r="F19" s="105"/>
      <c r="G19" s="142"/>
      <c r="H19" s="95" t="str">
        <f t="shared" si="5"/>
        <v/>
      </c>
    </row>
    <row r="20" spans="2:8" x14ac:dyDescent="0.25">
      <c r="B20" s="105"/>
      <c r="C20" s="96"/>
      <c r="D20" s="95"/>
      <c r="F20" s="105"/>
      <c r="G20" s="96"/>
      <c r="H20" s="95" t="str">
        <f t="shared" si="5"/>
        <v/>
      </c>
    </row>
    <row r="21" spans="2:8" x14ac:dyDescent="0.25">
      <c r="B21" s="105">
        <v>1.3</v>
      </c>
      <c r="C21" s="96"/>
      <c r="D21" s="95" t="e">
        <f t="shared" ref="D21" si="12">IF(ISNUMBER(B21), (#REF!+#REF!)-B21, "")</f>
        <v>#REF!</v>
      </c>
      <c r="F21" s="105"/>
      <c r="G21" s="96"/>
      <c r="H21" s="95" t="str">
        <f t="shared" si="5"/>
        <v/>
      </c>
    </row>
    <row r="22" spans="2:8" x14ac:dyDescent="0.25">
      <c r="B22" s="105">
        <v>0.8</v>
      </c>
      <c r="C22" s="96"/>
      <c r="D22" s="95" t="e">
        <f t="shared" ref="D22" si="13">IF(ISNUMBER(B22), (#REF!+#REF!)-B22, "")</f>
        <v>#REF!</v>
      </c>
      <c r="F22" s="105"/>
      <c r="G22" s="96"/>
      <c r="H22" s="95" t="str">
        <f t="shared" si="5"/>
        <v/>
      </c>
    </row>
    <row r="23" spans="2:8" x14ac:dyDescent="0.25">
      <c r="B23" s="105">
        <v>0.1</v>
      </c>
      <c r="C23" s="96"/>
      <c r="D23" s="95" t="e">
        <f t="shared" ref="D23" si="14">IF(ISNUMBER(B23), (#REF!+#REF!)-B23, "")</f>
        <v>#REF!</v>
      </c>
      <c r="F23" s="105"/>
      <c r="G23" s="96"/>
      <c r="H23" s="95" t="str">
        <f t="shared" si="5"/>
        <v/>
      </c>
    </row>
    <row r="24" spans="2:8" x14ac:dyDescent="0.25">
      <c r="B24" s="101" t="s">
        <v>76</v>
      </c>
      <c r="C24" s="93" t="s">
        <v>15</v>
      </c>
      <c r="D24" s="92" t="s">
        <v>52</v>
      </c>
      <c r="F24" s="105"/>
      <c r="G24" s="96"/>
      <c r="H24" s="95" t="str">
        <f t="shared" si="5"/>
        <v/>
      </c>
    </row>
    <row r="25" spans="2:8" x14ac:dyDescent="0.25">
      <c r="B25" s="105">
        <v>0.3</v>
      </c>
      <c r="C25" s="96"/>
      <c r="D25" s="95" t="e">
        <f t="shared" ref="D25" si="15">IF(ISNUMBER(B25), (#REF!+#REF!)-B25, "")</f>
        <v>#REF!</v>
      </c>
      <c r="F25" s="105"/>
      <c r="G25" s="96"/>
      <c r="H25" s="95" t="str">
        <f t="shared" si="5"/>
        <v/>
      </c>
    </row>
    <row r="26" spans="2:8" x14ac:dyDescent="0.25">
      <c r="B26" s="101" t="s">
        <v>76</v>
      </c>
      <c r="C26" s="93" t="s">
        <v>15</v>
      </c>
      <c r="D26" s="92" t="s">
        <v>52</v>
      </c>
      <c r="F26" s="105"/>
      <c r="G26" s="96"/>
      <c r="H26" s="95" t="str">
        <f t="shared" si="5"/>
        <v/>
      </c>
    </row>
    <row r="27" spans="2:8" x14ac:dyDescent="0.25">
      <c r="B27" s="105">
        <v>0.6</v>
      </c>
      <c r="C27" s="96"/>
      <c r="D27" s="95" t="e">
        <f t="shared" ref="D27" si="16">IF(ISNUMBER(B27), (#REF!+#REF!)-B27, "")</f>
        <v>#REF!</v>
      </c>
      <c r="F27" s="105"/>
      <c r="G27" s="96"/>
      <c r="H27" s="95" t="str">
        <f t="shared" si="5"/>
        <v/>
      </c>
    </row>
    <row r="28" spans="2:8" x14ac:dyDescent="0.25">
      <c r="B28" s="105">
        <v>0.7</v>
      </c>
      <c r="C28" s="96"/>
      <c r="D28" s="95" t="e">
        <f t="shared" ref="D28" si="17">IF(ISNUMBER(B28), (#REF!+#REF!)-B28, "")</f>
        <v>#REF!</v>
      </c>
      <c r="F28" s="105"/>
      <c r="G28" s="96"/>
      <c r="H28" s="95" t="str">
        <f t="shared" si="5"/>
        <v/>
      </c>
    </row>
    <row r="29" spans="2:8" x14ac:dyDescent="0.25">
      <c r="B29" s="105">
        <v>0.5</v>
      </c>
      <c r="C29" s="96"/>
      <c r="D29" s="95" t="e">
        <f t="shared" ref="D29" si="18">IF(ISNUMBER(B29), (#REF!+#REF!)-B29, "")</f>
        <v>#REF!</v>
      </c>
      <c r="F29" s="139"/>
      <c r="G29" s="91"/>
    </row>
    <row r="30" spans="2:8" x14ac:dyDescent="0.25">
      <c r="B30" s="105">
        <v>0.8</v>
      </c>
      <c r="C30" s="96"/>
      <c r="D30" s="95" t="e">
        <f t="shared" ref="D30" si="19">IF(ISNUMBER(B30), (#REF!+#REF!)-B30, "")</f>
        <v>#REF!</v>
      </c>
      <c r="F30" s="108"/>
      <c r="G30" s="107"/>
      <c r="H30" s="108"/>
    </row>
    <row r="31" spans="2:8" x14ac:dyDescent="0.25">
      <c r="B31" s="101" t="s">
        <v>76</v>
      </c>
      <c r="C31" s="93" t="s">
        <v>15</v>
      </c>
      <c r="D31" s="92" t="s">
        <v>52</v>
      </c>
    </row>
    <row r="32" spans="2:8" x14ac:dyDescent="0.25">
      <c r="B32" s="105">
        <v>0.5</v>
      </c>
      <c r="C32" s="96"/>
      <c r="D32" s="95" t="e">
        <f t="shared" ref="D32" si="20">IF(ISNUMBER(B32), (#REF!+#REF!)-B32, "")</f>
        <v>#REF!</v>
      </c>
    </row>
    <row r="33" spans="1:4" x14ac:dyDescent="0.25">
      <c r="B33" s="105">
        <v>0.8</v>
      </c>
      <c r="C33" s="96"/>
      <c r="D33" s="95" t="e">
        <f t="shared" ref="D33" si="21">IF(ISNUMBER(B33), (#REF!+#REF!)-B33, "")</f>
        <v>#REF!</v>
      </c>
    </row>
    <row r="34" spans="1:4" x14ac:dyDescent="0.25">
      <c r="B34" s="101" t="s">
        <v>76</v>
      </c>
      <c r="C34" s="93" t="s">
        <v>15</v>
      </c>
      <c r="D34" s="92" t="s">
        <v>52</v>
      </c>
    </row>
    <row r="35" spans="1:4" x14ac:dyDescent="0.25">
      <c r="B35" s="105">
        <v>0.7</v>
      </c>
      <c r="C35" s="96"/>
      <c r="D35" s="95" t="e">
        <f t="shared" ref="D35" si="22">IF(ISNUMBER(B35), (#REF!+#REF!)-B35, "")</f>
        <v>#REF!</v>
      </c>
    </row>
    <row r="36" spans="1:4" x14ac:dyDescent="0.25">
      <c r="B36" s="105">
        <v>1.9</v>
      </c>
      <c r="C36" s="96"/>
      <c r="D36" s="95" t="e">
        <f t="shared" ref="D36" si="23">IF(ISNUMBER(B36), (#REF!+#REF!)-B36, "")</f>
        <v>#REF!</v>
      </c>
    </row>
    <row r="37" spans="1:4" x14ac:dyDescent="0.25">
      <c r="B37" s="101" t="s">
        <v>76</v>
      </c>
      <c r="C37" s="93" t="s">
        <v>15</v>
      </c>
      <c r="D37" s="92" t="s">
        <v>52</v>
      </c>
    </row>
    <row r="38" spans="1:4" x14ac:dyDescent="0.25">
      <c r="B38" s="105">
        <v>0.1</v>
      </c>
      <c r="C38" s="96"/>
      <c r="D38" s="95" t="e">
        <f t="shared" ref="D38" si="24">IF(ISNUMBER(B38), (#REF!+#REF!)-B38, "")</f>
        <v>#REF!</v>
      </c>
    </row>
    <row r="39" spans="1:4" x14ac:dyDescent="0.25">
      <c r="B39" s="101" t="s">
        <v>76</v>
      </c>
      <c r="C39" s="93" t="s">
        <v>15</v>
      </c>
      <c r="D39" s="92" t="s">
        <v>52</v>
      </c>
    </row>
    <row r="40" spans="1:4" x14ac:dyDescent="0.25">
      <c r="B40" s="105">
        <v>0.4</v>
      </c>
      <c r="C40" s="96"/>
      <c r="D40" s="95" t="e">
        <f t="shared" ref="D40" si="25">IF(ISNUMBER(B40), (#REF!+#REF!)-B40, "")</f>
        <v>#REF!</v>
      </c>
    </row>
    <row r="41" spans="1:4" x14ac:dyDescent="0.25">
      <c r="B41" s="105">
        <v>0</v>
      </c>
      <c r="C41" s="96"/>
      <c r="D41" s="95" t="e">
        <f t="shared" ref="D41" si="26">IF(ISNUMBER(B41), (#REF!+#REF!)-B41, "")</f>
        <v>#REF!</v>
      </c>
    </row>
    <row r="42" spans="1:4" x14ac:dyDescent="0.25">
      <c r="B42" s="101" t="s">
        <v>76</v>
      </c>
      <c r="C42" s="93" t="s">
        <v>15</v>
      </c>
      <c r="D42" s="92" t="s">
        <v>52</v>
      </c>
    </row>
    <row r="43" spans="1:4" x14ac:dyDescent="0.25">
      <c r="B43" s="105">
        <v>0</v>
      </c>
      <c r="C43" s="96"/>
      <c r="D43" s="95" t="e">
        <f t="shared" ref="D43" si="27">IF(ISNUMBER(B43), (#REF!+#REF!)-B43, "")</f>
        <v>#REF!</v>
      </c>
    </row>
    <row r="44" spans="1:4" x14ac:dyDescent="0.25">
      <c r="B44" s="105">
        <v>0</v>
      </c>
      <c r="C44" s="96"/>
      <c r="D44" s="95" t="e">
        <f t="shared" ref="D44" si="28">IF(ISNUMBER(B44), (#REF!+#REF!)-B44, "")</f>
        <v>#REF!</v>
      </c>
    </row>
    <row r="45" spans="1:4" x14ac:dyDescent="0.25">
      <c r="B45" s="105">
        <v>0</v>
      </c>
      <c r="C45" s="96"/>
      <c r="D45" s="95" t="e">
        <f t="shared" ref="D45" si="29">IF(ISNUMBER(B45), (#REF!+#REF!)-B45, "")</f>
        <v>#REF!</v>
      </c>
    </row>
    <row r="46" spans="1:4" x14ac:dyDescent="0.25">
      <c r="B46" s="105">
        <v>0</v>
      </c>
      <c r="C46" s="96"/>
      <c r="D46" s="95" t="e">
        <f t="shared" ref="D46" si="30">IF(ISNUMBER(B46), (#REF!+#REF!)-B46, "")</f>
        <v>#REF!</v>
      </c>
    </row>
    <row r="48" spans="1:4" x14ac:dyDescent="0.25">
      <c r="A48" s="108"/>
      <c r="B48" s="108"/>
      <c r="C48" s="107"/>
      <c r="D48" s="108"/>
    </row>
    <row r="49" spans="1:5" x14ac:dyDescent="0.25">
      <c r="A49" s="108"/>
      <c r="B49" s="108"/>
      <c r="C49" s="107"/>
      <c r="D49" s="108"/>
    </row>
    <row r="50" spans="1:5" x14ac:dyDescent="0.25">
      <c r="A50" s="108"/>
      <c r="B50" s="108"/>
      <c r="C50" s="107"/>
      <c r="D50" s="108"/>
    </row>
    <row r="52" spans="1:5" x14ac:dyDescent="0.25">
      <c r="E52" s="108"/>
    </row>
    <row r="53" spans="1:5" x14ac:dyDescent="0.25">
      <c r="E53" s="108"/>
    </row>
    <row r="54" spans="1:5" x14ac:dyDescent="0.25">
      <c r="E54" s="108"/>
    </row>
  </sheetData>
  <mergeCells count="7">
    <mergeCell ref="F4:G4"/>
    <mergeCell ref="F5:G5"/>
    <mergeCell ref="C1:D1"/>
    <mergeCell ref="G1:H1"/>
    <mergeCell ref="C2:D2"/>
    <mergeCell ref="G2:H2"/>
    <mergeCell ref="F3:G3"/>
  </mergeCells>
  <conditionalFormatting sqref="D4:D10 D17:D23 H18:H28 D27:D30 D32:D33 D35:D36 D40:D41">
    <cfRule type="cellIs" dxfId="17" priority="67" operator="lessThan">
      <formula>0</formula>
    </cfRule>
    <cfRule type="cellIs" dxfId="16" priority="68" operator="equal">
      <formula>0</formula>
    </cfRule>
  </conditionalFormatting>
  <conditionalFormatting sqref="D12:D15">
    <cfRule type="cellIs" dxfId="15" priority="65" operator="lessThan">
      <formula>0</formula>
    </cfRule>
    <cfRule type="cellIs" dxfId="14" priority="66" operator="equal">
      <formula>0</formula>
    </cfRule>
  </conditionalFormatting>
  <conditionalFormatting sqref="D25 D38">
    <cfRule type="cellIs" dxfId="13" priority="69" operator="lessThan">
      <formula>0</formula>
    </cfRule>
    <cfRule type="cellIs" dxfId="12" priority="70" operator="equal">
      <formula>0</formula>
    </cfRule>
  </conditionalFormatting>
  <conditionalFormatting sqref="D43:D46">
    <cfRule type="cellIs" dxfId="11" priority="61" operator="lessThan">
      <formula>0</formula>
    </cfRule>
    <cfRule type="cellIs" dxfId="10" priority="62" operator="equal">
      <formula>0</formula>
    </cfRule>
  </conditionalFormatting>
  <conditionalFormatting sqref="H4:H5">
    <cfRule type="cellIs" dxfId="9" priority="1" operator="lessThan">
      <formula>0</formula>
    </cfRule>
    <cfRule type="cellIs" dxfId="8" priority="2" operator="equal">
      <formula>0</formula>
    </cfRule>
  </conditionalFormatting>
  <conditionalFormatting sqref="H8:H15">
    <cfRule type="cellIs" dxfId="7" priority="7" operator="lessThan">
      <formula>0</formula>
    </cfRule>
    <cfRule type="cellIs" dxfId="6" priority="8" operator="equal">
      <formula>0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d08fbde-27e2-4bd5-9b45-4743f0a85776" xsi:nil="true"/>
    <lcf76f155ced4ddcb4097134ff3c332f xmlns="bcc748ab-26b4-4781-b66a-e40997006556">
      <Terms xmlns="http://schemas.microsoft.com/office/infopath/2007/PartnerControls"/>
    </lcf76f155ced4ddcb4097134ff3c332f>
    <_Flow_SignoffStatus xmlns="bcc748ab-26b4-4781-b66a-e4099700655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6ADCF1672B6F4CAF0BF2427E99A4E6" ma:contentTypeVersion="18" ma:contentTypeDescription="Create a new document." ma:contentTypeScope="" ma:versionID="565d77302ca34d156510a73eb0e9ed06">
  <xsd:schema xmlns:xsd="http://www.w3.org/2001/XMLSchema" xmlns:xs="http://www.w3.org/2001/XMLSchema" xmlns:p="http://schemas.microsoft.com/office/2006/metadata/properties" xmlns:ns2="6d08fbde-27e2-4bd5-9b45-4743f0a85776" xmlns:ns3="bcc748ab-26b4-4781-b66a-e40997006556" targetNamespace="http://schemas.microsoft.com/office/2006/metadata/properties" ma:root="true" ma:fieldsID="d90b306686a9188bc85626b49fc28ce3" ns2:_="" ns3:_="">
    <xsd:import namespace="6d08fbde-27e2-4bd5-9b45-4743f0a85776"/>
    <xsd:import namespace="bcc748ab-26b4-4781-b66a-e4099700655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  <xsd:element ref="ns3:MediaLengthInSeconds" minOccurs="0"/>
                <xsd:element ref="ns3:_Flow_SignoffStatu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08fbde-27e2-4bd5-9b45-4743f0a8577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386c0017-2b3b-4a80-bb66-0765786a3785}" ma:internalName="TaxCatchAll" ma:showField="CatchAllData" ma:web="6d08fbde-27e2-4bd5-9b45-4743f0a857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c748ab-26b4-4781-b66a-e409970065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c295a99-474d-4322-9a85-8dc0e97de8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575B2B6-1B50-4E79-902D-C9B569485F32}">
  <ds:schemaRefs>
    <ds:schemaRef ds:uri="http://schemas.microsoft.com/office/2006/metadata/properties"/>
    <ds:schemaRef ds:uri="http://schemas.microsoft.com/office/infopath/2007/PartnerControls"/>
    <ds:schemaRef ds:uri="6d08fbde-27e2-4bd5-9b45-4743f0a85776"/>
    <ds:schemaRef ds:uri="bcc748ab-26b4-4781-b66a-e40997006556"/>
  </ds:schemaRefs>
</ds:datastoreItem>
</file>

<file path=customXml/itemProps2.xml><?xml version="1.0" encoding="utf-8"?>
<ds:datastoreItem xmlns:ds="http://schemas.openxmlformats.org/officeDocument/2006/customXml" ds:itemID="{DCBA4FF8-CDDE-4FB5-B4D8-85F1EE28B80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E6C4539-1862-42A2-8682-5D22C0812F7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08fbde-27e2-4bd5-9b45-4743f0a85776"/>
    <ds:schemaRef ds:uri="bcc748ab-26b4-4781-b66a-e409970065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AS PEPSI NEW</vt:lpstr>
      <vt:lpstr>AS BEER 2023</vt:lpstr>
      <vt:lpstr>LIQUOR</vt:lpstr>
      <vt:lpstr>PURCHASING ONLY TAB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2026-09-21T12:20:37Z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0x010100F26ADCF1672B6F4CAF0BF2427E99A4E6</vt:lpwstr>
  </property>
  <property fmtid="{D5CDD505-2E9C-101B-9397-08002B2CF9AE}" pid="3" name="Order">
    <vt:r8>7400</vt:r8>
  </property>
  <property fmtid="{D5CDD505-2E9C-101B-9397-08002B2CF9AE}" pid="4" name="MediaServiceImageTags">
    <vt:lpwstr/>
  </property>
</Properties>
</file>