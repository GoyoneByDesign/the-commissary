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anitascorp.sharepoint.com/sites/StoreForms/Shared Documents/Ashburn/02. INVENTORY ORDER FORMS/01. BEVERAGE INVENTORIES/"/>
    </mc:Choice>
  </mc:AlternateContent>
  <xr:revisionPtr revIDLastSave="2303" documentId="114_{06703F0C-C89C-41F9-AA7C-5F1BA89C3A15}" xr6:coauthVersionLast="47" xr6:coauthVersionMax="47" xr10:uidLastSave="{C3778586-A48F-4AEE-9B14-27625FD5BB06}"/>
  <bookViews>
    <workbookView xWindow="-120" yWindow="-120" windowWidth="29040" windowHeight="15720" xr2:uid="{24D1DD11-E396-47F5-9502-4E535F0A457F}"/>
  </bookViews>
  <sheets>
    <sheet name="COKE BTL" sheetId="2" r:id="rId1"/>
    <sheet name="PURCHASING ONLY" sheetId="4" r:id="rId2"/>
    <sheet name="9.24.26" sheetId="6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X14" i="2" l="1"/>
  <c r="TT14" i="2"/>
  <c r="TV14" i="2" s="1"/>
  <c r="TX13" i="2"/>
  <c r="TT13" i="2"/>
  <c r="TV13" i="2" s="1"/>
  <c r="TX10" i="2"/>
  <c r="TT10" i="2"/>
  <c r="TV10" i="2" s="1"/>
  <c r="TX9" i="2"/>
  <c r="TT9" i="2"/>
  <c r="TV9" i="2" s="1"/>
  <c r="TX8" i="2"/>
  <c r="TT8" i="2"/>
  <c r="TV8" i="2" s="1"/>
  <c r="TX7" i="2"/>
  <c r="TT7" i="2"/>
  <c r="TV7" i="2" s="1"/>
  <c r="TX6" i="2"/>
  <c r="TT6" i="2"/>
  <c r="TV6" i="2" s="1"/>
  <c r="TX5" i="2"/>
  <c r="TT5" i="2"/>
  <c r="TV5" i="2" s="1"/>
  <c r="TX4" i="2"/>
  <c r="TT4" i="2"/>
  <c r="TV4" i="2" s="1"/>
  <c r="TX3" i="2"/>
  <c r="TV3" i="2"/>
  <c r="TT3" i="2"/>
  <c r="TJ10" i="2"/>
  <c r="TL10" i="2" s="1"/>
  <c r="TN10" i="2" s="1"/>
  <c r="TJ9" i="2"/>
  <c r="TL9" i="2" s="1"/>
  <c r="TN9" i="2" s="1"/>
  <c r="TJ8" i="2"/>
  <c r="TL8" i="2" s="1"/>
  <c r="TN8" i="2" s="1"/>
  <c r="TJ7" i="2"/>
  <c r="TL7" i="2" s="1"/>
  <c r="TN7" i="2" s="1"/>
  <c r="TJ6" i="2"/>
  <c r="TL6" i="2" s="1"/>
  <c r="TN6" i="2" s="1"/>
  <c r="TJ5" i="2"/>
  <c r="TL5" i="2" s="1"/>
  <c r="TN5" i="2" s="1"/>
  <c r="TJ4" i="2"/>
  <c r="TL4" i="2" s="1"/>
  <c r="TN4" i="2" s="1"/>
  <c r="TJ3" i="2"/>
  <c r="TL3" i="2" s="1"/>
  <c r="TN3" i="2" s="1"/>
  <c r="TJ13" i="2"/>
  <c r="TL13" i="2" s="1"/>
  <c r="TN13" i="2"/>
  <c r="TJ14" i="2"/>
  <c r="TL14" i="2" s="1"/>
  <c r="TN14" i="2"/>
  <c r="TN16" i="6"/>
  <c r="TJ16" i="6"/>
  <c r="TL16" i="6" s="1"/>
  <c r="TD16" i="6"/>
  <c r="SZ16" i="6"/>
  <c r="ST16" i="6"/>
  <c r="SP16" i="6"/>
  <c r="TB16" i="6" s="1"/>
  <c r="SF16" i="6"/>
  <c r="SH16" i="6" s="1"/>
  <c r="SJ16" i="6" s="1"/>
  <c r="RX16" i="6"/>
  <c r="RZ16" i="6" s="1"/>
  <c r="RV16" i="6"/>
  <c r="RL16" i="6"/>
  <c r="RN16" i="6" s="1"/>
  <c r="RP16" i="6" s="1"/>
  <c r="RB16" i="6"/>
  <c r="QR16" i="6"/>
  <c r="QH16" i="6"/>
  <c r="PX16" i="6"/>
  <c r="PN16" i="6"/>
  <c r="PD16" i="6"/>
  <c r="PF16" i="6" s="1"/>
  <c r="PH16" i="6" s="1"/>
  <c r="OT16" i="6"/>
  <c r="OV16" i="6" s="1"/>
  <c r="OX16" i="6" s="1"/>
  <c r="OJ16" i="6"/>
  <c r="OL16" i="6" s="1"/>
  <c r="ON16" i="6" s="1"/>
  <c r="OD16" i="6"/>
  <c r="NZ16" i="6"/>
  <c r="OB16" i="6" s="1"/>
  <c r="TN15" i="6"/>
  <c r="TL15" i="6"/>
  <c r="TJ15" i="6"/>
  <c r="SZ15" i="6"/>
  <c r="TB15" i="6" s="1"/>
  <c r="TD15" i="6" s="1"/>
  <c r="SR15" i="6"/>
  <c r="ST15" i="6" s="1"/>
  <c r="SP15" i="6"/>
  <c r="SH15" i="6"/>
  <c r="SJ15" i="6" s="1"/>
  <c r="SF15" i="6"/>
  <c r="RV15" i="6"/>
  <c r="RX15" i="6" s="1"/>
  <c r="RZ15" i="6" s="1"/>
  <c r="RL15" i="6"/>
  <c r="RB15" i="6"/>
  <c r="RD15" i="6" s="1"/>
  <c r="RF15" i="6" s="1"/>
  <c r="QR15" i="6"/>
  <c r="QT15" i="6" s="1"/>
  <c r="QV15" i="6" s="1"/>
  <c r="QL15" i="6"/>
  <c r="QH15" i="6"/>
  <c r="PX15" i="6"/>
  <c r="PN15" i="6"/>
  <c r="PD15" i="6"/>
  <c r="OT15" i="6"/>
  <c r="OJ15" i="6"/>
  <c r="OL15" i="6" s="1"/>
  <c r="ON15" i="6" s="1"/>
  <c r="OD15" i="6"/>
  <c r="OB15" i="6"/>
  <c r="NZ15" i="6"/>
  <c r="TN14" i="6"/>
  <c r="TJ14" i="6"/>
  <c r="TL14" i="6" s="1"/>
  <c r="SZ14" i="6"/>
  <c r="TB14" i="6" s="1"/>
  <c r="TD14" i="6" s="1"/>
  <c r="SR14" i="6"/>
  <c r="ST14" i="6" s="1"/>
  <c r="SP14" i="6"/>
  <c r="SF14" i="6"/>
  <c r="SH14" i="6" s="1"/>
  <c r="SJ14" i="6" s="1"/>
  <c r="RV14" i="6"/>
  <c r="RL14" i="6"/>
  <c r="RN14" i="6" s="1"/>
  <c r="RP14" i="6" s="1"/>
  <c r="RB14" i="6"/>
  <c r="RD14" i="6" s="1"/>
  <c r="RF14" i="6" s="1"/>
  <c r="QR14" i="6"/>
  <c r="QT14" i="6" s="1"/>
  <c r="QV14" i="6" s="1"/>
  <c r="QH14" i="6"/>
  <c r="PX14" i="6"/>
  <c r="PP14" i="6"/>
  <c r="PR14" i="6" s="1"/>
  <c r="PN14" i="6"/>
  <c r="PD14" i="6"/>
  <c r="PF14" i="6" s="1"/>
  <c r="PH14" i="6" s="1"/>
  <c r="OX14" i="6"/>
  <c r="OT14" i="6"/>
  <c r="OV14" i="6" s="1"/>
  <c r="OJ14" i="6"/>
  <c r="OD14" i="6"/>
  <c r="OB14" i="6"/>
  <c r="NZ14" i="6"/>
  <c r="OL14" i="6" s="1"/>
  <c r="ON14" i="6" s="1"/>
  <c r="TN13" i="6"/>
  <c r="TJ13" i="6"/>
  <c r="TL13" i="6" s="1"/>
  <c r="TD13" i="6"/>
  <c r="TB13" i="6"/>
  <c r="SZ13" i="6"/>
  <c r="SP13" i="6"/>
  <c r="SR13" i="6" s="1"/>
  <c r="ST13" i="6" s="1"/>
  <c r="SJ13" i="6"/>
  <c r="SF13" i="6"/>
  <c r="SH13" i="6" s="1"/>
  <c r="RZ13" i="6"/>
  <c r="RV13" i="6"/>
  <c r="RL13" i="6"/>
  <c r="RX13" i="6" s="1"/>
  <c r="RB13" i="6"/>
  <c r="QR13" i="6"/>
  <c r="QH13" i="6"/>
  <c r="PX13" i="6"/>
  <c r="PZ13" i="6" s="1"/>
  <c r="QB13" i="6" s="1"/>
  <c r="PN13" i="6"/>
  <c r="PP13" i="6" s="1"/>
  <c r="PR13" i="6" s="1"/>
  <c r="PD13" i="6"/>
  <c r="PF13" i="6" s="1"/>
  <c r="PH13" i="6" s="1"/>
  <c r="OT13" i="6"/>
  <c r="OJ13" i="6"/>
  <c r="OV13" i="6" s="1"/>
  <c r="OX13" i="6" s="1"/>
  <c r="OD13" i="6"/>
  <c r="NZ13" i="6"/>
  <c r="OB13" i="6" s="1"/>
  <c r="TN10" i="6"/>
  <c r="TJ10" i="6"/>
  <c r="TL10" i="6" s="1"/>
  <c r="SZ10" i="6"/>
  <c r="TB10" i="6" s="1"/>
  <c r="TD10" i="6" s="1"/>
  <c r="SP10" i="6"/>
  <c r="SF10" i="6"/>
  <c r="RV10" i="6"/>
  <c r="RL10" i="6"/>
  <c r="RB10" i="6"/>
  <c r="QR10" i="6"/>
  <c r="QT10" i="6" s="1"/>
  <c r="QV10" i="6" s="1"/>
  <c r="QL10" i="6"/>
  <c r="QH10" i="6"/>
  <c r="QJ10" i="6" s="1"/>
  <c r="PX10" i="6"/>
  <c r="PZ10" i="6" s="1"/>
  <c r="QB10" i="6" s="1"/>
  <c r="PN10" i="6"/>
  <c r="PP10" i="6" s="1"/>
  <c r="PR10" i="6" s="1"/>
  <c r="PD10" i="6"/>
  <c r="OT10" i="6"/>
  <c r="PF10" i="6" s="1"/>
  <c r="PH10" i="6" s="1"/>
  <c r="OJ10" i="6"/>
  <c r="OL10" i="6" s="1"/>
  <c r="ON10" i="6" s="1"/>
  <c r="OD10" i="6"/>
  <c r="OB10" i="6"/>
  <c r="NZ10" i="6"/>
  <c r="NP10" i="6"/>
  <c r="NF10" i="6"/>
  <c r="MV10" i="6"/>
  <c r="MN10" i="6"/>
  <c r="MP10" i="6" s="1"/>
  <c r="ML10" i="6"/>
  <c r="MB10" i="6"/>
  <c r="MD10" i="6" s="1"/>
  <c r="MF10" i="6" s="1"/>
  <c r="LH10" i="6"/>
  <c r="KX10" i="6"/>
  <c r="KN10" i="6"/>
  <c r="KZ10" i="6" s="1"/>
  <c r="LB10" i="6" s="1"/>
  <c r="KD10" i="6"/>
  <c r="JT10" i="6"/>
  <c r="JV10" i="6" s="1"/>
  <c r="JX10" i="6" s="1"/>
  <c r="JJ10" i="6"/>
  <c r="JL10" i="6" s="1"/>
  <c r="JN10" i="6" s="1"/>
  <c r="JB10" i="6"/>
  <c r="JD10" i="6" s="1"/>
  <c r="IZ10" i="6"/>
  <c r="IR10" i="6"/>
  <c r="IT10" i="6" s="1"/>
  <c r="IP10" i="6"/>
  <c r="IF10" i="6"/>
  <c r="HV10" i="6"/>
  <c r="IH10" i="6" s="1"/>
  <c r="IJ10" i="6" s="1"/>
  <c r="HL10" i="6"/>
  <c r="HX10" i="6" s="1"/>
  <c r="HZ10" i="6" s="1"/>
  <c r="HB10" i="6"/>
  <c r="HD10" i="6" s="1"/>
  <c r="HF10" i="6" s="1"/>
  <c r="GV10" i="6"/>
  <c r="GT10" i="6"/>
  <c r="GR10" i="6"/>
  <c r="GH10" i="6"/>
  <c r="FX10" i="6"/>
  <c r="FN10" i="6"/>
  <c r="FD10" i="6"/>
  <c r="FF10" i="6" s="1"/>
  <c r="FH10" i="6" s="1"/>
  <c r="ET10" i="6"/>
  <c r="EJ10" i="6"/>
  <c r="DZ10" i="6"/>
  <c r="DP10" i="6"/>
  <c r="EB10" i="6" s="1"/>
  <c r="ED10" i="6" s="1"/>
  <c r="DF10" i="6"/>
  <c r="DH10" i="6" s="1"/>
  <c r="DJ10" i="6" s="1"/>
  <c r="CV10" i="6"/>
  <c r="CX10" i="6" s="1"/>
  <c r="CZ10" i="6" s="1"/>
  <c r="CL10" i="6"/>
  <c r="CB10" i="6"/>
  <c r="CN10" i="6" s="1"/>
  <c r="CP10" i="6" s="1"/>
  <c r="BR10" i="6"/>
  <c r="BT10" i="6" s="1"/>
  <c r="BV10" i="6" s="1"/>
  <c r="BJ10" i="6"/>
  <c r="BL10" i="6" s="1"/>
  <c r="BH10" i="6"/>
  <c r="AX10" i="6"/>
  <c r="AN10" i="6"/>
  <c r="AP10" i="6" s="1"/>
  <c r="AR10" i="6" s="1"/>
  <c r="AF10" i="6"/>
  <c r="AH10" i="6" s="1"/>
  <c r="AD10" i="6"/>
  <c r="X10" i="6"/>
  <c r="V10" i="6"/>
  <c r="T10" i="6"/>
  <c r="N10" i="6"/>
  <c r="TN9" i="6"/>
  <c r="TJ9" i="6"/>
  <c r="TL9" i="6" s="1"/>
  <c r="SZ9" i="6"/>
  <c r="SP9" i="6"/>
  <c r="SF9" i="6"/>
  <c r="SH9" i="6" s="1"/>
  <c r="SJ9" i="6" s="1"/>
  <c r="RX9" i="6"/>
  <c r="RZ9" i="6" s="1"/>
  <c r="RV9" i="6"/>
  <c r="RL9" i="6"/>
  <c r="RB9" i="6"/>
  <c r="QR9" i="6"/>
  <c r="QJ9" i="6"/>
  <c r="QL9" i="6" s="1"/>
  <c r="QH9" i="6"/>
  <c r="PX9" i="6"/>
  <c r="PN9" i="6"/>
  <c r="PP9" i="6" s="1"/>
  <c r="PR9" i="6" s="1"/>
  <c r="PF9" i="6"/>
  <c r="PH9" i="6" s="1"/>
  <c r="PD9" i="6"/>
  <c r="OT9" i="6"/>
  <c r="OJ9" i="6"/>
  <c r="OV9" i="6" s="1"/>
  <c r="OX9" i="6" s="1"/>
  <c r="NZ9" i="6"/>
  <c r="NP9" i="6"/>
  <c r="OB9" i="6" s="1"/>
  <c r="OD9" i="6" s="1"/>
  <c r="NF9" i="6"/>
  <c r="NR9" i="6" s="1"/>
  <c r="NT9" i="6" s="1"/>
  <c r="MV9" i="6"/>
  <c r="MX9" i="6" s="1"/>
  <c r="MZ9" i="6" s="1"/>
  <c r="MP9" i="6"/>
  <c r="MN9" i="6"/>
  <c r="ML9" i="6"/>
  <c r="MB9" i="6"/>
  <c r="MD9" i="6" s="1"/>
  <c r="MF9" i="6" s="1"/>
  <c r="LH9" i="6"/>
  <c r="LT9" i="6" s="1"/>
  <c r="LV9" i="6" s="1"/>
  <c r="KX9" i="6"/>
  <c r="KZ9" i="6" s="1"/>
  <c r="LB9" i="6" s="1"/>
  <c r="KR9" i="6"/>
  <c r="KP9" i="6"/>
  <c r="KN9" i="6"/>
  <c r="KD9" i="6"/>
  <c r="JT9" i="6"/>
  <c r="JJ9" i="6"/>
  <c r="IZ9" i="6"/>
  <c r="JB9" i="6" s="1"/>
  <c r="JD9" i="6" s="1"/>
  <c r="IP9" i="6"/>
  <c r="IF9" i="6"/>
  <c r="IH9" i="6" s="1"/>
  <c r="IJ9" i="6" s="1"/>
  <c r="HV9" i="6"/>
  <c r="HX9" i="6" s="1"/>
  <c r="HZ9" i="6" s="1"/>
  <c r="HL9" i="6"/>
  <c r="HN9" i="6" s="1"/>
  <c r="HP9" i="6" s="1"/>
  <c r="HB9" i="6"/>
  <c r="HD9" i="6" s="1"/>
  <c r="HF9" i="6" s="1"/>
  <c r="GR9" i="6"/>
  <c r="GT9" i="6" s="1"/>
  <c r="GV9" i="6" s="1"/>
  <c r="GH9" i="6"/>
  <c r="FX9" i="6"/>
  <c r="FZ9" i="6" s="1"/>
  <c r="GB9" i="6" s="1"/>
  <c r="FN9" i="6"/>
  <c r="FP9" i="6" s="1"/>
  <c r="FR9" i="6" s="1"/>
  <c r="FF9" i="6"/>
  <c r="FH9" i="6" s="1"/>
  <c r="FD9" i="6"/>
  <c r="ET9" i="6"/>
  <c r="EJ9" i="6"/>
  <c r="EL9" i="6" s="1"/>
  <c r="EN9" i="6" s="1"/>
  <c r="EB9" i="6"/>
  <c r="ED9" i="6" s="1"/>
  <c r="DZ9" i="6"/>
  <c r="DR9" i="6"/>
  <c r="DT9" i="6" s="1"/>
  <c r="DP9" i="6"/>
  <c r="DF9" i="6"/>
  <c r="DH9" i="6" s="1"/>
  <c r="DJ9" i="6" s="1"/>
  <c r="CV9" i="6"/>
  <c r="CL9" i="6"/>
  <c r="CB9" i="6"/>
  <c r="BR9" i="6"/>
  <c r="BT9" i="6" s="1"/>
  <c r="BV9" i="6" s="1"/>
  <c r="BH9" i="6"/>
  <c r="BJ9" i="6" s="1"/>
  <c r="BL9" i="6" s="1"/>
  <c r="AZ9" i="6"/>
  <c r="BB9" i="6" s="1"/>
  <c r="AX9" i="6"/>
  <c r="AN9" i="6"/>
  <c r="AD9" i="6"/>
  <c r="AP9" i="6" s="1"/>
  <c r="AR9" i="6" s="1"/>
  <c r="V9" i="6"/>
  <c r="X9" i="6" s="1"/>
  <c r="T9" i="6"/>
  <c r="N9" i="6"/>
  <c r="TN8" i="6"/>
  <c r="TJ8" i="6"/>
  <c r="TL8" i="6" s="1"/>
  <c r="TB8" i="6"/>
  <c r="TD8" i="6" s="1"/>
  <c r="SZ8" i="6"/>
  <c r="SP8" i="6"/>
  <c r="SF8" i="6"/>
  <c r="SR8" i="6" s="1"/>
  <c r="ST8" i="6" s="1"/>
  <c r="RV8" i="6"/>
  <c r="RL8" i="6"/>
  <c r="RX8" i="6" s="1"/>
  <c r="RZ8" i="6" s="1"/>
  <c r="RB8" i="6"/>
  <c r="RN8" i="6" s="1"/>
  <c r="RP8" i="6" s="1"/>
  <c r="QR8" i="6"/>
  <c r="QT8" i="6" s="1"/>
  <c r="QV8" i="6" s="1"/>
  <c r="QL8" i="6"/>
  <c r="QJ8" i="6"/>
  <c r="QH8" i="6"/>
  <c r="PX8" i="6"/>
  <c r="PN8" i="6"/>
  <c r="PF8" i="6"/>
  <c r="PH8" i="6" s="1"/>
  <c r="PD8" i="6"/>
  <c r="OT8" i="6"/>
  <c r="OV8" i="6" s="1"/>
  <c r="OX8" i="6" s="1"/>
  <c r="OJ8" i="6"/>
  <c r="NZ8" i="6"/>
  <c r="NP8" i="6"/>
  <c r="NR8" i="6" s="1"/>
  <c r="NT8" i="6" s="1"/>
  <c r="NF8" i="6"/>
  <c r="MV8" i="6"/>
  <c r="MX8" i="6" s="1"/>
  <c r="MZ8" i="6" s="1"/>
  <c r="ML8" i="6"/>
  <c r="MD8" i="6"/>
  <c r="MF8" i="6" s="1"/>
  <c r="MB8" i="6"/>
  <c r="MN8" i="6" s="1"/>
  <c r="MP8" i="6" s="1"/>
  <c r="LR8" i="6"/>
  <c r="LT8" i="6" s="1"/>
  <c r="LV8" i="6" s="1"/>
  <c r="LJ8" i="6"/>
  <c r="LL8" i="6" s="1"/>
  <c r="LH8" i="6"/>
  <c r="KZ8" i="6"/>
  <c r="LB8" i="6" s="1"/>
  <c r="KX8" i="6"/>
  <c r="KN8" i="6"/>
  <c r="KD8" i="6"/>
  <c r="KF8" i="6" s="1"/>
  <c r="KH8" i="6" s="1"/>
  <c r="JV8" i="6"/>
  <c r="JX8" i="6" s="1"/>
  <c r="JT8" i="6"/>
  <c r="JL8" i="6"/>
  <c r="JN8" i="6" s="1"/>
  <c r="JJ8" i="6"/>
  <c r="IZ8" i="6"/>
  <c r="IP8" i="6"/>
  <c r="IF8" i="6"/>
  <c r="HV8" i="6"/>
  <c r="HX8" i="6" s="1"/>
  <c r="HZ8" i="6" s="1"/>
  <c r="HN8" i="6"/>
  <c r="HP8" i="6" s="1"/>
  <c r="HL8" i="6"/>
  <c r="HB8" i="6"/>
  <c r="HD8" i="6" s="1"/>
  <c r="HF8" i="6" s="1"/>
  <c r="GR8" i="6"/>
  <c r="GH8" i="6"/>
  <c r="GT8" i="6" s="1"/>
  <c r="GV8" i="6" s="1"/>
  <c r="FX8" i="6"/>
  <c r="FZ8" i="6" s="1"/>
  <c r="GB8" i="6" s="1"/>
  <c r="FR8" i="6"/>
  <c r="FP8" i="6"/>
  <c r="FN8" i="6"/>
  <c r="FD8" i="6"/>
  <c r="FF8" i="6" s="1"/>
  <c r="FH8" i="6" s="1"/>
  <c r="ET8" i="6"/>
  <c r="EJ8" i="6"/>
  <c r="EL8" i="6" s="1"/>
  <c r="EN8" i="6" s="1"/>
  <c r="DZ8" i="6"/>
  <c r="EB8" i="6" s="1"/>
  <c r="ED8" i="6" s="1"/>
  <c r="DP8" i="6"/>
  <c r="DF8" i="6"/>
  <c r="CV8" i="6"/>
  <c r="CX8" i="6" s="1"/>
  <c r="CZ8" i="6" s="1"/>
  <c r="CL8" i="6"/>
  <c r="CN8" i="6" s="1"/>
  <c r="CP8" i="6" s="1"/>
  <c r="CB8" i="6"/>
  <c r="CD8" i="6" s="1"/>
  <c r="CF8" i="6" s="1"/>
  <c r="BR8" i="6"/>
  <c r="BH8" i="6"/>
  <c r="BT8" i="6" s="1"/>
  <c r="BV8" i="6" s="1"/>
  <c r="AX8" i="6"/>
  <c r="BJ8" i="6" s="1"/>
  <c r="BL8" i="6" s="1"/>
  <c r="AN8" i="6"/>
  <c r="AP8" i="6" s="1"/>
  <c r="AR8" i="6" s="1"/>
  <c r="AF8" i="6"/>
  <c r="AH8" i="6" s="1"/>
  <c r="AD8" i="6"/>
  <c r="T8" i="6"/>
  <c r="V8" i="6" s="1"/>
  <c r="X8" i="6" s="1"/>
  <c r="N8" i="6"/>
  <c r="TN7" i="6"/>
  <c r="TJ7" i="6"/>
  <c r="TL7" i="6" s="1"/>
  <c r="SZ7" i="6"/>
  <c r="SR7" i="6"/>
  <c r="ST7" i="6" s="1"/>
  <c r="SP7" i="6"/>
  <c r="TB7" i="6" s="1"/>
  <c r="TD7" i="6" s="1"/>
  <c r="SF7" i="6"/>
  <c r="SH7" i="6" s="1"/>
  <c r="SJ7" i="6" s="1"/>
  <c r="RV7" i="6"/>
  <c r="RL7" i="6"/>
  <c r="RX7" i="6" s="1"/>
  <c r="RZ7" i="6" s="1"/>
  <c r="RB7" i="6"/>
  <c r="QT7" i="6"/>
  <c r="QV7" i="6" s="1"/>
  <c r="QR7" i="6"/>
  <c r="QH7" i="6"/>
  <c r="QJ7" i="6" s="1"/>
  <c r="QL7" i="6" s="1"/>
  <c r="PX7" i="6"/>
  <c r="PN7" i="6"/>
  <c r="PD7" i="6"/>
  <c r="PP7" i="6" s="1"/>
  <c r="PR7" i="6" s="1"/>
  <c r="OT7" i="6"/>
  <c r="OJ7" i="6"/>
  <c r="NZ7" i="6"/>
  <c r="OB7" i="6" s="1"/>
  <c r="OD7" i="6" s="1"/>
  <c r="NR7" i="6"/>
  <c r="NT7" i="6" s="1"/>
  <c r="NP7" i="6"/>
  <c r="NH7" i="6"/>
  <c r="NJ7" i="6" s="1"/>
  <c r="NF7" i="6"/>
  <c r="MV7" i="6"/>
  <c r="MX7" i="6" s="1"/>
  <c r="MZ7" i="6" s="1"/>
  <c r="ML7" i="6"/>
  <c r="MB7" i="6"/>
  <c r="MN7" i="6" s="1"/>
  <c r="MP7" i="6" s="1"/>
  <c r="LT7" i="6"/>
  <c r="LV7" i="6" s="1"/>
  <c r="LR7" i="6"/>
  <c r="MD7" i="6" s="1"/>
  <c r="MF7" i="6" s="1"/>
  <c r="LL7" i="6"/>
  <c r="LJ7" i="6"/>
  <c r="LH7" i="6"/>
  <c r="KX7" i="6"/>
  <c r="KN7" i="6"/>
  <c r="KD7" i="6"/>
  <c r="KF7" i="6" s="1"/>
  <c r="KH7" i="6" s="1"/>
  <c r="JV7" i="6"/>
  <c r="JX7" i="6" s="1"/>
  <c r="JT7" i="6"/>
  <c r="JJ7" i="6"/>
  <c r="IZ7" i="6"/>
  <c r="JB7" i="6" s="1"/>
  <c r="JD7" i="6" s="1"/>
  <c r="IP7" i="6"/>
  <c r="IF7" i="6"/>
  <c r="IR7" i="6" s="1"/>
  <c r="IT7" i="6" s="1"/>
  <c r="HV7" i="6"/>
  <c r="HX7" i="6" s="1"/>
  <c r="HZ7" i="6" s="1"/>
  <c r="HL7" i="6"/>
  <c r="HB7" i="6"/>
  <c r="HN7" i="6" s="1"/>
  <c r="HP7" i="6" s="1"/>
  <c r="GR7" i="6"/>
  <c r="HD7" i="6" s="1"/>
  <c r="HF7" i="6" s="1"/>
  <c r="GH7" i="6"/>
  <c r="GJ7" i="6" s="1"/>
  <c r="GL7" i="6" s="1"/>
  <c r="FZ7" i="6"/>
  <c r="GB7" i="6" s="1"/>
  <c r="FX7" i="6"/>
  <c r="FN7" i="6"/>
  <c r="FD7" i="6"/>
  <c r="ET7" i="6"/>
  <c r="EV7" i="6" s="1"/>
  <c r="EX7" i="6" s="1"/>
  <c r="EL7" i="6"/>
  <c r="EN7" i="6" s="1"/>
  <c r="EJ7" i="6"/>
  <c r="DZ7" i="6"/>
  <c r="EB7" i="6" s="1"/>
  <c r="ED7" i="6" s="1"/>
  <c r="DP7" i="6"/>
  <c r="DF7" i="6"/>
  <c r="CV7" i="6"/>
  <c r="CN7" i="6"/>
  <c r="CP7" i="6" s="1"/>
  <c r="CL7" i="6"/>
  <c r="CB7" i="6"/>
  <c r="CD7" i="6" s="1"/>
  <c r="CF7" i="6" s="1"/>
  <c r="BT7" i="6"/>
  <c r="BV7" i="6" s="1"/>
  <c r="BR7" i="6"/>
  <c r="BH7" i="6"/>
  <c r="AX7" i="6"/>
  <c r="BJ7" i="6" s="1"/>
  <c r="BL7" i="6" s="1"/>
  <c r="AP7" i="6"/>
  <c r="AR7" i="6" s="1"/>
  <c r="AN7" i="6"/>
  <c r="AD7" i="6"/>
  <c r="T7" i="6"/>
  <c r="V7" i="6" s="1"/>
  <c r="X7" i="6" s="1"/>
  <c r="N7" i="6"/>
  <c r="TN6" i="6"/>
  <c r="TJ6" i="6"/>
  <c r="TL6" i="6" s="1"/>
  <c r="TB6" i="6"/>
  <c r="TD6" i="6" s="1"/>
  <c r="SZ6" i="6"/>
  <c r="SP6" i="6"/>
  <c r="SR6" i="6" s="1"/>
  <c r="ST6" i="6" s="1"/>
  <c r="SF6" i="6"/>
  <c r="RV6" i="6"/>
  <c r="SH6" i="6" s="1"/>
  <c r="SJ6" i="6" s="1"/>
  <c r="RN6" i="6"/>
  <c r="RP6" i="6" s="1"/>
  <c r="RL6" i="6"/>
  <c r="RD6" i="6"/>
  <c r="RF6" i="6" s="1"/>
  <c r="RB6" i="6"/>
  <c r="QR6" i="6"/>
  <c r="QH6" i="6"/>
  <c r="PX6" i="6"/>
  <c r="PZ6" i="6" s="1"/>
  <c r="QB6" i="6" s="1"/>
  <c r="PN6" i="6"/>
  <c r="PP6" i="6" s="1"/>
  <c r="PR6" i="6" s="1"/>
  <c r="PH6" i="6"/>
  <c r="PD6" i="6"/>
  <c r="PF6" i="6" s="1"/>
  <c r="OT6" i="6"/>
  <c r="OJ6" i="6"/>
  <c r="NZ6" i="6"/>
  <c r="OL6" i="6" s="1"/>
  <c r="ON6" i="6" s="1"/>
  <c r="NP6" i="6"/>
  <c r="NR6" i="6" s="1"/>
  <c r="NT6" i="6" s="1"/>
  <c r="NF6" i="6"/>
  <c r="NH6" i="6" s="1"/>
  <c r="NJ6" i="6" s="1"/>
  <c r="MX6" i="6"/>
  <c r="MZ6" i="6" s="1"/>
  <c r="MV6" i="6"/>
  <c r="ML6" i="6"/>
  <c r="MB6" i="6"/>
  <c r="MN6" i="6" s="1"/>
  <c r="MP6" i="6" s="1"/>
  <c r="LT6" i="6"/>
  <c r="LV6" i="6" s="1"/>
  <c r="LH6" i="6"/>
  <c r="LJ6" i="6" s="1"/>
  <c r="LL6" i="6" s="1"/>
  <c r="KX6" i="6"/>
  <c r="KN6" i="6"/>
  <c r="KP6" i="6" s="1"/>
  <c r="KR6" i="6" s="1"/>
  <c r="KH6" i="6"/>
  <c r="KF6" i="6"/>
  <c r="KD6" i="6"/>
  <c r="JX6" i="6"/>
  <c r="JV6" i="6"/>
  <c r="JT6" i="6"/>
  <c r="JJ6" i="6"/>
  <c r="IZ6" i="6"/>
  <c r="IP6" i="6"/>
  <c r="IR6" i="6" s="1"/>
  <c r="IT6" i="6" s="1"/>
  <c r="IF6" i="6"/>
  <c r="IH6" i="6" s="1"/>
  <c r="IJ6" i="6" s="1"/>
  <c r="HV6" i="6"/>
  <c r="HL6" i="6"/>
  <c r="HB6" i="6"/>
  <c r="HD6" i="6" s="1"/>
  <c r="HF6" i="6" s="1"/>
  <c r="GR6" i="6"/>
  <c r="GJ6" i="6"/>
  <c r="GL6" i="6" s="1"/>
  <c r="GH6" i="6"/>
  <c r="FX6" i="6"/>
  <c r="FZ6" i="6" s="1"/>
  <c r="GB6" i="6" s="1"/>
  <c r="FP6" i="6"/>
  <c r="FR6" i="6" s="1"/>
  <c r="FN6" i="6"/>
  <c r="FD6" i="6"/>
  <c r="FF6" i="6" s="1"/>
  <c r="FH6" i="6" s="1"/>
  <c r="EV6" i="6"/>
  <c r="EX6" i="6" s="1"/>
  <c r="ET6" i="6"/>
  <c r="EL6" i="6"/>
  <c r="EN6" i="6" s="1"/>
  <c r="EJ6" i="6"/>
  <c r="DZ6" i="6"/>
  <c r="DT6" i="6"/>
  <c r="DP6" i="6"/>
  <c r="DR6" i="6" s="1"/>
  <c r="DH6" i="6"/>
  <c r="DJ6" i="6" s="1"/>
  <c r="DF6" i="6"/>
  <c r="CX6" i="6"/>
  <c r="CZ6" i="6" s="1"/>
  <c r="CV6" i="6"/>
  <c r="CL6" i="6"/>
  <c r="CB6" i="6"/>
  <c r="BR6" i="6"/>
  <c r="BH6" i="6"/>
  <c r="BJ6" i="6" s="1"/>
  <c r="BL6" i="6" s="1"/>
  <c r="AZ6" i="6"/>
  <c r="BB6" i="6" s="1"/>
  <c r="AX6" i="6"/>
  <c r="AN6" i="6"/>
  <c r="AP6" i="6" s="1"/>
  <c r="AR6" i="6" s="1"/>
  <c r="AD6" i="6"/>
  <c r="T6" i="6"/>
  <c r="AF6" i="6" s="1"/>
  <c r="AH6" i="6" s="1"/>
  <c r="N6" i="6"/>
  <c r="TN5" i="6"/>
  <c r="TJ5" i="6"/>
  <c r="TL5" i="6" s="1"/>
  <c r="SZ5" i="6"/>
  <c r="SP5" i="6"/>
  <c r="SR5" i="6" s="1"/>
  <c r="ST5" i="6" s="1"/>
  <c r="SF5" i="6"/>
  <c r="SH5" i="6" s="1"/>
  <c r="SJ5" i="6" s="1"/>
  <c r="RV5" i="6"/>
  <c r="RX5" i="6" s="1"/>
  <c r="RZ5" i="6" s="1"/>
  <c r="RL5" i="6"/>
  <c r="RN5" i="6" s="1"/>
  <c r="RP5" i="6" s="1"/>
  <c r="RB5" i="6"/>
  <c r="RD5" i="6" s="1"/>
  <c r="RF5" i="6" s="1"/>
  <c r="QR5" i="6"/>
  <c r="QH5" i="6"/>
  <c r="QJ5" i="6" s="1"/>
  <c r="QL5" i="6" s="1"/>
  <c r="PX5" i="6"/>
  <c r="PZ5" i="6" s="1"/>
  <c r="QB5" i="6" s="1"/>
  <c r="PP5" i="6"/>
  <c r="PR5" i="6" s="1"/>
  <c r="PN5" i="6"/>
  <c r="PD5" i="6"/>
  <c r="OT5" i="6"/>
  <c r="OV5" i="6" s="1"/>
  <c r="OX5" i="6" s="1"/>
  <c r="OJ5" i="6"/>
  <c r="OL5" i="6" s="1"/>
  <c r="ON5" i="6" s="1"/>
  <c r="OB5" i="6"/>
  <c r="OD5" i="6" s="1"/>
  <c r="NZ5" i="6"/>
  <c r="NP5" i="6"/>
  <c r="NF5" i="6"/>
  <c r="NH5" i="6" s="1"/>
  <c r="NJ5" i="6" s="1"/>
  <c r="MV5" i="6"/>
  <c r="ML5" i="6"/>
  <c r="MN5" i="6" s="1"/>
  <c r="MP5" i="6" s="1"/>
  <c r="MB5" i="6"/>
  <c r="MD5" i="6" s="1"/>
  <c r="MF5" i="6" s="1"/>
  <c r="LR5" i="6"/>
  <c r="LH5" i="6"/>
  <c r="LT5" i="6" s="1"/>
  <c r="LV5" i="6" s="1"/>
  <c r="KX5" i="6"/>
  <c r="LJ5" i="6" s="1"/>
  <c r="LL5" i="6" s="1"/>
  <c r="KN5" i="6"/>
  <c r="KP5" i="6" s="1"/>
  <c r="KR5" i="6" s="1"/>
  <c r="KF5" i="6"/>
  <c r="KH5" i="6" s="1"/>
  <c r="KD5" i="6"/>
  <c r="JT5" i="6"/>
  <c r="JJ5" i="6"/>
  <c r="JL5" i="6" s="1"/>
  <c r="JN5" i="6" s="1"/>
  <c r="IZ5" i="6"/>
  <c r="JB5" i="6" s="1"/>
  <c r="JD5" i="6" s="1"/>
  <c r="IR5" i="6"/>
  <c r="IT5" i="6" s="1"/>
  <c r="IP5" i="6"/>
  <c r="IF5" i="6"/>
  <c r="HX5" i="6"/>
  <c r="HZ5" i="6" s="1"/>
  <c r="HV5" i="6"/>
  <c r="HN5" i="6"/>
  <c r="HP5" i="6" s="1"/>
  <c r="HL5" i="6"/>
  <c r="HD5" i="6"/>
  <c r="HF5" i="6" s="1"/>
  <c r="HB5" i="6"/>
  <c r="GT5" i="6"/>
  <c r="GV5" i="6" s="1"/>
  <c r="GR5" i="6"/>
  <c r="GH5" i="6"/>
  <c r="GJ5" i="6" s="1"/>
  <c r="GL5" i="6" s="1"/>
  <c r="FX5" i="6"/>
  <c r="FN5" i="6"/>
  <c r="FZ5" i="6" s="1"/>
  <c r="GB5" i="6" s="1"/>
  <c r="FD5" i="6"/>
  <c r="FF5" i="6" s="1"/>
  <c r="FH5" i="6" s="1"/>
  <c r="EV5" i="6"/>
  <c r="EX5" i="6" s="1"/>
  <c r="ET5" i="6"/>
  <c r="EJ5" i="6"/>
  <c r="DZ5" i="6"/>
  <c r="DP5" i="6"/>
  <c r="DF5" i="6"/>
  <c r="DH5" i="6" s="1"/>
  <c r="DJ5" i="6" s="1"/>
  <c r="CV5" i="6"/>
  <c r="CX5" i="6" s="1"/>
  <c r="CZ5" i="6" s="1"/>
  <c r="CL5" i="6"/>
  <c r="CN5" i="6" s="1"/>
  <c r="CP5" i="6" s="1"/>
  <c r="CB5" i="6"/>
  <c r="BR5" i="6"/>
  <c r="CD5" i="6" s="1"/>
  <c r="CF5" i="6" s="1"/>
  <c r="BJ5" i="6"/>
  <c r="BL5" i="6" s="1"/>
  <c r="BH5" i="6"/>
  <c r="AX5" i="6"/>
  <c r="AZ5" i="6" s="1"/>
  <c r="BB5" i="6" s="1"/>
  <c r="AR5" i="6"/>
  <c r="AP5" i="6"/>
  <c r="AN5" i="6"/>
  <c r="AD5" i="6"/>
  <c r="AF5" i="6" s="1"/>
  <c r="AH5" i="6" s="1"/>
  <c r="V5" i="6"/>
  <c r="X5" i="6" s="1"/>
  <c r="T5" i="6"/>
  <c r="N5" i="6"/>
  <c r="TN4" i="6"/>
  <c r="TJ4" i="6"/>
  <c r="TL4" i="6" s="1"/>
  <c r="SZ4" i="6"/>
  <c r="TB4" i="6" s="1"/>
  <c r="SP4" i="6"/>
  <c r="SR4" i="6" s="1"/>
  <c r="ST4" i="6" s="1"/>
  <c r="SH4" i="6"/>
  <c r="SJ4" i="6" s="1"/>
  <c r="SF4" i="6"/>
  <c r="RX4" i="6"/>
  <c r="RZ4" i="6" s="1"/>
  <c r="RV4" i="6"/>
  <c r="RL4" i="6"/>
  <c r="RB4" i="6"/>
  <c r="QR4" i="6"/>
  <c r="QT4" i="6" s="1"/>
  <c r="QV4" i="6" s="1"/>
  <c r="QH4" i="6"/>
  <c r="QJ4" i="6" s="1"/>
  <c r="QL4" i="6" s="1"/>
  <c r="PX4" i="6"/>
  <c r="PZ4" i="6" s="1"/>
  <c r="QB4" i="6" s="1"/>
  <c r="PN4" i="6"/>
  <c r="PP4" i="6" s="1"/>
  <c r="PR4" i="6" s="1"/>
  <c r="PD4" i="6"/>
  <c r="OT4" i="6"/>
  <c r="OJ4" i="6"/>
  <c r="OL4" i="6" s="1"/>
  <c r="ON4" i="6" s="1"/>
  <c r="OB4" i="6"/>
  <c r="OD4" i="6" s="1"/>
  <c r="NZ4" i="6"/>
  <c r="NP4" i="6"/>
  <c r="NR4" i="6" s="1"/>
  <c r="NT4" i="6" s="1"/>
  <c r="NF4" i="6"/>
  <c r="MV4" i="6"/>
  <c r="MX4" i="6" s="1"/>
  <c r="MZ4" i="6" s="1"/>
  <c r="ML4" i="6"/>
  <c r="MN4" i="6" s="1"/>
  <c r="MP4" i="6" s="1"/>
  <c r="MB4" i="6"/>
  <c r="MD4" i="6" s="1"/>
  <c r="MF4" i="6" s="1"/>
  <c r="LT4" i="6"/>
  <c r="LV4" i="6" s="1"/>
  <c r="LH4" i="6"/>
  <c r="KX4" i="6"/>
  <c r="KN4" i="6"/>
  <c r="KZ4" i="6" s="1"/>
  <c r="LB4" i="6" s="1"/>
  <c r="KD4" i="6"/>
  <c r="JT4" i="6"/>
  <c r="KF4" i="6" s="1"/>
  <c r="KH4" i="6" s="1"/>
  <c r="JJ4" i="6"/>
  <c r="JL4" i="6" s="1"/>
  <c r="JN4" i="6" s="1"/>
  <c r="IZ4" i="6"/>
  <c r="JB4" i="6" s="1"/>
  <c r="JD4" i="6" s="1"/>
  <c r="IP4" i="6"/>
  <c r="IR4" i="6" s="1"/>
  <c r="IT4" i="6" s="1"/>
  <c r="IF4" i="6"/>
  <c r="HV4" i="6"/>
  <c r="IH4" i="6" s="1"/>
  <c r="IJ4" i="6" s="1"/>
  <c r="HL4" i="6"/>
  <c r="HX4" i="6" s="1"/>
  <c r="HZ4" i="6" s="1"/>
  <c r="HD4" i="6"/>
  <c r="HF4" i="6" s="1"/>
  <c r="HB4" i="6"/>
  <c r="GR4" i="6"/>
  <c r="GH4" i="6"/>
  <c r="GT4" i="6" s="1"/>
  <c r="GV4" i="6" s="1"/>
  <c r="FY4" i="6"/>
  <c r="FX4" i="6"/>
  <c r="FN4" i="6"/>
  <c r="FP4" i="6" s="1"/>
  <c r="FR4" i="6" s="1"/>
  <c r="FD4" i="6"/>
  <c r="FF4" i="6" s="1"/>
  <c r="FH4" i="6" s="1"/>
  <c r="ET4" i="6"/>
  <c r="EV4" i="6" s="1"/>
  <c r="EX4" i="6" s="1"/>
  <c r="EJ4" i="6"/>
  <c r="DZ4" i="6"/>
  <c r="EL4" i="6" s="1"/>
  <c r="EN4" i="6" s="1"/>
  <c r="DP4" i="6"/>
  <c r="DR4" i="6" s="1"/>
  <c r="DT4" i="6" s="1"/>
  <c r="DH4" i="6"/>
  <c r="DJ4" i="6" s="1"/>
  <c r="DF4" i="6"/>
  <c r="CV4" i="6"/>
  <c r="CX4" i="6" s="1"/>
  <c r="CZ4" i="6" s="1"/>
  <c r="CL4" i="6"/>
  <c r="CB4" i="6"/>
  <c r="CD4" i="6" s="1"/>
  <c r="CF4" i="6" s="1"/>
  <c r="BR4" i="6"/>
  <c r="BT4" i="6" s="1"/>
  <c r="BV4" i="6" s="1"/>
  <c r="BH4" i="6"/>
  <c r="AX4" i="6"/>
  <c r="AZ4" i="6" s="1"/>
  <c r="BB4" i="6" s="1"/>
  <c r="AN4" i="6"/>
  <c r="AP4" i="6" s="1"/>
  <c r="AR4" i="6" s="1"/>
  <c r="AD4" i="6"/>
  <c r="AF4" i="6" s="1"/>
  <c r="AH4" i="6" s="1"/>
  <c r="V4" i="6"/>
  <c r="X4" i="6" s="1"/>
  <c r="T4" i="6"/>
  <c r="N4" i="6"/>
  <c r="TN3" i="6"/>
  <c r="TJ3" i="6"/>
  <c r="TL3" i="6" s="1"/>
  <c r="SZ3" i="6"/>
  <c r="SP3" i="6"/>
  <c r="SR3" i="6" s="1"/>
  <c r="ST3" i="6" s="1"/>
  <c r="SF3" i="6"/>
  <c r="SH3" i="6" s="1"/>
  <c r="SJ3" i="6" s="1"/>
  <c r="RV3" i="6"/>
  <c r="RL3" i="6"/>
  <c r="RB3" i="6"/>
  <c r="RD3" i="6" s="1"/>
  <c r="RF3" i="6" s="1"/>
  <c r="QT3" i="6"/>
  <c r="QV3" i="6" s="1"/>
  <c r="QR3" i="6"/>
  <c r="QL3" i="6"/>
  <c r="QJ3" i="6"/>
  <c r="QH3" i="6"/>
  <c r="PX3" i="6"/>
  <c r="PZ3" i="6" s="1"/>
  <c r="QB3" i="6" s="1"/>
  <c r="PN3" i="6"/>
  <c r="PD3" i="6"/>
  <c r="OT3" i="6"/>
  <c r="OV3" i="6" s="1"/>
  <c r="OX3" i="6" s="1"/>
  <c r="OL3" i="6"/>
  <c r="ON3" i="6" s="1"/>
  <c r="OJ3" i="6"/>
  <c r="NZ3" i="6"/>
  <c r="NP3" i="6"/>
  <c r="NF3" i="6"/>
  <c r="MV3" i="6"/>
  <c r="ML3" i="6"/>
  <c r="MB3" i="6"/>
  <c r="MN3" i="6" s="1"/>
  <c r="MP3" i="6" s="1"/>
  <c r="LT3" i="6"/>
  <c r="LV3" i="6" s="1"/>
  <c r="LH3" i="6"/>
  <c r="LJ3" i="6" s="1"/>
  <c r="LL3" i="6" s="1"/>
  <c r="KZ3" i="6"/>
  <c r="LB3" i="6" s="1"/>
  <c r="KX3" i="6"/>
  <c r="KN3" i="6"/>
  <c r="KD3" i="6"/>
  <c r="KF3" i="6" s="1"/>
  <c r="KH3" i="6" s="1"/>
  <c r="JT3" i="6"/>
  <c r="JV3" i="6" s="1"/>
  <c r="JX3" i="6" s="1"/>
  <c r="JL3" i="6"/>
  <c r="JN3" i="6" s="1"/>
  <c r="JJ3" i="6"/>
  <c r="JB3" i="6"/>
  <c r="JD3" i="6" s="1"/>
  <c r="IZ3" i="6"/>
  <c r="IP3" i="6"/>
  <c r="IR3" i="6" s="1"/>
  <c r="IT3" i="6" s="1"/>
  <c r="IF3" i="6"/>
  <c r="HV3" i="6"/>
  <c r="IH3" i="6" s="1"/>
  <c r="IJ3" i="6" s="1"/>
  <c r="HN3" i="6"/>
  <c r="HP3" i="6" s="1"/>
  <c r="HL3" i="6"/>
  <c r="HB3" i="6"/>
  <c r="GR3" i="6"/>
  <c r="GH3" i="6"/>
  <c r="FX3" i="6"/>
  <c r="FZ3" i="6" s="1"/>
  <c r="GB3" i="6" s="1"/>
  <c r="FN3" i="6"/>
  <c r="FP3" i="6" s="1"/>
  <c r="FR3" i="6" s="1"/>
  <c r="FD3" i="6"/>
  <c r="FF3" i="6" s="1"/>
  <c r="FH3" i="6" s="1"/>
  <c r="ET3" i="6"/>
  <c r="EJ3" i="6"/>
  <c r="EV3" i="6" s="1"/>
  <c r="EX3" i="6" s="1"/>
  <c r="DZ3" i="6"/>
  <c r="EL3" i="6" s="1"/>
  <c r="EN3" i="6" s="1"/>
  <c r="DR3" i="6"/>
  <c r="DT3" i="6" s="1"/>
  <c r="DP3" i="6"/>
  <c r="DF3" i="6"/>
  <c r="DH3" i="6" s="1"/>
  <c r="DJ3" i="6" s="1"/>
  <c r="CX3" i="6"/>
  <c r="CZ3" i="6" s="1"/>
  <c r="CV3" i="6"/>
  <c r="CL3" i="6"/>
  <c r="CN3" i="6" s="1"/>
  <c r="CP3" i="6" s="1"/>
  <c r="CD3" i="6"/>
  <c r="CF3" i="6" s="1"/>
  <c r="CB3" i="6"/>
  <c r="BR3" i="6"/>
  <c r="BH3" i="6"/>
  <c r="BJ3" i="6" s="1"/>
  <c r="BL3" i="6" s="1"/>
  <c r="BB3" i="6"/>
  <c r="AX3" i="6"/>
  <c r="AZ3" i="6" s="1"/>
  <c r="AR3" i="6"/>
  <c r="AP3" i="6"/>
  <c r="AN3" i="6"/>
  <c r="AF3" i="6"/>
  <c r="AH3" i="6" s="1"/>
  <c r="AD3" i="6"/>
  <c r="X3" i="6"/>
  <c r="T3" i="6"/>
  <c r="V3" i="6" s="1"/>
  <c r="N3" i="6"/>
  <c r="B1" i="6"/>
  <c r="KZ6" i="6" l="1"/>
  <c r="LB6" i="6" s="1"/>
  <c r="JL9" i="6"/>
  <c r="JN9" i="6" s="1"/>
  <c r="QJ13" i="6"/>
  <c r="QL13" i="6" s="1"/>
  <c r="MD3" i="6"/>
  <c r="MF3" i="6" s="1"/>
  <c r="OV7" i="6"/>
  <c r="OX7" i="6" s="1"/>
  <c r="OL7" i="6"/>
  <c r="ON7" i="6" s="1"/>
  <c r="KP8" i="6"/>
  <c r="KR8" i="6" s="1"/>
  <c r="CD10" i="6"/>
  <c r="CF10" i="6" s="1"/>
  <c r="FP10" i="6"/>
  <c r="FR10" i="6" s="1"/>
  <c r="RD13" i="6"/>
  <c r="RF13" i="6" s="1"/>
  <c r="OV15" i="6"/>
  <c r="OX15" i="6" s="1"/>
  <c r="PF15" i="6"/>
  <c r="PH15" i="6" s="1"/>
  <c r="CX7" i="6"/>
  <c r="CZ7" i="6" s="1"/>
  <c r="DH7" i="6"/>
  <c r="DJ7" i="6" s="1"/>
  <c r="FP5" i="6"/>
  <c r="FR5" i="6" s="1"/>
  <c r="DH8" i="6"/>
  <c r="DJ8" i="6" s="1"/>
  <c r="MX5" i="6"/>
  <c r="MZ5" i="6" s="1"/>
  <c r="DR8" i="6"/>
  <c r="DT8" i="6" s="1"/>
  <c r="NH8" i="6"/>
  <c r="NJ8" i="6" s="1"/>
  <c r="PZ9" i="6"/>
  <c r="QB9" i="6" s="1"/>
  <c r="JV5" i="6"/>
  <c r="JX5" i="6" s="1"/>
  <c r="TB3" i="6"/>
  <c r="TD3" i="6" s="1"/>
  <c r="GJ9" i="6"/>
  <c r="GL9" i="6" s="1"/>
  <c r="QT5" i="6"/>
  <c r="QV5" i="6" s="1"/>
  <c r="FF7" i="6"/>
  <c r="FH7" i="6" s="1"/>
  <c r="AZ8" i="6"/>
  <c r="BB8" i="6" s="1"/>
  <c r="RD8" i="6"/>
  <c r="RF8" i="6" s="1"/>
  <c r="NH9" i="6"/>
  <c r="NJ9" i="6" s="1"/>
  <c r="QT9" i="6"/>
  <c r="QV9" i="6" s="1"/>
  <c r="RX14" i="6"/>
  <c r="RZ14" i="6" s="1"/>
  <c r="IR9" i="6"/>
  <c r="IT9" i="6" s="1"/>
  <c r="BT3" i="6"/>
  <c r="BV3" i="6" s="1"/>
  <c r="HN10" i="6"/>
  <c r="HP10" i="6" s="1"/>
  <c r="HN4" i="6"/>
  <c r="HP4" i="6" s="1"/>
  <c r="OV10" i="6"/>
  <c r="OX10" i="6" s="1"/>
  <c r="PF4" i="6"/>
  <c r="PH4" i="6" s="1"/>
  <c r="OV4" i="6"/>
  <c r="OX4" i="6" s="1"/>
  <c r="PZ16" i="6"/>
  <c r="QB16" i="6" s="1"/>
  <c r="PP16" i="6"/>
  <c r="PR16" i="6" s="1"/>
  <c r="NH3" i="6"/>
  <c r="NJ3" i="6" s="1"/>
  <c r="MX3" i="6"/>
  <c r="MZ3" i="6" s="1"/>
  <c r="GT6" i="6"/>
  <c r="GV6" i="6" s="1"/>
  <c r="JL7" i="6"/>
  <c r="JN7" i="6" s="1"/>
  <c r="MX10" i="6"/>
  <c r="MZ10" i="6" s="1"/>
  <c r="RN10" i="6"/>
  <c r="RP10" i="6" s="1"/>
  <c r="RD10" i="6"/>
  <c r="RF10" i="6" s="1"/>
  <c r="KF10" i="6"/>
  <c r="KH10" i="6" s="1"/>
  <c r="GT7" i="6"/>
  <c r="GV7" i="6" s="1"/>
  <c r="LJ9" i="6"/>
  <c r="LL9" i="6" s="1"/>
  <c r="EV10" i="6"/>
  <c r="EX10" i="6" s="1"/>
  <c r="EL10" i="6"/>
  <c r="EN10" i="6" s="1"/>
  <c r="HX3" i="6"/>
  <c r="HZ3" i="6" s="1"/>
  <c r="RN3" i="6"/>
  <c r="RP3" i="6" s="1"/>
  <c r="JV4" i="6"/>
  <c r="JX4" i="6" s="1"/>
  <c r="BT6" i="6"/>
  <c r="BV6" i="6" s="1"/>
  <c r="RX10" i="6"/>
  <c r="RZ10" i="6" s="1"/>
  <c r="SH10" i="6"/>
  <c r="SJ10" i="6" s="1"/>
  <c r="RN7" i="6"/>
  <c r="RP7" i="6" s="1"/>
  <c r="RD7" i="6"/>
  <c r="RF7" i="6" s="1"/>
  <c r="BJ4" i="6"/>
  <c r="BL4" i="6" s="1"/>
  <c r="DR5" i="6"/>
  <c r="DT5" i="6" s="1"/>
  <c r="QT13" i="6"/>
  <c r="QV13" i="6" s="1"/>
  <c r="IH8" i="6"/>
  <c r="IJ8" i="6" s="1"/>
  <c r="QT16" i="6"/>
  <c r="QV16" i="6" s="1"/>
  <c r="QJ16" i="6"/>
  <c r="QL16" i="6" s="1"/>
  <c r="TB5" i="6"/>
  <c r="TD5" i="6" s="1"/>
  <c r="AF7" i="6"/>
  <c r="AH7" i="6" s="1"/>
  <c r="CN9" i="6"/>
  <c r="CP9" i="6" s="1"/>
  <c r="CD9" i="6"/>
  <c r="CF9" i="6" s="1"/>
  <c r="RD4" i="6"/>
  <c r="RF4" i="6" s="1"/>
  <c r="SR9" i="6"/>
  <c r="ST9" i="6" s="1"/>
  <c r="TB9" i="6"/>
  <c r="TD9" i="6" s="1"/>
  <c r="RX6" i="6"/>
  <c r="RZ6" i="6" s="1"/>
  <c r="PF3" i="6"/>
  <c r="PH3" i="6" s="1"/>
  <c r="EB6" i="6"/>
  <c r="ED6" i="6" s="1"/>
  <c r="CD6" i="6"/>
  <c r="CF6" i="6" s="1"/>
  <c r="QJ6" i="6"/>
  <c r="QL6" i="6" s="1"/>
  <c r="JB8" i="6"/>
  <c r="JD8" i="6" s="1"/>
  <c r="IR8" i="6"/>
  <c r="IT8" i="6" s="1"/>
  <c r="EV9" i="6"/>
  <c r="EX9" i="6" s="1"/>
  <c r="AZ10" i="6"/>
  <c r="BB10" i="6" s="1"/>
  <c r="OL13" i="6"/>
  <c r="ON13" i="6" s="1"/>
  <c r="PZ14" i="6"/>
  <c r="QB14" i="6" s="1"/>
  <c r="RN15" i="6"/>
  <c r="RP15" i="6" s="1"/>
  <c r="SR16" i="6"/>
  <c r="EB3" i="6"/>
  <c r="ED3" i="6" s="1"/>
  <c r="GJ3" i="6"/>
  <c r="GL3" i="6" s="1"/>
  <c r="EB4" i="6"/>
  <c r="ED4" i="6" s="1"/>
  <c r="KP4" i="6"/>
  <c r="KR4" i="6" s="1"/>
  <c r="RN4" i="6"/>
  <c r="RP4" i="6" s="1"/>
  <c r="BT5" i="6"/>
  <c r="BV5" i="6" s="1"/>
  <c r="EB5" i="6"/>
  <c r="ED5" i="6" s="1"/>
  <c r="V6" i="6"/>
  <c r="X6" i="6" s="1"/>
  <c r="CN6" i="6"/>
  <c r="CP6" i="6" s="1"/>
  <c r="JL6" i="6"/>
  <c r="JN6" i="6" s="1"/>
  <c r="OB6" i="6"/>
  <c r="OD6" i="6" s="1"/>
  <c r="AZ7" i="6"/>
  <c r="BB7" i="6" s="1"/>
  <c r="PF7" i="6"/>
  <c r="PH7" i="6" s="1"/>
  <c r="GJ8" i="6"/>
  <c r="GL8" i="6" s="1"/>
  <c r="PZ8" i="6"/>
  <c r="QB8" i="6" s="1"/>
  <c r="SH8" i="6"/>
  <c r="SJ8" i="6" s="1"/>
  <c r="AF9" i="6"/>
  <c r="AH9" i="6" s="1"/>
  <c r="OL9" i="6"/>
  <c r="ON9" i="6" s="1"/>
  <c r="KP10" i="6"/>
  <c r="KR10" i="6" s="1"/>
  <c r="RN13" i="6"/>
  <c r="RP13" i="6" s="1"/>
  <c r="QJ14" i="6"/>
  <c r="QL14" i="6" s="1"/>
  <c r="KP3" i="6"/>
  <c r="KR3" i="6" s="1"/>
  <c r="IH5" i="6"/>
  <c r="IJ5" i="6" s="1"/>
  <c r="PF5" i="6"/>
  <c r="PH5" i="6" s="1"/>
  <c r="RX3" i="6"/>
  <c r="RZ3" i="6" s="1"/>
  <c r="GT3" i="6"/>
  <c r="GV3" i="6" s="1"/>
  <c r="PP3" i="6"/>
  <c r="PR3" i="6" s="1"/>
  <c r="NH4" i="6"/>
  <c r="NJ4" i="6" s="1"/>
  <c r="EL5" i="6"/>
  <c r="EN5" i="6" s="1"/>
  <c r="KZ5" i="6"/>
  <c r="LB5" i="6" s="1"/>
  <c r="MD6" i="6"/>
  <c r="MF6" i="6" s="1"/>
  <c r="DR7" i="6"/>
  <c r="DT7" i="6" s="1"/>
  <c r="IH7" i="6"/>
  <c r="IJ7" i="6" s="1"/>
  <c r="CX9" i="6"/>
  <c r="CZ9" i="6" s="1"/>
  <c r="RD9" i="6"/>
  <c r="RF9" i="6" s="1"/>
  <c r="DR10" i="6"/>
  <c r="DT10" i="6" s="1"/>
  <c r="JV9" i="6"/>
  <c r="JX9" i="6" s="1"/>
  <c r="NH10" i="6"/>
  <c r="NJ10" i="6" s="1"/>
  <c r="NR3" i="6"/>
  <c r="NT3" i="6" s="1"/>
  <c r="NR5" i="6"/>
  <c r="NT5" i="6" s="1"/>
  <c r="HN6" i="6"/>
  <c r="HP6" i="6" s="1"/>
  <c r="KZ7" i="6"/>
  <c r="LB7" i="6" s="1"/>
  <c r="OB8" i="6"/>
  <c r="OD8" i="6" s="1"/>
  <c r="KF9" i="6"/>
  <c r="KH9" i="6" s="1"/>
  <c r="GJ10" i="6"/>
  <c r="GL10" i="6" s="1"/>
  <c r="NR10" i="6"/>
  <c r="NT10" i="6" s="1"/>
  <c r="SR10" i="6"/>
  <c r="ST10" i="6" s="1"/>
  <c r="PP15" i="6"/>
  <c r="PR15" i="6" s="1"/>
  <c r="RD16" i="6"/>
  <c r="RF16" i="6" s="1"/>
  <c r="JB6" i="6"/>
  <c r="JD6" i="6" s="1"/>
  <c r="PP8" i="6"/>
  <c r="PR8" i="6" s="1"/>
  <c r="FP7" i="6"/>
  <c r="FR7" i="6" s="1"/>
  <c r="QT6" i="6"/>
  <c r="QV6" i="6" s="1"/>
  <c r="FZ10" i="6"/>
  <c r="GB10" i="6" s="1"/>
  <c r="HD3" i="6"/>
  <c r="HF3" i="6" s="1"/>
  <c r="CN4" i="6"/>
  <c r="CP4" i="6" s="1"/>
  <c r="HX6" i="6"/>
  <c r="HZ6" i="6" s="1"/>
  <c r="OV6" i="6"/>
  <c r="OX6" i="6" s="1"/>
  <c r="EV8" i="6"/>
  <c r="EX8" i="6" s="1"/>
  <c r="OL8" i="6"/>
  <c r="ON8" i="6" s="1"/>
  <c r="RN9" i="6"/>
  <c r="RP9" i="6" s="1"/>
  <c r="PZ15" i="6"/>
  <c r="QB15" i="6" s="1"/>
  <c r="FZ4" i="6"/>
  <c r="GB4" i="6" s="1"/>
  <c r="GJ4" i="6"/>
  <c r="GL4" i="6" s="1"/>
  <c r="KP7" i="6"/>
  <c r="KR7" i="6" s="1"/>
  <c r="OB3" i="6"/>
  <c r="OD3" i="6" s="1"/>
  <c r="LJ4" i="6"/>
  <c r="LL4" i="6" s="1"/>
  <c r="PZ7" i="6"/>
  <c r="QB7" i="6" s="1"/>
  <c r="LT10" i="6"/>
  <c r="LV10" i="6" s="1"/>
  <c r="LJ10" i="6"/>
  <c r="LL10" i="6" s="1"/>
  <c r="QJ15" i="6"/>
  <c r="SZ14" i="2" l="1"/>
  <c r="SZ13" i="2"/>
  <c r="SZ10" i="2"/>
  <c r="SZ9" i="2"/>
  <c r="SZ8" i="2"/>
  <c r="SZ7" i="2"/>
  <c r="SZ6" i="2"/>
  <c r="SZ5" i="2"/>
  <c r="SZ4" i="2"/>
  <c r="SZ3" i="2"/>
  <c r="W18" i="4"/>
  <c r="SP14" i="2" l="1"/>
  <c r="TB14" i="2" s="1"/>
  <c r="TD14" i="2" s="1"/>
  <c r="SP13" i="2"/>
  <c r="TB13" i="2" s="1"/>
  <c r="TD13" i="2" s="1"/>
  <c r="SP10" i="2"/>
  <c r="TB10" i="2" s="1"/>
  <c r="TD10" i="2" s="1"/>
  <c r="SP9" i="2"/>
  <c r="SP8" i="2"/>
  <c r="SP7" i="2"/>
  <c r="SP6" i="2"/>
  <c r="SP5" i="2"/>
  <c r="SP4" i="2"/>
  <c r="TB4" i="2" s="1"/>
  <c r="SP3" i="2"/>
  <c r="TB7" i="2" l="1"/>
  <c r="TD7" i="2" s="1"/>
  <c r="TB5" i="2"/>
  <c r="TD5" i="2" s="1"/>
  <c r="TB9" i="2"/>
  <c r="TD9" i="2" s="1"/>
  <c r="TB8" i="2"/>
  <c r="TD8" i="2" s="1"/>
  <c r="TB3" i="2"/>
  <c r="TD3" i="2" s="1"/>
  <c r="TB6" i="2"/>
  <c r="TD6" i="2" s="1"/>
  <c r="SF14" i="2"/>
  <c r="SR14" i="2" s="1"/>
  <c r="ST14" i="2" s="1"/>
  <c r="SF13" i="2"/>
  <c r="SF10" i="2"/>
  <c r="SR10" i="2" s="1"/>
  <c r="ST10" i="2" s="1"/>
  <c r="SF9" i="2"/>
  <c r="SF8" i="2"/>
  <c r="SF7" i="2"/>
  <c r="SF6" i="2"/>
  <c r="SF5" i="2"/>
  <c r="SF4" i="2"/>
  <c r="SF3" i="2"/>
  <c r="SR3" i="2" s="1"/>
  <c r="ST3" i="2" s="1"/>
  <c r="SR8" i="2" l="1"/>
  <c r="ST8" i="2" s="1"/>
  <c r="SR7" i="2"/>
  <c r="ST7" i="2" s="1"/>
  <c r="SR4" i="2"/>
  <c r="ST4" i="2" s="1"/>
  <c r="SH6" i="2"/>
  <c r="SJ6" i="2" s="1"/>
  <c r="SR6" i="2"/>
  <c r="ST6" i="2" s="1"/>
  <c r="SR5" i="2"/>
  <c r="ST5" i="2" s="1"/>
  <c r="SR9" i="2"/>
  <c r="ST9" i="2" s="1"/>
  <c r="SR13" i="2"/>
  <c r="ST13" i="2" s="1"/>
  <c r="RV14" i="2"/>
  <c r="SH14" i="2" s="1"/>
  <c r="SJ14" i="2" s="1"/>
  <c r="RV13" i="2"/>
  <c r="SH13" i="2" s="1"/>
  <c r="SJ13" i="2" s="1"/>
  <c r="RV10" i="2"/>
  <c r="RV9" i="2"/>
  <c r="RV8" i="2"/>
  <c r="RV7" i="2"/>
  <c r="RV6" i="2"/>
  <c r="RV5" i="2"/>
  <c r="RV4" i="2"/>
  <c r="SH4" i="2" s="1"/>
  <c r="SJ4" i="2" s="1"/>
  <c r="RV3" i="2"/>
  <c r="SH9" i="2" l="1"/>
  <c r="SJ9" i="2" s="1"/>
  <c r="SH7" i="2"/>
  <c r="SJ7" i="2" s="1"/>
  <c r="SH8" i="2"/>
  <c r="SJ8" i="2" s="1"/>
  <c r="RX6" i="2"/>
  <c r="RZ6" i="2" s="1"/>
  <c r="SH5" i="2"/>
  <c r="SJ5" i="2" s="1"/>
  <c r="SH10" i="2"/>
  <c r="SJ10" i="2" s="1"/>
  <c r="SH3" i="2"/>
  <c r="SJ3" i="2" s="1"/>
  <c r="RL14" i="2"/>
  <c r="RX14" i="2" s="1"/>
  <c r="RZ14" i="2" s="1"/>
  <c r="RL13" i="2"/>
  <c r="RL10" i="2"/>
  <c r="RL9" i="2"/>
  <c r="RL8" i="2"/>
  <c r="RL7" i="2"/>
  <c r="RX7" i="2" s="1"/>
  <c r="RZ7" i="2" s="1"/>
  <c r="RL6" i="2"/>
  <c r="RL5" i="2"/>
  <c r="RX5" i="2" s="1"/>
  <c r="RZ5" i="2" s="1"/>
  <c r="RL4" i="2"/>
  <c r="RX4" i="2" s="1"/>
  <c r="RZ4" i="2" s="1"/>
  <c r="RL3" i="2"/>
  <c r="RX3" i="2" s="1"/>
  <c r="RZ3" i="2" s="1"/>
  <c r="RX10" i="2" l="1"/>
  <c r="RZ10" i="2" s="1"/>
  <c r="RX13" i="2"/>
  <c r="RZ13" i="2" s="1"/>
  <c r="RX8" i="2"/>
  <c r="RZ8" i="2" s="1"/>
  <c r="RN7" i="2"/>
  <c r="RP7" i="2" s="1"/>
  <c r="RX9" i="2"/>
  <c r="RZ9" i="2" s="1"/>
  <c r="Z6" i="4"/>
  <c r="Z7" i="4"/>
  <c r="Z8" i="4"/>
  <c r="Z9" i="4"/>
  <c r="Z10" i="4"/>
  <c r="RB14" i="2"/>
  <c r="RN14" i="2" s="1"/>
  <c r="RP14" i="2" s="1"/>
  <c r="RB13" i="2"/>
  <c r="RB10" i="2"/>
  <c r="RB9" i="2"/>
  <c r="RN9" i="2" s="1"/>
  <c r="RP9" i="2" s="1"/>
  <c r="RB8" i="2"/>
  <c r="RB7" i="2"/>
  <c r="RB6" i="2"/>
  <c r="RN6" i="2" s="1"/>
  <c r="RP6" i="2" s="1"/>
  <c r="RB5" i="2"/>
  <c r="RN5" i="2" s="1"/>
  <c r="RP5" i="2" s="1"/>
  <c r="RB4" i="2"/>
  <c r="RB3" i="2"/>
  <c r="RN4" i="2" l="1"/>
  <c r="RP4" i="2" s="1"/>
  <c r="RN10" i="2"/>
  <c r="RP10" i="2" s="1"/>
  <c r="RN3" i="2"/>
  <c r="RP3" i="2" s="1"/>
  <c r="RN13" i="2"/>
  <c r="RP13" i="2" s="1"/>
  <c r="RN8" i="2"/>
  <c r="RP8" i="2" s="1"/>
  <c r="QR14" i="2"/>
  <c r="RD14" i="2" s="1"/>
  <c r="RF14" i="2" s="1"/>
  <c r="QR13" i="2"/>
  <c r="QR10" i="2"/>
  <c r="QR9" i="2"/>
  <c r="RD9" i="2" s="1"/>
  <c r="RF9" i="2" s="1"/>
  <c r="QR8" i="2"/>
  <c r="RD8" i="2" s="1"/>
  <c r="RF8" i="2" s="1"/>
  <c r="QR7" i="2"/>
  <c r="QR6" i="2"/>
  <c r="RD6" i="2" s="1"/>
  <c r="RF6" i="2" s="1"/>
  <c r="QR5" i="2"/>
  <c r="QR4" i="2"/>
  <c r="QR3" i="2"/>
  <c r="RD7" i="2" l="1"/>
  <c r="RF7" i="2" s="1"/>
  <c r="RD4" i="2"/>
  <c r="RF4" i="2" s="1"/>
  <c r="RD3" i="2"/>
  <c r="RF3" i="2" s="1"/>
  <c r="RD5" i="2"/>
  <c r="RF5" i="2" s="1"/>
  <c r="RD13" i="2"/>
  <c r="RF13" i="2" s="1"/>
  <c r="RD10" i="2"/>
  <c r="RF10" i="2" s="1"/>
  <c r="QL14" i="2"/>
  <c r="QH14" i="2"/>
  <c r="QH13" i="2"/>
  <c r="QT13" i="2" s="1"/>
  <c r="QV13" i="2" s="1"/>
  <c r="QH10" i="2"/>
  <c r="QH9" i="2"/>
  <c r="QT9" i="2" s="1"/>
  <c r="QV9" i="2" s="1"/>
  <c r="QH8" i="2"/>
  <c r="QH7" i="2"/>
  <c r="QH6" i="2"/>
  <c r="QH5" i="2"/>
  <c r="QH4" i="2"/>
  <c r="QT4" i="2" s="1"/>
  <c r="QV4" i="2" s="1"/>
  <c r="QH3" i="2"/>
  <c r="QT5" i="2" l="1"/>
  <c r="QV5" i="2" s="1"/>
  <c r="QT10" i="2"/>
  <c r="QV10" i="2" s="1"/>
  <c r="QT8" i="2"/>
  <c r="QV8" i="2" s="1"/>
  <c r="QT14" i="2"/>
  <c r="QV14" i="2" s="1"/>
  <c r="QT6" i="2"/>
  <c r="QV6" i="2" s="1"/>
  <c r="QT3" i="2"/>
  <c r="QV3" i="2" s="1"/>
  <c r="QT7" i="2"/>
  <c r="QV7" i="2" s="1"/>
  <c r="PX14" i="2"/>
  <c r="QJ14" i="2" s="1"/>
  <c r="PX13" i="2"/>
  <c r="PX10" i="2"/>
  <c r="PX9" i="2"/>
  <c r="QJ9" i="2" s="1"/>
  <c r="QL9" i="2" s="1"/>
  <c r="PX8" i="2"/>
  <c r="PX7" i="2"/>
  <c r="PX6" i="2"/>
  <c r="QJ6" i="2" s="1"/>
  <c r="QL6" i="2" s="1"/>
  <c r="PX5" i="2"/>
  <c r="QJ5" i="2" s="1"/>
  <c r="QL5" i="2" s="1"/>
  <c r="PX4" i="2"/>
  <c r="PX3" i="2"/>
  <c r="QJ4" i="2" l="1"/>
  <c r="QL4" i="2" s="1"/>
  <c r="QJ3" i="2"/>
  <c r="QL3" i="2" s="1"/>
  <c r="QJ7" i="2"/>
  <c r="QL7" i="2" s="1"/>
  <c r="QJ10" i="2"/>
  <c r="QL10" i="2" s="1"/>
  <c r="QJ8" i="2"/>
  <c r="QL8" i="2" s="1"/>
  <c r="QJ13" i="2"/>
  <c r="QL13" i="2" s="1"/>
  <c r="B1" i="2"/>
  <c r="PN14" i="2" l="1"/>
  <c r="PN13" i="2"/>
  <c r="PN10" i="2"/>
  <c r="PN9" i="2"/>
  <c r="PN8" i="2"/>
  <c r="PN7" i="2"/>
  <c r="PN6" i="2"/>
  <c r="PN5" i="2"/>
  <c r="PN4" i="2"/>
  <c r="PN3" i="2"/>
  <c r="PZ5" i="2" l="1"/>
  <c r="QB5" i="2" s="1"/>
  <c r="PZ7" i="2"/>
  <c r="QB7" i="2" s="1"/>
  <c r="PZ9" i="2"/>
  <c r="QB9" i="2" s="1"/>
  <c r="PZ6" i="2"/>
  <c r="QB6" i="2" s="1"/>
  <c r="PP8" i="2"/>
  <c r="PR8" i="2" s="1"/>
  <c r="PZ8" i="2"/>
  <c r="QB8" i="2" s="1"/>
  <c r="PZ10" i="2"/>
  <c r="QB10" i="2" s="1"/>
  <c r="PZ14" i="2"/>
  <c r="QB14" i="2" s="1"/>
  <c r="PZ3" i="2"/>
  <c r="QB3" i="2" s="1"/>
  <c r="PZ4" i="2"/>
  <c r="QB4" i="2" s="1"/>
  <c r="PZ13" i="2"/>
  <c r="QB13" i="2" s="1"/>
  <c r="PD14" i="2"/>
  <c r="PP14" i="2" s="1"/>
  <c r="PR14" i="2" s="1"/>
  <c r="PD13" i="2"/>
  <c r="PP13" i="2" s="1"/>
  <c r="PR13" i="2" s="1"/>
  <c r="PD10" i="2"/>
  <c r="PD9" i="2"/>
  <c r="PP9" i="2" s="1"/>
  <c r="PR9" i="2" s="1"/>
  <c r="PD8" i="2"/>
  <c r="PD7" i="2"/>
  <c r="PD6" i="2"/>
  <c r="PP6" i="2" s="1"/>
  <c r="PR6" i="2" s="1"/>
  <c r="PD5" i="2"/>
  <c r="PD4" i="2"/>
  <c r="PD3" i="2"/>
  <c r="PP10" i="2" l="1"/>
  <c r="PR10" i="2" s="1"/>
  <c r="PP7" i="2"/>
  <c r="PR7" i="2" s="1"/>
  <c r="PF4" i="2"/>
  <c r="PH4" i="2" s="1"/>
  <c r="PP4" i="2"/>
  <c r="PR4" i="2" s="1"/>
  <c r="PP3" i="2"/>
  <c r="PR3" i="2" s="1"/>
  <c r="PP5" i="2"/>
  <c r="PR5" i="2" s="1"/>
  <c r="OT14" i="2"/>
  <c r="OX13" i="2"/>
  <c r="OT13" i="2"/>
  <c r="OT10" i="2"/>
  <c r="OT9" i="2"/>
  <c r="PF9" i="2" s="1"/>
  <c r="PH9" i="2" s="1"/>
  <c r="OT8" i="2"/>
  <c r="PF8" i="2" s="1"/>
  <c r="PH8" i="2" s="1"/>
  <c r="OT7" i="2"/>
  <c r="OT6" i="2"/>
  <c r="PF6" i="2" s="1"/>
  <c r="PH6" i="2" s="1"/>
  <c r="OT5" i="2"/>
  <c r="PF5" i="2" s="1"/>
  <c r="PH5" i="2" s="1"/>
  <c r="OT4" i="2"/>
  <c r="OT3" i="2"/>
  <c r="PF3" i="2" s="1"/>
  <c r="PH3" i="2" s="1"/>
  <c r="PF7" i="2" l="1"/>
  <c r="PH7" i="2" s="1"/>
  <c r="OV5" i="2"/>
  <c r="OX5" i="2" s="1"/>
  <c r="PF10" i="2"/>
  <c r="PH10" i="2" s="1"/>
  <c r="PF13" i="2"/>
  <c r="PH13" i="2" s="1"/>
  <c r="PF14" i="2"/>
  <c r="PH14" i="2" s="1"/>
  <c r="OJ14" i="2"/>
  <c r="OV14" i="2" s="1"/>
  <c r="OX14" i="2" s="1"/>
  <c r="OJ13" i="2"/>
  <c r="OJ10" i="2"/>
  <c r="OV10" i="2" s="1"/>
  <c r="OX10" i="2" s="1"/>
  <c r="OJ9" i="2"/>
  <c r="OJ8" i="2"/>
  <c r="OJ7" i="2"/>
  <c r="OJ6" i="2"/>
  <c r="OV6" i="2" s="1"/>
  <c r="OX6" i="2" s="1"/>
  <c r="OJ5" i="2"/>
  <c r="OJ4" i="2"/>
  <c r="OJ3" i="2"/>
  <c r="Z4" i="4"/>
  <c r="Z5" i="4"/>
  <c r="Z3" i="4"/>
  <c r="OV13" i="2" l="1"/>
  <c r="OV3" i="2"/>
  <c r="OX3" i="2" s="1"/>
  <c r="OV8" i="2"/>
  <c r="OX8" i="2" s="1"/>
  <c r="OV9" i="2"/>
  <c r="OX9" i="2" s="1"/>
  <c r="OV4" i="2"/>
  <c r="OX4" i="2" s="1"/>
  <c r="OV7" i="2"/>
  <c r="OX7" i="2" s="1"/>
  <c r="T14" i="4"/>
  <c r="P14" i="4"/>
  <c r="R14" i="4" s="1"/>
  <c r="T13" i="4"/>
  <c r="P13" i="4"/>
  <c r="R13" i="4" s="1"/>
  <c r="OD14" i="2"/>
  <c r="NZ14" i="2"/>
  <c r="OB14" i="2" s="1"/>
  <c r="OD13" i="2"/>
  <c r="NZ13" i="2"/>
  <c r="OB13" i="2" s="1"/>
  <c r="OL14" i="2" l="1"/>
  <c r="ON14" i="2" s="1"/>
  <c r="OL13" i="2"/>
  <c r="ON13" i="2" s="1"/>
  <c r="T10" i="4"/>
  <c r="P10" i="4"/>
  <c r="R10" i="4" s="1"/>
  <c r="T9" i="4"/>
  <c r="P9" i="4"/>
  <c r="R9" i="4" s="1"/>
  <c r="T8" i="4"/>
  <c r="P8" i="4"/>
  <c r="R8" i="4" s="1"/>
  <c r="T7" i="4"/>
  <c r="P7" i="4"/>
  <c r="R7" i="4" s="1"/>
  <c r="T6" i="4"/>
  <c r="P6" i="4"/>
  <c r="R6" i="4" s="1"/>
  <c r="T5" i="4"/>
  <c r="P5" i="4"/>
  <c r="R5" i="4" s="1"/>
  <c r="T4" i="4"/>
  <c r="P4" i="4"/>
  <c r="R4" i="4" s="1"/>
  <c r="T3" i="4"/>
  <c r="P3" i="4"/>
  <c r="R3" i="4" s="1"/>
  <c r="NZ10" i="2"/>
  <c r="NZ9" i="2"/>
  <c r="NZ8" i="2"/>
  <c r="NZ7" i="2"/>
  <c r="NZ6" i="2"/>
  <c r="NZ5" i="2"/>
  <c r="NZ4" i="2"/>
  <c r="NZ3" i="2"/>
  <c r="OL3" i="2" l="1"/>
  <c r="ON3" i="2" s="1"/>
  <c r="OL5" i="2"/>
  <c r="ON5" i="2" s="1"/>
  <c r="OL6" i="2"/>
  <c r="ON6" i="2" s="1"/>
  <c r="OL8" i="2"/>
  <c r="ON8" i="2" s="1"/>
  <c r="OB4" i="2"/>
  <c r="OD4" i="2" s="1"/>
  <c r="OL4" i="2"/>
  <c r="ON4" i="2" s="1"/>
  <c r="OL7" i="2"/>
  <c r="ON7" i="2" s="1"/>
  <c r="OL9" i="2"/>
  <c r="ON9" i="2" s="1"/>
  <c r="OL10" i="2"/>
  <c r="ON10" i="2" s="1"/>
  <c r="NP10" i="2"/>
  <c r="OB10" i="2" s="1"/>
  <c r="OD10" i="2" s="1"/>
  <c r="NP9" i="2"/>
  <c r="OB9" i="2" s="1"/>
  <c r="OD9" i="2" s="1"/>
  <c r="NP8" i="2"/>
  <c r="OB8" i="2" s="1"/>
  <c r="OD8" i="2" s="1"/>
  <c r="NP7" i="2"/>
  <c r="OB7" i="2" s="1"/>
  <c r="OD7" i="2" s="1"/>
  <c r="NP6" i="2"/>
  <c r="OB6" i="2" s="1"/>
  <c r="OD6" i="2" s="1"/>
  <c r="NP5" i="2"/>
  <c r="OB5" i="2" s="1"/>
  <c r="OD5" i="2" s="1"/>
  <c r="NP4" i="2"/>
  <c r="NP3" i="2"/>
  <c r="OB3" i="2" s="1"/>
  <c r="OD3" i="2" s="1"/>
  <c r="NF10" i="2" l="1"/>
  <c r="NF9" i="2"/>
  <c r="NR9" i="2" s="1"/>
  <c r="NT9" i="2" s="1"/>
  <c r="NF8" i="2"/>
  <c r="NR8" i="2" s="1"/>
  <c r="NT8" i="2" s="1"/>
  <c r="NF7" i="2"/>
  <c r="NR7" i="2" s="1"/>
  <c r="NT7" i="2" s="1"/>
  <c r="NF6" i="2"/>
  <c r="NR6" i="2" s="1"/>
  <c r="NT6" i="2" s="1"/>
  <c r="NF5" i="2"/>
  <c r="NF4" i="2"/>
  <c r="NR4" i="2" s="1"/>
  <c r="NT4" i="2" s="1"/>
  <c r="NF3" i="2"/>
  <c r="NR5" i="2" l="1"/>
  <c r="NT5" i="2" s="1"/>
  <c r="NR10" i="2"/>
  <c r="NT10" i="2" s="1"/>
  <c r="NR3" i="2"/>
  <c r="NT3" i="2" s="1"/>
  <c r="MV10" i="2"/>
  <c r="NH10" i="2" s="1"/>
  <c r="NJ10" i="2" s="1"/>
  <c r="MV9" i="2"/>
  <c r="MV8" i="2"/>
  <c r="MV7" i="2"/>
  <c r="MV6" i="2"/>
  <c r="NH6" i="2" s="1"/>
  <c r="NJ6" i="2" s="1"/>
  <c r="MV5" i="2"/>
  <c r="MV4" i="2"/>
  <c r="NH4" i="2" s="1"/>
  <c r="NJ4" i="2" s="1"/>
  <c r="MV3" i="2"/>
  <c r="NH3" i="2" s="1"/>
  <c r="NJ3" i="2" s="1"/>
  <c r="F3" i="4"/>
  <c r="H3" i="4" s="1"/>
  <c r="J3" i="4"/>
  <c r="F4" i="4"/>
  <c r="H4" i="4" s="1"/>
  <c r="J4" i="4"/>
  <c r="F5" i="4"/>
  <c r="H5" i="4" s="1"/>
  <c r="J5" i="4"/>
  <c r="F6" i="4"/>
  <c r="H6" i="4" s="1"/>
  <c r="J6" i="4"/>
  <c r="F7" i="4"/>
  <c r="H7" i="4" s="1"/>
  <c r="J7" i="4"/>
  <c r="F8" i="4"/>
  <c r="H8" i="4"/>
  <c r="J8" i="4"/>
  <c r="F9" i="4"/>
  <c r="H9" i="4" s="1"/>
  <c r="J9" i="4"/>
  <c r="F10" i="4"/>
  <c r="H10" i="4"/>
  <c r="J10" i="4"/>
  <c r="NH5" i="2" l="1"/>
  <c r="NJ5" i="2" s="1"/>
  <c r="NH7" i="2"/>
  <c r="NJ7" i="2" s="1"/>
  <c r="NH8" i="2"/>
  <c r="NJ8" i="2" s="1"/>
  <c r="NH9" i="2"/>
  <c r="NJ9" i="2" s="1"/>
  <c r="ML10" i="2"/>
  <c r="MX10" i="2" s="1"/>
  <c r="MZ10" i="2" s="1"/>
  <c r="ML9" i="2"/>
  <c r="ML8" i="2"/>
  <c r="MN8" i="2" s="1"/>
  <c r="MP8" i="2" s="1"/>
  <c r="ML7" i="2"/>
  <c r="MN7" i="2" s="1"/>
  <c r="MP7" i="2" s="1"/>
  <c r="ML6" i="2"/>
  <c r="MX6" i="2" s="1"/>
  <c r="MZ6" i="2" s="1"/>
  <c r="ML5" i="2"/>
  <c r="MN5" i="2" s="1"/>
  <c r="MP5" i="2" s="1"/>
  <c r="ML4" i="2"/>
  <c r="MN4" i="2" s="1"/>
  <c r="MP4" i="2" s="1"/>
  <c r="ML3" i="2"/>
  <c r="MX3" i="2" s="1"/>
  <c r="MZ3" i="2" s="1"/>
  <c r="MB10" i="2"/>
  <c r="MD10" i="2" s="1"/>
  <c r="MF10" i="2" s="1"/>
  <c r="MB9" i="2"/>
  <c r="MD9" i="2" s="1"/>
  <c r="MF9" i="2" s="1"/>
  <c r="MB8" i="2"/>
  <c r="MB7" i="2"/>
  <c r="MB6" i="2"/>
  <c r="MB5" i="2"/>
  <c r="MB4" i="2"/>
  <c r="MD4" i="2" s="1"/>
  <c r="MF4" i="2" s="1"/>
  <c r="MB3" i="2"/>
  <c r="MD3" i="2" s="1"/>
  <c r="MF3" i="2" s="1"/>
  <c r="MX5" i="2" l="1"/>
  <c r="MZ5" i="2" s="1"/>
  <c r="MN9" i="2"/>
  <c r="MP9" i="2" s="1"/>
  <c r="MX8" i="2"/>
  <c r="MZ8" i="2" s="1"/>
  <c r="MN10" i="2"/>
  <c r="MP10" i="2" s="1"/>
  <c r="MX4" i="2"/>
  <c r="MZ4" i="2" s="1"/>
  <c r="MN3" i="2"/>
  <c r="MP3" i="2" s="1"/>
  <c r="MX9" i="2"/>
  <c r="MZ9" i="2" s="1"/>
  <c r="MX7" i="2"/>
  <c r="MZ7" i="2" s="1"/>
  <c r="MD6" i="2"/>
  <c r="MF6" i="2" s="1"/>
  <c r="MN6" i="2"/>
  <c r="MP6" i="2" s="1"/>
  <c r="LR8" i="2" l="1"/>
  <c r="LR7" i="2"/>
  <c r="LR5" i="2"/>
  <c r="MD5" i="2" l="1"/>
  <c r="MF5" i="2" s="1"/>
  <c r="MD7" i="2"/>
  <c r="MF7" i="2" s="1"/>
  <c r="MD8" i="2"/>
  <c r="MF8" i="2" s="1"/>
  <c r="LH3" i="2"/>
  <c r="LH4" i="2"/>
  <c r="LH5" i="2"/>
  <c r="LJ5" i="2" s="1"/>
  <c r="LL5" i="2" s="1"/>
  <c r="LH6" i="2"/>
  <c r="LH7" i="2"/>
  <c r="LJ7" i="2" s="1"/>
  <c r="LL7" i="2" s="1"/>
  <c r="LH8" i="2"/>
  <c r="LT8" i="2" s="1"/>
  <c r="LV8" i="2" s="1"/>
  <c r="LH9" i="2"/>
  <c r="LH10" i="2"/>
  <c r="KX10" i="2"/>
  <c r="KX9" i="2"/>
  <c r="KX8" i="2"/>
  <c r="KX7" i="2"/>
  <c r="KX6" i="2"/>
  <c r="KX5" i="2"/>
  <c r="KX4" i="2"/>
  <c r="KX3" i="2"/>
  <c r="LT9" i="2" l="1"/>
  <c r="LV9" i="2" s="1"/>
  <c r="LJ9" i="2"/>
  <c r="LL9" i="2" s="1"/>
  <c r="LT6" i="2"/>
  <c r="LV6" i="2" s="1"/>
  <c r="LJ6" i="2"/>
  <c r="LL6" i="2" s="1"/>
  <c r="LT10" i="2"/>
  <c r="LV10" i="2" s="1"/>
  <c r="LJ10" i="2"/>
  <c r="LL10" i="2" s="1"/>
  <c r="LT3" i="2"/>
  <c r="LV3" i="2" s="1"/>
  <c r="LJ3" i="2"/>
  <c r="LL3" i="2" s="1"/>
  <c r="LT7" i="2"/>
  <c r="LV7" i="2" s="1"/>
  <c r="LJ8" i="2"/>
  <c r="LL8" i="2" s="1"/>
  <c r="LT4" i="2"/>
  <c r="LV4" i="2" s="1"/>
  <c r="LJ4" i="2"/>
  <c r="LL4" i="2" s="1"/>
  <c r="LT5" i="2"/>
  <c r="LV5" i="2" s="1"/>
  <c r="KN10" i="2"/>
  <c r="KZ10" i="2" s="1"/>
  <c r="LB10" i="2" s="1"/>
  <c r="KN9" i="2"/>
  <c r="KZ9" i="2" s="1"/>
  <c r="LB9" i="2" s="1"/>
  <c r="KN8" i="2"/>
  <c r="KZ8" i="2" s="1"/>
  <c r="LB8" i="2" s="1"/>
  <c r="KN7" i="2"/>
  <c r="KZ7" i="2" s="1"/>
  <c r="LB7" i="2" s="1"/>
  <c r="KN6" i="2"/>
  <c r="KZ6" i="2" s="1"/>
  <c r="LB6" i="2" s="1"/>
  <c r="KN5" i="2"/>
  <c r="KZ5" i="2" s="1"/>
  <c r="LB5" i="2" s="1"/>
  <c r="KN4" i="2"/>
  <c r="KN3" i="2"/>
  <c r="KZ3" i="2" s="1"/>
  <c r="LB3" i="2" s="1"/>
  <c r="KD10" i="2"/>
  <c r="KD9" i="2"/>
  <c r="KD8" i="2"/>
  <c r="KD7" i="2"/>
  <c r="KD6" i="2"/>
  <c r="KD5" i="2"/>
  <c r="KD4" i="2"/>
  <c r="KD3" i="2"/>
  <c r="KP4" i="2" l="1"/>
  <c r="KR4" i="2" s="1"/>
  <c r="KZ4" i="2"/>
  <c r="LB4" i="2" s="1"/>
  <c r="KP5" i="2"/>
  <c r="KR5" i="2" s="1"/>
  <c r="KP7" i="2"/>
  <c r="KR7" i="2" s="1"/>
  <c r="KP9" i="2"/>
  <c r="KR9" i="2" s="1"/>
  <c r="KP6" i="2"/>
  <c r="KR6" i="2" s="1"/>
  <c r="KP10" i="2"/>
  <c r="KR10" i="2" s="1"/>
  <c r="KP8" i="2"/>
  <c r="KR8" i="2" s="1"/>
  <c r="KP3" i="2"/>
  <c r="KR3" i="2" s="1"/>
  <c r="JT10" i="2"/>
  <c r="JT9" i="2"/>
  <c r="KF9" i="2" s="1"/>
  <c r="KH9" i="2" s="1"/>
  <c r="JT8" i="2"/>
  <c r="JT7" i="2"/>
  <c r="JT6" i="2"/>
  <c r="JT5" i="2"/>
  <c r="JT4" i="2"/>
  <c r="JT3" i="2"/>
  <c r="KF3" i="2" l="1"/>
  <c r="KH3" i="2" s="1"/>
  <c r="KF4" i="2"/>
  <c r="KH4" i="2" s="1"/>
  <c r="KF10" i="2"/>
  <c r="KH10" i="2" s="1"/>
  <c r="KF6" i="2"/>
  <c r="KH6" i="2" s="1"/>
  <c r="KF5" i="2"/>
  <c r="KH5" i="2" s="1"/>
  <c r="KF8" i="2"/>
  <c r="KH8" i="2" s="1"/>
  <c r="KF7" i="2"/>
  <c r="KH7" i="2" s="1"/>
  <c r="JJ10" i="2"/>
  <c r="JV10" i="2" s="1"/>
  <c r="JX10" i="2" s="1"/>
  <c r="JJ9" i="2"/>
  <c r="JV9" i="2" s="1"/>
  <c r="JX9" i="2" s="1"/>
  <c r="JJ8" i="2"/>
  <c r="JV8" i="2" s="1"/>
  <c r="JX8" i="2" s="1"/>
  <c r="JJ7" i="2"/>
  <c r="JV7" i="2" s="1"/>
  <c r="JX7" i="2" s="1"/>
  <c r="JJ6" i="2"/>
  <c r="JV6" i="2" s="1"/>
  <c r="JX6" i="2" s="1"/>
  <c r="JJ5" i="2"/>
  <c r="JJ4" i="2"/>
  <c r="JV4" i="2" s="1"/>
  <c r="JX4" i="2" s="1"/>
  <c r="JJ3" i="2"/>
  <c r="JV3" i="2" l="1"/>
  <c r="JX3" i="2" s="1"/>
  <c r="JV5" i="2"/>
  <c r="JX5" i="2" s="1"/>
  <c r="IZ10" i="2"/>
  <c r="JL10" i="2" s="1"/>
  <c r="JN10" i="2" s="1"/>
  <c r="IZ9" i="2"/>
  <c r="IZ8" i="2"/>
  <c r="JL8" i="2" s="1"/>
  <c r="JN8" i="2" s="1"/>
  <c r="IZ7" i="2"/>
  <c r="JL7" i="2" s="1"/>
  <c r="JN7" i="2" s="1"/>
  <c r="IZ6" i="2"/>
  <c r="IZ5" i="2"/>
  <c r="IZ4" i="2"/>
  <c r="IZ3" i="2"/>
  <c r="JL4" i="2" l="1"/>
  <c r="JN4" i="2" s="1"/>
  <c r="JL9" i="2"/>
  <c r="JN9" i="2" s="1"/>
  <c r="JL5" i="2"/>
  <c r="JN5" i="2" s="1"/>
  <c r="JL6" i="2"/>
  <c r="JN6" i="2" s="1"/>
  <c r="JL3" i="2"/>
  <c r="JN3" i="2" s="1"/>
  <c r="IP3" i="2"/>
  <c r="IP4" i="2"/>
  <c r="IR4" i="2" s="1"/>
  <c r="IT4" i="2" s="1"/>
  <c r="IP5" i="2"/>
  <c r="JB5" i="2" s="1"/>
  <c r="JD5" i="2" s="1"/>
  <c r="IP6" i="2"/>
  <c r="JB6" i="2" s="1"/>
  <c r="JD6" i="2" s="1"/>
  <c r="IP7" i="2"/>
  <c r="IP8" i="2"/>
  <c r="IR8" i="2" s="1"/>
  <c r="IT8" i="2" s="1"/>
  <c r="IP9" i="2"/>
  <c r="IR9" i="2" s="1"/>
  <c r="IT9" i="2" s="1"/>
  <c r="IP10" i="2"/>
  <c r="IF10" i="2"/>
  <c r="IF9" i="2"/>
  <c r="IF8" i="2"/>
  <c r="IF7" i="2"/>
  <c r="IF6" i="2"/>
  <c r="IF5" i="2"/>
  <c r="IF4" i="2"/>
  <c r="IF3" i="2"/>
  <c r="IR10" i="2" l="1"/>
  <c r="IT10" i="2" s="1"/>
  <c r="JB10" i="2"/>
  <c r="JD10" i="2" s="1"/>
  <c r="IR3" i="2"/>
  <c r="IT3" i="2" s="1"/>
  <c r="IR7" i="2"/>
  <c r="IT7" i="2" s="1"/>
  <c r="IR6" i="2"/>
  <c r="IT6" i="2" s="1"/>
  <c r="IR5" i="2"/>
  <c r="IT5" i="2" s="1"/>
  <c r="JB3" i="2"/>
  <c r="JD3" i="2" s="1"/>
  <c r="IH10" i="2"/>
  <c r="IJ10" i="2" s="1"/>
  <c r="IH5" i="2"/>
  <c r="IJ5" i="2" s="1"/>
  <c r="IH7" i="2"/>
  <c r="IJ7" i="2" s="1"/>
  <c r="JB7" i="2"/>
  <c r="JD7" i="2" s="1"/>
  <c r="JB4" i="2"/>
  <c r="JD4" i="2" s="1"/>
  <c r="JB9" i="2"/>
  <c r="JD9" i="2" s="1"/>
  <c r="JB8" i="2"/>
  <c r="JD8" i="2" s="1"/>
  <c r="HV10" i="2"/>
  <c r="HV9" i="2"/>
  <c r="IH9" i="2" s="1"/>
  <c r="IJ9" i="2" s="1"/>
  <c r="HV8" i="2"/>
  <c r="HV7" i="2"/>
  <c r="HV6" i="2"/>
  <c r="HV5" i="2"/>
  <c r="HV4" i="2"/>
  <c r="HV3" i="2"/>
  <c r="HL10" i="2"/>
  <c r="HL9" i="2"/>
  <c r="HL8" i="2"/>
  <c r="HL7" i="2"/>
  <c r="HL6" i="2"/>
  <c r="HL5" i="2"/>
  <c r="HL4" i="2"/>
  <c r="HL3" i="2"/>
  <c r="HX6" i="2" l="1"/>
  <c r="HZ6" i="2" s="1"/>
  <c r="HX8" i="2"/>
  <c r="HZ8" i="2" s="1"/>
  <c r="HX10" i="2"/>
  <c r="HZ10" i="2" s="1"/>
  <c r="IH6" i="2"/>
  <c r="IJ6" i="2" s="1"/>
  <c r="IH8" i="2"/>
  <c r="IJ8" i="2" s="1"/>
  <c r="HX4" i="2"/>
  <c r="HZ4" i="2" s="1"/>
  <c r="IH4" i="2"/>
  <c r="IJ4" i="2" s="1"/>
  <c r="HN6" i="2"/>
  <c r="HP6" i="2" s="1"/>
  <c r="HX7" i="2"/>
  <c r="HZ7" i="2" s="1"/>
  <c r="HN9" i="2"/>
  <c r="HP9" i="2" s="1"/>
  <c r="HX9" i="2"/>
  <c r="HZ9" i="2" s="1"/>
  <c r="HX3" i="2"/>
  <c r="HZ3" i="2" s="1"/>
  <c r="HX5" i="2"/>
  <c r="HZ5" i="2" s="1"/>
  <c r="IH3" i="2"/>
  <c r="IJ3" i="2" s="1"/>
  <c r="HB10" i="2"/>
  <c r="HB9" i="2"/>
  <c r="HB8" i="2"/>
  <c r="HB7" i="2"/>
  <c r="HB6" i="2"/>
  <c r="HB5" i="2"/>
  <c r="HB4" i="2"/>
  <c r="HN4" i="2" s="1"/>
  <c r="HP4" i="2" s="1"/>
  <c r="HB3" i="2"/>
  <c r="FY4" i="2"/>
  <c r="GR10" i="2"/>
  <c r="GR9" i="2"/>
  <c r="GR8" i="2"/>
  <c r="GR7" i="2"/>
  <c r="GR6" i="2"/>
  <c r="GR5" i="2"/>
  <c r="GR4" i="2"/>
  <c r="GR3" i="2"/>
  <c r="HD7" i="2" l="1"/>
  <c r="HF7" i="2" s="1"/>
  <c r="HD8" i="2"/>
  <c r="HF8" i="2" s="1"/>
  <c r="HD9" i="2"/>
  <c r="HF9" i="2" s="1"/>
  <c r="HD3" i="2"/>
  <c r="HF3" i="2" s="1"/>
  <c r="HD10" i="2"/>
  <c r="HF10" i="2" s="1"/>
  <c r="HN3" i="2"/>
  <c r="HP3" i="2" s="1"/>
  <c r="HD4" i="2"/>
  <c r="HF4" i="2" s="1"/>
  <c r="HN8" i="2"/>
  <c r="HP8" i="2" s="1"/>
  <c r="HN7" i="2"/>
  <c r="HP7" i="2" s="1"/>
  <c r="GT7" i="2"/>
  <c r="GV7" i="2" s="1"/>
  <c r="HD5" i="2"/>
  <c r="HF5" i="2" s="1"/>
  <c r="HN5" i="2"/>
  <c r="HP5" i="2" s="1"/>
  <c r="HN10" i="2"/>
  <c r="HP10" i="2" s="1"/>
  <c r="HD6" i="2"/>
  <c r="HF6" i="2" s="1"/>
  <c r="GH10" i="2"/>
  <c r="GH9" i="2"/>
  <c r="GH8" i="2"/>
  <c r="GH7" i="2"/>
  <c r="GH6" i="2"/>
  <c r="GH5" i="2"/>
  <c r="GT5" i="2" s="1"/>
  <c r="GV5" i="2" s="1"/>
  <c r="GH4" i="2"/>
  <c r="GH3" i="2"/>
  <c r="GT3" i="2" s="1"/>
  <c r="GV3" i="2" s="1"/>
  <c r="GT10" i="2" l="1"/>
  <c r="GV10" i="2" s="1"/>
  <c r="GT9" i="2"/>
  <c r="GV9" i="2" s="1"/>
  <c r="GT8" i="2"/>
  <c r="GV8" i="2" s="1"/>
  <c r="GT4" i="2"/>
  <c r="GV4" i="2" s="1"/>
  <c r="GT6" i="2"/>
  <c r="GV6" i="2" s="1"/>
  <c r="FX10" i="2"/>
  <c r="GJ10" i="2" s="1"/>
  <c r="GL10" i="2" s="1"/>
  <c r="FX9" i="2"/>
  <c r="FX8" i="2"/>
  <c r="FX7" i="2"/>
  <c r="FZ7" i="2" s="1"/>
  <c r="GB7" i="2" s="1"/>
  <c r="FX6" i="2"/>
  <c r="FZ6" i="2" s="1"/>
  <c r="GB6" i="2" s="1"/>
  <c r="FX5" i="2"/>
  <c r="FZ5" i="2" s="1"/>
  <c r="GB5" i="2" s="1"/>
  <c r="FX4" i="2"/>
  <c r="FZ4" i="2" s="1"/>
  <c r="GB4" i="2" s="1"/>
  <c r="FX3" i="2"/>
  <c r="FZ3" i="2" s="1"/>
  <c r="GB3" i="2" s="1"/>
  <c r="FN10" i="2"/>
  <c r="FN9" i="2"/>
  <c r="FN8" i="2"/>
  <c r="FN7" i="2"/>
  <c r="FN6" i="2"/>
  <c r="FN5" i="2"/>
  <c r="FN4" i="2"/>
  <c r="FN3" i="2"/>
  <c r="GJ6" i="2" l="1"/>
  <c r="GL6" i="2" s="1"/>
  <c r="GJ5" i="2"/>
  <c r="GL5" i="2" s="1"/>
  <c r="GJ4" i="2"/>
  <c r="GJ3" i="2"/>
  <c r="GL3" i="2" s="1"/>
  <c r="FP8" i="2"/>
  <c r="FR8" i="2" s="1"/>
  <c r="FZ8" i="2"/>
  <c r="GB8" i="2" s="1"/>
  <c r="GJ8" i="2"/>
  <c r="GL8" i="2" s="1"/>
  <c r="FP9" i="2"/>
  <c r="FR9" i="2" s="1"/>
  <c r="FZ9" i="2"/>
  <c r="GB9" i="2" s="1"/>
  <c r="GJ9" i="2"/>
  <c r="GL9" i="2" s="1"/>
  <c r="FZ10" i="2"/>
  <c r="GB10" i="2" s="1"/>
  <c r="GJ7" i="2"/>
  <c r="GL7" i="2" s="1"/>
  <c r="GL4" i="2"/>
  <c r="FD10" i="2"/>
  <c r="FD9" i="2"/>
  <c r="FD8" i="2"/>
  <c r="FD7" i="2"/>
  <c r="FD6" i="2"/>
  <c r="FD5" i="2"/>
  <c r="FD4" i="2"/>
  <c r="FD3" i="2"/>
  <c r="FP3" i="2" s="1"/>
  <c r="FR3" i="2" s="1"/>
  <c r="FP6" i="2" l="1"/>
  <c r="FR6" i="2" s="1"/>
  <c r="FP7" i="2"/>
  <c r="FR7" i="2" s="1"/>
  <c r="FP10" i="2"/>
  <c r="FR10" i="2" s="1"/>
  <c r="FP5" i="2"/>
  <c r="FR5" i="2" s="1"/>
  <c r="FP4" i="2"/>
  <c r="FR4" i="2" s="1"/>
  <c r="ET10" i="2"/>
  <c r="FF10" i="2" s="1"/>
  <c r="FH10" i="2" s="1"/>
  <c r="ET9" i="2"/>
  <c r="FF9" i="2" s="1"/>
  <c r="FH9" i="2" s="1"/>
  <c r="ET8" i="2"/>
  <c r="FF8" i="2" s="1"/>
  <c r="FH8" i="2" s="1"/>
  <c r="ET7" i="2"/>
  <c r="FF7" i="2" s="1"/>
  <c r="FH7" i="2" s="1"/>
  <c r="ET6" i="2"/>
  <c r="FF6" i="2" s="1"/>
  <c r="FH6" i="2" s="1"/>
  <c r="ET5" i="2"/>
  <c r="FF5" i="2" s="1"/>
  <c r="FH5" i="2" s="1"/>
  <c r="ET4" i="2"/>
  <c r="FF4" i="2" s="1"/>
  <c r="FH4" i="2" s="1"/>
  <c r="ET3" i="2"/>
  <c r="FF3" i="2" s="1"/>
  <c r="FH3" i="2" s="1"/>
  <c r="EJ10" i="2" l="1"/>
  <c r="EJ9" i="2"/>
  <c r="EJ8" i="2"/>
  <c r="EV8" i="2" s="1"/>
  <c r="EX8" i="2" s="1"/>
  <c r="EJ7" i="2"/>
  <c r="EV7" i="2" s="1"/>
  <c r="EX7" i="2" s="1"/>
  <c r="EJ6" i="2"/>
  <c r="EV6" i="2" s="1"/>
  <c r="EX6" i="2" s="1"/>
  <c r="EJ5" i="2"/>
  <c r="EJ4" i="2"/>
  <c r="EV4" i="2" s="1"/>
  <c r="EX4" i="2" s="1"/>
  <c r="EJ3" i="2"/>
  <c r="EV9" i="2" l="1"/>
  <c r="EX9" i="2" s="1"/>
  <c r="EV3" i="2"/>
  <c r="EX3" i="2" s="1"/>
  <c r="EV10" i="2"/>
  <c r="EX10" i="2" s="1"/>
  <c r="EV5" i="2"/>
  <c r="EX5" i="2" s="1"/>
  <c r="DZ10" i="2"/>
  <c r="EL10" i="2" s="1"/>
  <c r="EN10" i="2" s="1"/>
  <c r="DZ9" i="2"/>
  <c r="DZ8" i="2"/>
  <c r="DZ7" i="2"/>
  <c r="DZ6" i="2"/>
  <c r="DZ5" i="2"/>
  <c r="DZ4" i="2"/>
  <c r="DZ3" i="2"/>
  <c r="EL3" i="2" s="1"/>
  <c r="EN3" i="2" s="1"/>
  <c r="EL5" i="2" l="1"/>
  <c r="EN5" i="2" s="1"/>
  <c r="EL9" i="2"/>
  <c r="EN9" i="2" s="1"/>
  <c r="EL4" i="2"/>
  <c r="EN4" i="2" s="1"/>
  <c r="EL6" i="2"/>
  <c r="EN6" i="2" s="1"/>
  <c r="EL8" i="2"/>
  <c r="EN8" i="2" s="1"/>
  <c r="EL7" i="2"/>
  <c r="EN7" i="2" s="1"/>
  <c r="DP10" i="2"/>
  <c r="EB10" i="2" s="1"/>
  <c r="ED10" i="2" s="1"/>
  <c r="DP9" i="2"/>
  <c r="DP8" i="2"/>
  <c r="DP7" i="2"/>
  <c r="DP6" i="2"/>
  <c r="EB6" i="2" s="1"/>
  <c r="ED6" i="2" s="1"/>
  <c r="DP5" i="2"/>
  <c r="DP4" i="2"/>
  <c r="EB4" i="2" s="1"/>
  <c r="ED4" i="2" s="1"/>
  <c r="DP3" i="2"/>
  <c r="EB3" i="2" s="1"/>
  <c r="ED3" i="2" s="1"/>
  <c r="EB9" i="2" l="1"/>
  <c r="ED9" i="2" s="1"/>
  <c r="EB8" i="2"/>
  <c r="ED8" i="2" s="1"/>
  <c r="EB7" i="2"/>
  <c r="ED7" i="2" s="1"/>
  <c r="EB5" i="2"/>
  <c r="ED5" i="2" s="1"/>
  <c r="DF10" i="2"/>
  <c r="DF9" i="2"/>
  <c r="DF8" i="2"/>
  <c r="DR8" i="2" s="1"/>
  <c r="DT8" i="2" s="1"/>
  <c r="DF7" i="2"/>
  <c r="DF6" i="2"/>
  <c r="DF5" i="2"/>
  <c r="DF4" i="2"/>
  <c r="DR4" i="2" s="1"/>
  <c r="DT4" i="2" s="1"/>
  <c r="DF3" i="2"/>
  <c r="DR3" i="2" s="1"/>
  <c r="DT3" i="2" s="1"/>
  <c r="DR9" i="2" l="1"/>
  <c r="DT9" i="2" s="1"/>
  <c r="DR5" i="2"/>
  <c r="DT5" i="2" s="1"/>
  <c r="DR7" i="2"/>
  <c r="DT7" i="2" s="1"/>
  <c r="DR10" i="2"/>
  <c r="DT10" i="2" s="1"/>
  <c r="DR6" i="2"/>
  <c r="DT6" i="2" s="1"/>
  <c r="CV10" i="2"/>
  <c r="DH10" i="2" s="1"/>
  <c r="DJ10" i="2" s="1"/>
  <c r="CV9" i="2"/>
  <c r="CV8" i="2"/>
  <c r="DH8" i="2" s="1"/>
  <c r="DJ8" i="2" s="1"/>
  <c r="CV7" i="2"/>
  <c r="DH7" i="2" s="1"/>
  <c r="DJ7" i="2" s="1"/>
  <c r="CV6" i="2"/>
  <c r="CV5" i="2"/>
  <c r="DH5" i="2" s="1"/>
  <c r="DJ5" i="2" s="1"/>
  <c r="CV4" i="2"/>
  <c r="CV3" i="2"/>
  <c r="DH9" i="2" l="1"/>
  <c r="DJ9" i="2" s="1"/>
  <c r="DH6" i="2"/>
  <c r="DJ6" i="2" s="1"/>
  <c r="DH3" i="2"/>
  <c r="DJ3" i="2" s="1"/>
  <c r="DH4" i="2"/>
  <c r="DJ4" i="2" s="1"/>
  <c r="CL10" i="2"/>
  <c r="CX10" i="2" s="1"/>
  <c r="CZ10" i="2" s="1"/>
  <c r="CL9" i="2"/>
  <c r="CX9" i="2" s="1"/>
  <c r="CZ9" i="2" s="1"/>
  <c r="CL8" i="2"/>
  <c r="CL7" i="2"/>
  <c r="CX7" i="2" s="1"/>
  <c r="CZ7" i="2" s="1"/>
  <c r="CL6" i="2"/>
  <c r="CL5" i="2"/>
  <c r="CX5" i="2" s="1"/>
  <c r="CZ5" i="2" s="1"/>
  <c r="CL4" i="2"/>
  <c r="CX4" i="2" s="1"/>
  <c r="CZ4" i="2" s="1"/>
  <c r="CL3" i="2"/>
  <c r="CX6" i="2" l="1"/>
  <c r="CZ6" i="2" s="1"/>
  <c r="CX8" i="2"/>
  <c r="CZ8" i="2" s="1"/>
  <c r="CX3" i="2"/>
  <c r="CZ3" i="2" s="1"/>
  <c r="CB10" i="2"/>
  <c r="CN10" i="2" s="1"/>
  <c r="CP10" i="2" s="1"/>
  <c r="CB9" i="2"/>
  <c r="CB8" i="2"/>
  <c r="CN8" i="2" s="1"/>
  <c r="CP8" i="2" s="1"/>
  <c r="CB7" i="2"/>
  <c r="CN7" i="2" s="1"/>
  <c r="CP7" i="2" s="1"/>
  <c r="CB6" i="2"/>
  <c r="CB5" i="2"/>
  <c r="CB4" i="2"/>
  <c r="CB3" i="2"/>
  <c r="CN3" i="2" s="1"/>
  <c r="CP3" i="2" s="1"/>
  <c r="CN6" i="2" l="1"/>
  <c r="CP6" i="2" s="1"/>
  <c r="CN9" i="2"/>
  <c r="CP9" i="2" s="1"/>
  <c r="CN5" i="2"/>
  <c r="CP5" i="2" s="1"/>
  <c r="CN4" i="2"/>
  <c r="CP4" i="2" s="1"/>
  <c r="BR10" i="2" l="1"/>
  <c r="BR9" i="2"/>
  <c r="BR8" i="2"/>
  <c r="CD8" i="2" s="1"/>
  <c r="CF8" i="2" s="1"/>
  <c r="BR7" i="2"/>
  <c r="BR6" i="2"/>
  <c r="CD6" i="2" s="1"/>
  <c r="CF6" i="2" s="1"/>
  <c r="BR5" i="2"/>
  <c r="CD5" i="2" s="1"/>
  <c r="CF5" i="2" s="1"/>
  <c r="BR4" i="2"/>
  <c r="CD4" i="2" s="1"/>
  <c r="CF4" i="2" s="1"/>
  <c r="BR3" i="2"/>
  <c r="CD7" i="2" l="1"/>
  <c r="CF7" i="2" s="1"/>
  <c r="CD3" i="2"/>
  <c r="CF3" i="2" s="1"/>
  <c r="CD9" i="2"/>
  <c r="CF9" i="2" s="1"/>
  <c r="CD10" i="2"/>
  <c r="CF10" i="2" s="1"/>
  <c r="BH10" i="2"/>
  <c r="BT10" i="2" s="1"/>
  <c r="BV10" i="2" s="1"/>
  <c r="BH9" i="2"/>
  <c r="BH8" i="2"/>
  <c r="BH7" i="2"/>
  <c r="BH6" i="2"/>
  <c r="BH5" i="2"/>
  <c r="BH4" i="2"/>
  <c r="BH3" i="2"/>
  <c r="BT3" i="2" s="1"/>
  <c r="BV3" i="2" s="1"/>
  <c r="BT9" i="2" l="1"/>
  <c r="BV9" i="2" s="1"/>
  <c r="BJ3" i="2"/>
  <c r="BL3" i="2" s="1"/>
  <c r="BT7" i="2"/>
  <c r="BV7" i="2" s="1"/>
  <c r="BT4" i="2"/>
  <c r="BV4" i="2" s="1"/>
  <c r="BT5" i="2"/>
  <c r="BV5" i="2" s="1"/>
  <c r="BT6" i="2"/>
  <c r="BV6" i="2" s="1"/>
  <c r="BT8" i="2"/>
  <c r="BV8" i="2" s="1"/>
  <c r="AX10" i="2"/>
  <c r="AX9" i="2"/>
  <c r="AX8" i="2"/>
  <c r="AX7" i="2"/>
  <c r="BJ7" i="2" s="1"/>
  <c r="BL7" i="2" s="1"/>
  <c r="AX6" i="2"/>
  <c r="AZ6" i="2" s="1"/>
  <c r="BB6" i="2" s="1"/>
  <c r="AX5" i="2"/>
  <c r="BJ5" i="2" s="1"/>
  <c r="BL5" i="2" s="1"/>
  <c r="AX4" i="2"/>
  <c r="BJ4" i="2" s="1"/>
  <c r="BL4" i="2" s="1"/>
  <c r="AX3" i="2"/>
  <c r="AD4" i="2"/>
  <c r="AD5" i="2"/>
  <c r="AD6" i="2"/>
  <c r="AD7" i="2"/>
  <c r="AD8" i="2"/>
  <c r="AD9" i="2"/>
  <c r="AD10" i="2"/>
  <c r="AN4" i="2"/>
  <c r="AN5" i="2"/>
  <c r="AN6" i="2"/>
  <c r="AN7" i="2"/>
  <c r="AN8" i="2"/>
  <c r="AN9" i="2"/>
  <c r="AN10" i="2"/>
  <c r="AN3" i="2"/>
  <c r="AD3" i="2"/>
  <c r="AR3" i="2"/>
  <c r="AZ8" i="2" l="1"/>
  <c r="BB8" i="2" s="1"/>
  <c r="AP6" i="2"/>
  <c r="AR6" i="2" s="1"/>
  <c r="AP8" i="2"/>
  <c r="AR8" i="2" s="1"/>
  <c r="BJ6" i="2"/>
  <c r="BL6" i="2" s="1"/>
  <c r="AZ9" i="2"/>
  <c r="BB9" i="2" s="1"/>
  <c r="AP9" i="2"/>
  <c r="AR9" i="2" s="1"/>
  <c r="AZ10" i="2"/>
  <c r="BB10" i="2" s="1"/>
  <c r="AZ3" i="2"/>
  <c r="BB3" i="2" s="1"/>
  <c r="AZ4" i="2"/>
  <c r="BB4" i="2" s="1"/>
  <c r="BJ8" i="2"/>
  <c r="BL8" i="2" s="1"/>
  <c r="BJ10" i="2"/>
  <c r="BL10" i="2" s="1"/>
  <c r="AP4" i="2"/>
  <c r="AR4" i="2" s="1"/>
  <c r="AP5" i="2"/>
  <c r="AR5" i="2" s="1"/>
  <c r="AZ5" i="2"/>
  <c r="BB5" i="2" s="1"/>
  <c r="BJ9" i="2"/>
  <c r="BL9" i="2" s="1"/>
  <c r="AZ7" i="2"/>
  <c r="BB7" i="2" s="1"/>
  <c r="AP3" i="2"/>
  <c r="AP7" i="2"/>
  <c r="AR7" i="2" s="1"/>
  <c r="AP10" i="2"/>
  <c r="AR10" i="2" s="1"/>
  <c r="T10" i="2"/>
  <c r="V10" i="2" s="1"/>
  <c r="X10" i="2" s="1"/>
  <c r="T9" i="2"/>
  <c r="V9" i="2" s="1"/>
  <c r="X9" i="2" s="1"/>
  <c r="T8" i="2"/>
  <c r="V8" i="2" s="1"/>
  <c r="X8" i="2" s="1"/>
  <c r="T7" i="2"/>
  <c r="V7" i="2" s="1"/>
  <c r="X7" i="2" s="1"/>
  <c r="T6" i="2"/>
  <c r="V6" i="2" s="1"/>
  <c r="X6" i="2" s="1"/>
  <c r="T5" i="2"/>
  <c r="V5" i="2" s="1"/>
  <c r="X5" i="2" s="1"/>
  <c r="T4" i="2"/>
  <c r="V4" i="2" s="1"/>
  <c r="X4" i="2" s="1"/>
  <c r="T3" i="2"/>
  <c r="V3" i="2" s="1"/>
  <c r="X3" i="2" s="1"/>
  <c r="N10" i="2"/>
  <c r="N9" i="2"/>
  <c r="N8" i="2"/>
  <c r="N7" i="2"/>
  <c r="N6" i="2"/>
  <c r="N5" i="2"/>
  <c r="N4" i="2"/>
  <c r="N3" i="2"/>
  <c r="AF7" i="2" l="1"/>
  <c r="AH7" i="2" s="1"/>
  <c r="AF4" i="2"/>
  <c r="AH4" i="2" s="1"/>
  <c r="AF10" i="2"/>
  <c r="AH10" i="2" s="1"/>
  <c r="AF5" i="2"/>
  <c r="AH5" i="2" s="1"/>
  <c r="AF8" i="2"/>
  <c r="AH8" i="2" s="1"/>
  <c r="AF3" i="2"/>
  <c r="AH3" i="2" s="1"/>
  <c r="AF6" i="2"/>
  <c r="AH6" i="2" s="1"/>
  <c r="AF9" i="2"/>
  <c r="AH9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Purchasing Assistant</author>
  </authors>
  <commentList>
    <comment ref="SI1" authorId="0" shapeId="0" xr:uid="{DF69618F-AEE6-4B74-8EEF-14F8F6E50721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inventory morning 9/3</t>
        </r>
      </text>
    </comment>
    <comment ref="RM6" authorId="0" shapeId="0" xr:uid="{42BA6EA9-101A-428E-A78F-1DD40AC5BCEB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added 1 more cs</t>
        </r>
      </text>
    </comment>
    <comment ref="BS7" authorId="0" shapeId="0" xr:uid="{A17DA7CE-0210-46AD-BC0F-49FC1A9E5F24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tfr from LS 2cs sprite</t>
        </r>
      </text>
    </comment>
    <comment ref="RM7" authorId="0" shapeId="0" xr:uid="{F24A9819-4DAD-466E-BEE1-2B899A4FFF05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canceld the cs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Purchasing Assistant</author>
  </authors>
  <commentList>
    <comment ref="SI1" authorId="0" shapeId="0" xr:uid="{A75E7E47-FCB8-4917-9956-EB0D9FD7230D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inventory morning 9/3</t>
        </r>
      </text>
    </comment>
    <comment ref="RM6" authorId="0" shapeId="0" xr:uid="{E5C68E39-955F-4FAE-BE90-3FE30E15C01C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added 1 more cs</t>
        </r>
      </text>
    </comment>
    <comment ref="BS7" authorId="0" shapeId="0" xr:uid="{EF4DFBFB-DFCA-451C-BAC4-A48A0A695FCB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tfr from LS 2cs sprite</t>
        </r>
      </text>
    </comment>
    <comment ref="RM7" authorId="0" shapeId="0" xr:uid="{9A2F5220-E4E2-442A-83EE-DBD0A222D406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canceld the cs</t>
        </r>
      </text>
    </comment>
  </commentList>
</comments>
</file>

<file path=xl/sharedStrings.xml><?xml version="1.0" encoding="utf-8"?>
<sst xmlns="http://schemas.openxmlformats.org/spreadsheetml/2006/main" count="3425" uniqueCount="87">
  <si>
    <t>NAME</t>
  </si>
  <si>
    <t>DATE</t>
  </si>
  <si>
    <t>BOTTLES</t>
  </si>
  <si>
    <t>UNIT</t>
  </si>
  <si>
    <t>PAR</t>
  </si>
  <si>
    <t>WLK-IN</t>
  </si>
  <si>
    <t>C/O</t>
  </si>
  <si>
    <t>TOT</t>
  </si>
  <si>
    <t>ORD</t>
  </si>
  <si>
    <t>USE</t>
  </si>
  <si>
    <t>PMIX</t>
  </si>
  <si>
    <t>VAR</t>
  </si>
  <si>
    <t>ea</t>
  </si>
  <si>
    <t>24/cs</t>
  </si>
  <si>
    <t>WALK IN COOLER PROCEDURES</t>
  </si>
  <si>
    <t xml:space="preserve"> - Only sets of 6 bottles are to be kept in Walk-in Cooler - That means you can only have 6, 12, 18, 24 btls, etc…</t>
  </si>
  <si>
    <t>ORDERING PROCEDURES</t>
  </si>
  <si>
    <t>GENERAL PROCEDURES</t>
  </si>
  <si>
    <t>COKE</t>
  </si>
  <si>
    <t>COKE DIET</t>
  </si>
  <si>
    <t>COKE ZERO</t>
  </si>
  <si>
    <t>SPRITE</t>
  </si>
  <si>
    <t>FANTA ORANGE</t>
  </si>
  <si>
    <t>JUICE APPLE 12oz</t>
  </si>
  <si>
    <t>POWERADE BLUE</t>
  </si>
  <si>
    <t>POWERADE RED</t>
  </si>
  <si>
    <t xml:space="preserve"> - See "Coca Cola Online Order Guide" document for detailed instructions</t>
  </si>
  <si>
    <t xml:space="preserve"> - Go to "www.my-coke.com" to place your order</t>
  </si>
  <si>
    <t>GEOVANNI</t>
  </si>
  <si>
    <t xml:space="preserve">Riccy </t>
  </si>
  <si>
    <t>s</t>
  </si>
  <si>
    <t>Mirian G</t>
  </si>
  <si>
    <t>MIRIAM</t>
  </si>
  <si>
    <t>Guillermo C.</t>
  </si>
  <si>
    <t>Riccy R.</t>
  </si>
  <si>
    <t>11.27.25</t>
  </si>
  <si>
    <t>12.04.25</t>
  </si>
  <si>
    <t>12.11.25</t>
  </si>
  <si>
    <t>RAUL J.</t>
  </si>
  <si>
    <t>12.18.25</t>
  </si>
  <si>
    <t>Raul J</t>
  </si>
  <si>
    <t>01.01.26</t>
  </si>
  <si>
    <t xml:space="preserve">Luis M. </t>
  </si>
  <si>
    <t>01.08.26</t>
  </si>
  <si>
    <t>Luis M.</t>
  </si>
  <si>
    <t>1.22.26</t>
  </si>
  <si>
    <t>1.29.26</t>
  </si>
  <si>
    <t>2.5.26</t>
  </si>
  <si>
    <t>Albert A.</t>
  </si>
  <si>
    <t>2.12.26</t>
  </si>
  <si>
    <t>02.19.26</t>
  </si>
  <si>
    <t>02.26.26</t>
  </si>
  <si>
    <t>03.05.26</t>
  </si>
  <si>
    <t>03.12.26</t>
  </si>
  <si>
    <t>03.19.26</t>
  </si>
  <si>
    <t>03.26.26</t>
  </si>
  <si>
    <t>Albert A</t>
  </si>
  <si>
    <t>04.02.26</t>
  </si>
  <si>
    <t>04.09.26</t>
  </si>
  <si>
    <t>04.16.26</t>
  </si>
  <si>
    <t xml:space="preserve">NEXT ORDER DATE: </t>
  </si>
  <si>
    <t>05.14.26</t>
  </si>
  <si>
    <t>05.21.26</t>
  </si>
  <si>
    <t>06.04.26</t>
  </si>
  <si>
    <t>0.6.11.26</t>
  </si>
  <si>
    <t>GLASSES</t>
  </si>
  <si>
    <t>06.18.26</t>
  </si>
  <si>
    <t>5.28.26</t>
  </si>
  <si>
    <t>var</t>
  </si>
  <si>
    <t>6.24.26</t>
  </si>
  <si>
    <t>7.2.26</t>
  </si>
  <si>
    <t>Luis</t>
  </si>
  <si>
    <t>7.9.26</t>
  </si>
  <si>
    <t>7.16.24</t>
  </si>
  <si>
    <t>07.23.26</t>
  </si>
  <si>
    <t>7.30.26</t>
  </si>
  <si>
    <t>8.6.26</t>
  </si>
  <si>
    <t>8.13.26</t>
  </si>
  <si>
    <t>8.20.26</t>
  </si>
  <si>
    <t>Luis M</t>
  </si>
  <si>
    <t>8.27.26</t>
  </si>
  <si>
    <t>coke</t>
  </si>
  <si>
    <t>d. coke</t>
  </si>
  <si>
    <t>z. coke</t>
  </si>
  <si>
    <t>sprite</t>
  </si>
  <si>
    <t>09.17.26</t>
  </si>
  <si>
    <t>09.24.26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</si>
</sst>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/d;@"/>
  </numFmts>
  <fonts count="8" x14ac:knownFonts="1">
    <font>
      <sz val="11"/>
      <color theme="1"/>
      <name val="Aptos Narrow"/>
      <family val="2"/>
      <scheme val="minor"/>
    </font>
    <font>
      <sz val="8"/>
      <color theme="1"/>
      <name val="Calibri"/>
      <family val="2"/>
    </font>
    <font>
      <b/>
      <sz val="8"/>
      <color theme="1"/>
      <name val="Calibri"/>
      <family val="2"/>
    </font>
    <font>
      <b/>
      <sz val="7"/>
      <color theme="1"/>
      <name val="Calibri"/>
      <family val="2"/>
    </font>
    <font>
      <i/>
      <sz val="8"/>
      <color theme="1"/>
      <name val="Calibri"/>
      <family val="2"/>
    </font>
    <font>
      <sz val="7"/>
      <color theme="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/>
  </cellStyleXfs>
  <cellXfs count="100">
    <xf numFmtId="0" fontId="0" fillId="0" borderId="0" xfId="0"/>
    <xf numFmtId="0" fontId="1" fillId="0" borderId="0" xfId="0" applyFont="1"/>
    <xf numFmtId="0" fontId="2" fillId="0" borderId="3" xfId="0" applyFont="1" applyBorder="1" applyAlignment="1" applyProtection="1">
      <alignment horizontal="center"/>
      <protection locked="0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4" fillId="0" borderId="2" xfId="0" applyFont="1" applyBorder="1" applyAlignment="1">
      <alignment horizontal="right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164" fontId="1" fillId="0" borderId="1" xfId="0" applyNumberFormat="1" applyFont="1" applyBorder="1" applyAlignment="1">
      <alignment horizontal="center"/>
    </xf>
    <xf numFmtId="0" fontId="2" fillId="0" borderId="0" xfId="0" applyFont="1"/>
    <xf numFmtId="0" fontId="4" fillId="0" borderId="0" xfId="0" applyFont="1"/>
    <xf numFmtId="0" fontId="5" fillId="0" borderId="1" xfId="0" applyFont="1" applyBorder="1" applyAlignment="1">
      <alignment horizontal="center"/>
    </xf>
    <xf numFmtId="0" fontId="5" fillId="0" borderId="3" xfId="0" applyFont="1" applyBorder="1" applyAlignment="1">
      <alignment horizontal="right"/>
    </xf>
    <xf numFmtId="0" fontId="5" fillId="0" borderId="2" xfId="0" applyFont="1" applyBorder="1" applyAlignment="1">
      <alignment horizontal="left"/>
    </xf>
    <xf numFmtId="0" fontId="3" fillId="0" borderId="1" xfId="0" applyFont="1" applyBorder="1"/>
    <xf numFmtId="0" fontId="5" fillId="0" borderId="0" xfId="0" applyFont="1"/>
    <xf numFmtId="0" fontId="5" fillId="0" borderId="1" xfId="0" applyFont="1" applyBorder="1"/>
    <xf numFmtId="0" fontId="2" fillId="0" borderId="1" xfId="0" applyFont="1" applyBorder="1" applyAlignment="1" applyProtection="1">
      <alignment horizontal="center"/>
      <protection locked="0"/>
    </xf>
    <xf numFmtId="1" fontId="1" fillId="0" borderId="1" xfId="0" applyNumberFormat="1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3" borderId="5" xfId="0" applyFont="1" applyFill="1" applyBorder="1"/>
    <xf numFmtId="0" fontId="1" fillId="0" borderId="1" xfId="0" applyFont="1" applyBorder="1"/>
    <xf numFmtId="0" fontId="0" fillId="0" borderId="0" xfId="0" applyAlignment="1">
      <alignment horizontal="center" vertical="center"/>
    </xf>
    <xf numFmtId="0" fontId="2" fillId="0" borderId="6" xfId="0" applyFont="1" applyBorder="1" applyAlignment="1">
      <alignment horizontal="center"/>
    </xf>
    <xf numFmtId="14" fontId="0" fillId="0" borderId="0" xfId="0" applyNumberFormat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2" fillId="0" borderId="3" xfId="0" applyFont="1" applyBorder="1" applyAlignment="1" applyProtection="1">
      <alignment horizontal="center"/>
      <protection locked="0"/>
    </xf>
    <xf numFmtId="0" fontId="2" fillId="0" borderId="4" xfId="0" applyFont="1" applyBorder="1" applyAlignment="1" applyProtection="1">
      <alignment horizontal="center"/>
      <protection locked="0"/>
    </xf>
    <xf numFmtId="0" fontId="2" fillId="0" borderId="2" xfId="0" applyFont="1" applyBorder="1" applyAlignment="1" applyProtection="1">
      <alignment horizontal="center"/>
      <protection locked="0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165" fontId="2" fillId="0" borderId="3" xfId="0" applyNumberFormat="1" applyFont="1" applyBorder="1" applyAlignment="1" applyProtection="1">
      <alignment horizontal="center"/>
      <protection locked="0"/>
    </xf>
    <xf numFmtId="165" fontId="2" fillId="0" borderId="2" xfId="0" applyNumberFormat="1" applyFont="1" applyBorder="1" applyAlignment="1" applyProtection="1">
      <alignment horizontal="center"/>
      <protection locked="0"/>
    </xf>
    <xf numFmtId="165" fontId="2" fillId="0" borderId="3" xfId="0" applyNumberFormat="1" applyFont="1" applyBorder="1" applyAlignment="1">
      <alignment horizontal="center"/>
    </xf>
    <xf numFmtId="165" fontId="2" fillId="0" borderId="2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 applyProtection="1">
      <alignment horizontal="center"/>
      <protection locked="0"/>
    </xf>
    <xf numFmtId="165" fontId="2" fillId="3" borderId="5" xfId="0" applyNumberFormat="1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2" fillId="0" borderId="3" xfId="0" applyFont="1" applyFill="1" applyBorder="1" applyAlignment="1" applyProtection="1">
      <alignment horizontal="center"/>
      <protection locked="0"/>
    </xf>
    <xf numFmtId="0" fontId="2" fillId="0" borderId="4" xfId="0" applyFont="1" applyFill="1" applyBorder="1" applyAlignment="1" applyProtection="1">
      <alignment horizontal="center"/>
      <protection locked="0"/>
    </xf>
    <xf numFmtId="0" fontId="2" fillId="0" borderId="2" xfId="0" applyFont="1" applyFill="1" applyBorder="1" applyAlignment="1" applyProtection="1">
      <alignment horizontal="center"/>
      <protection locked="0"/>
    </xf>
    <xf numFmtId="165" fontId="2" fillId="0" borderId="3" xfId="0" applyNumberFormat="1" applyFont="1" applyFill="1" applyBorder="1" applyAlignment="1" applyProtection="1">
      <alignment horizontal="center"/>
      <protection locked="0"/>
    </xf>
    <xf numFmtId="165" fontId="2" fillId="0" borderId="2" xfId="0" applyNumberFormat="1" applyFont="1" applyFill="1" applyBorder="1" applyAlignment="1" applyProtection="1">
      <alignment horizontal="center"/>
      <protection locked="0"/>
    </xf>
    <xf numFmtId="0" fontId="3" fillId="0" borderId="3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2" fillId="0" borderId="3" xfId="0" applyFont="1" applyFill="1" applyBorder="1" applyAlignment="1" applyProtection="1">
      <alignment horizontal="center"/>
      <protection locked="0"/>
    </xf>
    <xf numFmtId="0" fontId="4" fillId="0" borderId="2" xfId="0" applyFont="1" applyFill="1" applyBorder="1" applyAlignment="1">
      <alignment horizontal="right"/>
    </xf>
    <xf numFmtId="0" fontId="1" fillId="0" borderId="1" xfId="0" applyFont="1" applyFill="1" applyBorder="1" applyAlignment="1">
      <alignment horizontal="center"/>
    </xf>
    <xf numFmtId="0" fontId="2" fillId="0" borderId="1" xfId="0" applyFont="1" applyFill="1" applyBorder="1" applyAlignment="1" applyProtection="1">
      <alignment horizontal="center"/>
      <protection locked="0"/>
    </xf>
    <xf numFmtId="1" fontId="1" fillId="0" borderId="1" xfId="0" applyNumberFormat="1" applyFont="1" applyFill="1" applyBorder="1" applyAlignment="1">
      <alignment horizontal="center"/>
    </xf>
    <xf numFmtId="164" fontId="1" fillId="0" borderId="1" xfId="0" applyNumberFormat="1" applyFont="1" applyFill="1" applyBorder="1" applyAlignment="1">
      <alignment horizontal="center"/>
    </xf>
    <xf numFmtId="0" fontId="1" fillId="0" borderId="0" xfId="0" applyFont="1" applyFill="1" applyAlignment="1">
      <alignment horizontal="center"/>
    </xf>
    <xf numFmtId="0" fontId="4" fillId="0" borderId="0" xfId="0" applyFont="1" applyFill="1" applyAlignment="1">
      <alignment horizontal="left"/>
    </xf>
    <xf numFmtId="0" fontId="2" fillId="0" borderId="6" xfId="0" applyFont="1" applyFill="1" applyBorder="1" applyAlignment="1">
      <alignment horizontal="center"/>
    </xf>
    <xf numFmtId="0" fontId="2" fillId="0" borderId="3" xfId="0" applyFont="1" applyBorder="1" applyAlignment="1" applyProtection="1">
      <alignment horizontal="center"/>
    </xf>
    <xf numFmtId="0" fontId="2" fillId="0" borderId="2" xfId="0" applyFont="1" applyBorder="1" applyAlignment="1" applyProtection="1">
      <alignment horizontal="center"/>
    </xf>
    <xf numFmtId="0" fontId="2" fillId="0" borderId="4" xfId="0" applyFont="1" applyBorder="1" applyAlignment="1" applyProtection="1">
      <alignment horizontal="center"/>
    </xf>
    <xf numFmtId="165" fontId="2" fillId="0" borderId="3" xfId="0" applyNumberFormat="1" applyFont="1" applyBorder="1" applyAlignment="1" applyProtection="1">
      <alignment horizontal="center"/>
    </xf>
    <xf numFmtId="165" fontId="2" fillId="0" borderId="2" xfId="0" applyNumberFormat="1" applyFont="1" applyBorder="1" applyAlignment="1" applyProtection="1">
      <alignment horizontal="center"/>
    </xf>
    <xf numFmtId="0" fontId="3" fillId="0" borderId="3" xfId="0" applyFont="1" applyBorder="1" applyAlignment="1" applyProtection="1">
      <alignment horizontal="center"/>
    </xf>
    <xf numFmtId="0" fontId="3" fillId="0" borderId="2" xfId="0" applyFont="1" applyBorder="1" applyAlignment="1" applyProtection="1">
      <alignment horizontal="center"/>
    </xf>
    <xf numFmtId="0" fontId="3" fillId="0" borderId="1" xfId="0" applyFont="1" applyBorder="1" applyAlignment="1" applyProtection="1">
      <alignment horizontal="center"/>
    </xf>
    <xf numFmtId="0" fontId="2" fillId="0" borderId="3" xfId="0" applyFont="1" applyBorder="1" applyAlignment="1" applyProtection="1">
      <alignment horizontal="center"/>
    </xf>
    <xf numFmtId="0" fontId="4" fillId="0" borderId="2" xfId="0" applyFont="1" applyBorder="1" applyAlignment="1" applyProtection="1">
      <alignment horizontal="right"/>
    </xf>
    <xf numFmtId="0" fontId="1" fillId="0" borderId="1" xfId="0" applyFont="1" applyBorder="1" applyAlignment="1" applyProtection="1">
      <alignment horizontal="center"/>
    </xf>
    <xf numFmtId="0" fontId="2" fillId="0" borderId="1" xfId="0" applyFont="1" applyBorder="1" applyAlignment="1" applyProtection="1">
      <alignment horizontal="center"/>
    </xf>
    <xf numFmtId="1" fontId="1" fillId="0" borderId="1" xfId="0" applyNumberFormat="1" applyFont="1" applyBorder="1" applyAlignment="1" applyProtection="1">
      <alignment horizontal="center"/>
    </xf>
    <xf numFmtId="164" fontId="1" fillId="0" borderId="1" xfId="0" applyNumberFormat="1" applyFont="1" applyBorder="1" applyAlignment="1" applyProtection="1">
      <alignment horizontal="center"/>
    </xf>
    <xf numFmtId="0" fontId="1" fillId="0" borderId="0" xfId="0" applyFont="1" applyAlignment="1" applyProtection="1">
      <alignment horizontal="center"/>
    </xf>
    <xf numFmtId="0" fontId="4" fillId="0" borderId="0" xfId="0" applyFont="1" applyAlignment="1" applyProtection="1">
      <alignment horizontal="left"/>
    </xf>
    <xf numFmtId="0" fontId="2" fillId="0" borderId="6" xfId="0" applyFont="1" applyBorder="1" applyAlignment="1" applyProtection="1">
      <alignment horizontal="center"/>
    </xf>
    <xf numFmtId="0" fontId="2" fillId="0" borderId="3" xfId="0" applyFont="1" applyFill="1" applyBorder="1" applyAlignment="1" applyProtection="1">
      <alignment horizontal="center"/>
    </xf>
    <xf numFmtId="0" fontId="2" fillId="0" borderId="2" xfId="0" applyFont="1" applyFill="1" applyBorder="1" applyAlignment="1" applyProtection="1">
      <alignment horizontal="center"/>
    </xf>
    <xf numFmtId="0" fontId="2" fillId="0" borderId="4" xfId="0" applyFont="1" applyFill="1" applyBorder="1" applyAlignment="1" applyProtection="1">
      <alignment horizontal="center"/>
    </xf>
    <xf numFmtId="165" fontId="2" fillId="0" borderId="3" xfId="0" applyNumberFormat="1" applyFont="1" applyFill="1" applyBorder="1" applyAlignment="1" applyProtection="1">
      <alignment horizontal="center"/>
    </xf>
    <xf numFmtId="165" fontId="2" fillId="0" borderId="2" xfId="0" applyNumberFormat="1" applyFont="1" applyFill="1" applyBorder="1" applyAlignment="1" applyProtection="1">
      <alignment horizontal="center"/>
    </xf>
    <xf numFmtId="0" fontId="3" fillId="0" borderId="3" xfId="0" applyFont="1" applyFill="1" applyBorder="1" applyAlignment="1" applyProtection="1">
      <alignment horizontal="center"/>
    </xf>
    <xf numFmtId="0" fontId="3" fillId="0" borderId="2" xfId="0" applyFont="1" applyFill="1" applyBorder="1" applyAlignment="1" applyProtection="1">
      <alignment horizontal="center"/>
    </xf>
    <xf numFmtId="0" fontId="3" fillId="0" borderId="1" xfId="0" applyFont="1" applyFill="1" applyBorder="1" applyAlignment="1" applyProtection="1">
      <alignment horizontal="center"/>
    </xf>
    <xf numFmtId="0" fontId="2" fillId="0" borderId="3" xfId="0" applyFont="1" applyFill="1" applyBorder="1" applyAlignment="1" applyProtection="1">
      <alignment horizontal="center"/>
    </xf>
    <xf numFmtId="0" fontId="4" fillId="0" borderId="2" xfId="0" applyFont="1" applyFill="1" applyBorder="1" applyAlignment="1" applyProtection="1">
      <alignment horizontal="right"/>
    </xf>
    <xf numFmtId="0" fontId="1" fillId="0" borderId="1" xfId="0" applyFont="1" applyFill="1" applyBorder="1" applyAlignment="1" applyProtection="1">
      <alignment horizontal="center"/>
    </xf>
    <xf numFmtId="0" fontId="2" fillId="0" borderId="1" xfId="0" applyFont="1" applyFill="1" applyBorder="1" applyAlignment="1" applyProtection="1">
      <alignment horizontal="center"/>
    </xf>
    <xf numFmtId="1" fontId="1" fillId="0" borderId="1" xfId="0" applyNumberFormat="1" applyFont="1" applyFill="1" applyBorder="1" applyAlignment="1" applyProtection="1">
      <alignment horizontal="center"/>
    </xf>
    <xf numFmtId="164" fontId="1" fillId="0" borderId="1" xfId="0" applyNumberFormat="1" applyFont="1" applyFill="1" applyBorder="1" applyAlignment="1" applyProtection="1">
      <alignment horizontal="center"/>
    </xf>
    <xf numFmtId="0" fontId="1" fillId="0" borderId="0" xfId="0" applyFont="1" applyFill="1" applyAlignment="1" applyProtection="1">
      <alignment horizontal="center"/>
    </xf>
    <xf numFmtId="0" fontId="4" fillId="0" borderId="0" xfId="0" applyFont="1" applyFill="1" applyAlignment="1" applyProtection="1">
      <alignment horizontal="left"/>
    </xf>
    <xf numFmtId="0" fontId="2" fillId="0" borderId="6" xfId="0" applyFont="1" applyFill="1" applyBorder="1" applyAlignment="1" applyProtection="1">
      <alignment horizontal="center"/>
    </xf>
  </cellXfs>
  <cellStyles count="1">
    <cellStyle name="Normal" xfId="0" builtinId="0"/>
  </cellStyles>
  <dxfs count="647"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EF895-B964-4B6C-93EE-D2BA3D2BBFC6}">
  <sheetPr codeName="Sheet1">
    <tabColor theme="7" tint="0.79998168889431442"/>
  </sheetPr>
  <dimension ref="A1:TX23"/>
  <sheetViews>
    <sheetView tabSelected="1" view="pageLayout" zoomScale="139" zoomScaleNormal="130" zoomScalePageLayoutView="139" workbookViewId="0">
      <selection activeCell="SN1" sqref="SN1:SP1"/>
    </sheetView>
  </sheetViews>
  <sheetFormatPr defaultColWidth="9.140625" defaultRowHeight="12.75" customHeight="1" x14ac:dyDescent="0.2"/>
  <cols>
    <col min="1" max="1" width="10.5703125" style="1" customWidth="1"/>
    <col min="2" max="2" width="3.140625" style="1" customWidth="1"/>
    <col min="3" max="3" width="2.7109375" style="1" customWidth="1"/>
    <col min="4" max="4" width="1.85546875" style="1" customWidth="1"/>
    <col min="5" max="5" width="0.85546875" style="1" hidden="1" customWidth="1"/>
    <col min="6" max="6" width="3.140625" style="6" hidden="1" customWidth="1"/>
    <col min="7" max="7" width="2.42578125" style="7" hidden="1" customWidth="1"/>
    <col min="8" max="8" width="3.140625" style="6" hidden="1" customWidth="1"/>
    <col min="9" max="9" width="2.42578125" style="7" hidden="1" customWidth="1"/>
    <col min="10" max="11" width="3.140625" style="6" hidden="1" customWidth="1"/>
    <col min="12" max="12" width="2.85546875" style="6" hidden="1" customWidth="1"/>
    <col min="13" max="14" width="3.140625" style="6" hidden="1" customWidth="1"/>
    <col min="15" max="15" width="1" style="1" hidden="1" customWidth="1"/>
    <col min="16" max="16" width="3.140625" style="6" hidden="1" customWidth="1"/>
    <col min="17" max="17" width="2.42578125" style="7" hidden="1" customWidth="1"/>
    <col min="18" max="18" width="3.140625" style="6" hidden="1" customWidth="1"/>
    <col min="19" max="19" width="2.42578125" style="7" hidden="1" customWidth="1"/>
    <col min="20" max="21" width="3.140625" style="6" hidden="1" customWidth="1"/>
    <col min="22" max="22" width="2.85546875" style="6" hidden="1" customWidth="1"/>
    <col min="23" max="23" width="3.140625" style="6" hidden="1" customWidth="1"/>
    <col min="24" max="24" width="4.5703125" style="6" hidden="1" customWidth="1"/>
    <col min="25" max="25" width="1" style="1" hidden="1" customWidth="1"/>
    <col min="26" max="26" width="3.140625" style="6" hidden="1" customWidth="1"/>
    <col min="27" max="27" width="2.42578125" style="7" hidden="1" customWidth="1"/>
    <col min="28" max="28" width="3.140625" style="6" hidden="1" customWidth="1"/>
    <col min="29" max="29" width="2.42578125" style="7" hidden="1" customWidth="1"/>
    <col min="30" max="31" width="3.140625" style="6" hidden="1" customWidth="1"/>
    <col min="32" max="32" width="3" style="6" hidden="1" customWidth="1"/>
    <col min="33" max="33" width="3.140625" style="6" hidden="1" customWidth="1"/>
    <col min="34" max="34" width="4.5703125" style="6" hidden="1" customWidth="1"/>
    <col min="35" max="35" width="1.140625" style="1" hidden="1" customWidth="1"/>
    <col min="36" max="36" width="3.140625" style="6" hidden="1" customWidth="1"/>
    <col min="37" max="37" width="2.42578125" style="7" hidden="1" customWidth="1"/>
    <col min="38" max="38" width="3.140625" style="6" hidden="1" customWidth="1"/>
    <col min="39" max="39" width="2.42578125" style="7" hidden="1" customWidth="1"/>
    <col min="40" max="41" width="3.140625" style="6" hidden="1" customWidth="1"/>
    <col min="42" max="42" width="3.28515625" style="6" hidden="1" customWidth="1"/>
    <col min="43" max="43" width="3" style="6" hidden="1" customWidth="1"/>
    <col min="44" max="44" width="3.7109375" style="6" hidden="1" customWidth="1"/>
    <col min="45" max="45" width="1.42578125" style="1" hidden="1" customWidth="1"/>
    <col min="46" max="46" width="2.42578125" style="6" hidden="1" customWidth="1"/>
    <col min="47" max="47" width="2.42578125" style="7" hidden="1" customWidth="1"/>
    <col min="48" max="48" width="2.42578125" style="6" hidden="1" customWidth="1"/>
    <col min="49" max="49" width="2.42578125" style="7" hidden="1" customWidth="1"/>
    <col min="50" max="50" width="2.7109375" style="6" hidden="1" customWidth="1"/>
    <col min="51" max="51" width="3" style="6" hidden="1" customWidth="1"/>
    <col min="52" max="52" width="2.85546875" style="6" hidden="1" customWidth="1"/>
    <col min="53" max="53" width="3" style="6" hidden="1" customWidth="1"/>
    <col min="54" max="54" width="3.140625" style="6" hidden="1" customWidth="1"/>
    <col min="55" max="55" width="0.85546875" style="1" hidden="1" customWidth="1"/>
    <col min="56" max="56" width="3.140625" style="6" hidden="1" customWidth="1"/>
    <col min="57" max="57" width="2.42578125" style="7" hidden="1" customWidth="1"/>
    <col min="58" max="58" width="3.140625" style="6" hidden="1" customWidth="1"/>
    <col min="59" max="59" width="2.42578125" style="7" hidden="1" customWidth="1"/>
    <col min="60" max="63" width="3.140625" style="6" hidden="1" customWidth="1"/>
    <col min="64" max="64" width="4.140625" style="6" hidden="1" customWidth="1"/>
    <col min="65" max="65" width="0.7109375" style="1" hidden="1" customWidth="1"/>
    <col min="66" max="66" width="3.140625" style="6" hidden="1" customWidth="1"/>
    <col min="67" max="67" width="2.42578125" style="7" hidden="1" customWidth="1"/>
    <col min="68" max="68" width="3.140625" style="6" hidden="1" customWidth="1"/>
    <col min="69" max="69" width="2.42578125" style="7" hidden="1" customWidth="1"/>
    <col min="70" max="73" width="3.140625" style="6" hidden="1" customWidth="1"/>
    <col min="74" max="74" width="3.5703125" style="6" hidden="1" customWidth="1"/>
    <col min="75" max="75" width="0.7109375" style="1" hidden="1" customWidth="1"/>
    <col min="76" max="76" width="3.140625" style="6" hidden="1" customWidth="1"/>
    <col min="77" max="77" width="2.42578125" style="7" hidden="1" customWidth="1"/>
    <col min="78" max="78" width="3.140625" style="6" hidden="1" customWidth="1"/>
    <col min="79" max="79" width="2.42578125" style="7" hidden="1" customWidth="1"/>
    <col min="80" max="83" width="3.140625" style="6" hidden="1" customWidth="1"/>
    <col min="84" max="84" width="3.85546875" style="6" hidden="1" customWidth="1"/>
    <col min="85" max="85" width="1" style="1" hidden="1" customWidth="1"/>
    <col min="86" max="86" width="2.85546875" style="6" hidden="1" customWidth="1"/>
    <col min="87" max="87" width="2.42578125" style="7" hidden="1" customWidth="1"/>
    <col min="88" max="88" width="2.85546875" style="6" hidden="1" customWidth="1"/>
    <col min="89" max="89" width="2.42578125" style="7" hidden="1" customWidth="1"/>
    <col min="90" max="90" width="2.85546875" style="6" hidden="1" customWidth="1"/>
    <col min="91" max="92" width="3.140625" style="6" hidden="1" customWidth="1"/>
    <col min="93" max="93" width="2.85546875" style="6" hidden="1" customWidth="1"/>
    <col min="94" max="94" width="3.42578125" style="6" hidden="1" customWidth="1"/>
    <col min="95" max="95" width="1" style="1" hidden="1" customWidth="1"/>
    <col min="96" max="96" width="2.85546875" style="6" hidden="1" customWidth="1"/>
    <col min="97" max="97" width="2.42578125" style="7" hidden="1" customWidth="1"/>
    <col min="98" max="98" width="3.140625" style="6" hidden="1" customWidth="1"/>
    <col min="99" max="99" width="2.42578125" style="7" hidden="1" customWidth="1"/>
    <col min="100" max="103" width="3.140625" style="6" hidden="1" customWidth="1"/>
    <col min="104" max="104" width="4.5703125" style="6" hidden="1" customWidth="1"/>
    <col min="105" max="105" width="1" style="1" hidden="1" customWidth="1"/>
    <col min="106" max="106" width="2.85546875" style="6" hidden="1" customWidth="1"/>
    <col min="107" max="107" width="2.42578125" style="7" hidden="1" customWidth="1"/>
    <col min="108" max="108" width="3.140625" style="6" hidden="1" customWidth="1"/>
    <col min="109" max="109" width="2.42578125" style="7" hidden="1" customWidth="1"/>
    <col min="110" max="112" width="3.140625" style="6" hidden="1" customWidth="1"/>
    <col min="113" max="113" width="2.85546875" style="6" hidden="1" customWidth="1"/>
    <col min="114" max="114" width="3.85546875" style="6" hidden="1" customWidth="1"/>
    <col min="115" max="115" width="1" style="1" hidden="1" customWidth="1"/>
    <col min="116" max="116" width="2.85546875" style="6" hidden="1" customWidth="1"/>
    <col min="117" max="117" width="2.42578125" style="7" hidden="1" customWidth="1"/>
    <col min="118" max="118" width="3.140625" style="6" hidden="1" customWidth="1"/>
    <col min="119" max="119" width="2.42578125" style="7" hidden="1" customWidth="1"/>
    <col min="120" max="122" width="3.140625" style="6" hidden="1" customWidth="1"/>
    <col min="123" max="123" width="2.85546875" style="6" hidden="1" customWidth="1"/>
    <col min="124" max="124" width="3.7109375" style="6" hidden="1" customWidth="1"/>
    <col min="125" max="125" width="1" style="1" hidden="1" customWidth="1"/>
    <col min="126" max="126" width="2.85546875" style="6" hidden="1" customWidth="1"/>
    <col min="127" max="127" width="2.42578125" style="7" hidden="1" customWidth="1"/>
    <col min="128" max="128" width="3.140625" style="6" hidden="1" customWidth="1"/>
    <col min="129" max="129" width="2.42578125" style="7" hidden="1" customWidth="1"/>
    <col min="130" max="132" width="3.140625" style="6" hidden="1" customWidth="1"/>
    <col min="133" max="133" width="3" style="6" hidden="1" customWidth="1"/>
    <col min="134" max="134" width="4.140625" style="6" hidden="1" customWidth="1"/>
    <col min="135" max="135" width="1" style="1" hidden="1" customWidth="1"/>
    <col min="136" max="136" width="3.140625" style="6" hidden="1" customWidth="1"/>
    <col min="137" max="137" width="2.42578125" style="7" hidden="1" customWidth="1"/>
    <col min="138" max="138" width="3.140625" style="6" hidden="1" customWidth="1"/>
    <col min="139" max="139" width="2.42578125" style="7" hidden="1" customWidth="1"/>
    <col min="140" max="142" width="3.140625" style="6" hidden="1" customWidth="1"/>
    <col min="143" max="143" width="2.85546875" style="6" hidden="1" customWidth="1"/>
    <col min="144" max="144" width="4" style="6" hidden="1" customWidth="1"/>
    <col min="145" max="145" width="1" style="1" hidden="1" customWidth="1"/>
    <col min="146" max="146" width="3.140625" style="6" hidden="1" customWidth="1"/>
    <col min="147" max="147" width="2.42578125" style="7" hidden="1" customWidth="1"/>
    <col min="148" max="148" width="3.140625" style="6" hidden="1" customWidth="1"/>
    <col min="149" max="149" width="2.42578125" style="7" hidden="1" customWidth="1"/>
    <col min="150" max="153" width="3.140625" style="6" hidden="1" customWidth="1"/>
    <col min="154" max="154" width="3.85546875" style="6" hidden="1" customWidth="1"/>
    <col min="155" max="155" width="1" style="1" hidden="1" customWidth="1"/>
    <col min="156" max="156" width="2.85546875" style="6" hidden="1" customWidth="1"/>
    <col min="157" max="157" width="2.42578125" style="7" hidden="1" customWidth="1"/>
    <col min="158" max="158" width="2.85546875" style="6" hidden="1" customWidth="1"/>
    <col min="159" max="159" width="2.42578125" style="7" hidden="1" customWidth="1"/>
    <col min="160" max="163" width="3.140625" style="6" hidden="1" customWidth="1"/>
    <col min="164" max="164" width="3" style="6" hidden="1" customWidth="1"/>
    <col min="165" max="165" width="1" style="1" hidden="1" customWidth="1"/>
    <col min="166" max="166" width="3.140625" style="6" hidden="1" customWidth="1"/>
    <col min="167" max="167" width="2.42578125" style="7" hidden="1" customWidth="1"/>
    <col min="168" max="168" width="3.140625" style="6" hidden="1" customWidth="1"/>
    <col min="169" max="169" width="2.42578125" style="7" hidden="1" customWidth="1"/>
    <col min="170" max="173" width="3.140625" style="6" hidden="1" customWidth="1"/>
    <col min="174" max="174" width="3.85546875" style="6" hidden="1" customWidth="1"/>
    <col min="175" max="175" width="1.28515625" style="1" hidden="1" customWidth="1"/>
    <col min="176" max="176" width="2.85546875" style="6" hidden="1" customWidth="1"/>
    <col min="177" max="177" width="2.42578125" style="7" hidden="1" customWidth="1"/>
    <col min="178" max="178" width="3.140625" style="6" hidden="1" customWidth="1"/>
    <col min="179" max="179" width="2.42578125" style="7" hidden="1" customWidth="1"/>
    <col min="180" max="183" width="3.140625" style="6" hidden="1" customWidth="1"/>
    <col min="184" max="184" width="4" style="6" hidden="1" customWidth="1"/>
    <col min="185" max="185" width="1" style="1" hidden="1" customWidth="1"/>
    <col min="186" max="186" width="2.5703125" style="6" hidden="1" customWidth="1"/>
    <col min="187" max="187" width="2.42578125" style="7" hidden="1" customWidth="1"/>
    <col min="188" max="188" width="2.85546875" style="6" hidden="1" customWidth="1"/>
    <col min="189" max="189" width="2.42578125" style="7" hidden="1" customWidth="1"/>
    <col min="190" max="193" width="3.140625" style="6" hidden="1" customWidth="1"/>
    <col min="194" max="194" width="4.28515625" style="6" hidden="1" customWidth="1"/>
    <col min="195" max="195" width="1" style="1" hidden="1" customWidth="1"/>
    <col min="196" max="196" width="2.85546875" style="6" hidden="1" customWidth="1"/>
    <col min="197" max="197" width="2.42578125" style="7" hidden="1" customWidth="1"/>
    <col min="198" max="198" width="2.85546875" style="6" hidden="1" customWidth="1"/>
    <col min="199" max="199" width="2.42578125" style="7" hidden="1" customWidth="1"/>
    <col min="200" max="201" width="3.140625" style="6" hidden="1" customWidth="1"/>
    <col min="202" max="203" width="2.85546875" style="6" hidden="1" customWidth="1"/>
    <col min="204" max="204" width="4.5703125" style="6" hidden="1" customWidth="1"/>
    <col min="205" max="205" width="1" style="1" hidden="1" customWidth="1"/>
    <col min="206" max="206" width="2.85546875" style="6" hidden="1" customWidth="1"/>
    <col min="207" max="207" width="2.42578125" style="7" hidden="1" customWidth="1"/>
    <col min="208" max="208" width="2.7109375" style="6" hidden="1" customWidth="1"/>
    <col min="209" max="209" width="2.42578125" style="7" hidden="1" customWidth="1"/>
    <col min="210" max="213" width="3.140625" style="6" hidden="1" customWidth="1"/>
    <col min="214" max="214" width="4.5703125" style="6" hidden="1" customWidth="1"/>
    <col min="215" max="215" width="1" style="1" hidden="1" customWidth="1"/>
    <col min="216" max="216" width="3.140625" style="6" hidden="1" customWidth="1"/>
    <col min="217" max="217" width="2.42578125" style="7" hidden="1" customWidth="1"/>
    <col min="218" max="218" width="2.85546875" style="6" hidden="1" customWidth="1"/>
    <col min="219" max="219" width="2.42578125" style="7" hidden="1" customWidth="1"/>
    <col min="220" max="223" width="3.140625" style="6" hidden="1" customWidth="1"/>
    <col min="224" max="224" width="3.85546875" style="6" hidden="1" customWidth="1"/>
    <col min="225" max="225" width="1" style="1" hidden="1" customWidth="1"/>
    <col min="226" max="226" width="3.140625" style="6" hidden="1" customWidth="1"/>
    <col min="227" max="227" width="2.42578125" style="7" hidden="1" customWidth="1"/>
    <col min="228" max="228" width="3.140625" style="6" hidden="1" customWidth="1"/>
    <col min="229" max="229" width="2.42578125" style="7" hidden="1" customWidth="1"/>
    <col min="230" max="233" width="3.140625" style="6" hidden="1" customWidth="1"/>
    <col min="234" max="234" width="3.85546875" style="6" hidden="1" customWidth="1"/>
    <col min="235" max="235" width="1" style="1" hidden="1" customWidth="1"/>
    <col min="236" max="236" width="2.85546875" style="6" hidden="1" customWidth="1"/>
    <col min="237" max="237" width="2.42578125" style="7" hidden="1" customWidth="1"/>
    <col min="238" max="238" width="3.140625" style="6" hidden="1" customWidth="1"/>
    <col min="239" max="239" width="2.42578125" style="7" hidden="1" customWidth="1"/>
    <col min="240" max="240" width="3.140625" style="6" hidden="1" customWidth="1"/>
    <col min="241" max="241" width="2.85546875" style="6" hidden="1" customWidth="1"/>
    <col min="242" max="243" width="3.140625" style="6" hidden="1" customWidth="1"/>
    <col min="244" max="244" width="3.5703125" style="6" hidden="1" customWidth="1"/>
    <col min="245" max="245" width="1" style="1" hidden="1" customWidth="1"/>
    <col min="246" max="246" width="2.5703125" style="6" hidden="1" customWidth="1"/>
    <col min="247" max="247" width="2.42578125" style="7" hidden="1" customWidth="1"/>
    <col min="248" max="248" width="2.85546875" style="6" hidden="1" customWidth="1"/>
    <col min="249" max="249" width="2.42578125" style="7" hidden="1" customWidth="1"/>
    <col min="250" max="250" width="2.85546875" style="6" hidden="1" customWidth="1"/>
    <col min="251" max="253" width="3.140625" style="6" hidden="1" customWidth="1"/>
    <col min="254" max="254" width="4" style="6" hidden="1" customWidth="1"/>
    <col min="255" max="255" width="0.85546875" style="1" hidden="1" customWidth="1"/>
    <col min="256" max="256" width="3.140625" style="6" hidden="1" customWidth="1"/>
    <col min="257" max="257" width="2.42578125" style="7" hidden="1" customWidth="1"/>
    <col min="258" max="258" width="3.140625" style="6" hidden="1" customWidth="1"/>
    <col min="259" max="259" width="2.42578125" style="7" hidden="1" customWidth="1"/>
    <col min="260" max="263" width="3.140625" style="6" hidden="1" customWidth="1"/>
    <col min="264" max="264" width="3.85546875" style="6" hidden="1" customWidth="1"/>
    <col min="265" max="265" width="1" style="1" hidden="1" customWidth="1"/>
    <col min="266" max="266" width="3.140625" style="6" hidden="1" customWidth="1"/>
    <col min="267" max="267" width="2.42578125" style="7" hidden="1" customWidth="1"/>
    <col min="268" max="268" width="3.140625" style="6" hidden="1" customWidth="1"/>
    <col min="269" max="269" width="2.42578125" style="7" hidden="1" customWidth="1"/>
    <col min="270" max="273" width="3.140625" style="6" hidden="1" customWidth="1"/>
    <col min="274" max="274" width="3.42578125" style="6" hidden="1" customWidth="1"/>
    <col min="275" max="275" width="1" style="1" hidden="1" customWidth="1"/>
    <col min="276" max="276" width="2.7109375" style="6" hidden="1" customWidth="1"/>
    <col min="277" max="277" width="2.42578125" style="7" hidden="1" customWidth="1"/>
    <col min="278" max="278" width="3.140625" style="6" hidden="1" customWidth="1"/>
    <col min="279" max="279" width="2.42578125" style="7" hidden="1" customWidth="1"/>
    <col min="280" max="283" width="3.140625" style="6" hidden="1" customWidth="1"/>
    <col min="284" max="284" width="3.7109375" style="6" hidden="1" customWidth="1"/>
    <col min="285" max="285" width="1" style="1" hidden="1" customWidth="1"/>
    <col min="286" max="286" width="3.140625" style="6" hidden="1" customWidth="1"/>
    <col min="287" max="287" width="2.42578125" style="7" hidden="1" customWidth="1"/>
    <col min="288" max="288" width="3.140625" style="6" hidden="1" customWidth="1"/>
    <col min="289" max="289" width="2.42578125" style="7" hidden="1" customWidth="1"/>
    <col min="290" max="293" width="3.140625" style="6" hidden="1" customWidth="1"/>
    <col min="294" max="294" width="3.42578125" style="6" hidden="1" customWidth="1"/>
    <col min="295" max="295" width="1" style="1" hidden="1" customWidth="1"/>
    <col min="296" max="296" width="3.140625" style="6" hidden="1" customWidth="1"/>
    <col min="297" max="297" width="2.42578125" style="7" hidden="1" customWidth="1"/>
    <col min="298" max="298" width="3.140625" style="6" hidden="1" customWidth="1"/>
    <col min="299" max="299" width="2.42578125" style="7" hidden="1" customWidth="1"/>
    <col min="300" max="303" width="3.140625" style="6" hidden="1" customWidth="1"/>
    <col min="304" max="304" width="4.5703125" style="6" hidden="1" customWidth="1"/>
    <col min="305" max="305" width="1" style="1" hidden="1" customWidth="1"/>
    <col min="306" max="306" width="3.140625" style="6" hidden="1" customWidth="1"/>
    <col min="307" max="307" width="2.42578125" style="7" hidden="1" customWidth="1"/>
    <col min="308" max="308" width="3.140625" style="6" hidden="1" customWidth="1"/>
    <col min="309" max="309" width="2.42578125" style="7" hidden="1" customWidth="1"/>
    <col min="310" max="314" width="3.140625" style="6" hidden="1" customWidth="1"/>
    <col min="315" max="315" width="1.140625" style="1" hidden="1" customWidth="1"/>
    <col min="316" max="316" width="3.140625" style="6" hidden="1" customWidth="1"/>
    <col min="317" max="317" width="2.42578125" style="7" hidden="1" customWidth="1"/>
    <col min="318" max="318" width="3.140625" style="6" hidden="1" customWidth="1"/>
    <col min="319" max="319" width="2.42578125" style="7" hidden="1" customWidth="1"/>
    <col min="320" max="324" width="3.140625" style="6" hidden="1" customWidth="1"/>
    <col min="325" max="325" width="1.28515625" style="1" hidden="1" customWidth="1"/>
    <col min="326" max="326" width="3.140625" style="6" hidden="1" customWidth="1"/>
    <col min="327" max="327" width="2.42578125" style="7" hidden="1" customWidth="1"/>
    <col min="328" max="328" width="3.140625" style="6" hidden="1" customWidth="1"/>
    <col min="329" max="329" width="2.42578125" style="7" hidden="1" customWidth="1"/>
    <col min="330" max="334" width="3.140625" style="6" hidden="1" customWidth="1"/>
    <col min="335" max="335" width="1.28515625" style="1" hidden="1" customWidth="1"/>
    <col min="336" max="336" width="3.140625" style="6" hidden="1" customWidth="1"/>
    <col min="337" max="337" width="2.42578125" style="7" hidden="1" customWidth="1"/>
    <col min="338" max="338" width="3.140625" style="6" hidden="1" customWidth="1"/>
    <col min="339" max="339" width="2.42578125" style="7" hidden="1" customWidth="1"/>
    <col min="340" max="343" width="3.140625" style="6" hidden="1" customWidth="1"/>
    <col min="344" max="344" width="3.7109375" style="6" hidden="1" customWidth="1"/>
    <col min="345" max="345" width="1.28515625" style="1" hidden="1" customWidth="1"/>
    <col min="346" max="346" width="3.140625" style="6" hidden="1" customWidth="1"/>
    <col min="347" max="347" width="2.42578125" style="7" hidden="1" customWidth="1"/>
    <col min="348" max="348" width="3.140625" style="6" hidden="1" customWidth="1"/>
    <col min="349" max="349" width="2.42578125" style="7" hidden="1" customWidth="1"/>
    <col min="350" max="354" width="3.140625" style="6" hidden="1" customWidth="1"/>
    <col min="355" max="355" width="1.28515625" style="1" hidden="1" customWidth="1"/>
    <col min="356" max="356" width="3.140625" style="6" hidden="1" customWidth="1"/>
    <col min="357" max="357" width="2.42578125" style="7" hidden="1" customWidth="1"/>
    <col min="358" max="358" width="3.140625" style="6" hidden="1" customWidth="1"/>
    <col min="359" max="359" width="2.42578125" style="7" hidden="1" customWidth="1"/>
    <col min="360" max="364" width="3.140625" style="6" hidden="1" customWidth="1"/>
    <col min="365" max="365" width="1" style="1" hidden="1" customWidth="1"/>
    <col min="366" max="366" width="3.140625" style="6" hidden="1" customWidth="1"/>
    <col min="367" max="367" width="2.42578125" style="7" hidden="1" customWidth="1"/>
    <col min="368" max="368" width="3.140625" style="6" hidden="1" customWidth="1"/>
    <col min="369" max="369" width="2.42578125" style="7" hidden="1" customWidth="1"/>
    <col min="370" max="374" width="3.140625" style="6" hidden="1" customWidth="1"/>
    <col min="375" max="375" width="0.7109375" style="1" hidden="1" customWidth="1"/>
    <col min="376" max="376" width="3.140625" style="6" hidden="1" customWidth="1"/>
    <col min="377" max="377" width="2.42578125" style="7" hidden="1" customWidth="1"/>
    <col min="378" max="378" width="3.140625" style="6" hidden="1" customWidth="1"/>
    <col min="379" max="379" width="2.42578125" style="7" hidden="1" customWidth="1"/>
    <col min="380" max="384" width="3.140625" style="6" hidden="1" customWidth="1"/>
    <col min="385" max="385" width="0.85546875" style="1" hidden="1" customWidth="1"/>
    <col min="386" max="386" width="3.140625" style="6" hidden="1" customWidth="1"/>
    <col min="387" max="387" width="2.42578125" style="7" hidden="1" customWidth="1"/>
    <col min="388" max="388" width="3.140625" style="6" hidden="1" customWidth="1"/>
    <col min="389" max="389" width="2.42578125" style="7" hidden="1" customWidth="1"/>
    <col min="390" max="394" width="3.140625" style="6" hidden="1" customWidth="1"/>
    <col min="395" max="395" width="0.5703125" style="1" hidden="1" customWidth="1"/>
    <col min="396" max="396" width="2.5703125" style="6" hidden="1" customWidth="1"/>
    <col min="397" max="397" width="3.140625" style="7" hidden="1" customWidth="1"/>
    <col min="398" max="398" width="2.85546875" style="6" hidden="1" customWidth="1"/>
    <col min="399" max="399" width="3.140625" style="7" hidden="1" customWidth="1"/>
    <col min="400" max="400" width="3.5703125" style="6" hidden="1" customWidth="1"/>
    <col min="401" max="401" width="3.7109375" style="6" hidden="1" customWidth="1"/>
    <col min="402" max="402" width="2.85546875" style="6" hidden="1" customWidth="1"/>
    <col min="403" max="403" width="4" style="6" hidden="1" customWidth="1"/>
    <col min="404" max="404" width="3.42578125" style="6" hidden="1" customWidth="1"/>
    <col min="405" max="405" width="0.5703125" style="1" hidden="1" customWidth="1"/>
    <col min="406" max="406" width="2.85546875" style="6" hidden="1" customWidth="1"/>
    <col min="407" max="407" width="2.85546875" style="7" hidden="1" customWidth="1"/>
    <col min="408" max="408" width="2.85546875" style="6" hidden="1" customWidth="1"/>
    <col min="409" max="409" width="2.7109375" style="7" hidden="1" customWidth="1"/>
    <col min="410" max="410" width="3" style="6" hidden="1" customWidth="1"/>
    <col min="411" max="411" width="3.28515625" style="6" hidden="1" customWidth="1"/>
    <col min="412" max="412" width="2.5703125" style="6" hidden="1" customWidth="1"/>
    <col min="413" max="414" width="3.5703125" style="6" hidden="1" customWidth="1"/>
    <col min="415" max="415" width="0.7109375" style="1" hidden="1" customWidth="1"/>
    <col min="416" max="416" width="2.85546875" style="6" hidden="1" customWidth="1"/>
    <col min="417" max="417" width="2.5703125" style="7" hidden="1" customWidth="1"/>
    <col min="418" max="418" width="2.5703125" style="6" hidden="1" customWidth="1"/>
    <col min="419" max="419" width="2.85546875" style="7" hidden="1" customWidth="1"/>
    <col min="420" max="420" width="3.42578125" style="6" hidden="1" customWidth="1"/>
    <col min="421" max="421" width="3.140625" style="6" hidden="1" customWidth="1"/>
    <col min="422" max="422" width="2.85546875" style="6" hidden="1" customWidth="1"/>
    <col min="423" max="423" width="3.7109375" style="6" hidden="1" customWidth="1"/>
    <col min="424" max="424" width="3" style="6" hidden="1" customWidth="1"/>
    <col min="425" max="425" width="0.7109375" style="1" hidden="1" customWidth="1"/>
    <col min="426" max="426" width="2.7109375" style="6" hidden="1" customWidth="1"/>
    <col min="427" max="427" width="2.28515625" style="7" hidden="1" customWidth="1"/>
    <col min="428" max="428" width="3.140625" style="6" hidden="1" customWidth="1"/>
    <col min="429" max="429" width="2.28515625" style="7" hidden="1" customWidth="1"/>
    <col min="430" max="430" width="3.7109375" style="6" hidden="1" customWidth="1"/>
    <col min="431" max="431" width="3.140625" style="6" hidden="1" customWidth="1"/>
    <col min="432" max="432" width="3" style="6" hidden="1" customWidth="1"/>
    <col min="433" max="433" width="3.85546875" style="6" hidden="1" customWidth="1"/>
    <col min="434" max="434" width="3.140625" style="6" hidden="1" customWidth="1"/>
    <col min="435" max="435" width="0.85546875" style="1" hidden="1" customWidth="1"/>
    <col min="436" max="436" width="2.85546875" style="6" hidden="1" customWidth="1"/>
    <col min="437" max="437" width="2.5703125" style="7" hidden="1" customWidth="1"/>
    <col min="438" max="438" width="3.140625" style="6" hidden="1" customWidth="1"/>
    <col min="439" max="439" width="2.42578125" style="7" hidden="1" customWidth="1"/>
    <col min="440" max="440" width="3.28515625" style="6" hidden="1" customWidth="1"/>
    <col min="441" max="441" width="3.140625" style="6" hidden="1" customWidth="1"/>
    <col min="442" max="442" width="3.42578125" style="6" hidden="1" customWidth="1"/>
    <col min="443" max="443" width="3.85546875" style="6" hidden="1" customWidth="1"/>
    <col min="444" max="444" width="3.5703125" style="6" hidden="1" customWidth="1"/>
    <col min="445" max="445" width="0.85546875" style="1" hidden="1" customWidth="1"/>
    <col min="446" max="446" width="2.7109375" style="6" hidden="1" customWidth="1"/>
    <col min="447" max="447" width="3.140625" style="7" hidden="1" customWidth="1"/>
    <col min="448" max="448" width="2.42578125" style="6" hidden="1" customWidth="1"/>
    <col min="449" max="449" width="3.140625" style="7" hidden="1" customWidth="1"/>
    <col min="450" max="450" width="3" style="6" hidden="1" customWidth="1"/>
    <col min="451" max="451" width="3.28515625" style="6" hidden="1" customWidth="1"/>
    <col min="452" max="452" width="2.85546875" style="6" hidden="1" customWidth="1"/>
    <col min="453" max="453" width="3.85546875" style="6" hidden="1" customWidth="1"/>
    <col min="454" max="454" width="3.140625" style="6" hidden="1" customWidth="1"/>
    <col min="455" max="455" width="0.85546875" style="1" hidden="1" customWidth="1"/>
    <col min="456" max="456" width="2.7109375" style="6" hidden="1" customWidth="1"/>
    <col min="457" max="457" width="2.85546875" style="7" hidden="1" customWidth="1"/>
    <col min="458" max="458" width="2.5703125" style="6" hidden="1" customWidth="1"/>
    <col min="459" max="459" width="2.5703125" style="7" hidden="1" customWidth="1"/>
    <col min="460" max="460" width="3.42578125" style="6" hidden="1" customWidth="1"/>
    <col min="461" max="461" width="3.28515625" style="6" hidden="1" customWidth="1"/>
    <col min="462" max="462" width="2.85546875" style="6" hidden="1" customWidth="1"/>
    <col min="463" max="463" width="3.7109375" style="6" hidden="1" customWidth="1"/>
    <col min="464" max="464" width="3.28515625" style="6" hidden="1" customWidth="1"/>
    <col min="465" max="465" width="0.85546875" style="1" hidden="1" customWidth="1"/>
    <col min="466" max="466" width="2.5703125" style="6" hidden="1" customWidth="1"/>
    <col min="467" max="467" width="2.140625" style="7" hidden="1" customWidth="1"/>
    <col min="468" max="468" width="3" style="6" hidden="1" customWidth="1"/>
    <col min="469" max="469" width="2.28515625" style="7" hidden="1" customWidth="1"/>
    <col min="470" max="470" width="3.28515625" style="6" hidden="1" customWidth="1"/>
    <col min="471" max="471" width="3.5703125" style="6" hidden="1" customWidth="1"/>
    <col min="472" max="472" width="3" style="6" hidden="1" customWidth="1"/>
    <col min="473" max="473" width="4.140625" style="6" hidden="1" customWidth="1"/>
    <col min="474" max="474" width="3.140625" style="6" hidden="1" customWidth="1"/>
    <col min="475" max="475" width="0.85546875" style="1" hidden="1" customWidth="1"/>
    <col min="476" max="476" width="2.7109375" style="6" hidden="1" customWidth="1"/>
    <col min="477" max="477" width="3.140625" style="7" hidden="1" customWidth="1"/>
    <col min="478" max="478" width="3.140625" style="6" hidden="1" customWidth="1"/>
    <col min="479" max="479" width="3.140625" style="7" hidden="1" customWidth="1"/>
    <col min="480" max="480" width="3.7109375" style="6" hidden="1" customWidth="1"/>
    <col min="481" max="481" width="3.5703125" style="6" hidden="1" customWidth="1"/>
    <col min="482" max="482" width="3.28515625" style="6" hidden="1" customWidth="1"/>
    <col min="483" max="483" width="4" style="6" hidden="1" customWidth="1"/>
    <col min="484" max="484" width="3.42578125" style="6" hidden="1" customWidth="1"/>
    <col min="485" max="485" width="0.85546875" style="1" hidden="1" customWidth="1"/>
    <col min="486" max="486" width="2.5703125" style="6" hidden="1" customWidth="1"/>
    <col min="487" max="487" width="2.42578125" style="7" hidden="1" customWidth="1"/>
    <col min="488" max="488" width="2.5703125" style="6" hidden="1" customWidth="1"/>
    <col min="489" max="489" width="2.7109375" style="7" hidden="1" customWidth="1"/>
    <col min="490" max="490" width="3.28515625" style="6" hidden="1" customWidth="1"/>
    <col min="491" max="491" width="3.42578125" style="6" hidden="1" customWidth="1"/>
    <col min="492" max="492" width="3.140625" style="6" hidden="1" customWidth="1"/>
    <col min="493" max="493" width="4.140625" style="6" hidden="1" customWidth="1"/>
    <col min="494" max="494" width="3.140625" style="6" hidden="1" customWidth="1"/>
    <col min="495" max="495" width="0.85546875" style="1" hidden="1" customWidth="1"/>
    <col min="496" max="496" width="2.5703125" style="6" hidden="1" customWidth="1"/>
    <col min="497" max="497" width="2.28515625" style="7" hidden="1" customWidth="1"/>
    <col min="498" max="498" width="2.7109375" style="6" hidden="1" customWidth="1"/>
    <col min="499" max="499" width="2.140625" style="7" hidden="1" customWidth="1"/>
    <col min="500" max="500" width="3.140625" style="6" hidden="1" customWidth="1"/>
    <col min="501" max="501" width="3.28515625" style="6" hidden="1" customWidth="1"/>
    <col min="502" max="502" width="3.140625" style="6" hidden="1" customWidth="1"/>
    <col min="503" max="503" width="3.28515625" style="6" hidden="1" customWidth="1"/>
    <col min="504" max="504" width="3.42578125" style="6" hidden="1" customWidth="1"/>
    <col min="505" max="505" width="0.85546875" style="1" customWidth="1"/>
    <col min="506" max="506" width="2.85546875" style="6" customWidth="1"/>
    <col min="507" max="507" width="2.42578125" style="7" customWidth="1"/>
    <col min="508" max="508" width="2.7109375" style="6" customWidth="1"/>
    <col min="509" max="509" width="2.28515625" style="7" customWidth="1"/>
    <col min="510" max="510" width="3.5703125" style="6" customWidth="1"/>
    <col min="511" max="511" width="3.42578125" style="6" customWidth="1"/>
    <col min="512" max="512" width="3" style="6" customWidth="1"/>
    <col min="513" max="513" width="3.5703125" style="6" customWidth="1"/>
    <col min="514" max="514" width="3.28515625" style="6" customWidth="1"/>
    <col min="515" max="515" width="0.85546875" style="1" customWidth="1"/>
    <col min="516" max="516" width="3.140625" style="6" customWidth="1"/>
    <col min="517" max="517" width="2.28515625" style="7" customWidth="1"/>
    <col min="518" max="518" width="3.140625" style="6" customWidth="1"/>
    <col min="519" max="519" width="2.28515625" style="7" customWidth="1"/>
    <col min="520" max="520" width="4.28515625" style="6" customWidth="1"/>
    <col min="521" max="521" width="3.5703125" style="6" customWidth="1"/>
    <col min="522" max="522" width="3.28515625" style="6" customWidth="1"/>
    <col min="523" max="523" width="3.7109375" style="6" customWidth="1"/>
    <col min="524" max="524" width="3.28515625" style="6" customWidth="1"/>
    <col min="525" max="525" width="0.85546875" style="1" customWidth="1"/>
    <col min="526" max="526" width="3.140625" style="6" customWidth="1"/>
    <col min="527" max="527" width="2.42578125" style="7" customWidth="1"/>
    <col min="528" max="528" width="3.140625" style="6" customWidth="1"/>
    <col min="529" max="529" width="2.42578125" style="7" customWidth="1"/>
    <col min="530" max="530" width="4.28515625" style="6" customWidth="1"/>
    <col min="531" max="531" width="3.7109375" style="6" customWidth="1"/>
    <col min="532" max="532" width="3.42578125" style="6" customWidth="1"/>
    <col min="533" max="533" width="3.7109375" style="6" customWidth="1"/>
    <col min="534" max="534" width="3.42578125" style="6" customWidth="1"/>
    <col min="535" max="535" width="0.85546875" style="1" customWidth="1"/>
    <col min="536" max="536" width="2.85546875" style="6" customWidth="1"/>
    <col min="537" max="537" width="2.140625" style="7" customWidth="1"/>
    <col min="538" max="538" width="2.7109375" style="6" customWidth="1"/>
    <col min="539" max="539" width="2.28515625" style="7" customWidth="1"/>
    <col min="540" max="541" width="3.140625" style="6" customWidth="1"/>
    <col min="542" max="543" width="3.42578125" style="6" customWidth="1"/>
    <col min="544" max="544" width="3" style="6" customWidth="1"/>
    <col min="545" max="16384" width="9.140625" style="1"/>
  </cols>
  <sheetData>
    <row r="1" spans="1:544" ht="11.25" x14ac:dyDescent="0.2">
      <c r="A1" s="22" t="s">
        <v>60</v>
      </c>
      <c r="B1" s="46">
        <f ca="1">_xlfn.LET(_xlpm.anchor,DATE(2026,5,1),_xlpm.cycle,14,_xlpm.next,_xlpm.anchor+_xlfn.CEILING.MATH(MAX(0,TODAY()-_xlpm.anchor),_xlpm.cycle),IF(_xlpm.next=TODAY(),"DUE TODAY",_xlpm.next))</f>
        <v>46297</v>
      </c>
      <c r="C1" s="46"/>
      <c r="D1" s="46"/>
      <c r="F1" s="40" t="s">
        <v>0</v>
      </c>
      <c r="G1" s="41"/>
      <c r="H1" s="31" t="s">
        <v>28</v>
      </c>
      <c r="I1" s="32"/>
      <c r="J1" s="33"/>
      <c r="K1" s="43" t="s">
        <v>1</v>
      </c>
      <c r="L1" s="43"/>
      <c r="M1" s="45">
        <v>45933</v>
      </c>
      <c r="N1" s="45"/>
      <c r="P1" s="40" t="s">
        <v>0</v>
      </c>
      <c r="Q1" s="41"/>
      <c r="R1" s="40" t="s">
        <v>29</v>
      </c>
      <c r="S1" s="42"/>
      <c r="T1" s="41"/>
      <c r="U1" s="43" t="s">
        <v>1</v>
      </c>
      <c r="V1" s="43"/>
      <c r="W1" s="44">
        <v>45938</v>
      </c>
      <c r="X1" s="44"/>
      <c r="Z1" s="40" t="s">
        <v>0</v>
      </c>
      <c r="AA1" s="41"/>
      <c r="AB1" s="40" t="s">
        <v>31</v>
      </c>
      <c r="AC1" s="42"/>
      <c r="AD1" s="41"/>
      <c r="AE1" s="43" t="s">
        <v>1</v>
      </c>
      <c r="AF1" s="43"/>
      <c r="AG1" s="44">
        <v>45946</v>
      </c>
      <c r="AH1" s="44"/>
      <c r="AJ1" s="40" t="s">
        <v>0</v>
      </c>
      <c r="AK1" s="41"/>
      <c r="AL1" s="31" t="s">
        <v>32</v>
      </c>
      <c r="AM1" s="32"/>
      <c r="AN1" s="33"/>
      <c r="AO1" s="43" t="s">
        <v>1</v>
      </c>
      <c r="AP1" s="43"/>
      <c r="AQ1" s="45">
        <v>45947</v>
      </c>
      <c r="AR1" s="45"/>
      <c r="AT1" s="40" t="s">
        <v>0</v>
      </c>
      <c r="AU1" s="41"/>
      <c r="AV1" s="31" t="s">
        <v>31</v>
      </c>
      <c r="AW1" s="32"/>
      <c r="AX1" s="33"/>
      <c r="AY1" s="43" t="s">
        <v>1</v>
      </c>
      <c r="AZ1" s="43"/>
      <c r="BA1" s="45">
        <v>45954</v>
      </c>
      <c r="BB1" s="45"/>
      <c r="BD1" s="40" t="s">
        <v>0</v>
      </c>
      <c r="BE1" s="41"/>
      <c r="BF1" s="31" t="s">
        <v>31</v>
      </c>
      <c r="BG1" s="32"/>
      <c r="BH1" s="33"/>
      <c r="BI1" s="43" t="s">
        <v>1</v>
      </c>
      <c r="BJ1" s="43"/>
      <c r="BK1" s="45">
        <v>45961</v>
      </c>
      <c r="BL1" s="45"/>
      <c r="BN1" s="40" t="s">
        <v>0</v>
      </c>
      <c r="BO1" s="41"/>
      <c r="BP1" s="40" t="s">
        <v>31</v>
      </c>
      <c r="BQ1" s="42"/>
      <c r="BR1" s="41"/>
      <c r="BS1" s="43" t="s">
        <v>1</v>
      </c>
      <c r="BT1" s="43"/>
      <c r="BU1" s="44">
        <v>45968</v>
      </c>
      <c r="BV1" s="44"/>
      <c r="BX1" s="40" t="s">
        <v>0</v>
      </c>
      <c r="BY1" s="41"/>
      <c r="BZ1" s="40" t="s">
        <v>31</v>
      </c>
      <c r="CA1" s="42"/>
      <c r="CB1" s="41"/>
      <c r="CC1" s="43" t="s">
        <v>1</v>
      </c>
      <c r="CD1" s="43"/>
      <c r="CE1" s="44">
        <v>45975</v>
      </c>
      <c r="CF1" s="44"/>
      <c r="CH1" s="40" t="s">
        <v>0</v>
      </c>
      <c r="CI1" s="41"/>
      <c r="CJ1" s="40" t="s">
        <v>33</v>
      </c>
      <c r="CK1" s="42"/>
      <c r="CL1" s="41"/>
      <c r="CM1" s="43" t="s">
        <v>1</v>
      </c>
      <c r="CN1" s="43"/>
      <c r="CO1" s="44">
        <v>45982</v>
      </c>
      <c r="CP1" s="44"/>
      <c r="CR1" s="40" t="s">
        <v>0</v>
      </c>
      <c r="CS1" s="41"/>
      <c r="CT1" s="40" t="s">
        <v>34</v>
      </c>
      <c r="CU1" s="42"/>
      <c r="CV1" s="41"/>
      <c r="CW1" s="43" t="s">
        <v>1</v>
      </c>
      <c r="CX1" s="43"/>
      <c r="CY1" s="44" t="s">
        <v>35</v>
      </c>
      <c r="CZ1" s="44"/>
      <c r="DB1" s="40" t="s">
        <v>0</v>
      </c>
      <c r="DC1" s="41"/>
      <c r="DD1" s="40" t="s">
        <v>33</v>
      </c>
      <c r="DE1" s="42"/>
      <c r="DF1" s="41"/>
      <c r="DG1" s="43" t="s">
        <v>1</v>
      </c>
      <c r="DH1" s="43"/>
      <c r="DI1" s="44" t="s">
        <v>36</v>
      </c>
      <c r="DJ1" s="44"/>
      <c r="DL1" s="40" t="s">
        <v>0</v>
      </c>
      <c r="DM1" s="41"/>
      <c r="DN1" s="40" t="s">
        <v>33</v>
      </c>
      <c r="DO1" s="42"/>
      <c r="DP1" s="41"/>
      <c r="DQ1" s="43" t="s">
        <v>1</v>
      </c>
      <c r="DR1" s="43"/>
      <c r="DS1" s="44" t="s">
        <v>37</v>
      </c>
      <c r="DT1" s="44"/>
      <c r="DV1" s="40" t="s">
        <v>0</v>
      </c>
      <c r="DW1" s="41"/>
      <c r="DX1" s="31" t="s">
        <v>38</v>
      </c>
      <c r="DY1" s="32"/>
      <c r="DZ1" s="33"/>
      <c r="EA1" s="43" t="s">
        <v>1</v>
      </c>
      <c r="EB1" s="43"/>
      <c r="EC1" s="45" t="s">
        <v>39</v>
      </c>
      <c r="ED1" s="45"/>
      <c r="EF1" s="40" t="s">
        <v>0</v>
      </c>
      <c r="EG1" s="41"/>
      <c r="EH1" s="40" t="s">
        <v>31</v>
      </c>
      <c r="EI1" s="42"/>
      <c r="EJ1" s="41"/>
      <c r="EK1" s="43" t="s">
        <v>1</v>
      </c>
      <c r="EL1" s="43"/>
      <c r="EM1" s="44">
        <v>46017</v>
      </c>
      <c r="EN1" s="44"/>
      <c r="EP1" s="40" t="s">
        <v>0</v>
      </c>
      <c r="EQ1" s="41"/>
      <c r="ER1" s="40" t="s">
        <v>40</v>
      </c>
      <c r="ES1" s="42"/>
      <c r="ET1" s="41"/>
      <c r="EU1" s="43" t="s">
        <v>1</v>
      </c>
      <c r="EV1" s="43"/>
      <c r="EW1" s="44" t="s">
        <v>41</v>
      </c>
      <c r="EX1" s="44"/>
      <c r="EZ1" s="40" t="s">
        <v>0</v>
      </c>
      <c r="FA1" s="41"/>
      <c r="FB1" s="40" t="s">
        <v>42</v>
      </c>
      <c r="FC1" s="42"/>
      <c r="FD1" s="41"/>
      <c r="FE1" s="43" t="s">
        <v>1</v>
      </c>
      <c r="FF1" s="43"/>
      <c r="FG1" s="44" t="s">
        <v>43</v>
      </c>
      <c r="FH1" s="44"/>
      <c r="FJ1" s="40" t="s">
        <v>0</v>
      </c>
      <c r="FK1" s="41"/>
      <c r="FL1" s="31" t="s">
        <v>31</v>
      </c>
      <c r="FM1" s="32"/>
      <c r="FN1" s="33"/>
      <c r="FO1" s="43" t="s">
        <v>1</v>
      </c>
      <c r="FP1" s="43"/>
      <c r="FQ1" s="45">
        <v>46037</v>
      </c>
      <c r="FR1" s="45"/>
      <c r="FT1" s="40" t="s">
        <v>0</v>
      </c>
      <c r="FU1" s="41"/>
      <c r="FV1" s="31" t="s">
        <v>44</v>
      </c>
      <c r="FW1" s="32"/>
      <c r="FX1" s="33"/>
      <c r="FY1" s="43" t="s">
        <v>1</v>
      </c>
      <c r="FZ1" s="43"/>
      <c r="GA1" s="45" t="s">
        <v>45</v>
      </c>
      <c r="GB1" s="45"/>
      <c r="GD1" s="40" t="s">
        <v>0</v>
      </c>
      <c r="GE1" s="41"/>
      <c r="GF1" s="40" t="s">
        <v>44</v>
      </c>
      <c r="GG1" s="42"/>
      <c r="GH1" s="41"/>
      <c r="GI1" s="43" t="s">
        <v>1</v>
      </c>
      <c r="GJ1" s="43"/>
      <c r="GK1" s="44" t="s">
        <v>46</v>
      </c>
      <c r="GL1" s="44"/>
      <c r="GN1" s="40" t="s">
        <v>0</v>
      </c>
      <c r="GO1" s="41"/>
      <c r="GP1" s="40" t="s">
        <v>33</v>
      </c>
      <c r="GQ1" s="42"/>
      <c r="GR1" s="41"/>
      <c r="GS1" s="43" t="s">
        <v>1</v>
      </c>
      <c r="GT1" s="43"/>
      <c r="GU1" s="44" t="s">
        <v>47</v>
      </c>
      <c r="GV1" s="44"/>
      <c r="GX1" s="40" t="s">
        <v>0</v>
      </c>
      <c r="GY1" s="41"/>
      <c r="GZ1" s="40" t="s">
        <v>48</v>
      </c>
      <c r="HA1" s="42"/>
      <c r="HB1" s="41"/>
      <c r="HC1" s="43" t="s">
        <v>1</v>
      </c>
      <c r="HD1" s="43"/>
      <c r="HE1" s="44" t="s">
        <v>49</v>
      </c>
      <c r="HF1" s="44"/>
      <c r="HH1" s="40" t="s">
        <v>0</v>
      </c>
      <c r="HI1" s="41"/>
      <c r="HJ1" s="40" t="s">
        <v>44</v>
      </c>
      <c r="HK1" s="42"/>
      <c r="HL1" s="41"/>
      <c r="HM1" s="43" t="s">
        <v>1</v>
      </c>
      <c r="HN1" s="43"/>
      <c r="HO1" s="44" t="s">
        <v>50</v>
      </c>
      <c r="HP1" s="44"/>
      <c r="HR1" s="40" t="s">
        <v>0</v>
      </c>
      <c r="HS1" s="41"/>
      <c r="HT1" s="31" t="s">
        <v>44</v>
      </c>
      <c r="HU1" s="32"/>
      <c r="HV1" s="33"/>
      <c r="HW1" s="43" t="s">
        <v>1</v>
      </c>
      <c r="HX1" s="43"/>
      <c r="HY1" s="45" t="s">
        <v>51</v>
      </c>
      <c r="HZ1" s="45"/>
      <c r="IB1" s="40" t="s">
        <v>0</v>
      </c>
      <c r="IC1" s="41"/>
      <c r="ID1" s="31" t="s">
        <v>44</v>
      </c>
      <c r="IE1" s="32"/>
      <c r="IF1" s="33"/>
      <c r="IG1" s="43" t="s">
        <v>1</v>
      </c>
      <c r="IH1" s="43"/>
      <c r="II1" s="45" t="s">
        <v>52</v>
      </c>
      <c r="IJ1" s="45"/>
      <c r="IL1" s="40" t="s">
        <v>0</v>
      </c>
      <c r="IM1" s="41"/>
      <c r="IN1" s="31" t="s">
        <v>44</v>
      </c>
      <c r="IO1" s="32"/>
      <c r="IP1" s="33"/>
      <c r="IQ1" s="43" t="s">
        <v>1</v>
      </c>
      <c r="IR1" s="43"/>
      <c r="IS1" s="45" t="s">
        <v>53</v>
      </c>
      <c r="IT1" s="45"/>
      <c r="IV1" s="40" t="s">
        <v>0</v>
      </c>
      <c r="IW1" s="41"/>
      <c r="IX1" s="31" t="s">
        <v>44</v>
      </c>
      <c r="IY1" s="32"/>
      <c r="IZ1" s="33"/>
      <c r="JA1" s="43" t="s">
        <v>1</v>
      </c>
      <c r="JB1" s="43"/>
      <c r="JC1" s="45" t="s">
        <v>54</v>
      </c>
      <c r="JD1" s="45"/>
      <c r="JF1" s="40" t="s">
        <v>0</v>
      </c>
      <c r="JG1" s="41"/>
      <c r="JH1" s="31" t="s">
        <v>33</v>
      </c>
      <c r="JI1" s="32"/>
      <c r="JJ1" s="33"/>
      <c r="JK1" s="43" t="s">
        <v>1</v>
      </c>
      <c r="JL1" s="43"/>
      <c r="JM1" s="45" t="s">
        <v>55</v>
      </c>
      <c r="JN1" s="45"/>
      <c r="JP1" s="40" t="s">
        <v>0</v>
      </c>
      <c r="JQ1" s="41"/>
      <c r="JR1" s="40" t="s">
        <v>56</v>
      </c>
      <c r="JS1" s="42"/>
      <c r="JT1" s="41"/>
      <c r="JU1" s="43" t="s">
        <v>1</v>
      </c>
      <c r="JV1" s="43"/>
      <c r="JW1" s="44" t="s">
        <v>57</v>
      </c>
      <c r="JX1" s="44"/>
      <c r="JZ1" s="40" t="s">
        <v>0</v>
      </c>
      <c r="KA1" s="41"/>
      <c r="KB1" s="40" t="s">
        <v>44</v>
      </c>
      <c r="KC1" s="42"/>
      <c r="KD1" s="41"/>
      <c r="KE1" s="43" t="s">
        <v>1</v>
      </c>
      <c r="KF1" s="43"/>
      <c r="KG1" s="44" t="s">
        <v>58</v>
      </c>
      <c r="KH1" s="44"/>
      <c r="KJ1" s="40" t="s">
        <v>0</v>
      </c>
      <c r="KK1" s="41"/>
      <c r="KL1" s="40" t="s">
        <v>33</v>
      </c>
      <c r="KM1" s="42"/>
      <c r="KN1" s="41"/>
      <c r="KO1" s="43" t="s">
        <v>1</v>
      </c>
      <c r="KP1" s="43"/>
      <c r="KQ1" s="44" t="s">
        <v>59</v>
      </c>
      <c r="KR1" s="44"/>
      <c r="KT1" s="40" t="s">
        <v>0</v>
      </c>
      <c r="KU1" s="41"/>
      <c r="KV1" s="40" t="s">
        <v>44</v>
      </c>
      <c r="KW1" s="42"/>
      <c r="KX1" s="41"/>
      <c r="KY1" s="43" t="s">
        <v>1</v>
      </c>
      <c r="KZ1" s="43"/>
      <c r="LA1" s="44">
        <v>46135</v>
      </c>
      <c r="LB1" s="44"/>
      <c r="LD1" s="40" t="s">
        <v>0</v>
      </c>
      <c r="LE1" s="41"/>
      <c r="LF1" s="40" t="s">
        <v>44</v>
      </c>
      <c r="LG1" s="42"/>
      <c r="LH1" s="41"/>
      <c r="LI1" s="43" t="s">
        <v>1</v>
      </c>
      <c r="LJ1" s="43"/>
      <c r="LK1" s="44">
        <v>46142</v>
      </c>
      <c r="LL1" s="44"/>
      <c r="LN1" s="40" t="s">
        <v>0</v>
      </c>
      <c r="LO1" s="41"/>
      <c r="LP1" s="40" t="s">
        <v>44</v>
      </c>
      <c r="LQ1" s="42"/>
      <c r="LR1" s="41"/>
      <c r="LS1" s="43" t="s">
        <v>1</v>
      </c>
      <c r="LT1" s="43"/>
      <c r="LU1" s="44">
        <v>46149</v>
      </c>
      <c r="LV1" s="44"/>
      <c r="LX1" s="40" t="s">
        <v>0</v>
      </c>
      <c r="LY1" s="41"/>
      <c r="LZ1" s="40" t="s">
        <v>44</v>
      </c>
      <c r="MA1" s="42"/>
      <c r="MB1" s="41"/>
      <c r="MC1" s="43" t="s">
        <v>1</v>
      </c>
      <c r="MD1" s="43"/>
      <c r="ME1" s="44" t="s">
        <v>61</v>
      </c>
      <c r="MF1" s="44"/>
      <c r="MH1" s="40" t="s">
        <v>0</v>
      </c>
      <c r="MI1" s="41"/>
      <c r="MJ1" s="40" t="s">
        <v>33</v>
      </c>
      <c r="MK1" s="42"/>
      <c r="ML1" s="41"/>
      <c r="MM1" s="43" t="s">
        <v>1</v>
      </c>
      <c r="MN1" s="43"/>
      <c r="MO1" s="44" t="s">
        <v>62</v>
      </c>
      <c r="MP1" s="44"/>
      <c r="MR1" s="40" t="s">
        <v>0</v>
      </c>
      <c r="MS1" s="41"/>
      <c r="MT1" s="40" t="s">
        <v>44</v>
      </c>
      <c r="MU1" s="42"/>
      <c r="MV1" s="41"/>
      <c r="MW1" s="40" t="s">
        <v>1</v>
      </c>
      <c r="MX1" s="41"/>
      <c r="MY1" s="38" t="s">
        <v>67</v>
      </c>
      <c r="MZ1" s="39"/>
      <c r="NB1" s="40" t="s">
        <v>0</v>
      </c>
      <c r="NC1" s="41"/>
      <c r="ND1" s="40" t="s">
        <v>33</v>
      </c>
      <c r="NE1" s="42"/>
      <c r="NF1" s="41"/>
      <c r="NG1" s="40" t="s">
        <v>1</v>
      </c>
      <c r="NH1" s="41"/>
      <c r="NI1" s="38" t="s">
        <v>63</v>
      </c>
      <c r="NJ1" s="39"/>
      <c r="NL1" s="40" t="s">
        <v>0</v>
      </c>
      <c r="NM1" s="41"/>
      <c r="NN1" s="40" t="s">
        <v>44</v>
      </c>
      <c r="NO1" s="42"/>
      <c r="NP1" s="41"/>
      <c r="NQ1" s="40" t="s">
        <v>1</v>
      </c>
      <c r="NR1" s="41"/>
      <c r="NS1" s="38" t="s">
        <v>64</v>
      </c>
      <c r="NT1" s="39"/>
      <c r="NV1" s="40" t="s">
        <v>0</v>
      </c>
      <c r="NW1" s="41"/>
      <c r="NX1" s="40" t="s">
        <v>44</v>
      </c>
      <c r="NY1" s="42"/>
      <c r="NZ1" s="41"/>
      <c r="OA1" s="40" t="s">
        <v>1</v>
      </c>
      <c r="OB1" s="41"/>
      <c r="OC1" s="38" t="s">
        <v>66</v>
      </c>
      <c r="OD1" s="39"/>
      <c r="OF1" s="40" t="s">
        <v>0</v>
      </c>
      <c r="OG1" s="41"/>
      <c r="OH1" s="40" t="s">
        <v>44</v>
      </c>
      <c r="OI1" s="42"/>
      <c r="OJ1" s="41"/>
      <c r="OK1" s="40" t="s">
        <v>1</v>
      </c>
      <c r="OL1" s="41"/>
      <c r="OM1" s="38" t="s">
        <v>69</v>
      </c>
      <c r="ON1" s="39"/>
      <c r="OP1" s="40" t="s">
        <v>0</v>
      </c>
      <c r="OQ1" s="41"/>
      <c r="OR1" s="40" t="s">
        <v>44</v>
      </c>
      <c r="OS1" s="42"/>
      <c r="OT1" s="41"/>
      <c r="OU1" s="40" t="s">
        <v>1</v>
      </c>
      <c r="OV1" s="41"/>
      <c r="OW1" s="38" t="s">
        <v>70</v>
      </c>
      <c r="OX1" s="39"/>
      <c r="OZ1" s="40" t="s">
        <v>0</v>
      </c>
      <c r="PA1" s="41"/>
      <c r="PB1" s="31" t="s">
        <v>71</v>
      </c>
      <c r="PC1" s="32"/>
      <c r="PD1" s="33"/>
      <c r="PE1" s="40" t="s">
        <v>1</v>
      </c>
      <c r="PF1" s="41"/>
      <c r="PG1" s="36" t="s">
        <v>72</v>
      </c>
      <c r="PH1" s="37"/>
      <c r="PJ1" s="40" t="s">
        <v>0</v>
      </c>
      <c r="PK1" s="41"/>
      <c r="PL1" s="31" t="s">
        <v>44</v>
      </c>
      <c r="PM1" s="32"/>
      <c r="PN1" s="33"/>
      <c r="PO1" s="40" t="s">
        <v>1</v>
      </c>
      <c r="PP1" s="41"/>
      <c r="PQ1" s="36" t="s">
        <v>73</v>
      </c>
      <c r="PR1" s="37"/>
      <c r="PT1" s="40" t="s">
        <v>0</v>
      </c>
      <c r="PU1" s="41"/>
      <c r="PV1" s="40" t="s">
        <v>33</v>
      </c>
      <c r="PW1" s="42"/>
      <c r="PX1" s="41"/>
      <c r="PY1" s="40" t="s">
        <v>1</v>
      </c>
      <c r="PZ1" s="41"/>
      <c r="QA1" s="38" t="s">
        <v>74</v>
      </c>
      <c r="QB1" s="39"/>
      <c r="QD1" s="40" t="s">
        <v>0</v>
      </c>
      <c r="QE1" s="41"/>
      <c r="QF1" s="40" t="s">
        <v>44</v>
      </c>
      <c r="QG1" s="42"/>
      <c r="QH1" s="41"/>
      <c r="QI1" s="40" t="s">
        <v>1</v>
      </c>
      <c r="QJ1" s="41"/>
      <c r="QK1" s="38" t="s">
        <v>75</v>
      </c>
      <c r="QL1" s="39"/>
      <c r="QN1" s="40" t="s">
        <v>0</v>
      </c>
      <c r="QO1" s="41"/>
      <c r="QP1" s="40" t="s">
        <v>44</v>
      </c>
      <c r="QQ1" s="42"/>
      <c r="QR1" s="41"/>
      <c r="QS1" s="40" t="s">
        <v>1</v>
      </c>
      <c r="QT1" s="41"/>
      <c r="QU1" s="38" t="s">
        <v>76</v>
      </c>
      <c r="QV1" s="39"/>
      <c r="QX1" s="40" t="s">
        <v>0</v>
      </c>
      <c r="QY1" s="41"/>
      <c r="QZ1" s="40" t="s">
        <v>44</v>
      </c>
      <c r="RA1" s="42"/>
      <c r="RB1" s="41"/>
      <c r="RC1" s="40" t="s">
        <v>1</v>
      </c>
      <c r="RD1" s="41"/>
      <c r="RE1" s="38" t="s">
        <v>77</v>
      </c>
      <c r="RF1" s="39"/>
      <c r="RH1" s="40" t="s">
        <v>0</v>
      </c>
      <c r="RI1" s="41"/>
      <c r="RJ1" s="40" t="s">
        <v>79</v>
      </c>
      <c r="RK1" s="42"/>
      <c r="RL1" s="41"/>
      <c r="RM1" s="40" t="s">
        <v>1</v>
      </c>
      <c r="RN1" s="41"/>
      <c r="RO1" s="38" t="s">
        <v>78</v>
      </c>
      <c r="RP1" s="39"/>
      <c r="RR1" s="40" t="s">
        <v>0</v>
      </c>
      <c r="RS1" s="41"/>
      <c r="RT1" s="31" t="s">
        <v>44</v>
      </c>
      <c r="RU1" s="32"/>
      <c r="RV1" s="33"/>
      <c r="RW1" s="40" t="s">
        <v>1</v>
      </c>
      <c r="RX1" s="41"/>
      <c r="RY1" s="36" t="s">
        <v>80</v>
      </c>
      <c r="RZ1" s="37"/>
      <c r="SB1" s="40" t="s">
        <v>0</v>
      </c>
      <c r="SC1" s="41"/>
      <c r="SD1" s="40" t="s">
        <v>31</v>
      </c>
      <c r="SE1" s="42"/>
      <c r="SF1" s="41"/>
      <c r="SG1" s="40" t="s">
        <v>1</v>
      </c>
      <c r="SH1" s="41"/>
      <c r="SI1" s="38">
        <v>46268</v>
      </c>
      <c r="SJ1" s="39"/>
      <c r="SL1" s="40" t="s">
        <v>0</v>
      </c>
      <c r="SM1" s="41"/>
      <c r="SN1" s="31" t="s">
        <v>33</v>
      </c>
      <c r="SO1" s="32"/>
      <c r="SP1" s="33"/>
      <c r="SQ1" s="40" t="s">
        <v>1</v>
      </c>
      <c r="SR1" s="41"/>
      <c r="SS1" s="36">
        <v>46275</v>
      </c>
      <c r="ST1" s="37"/>
      <c r="SV1" s="40" t="s">
        <v>0</v>
      </c>
      <c r="SW1" s="41"/>
      <c r="SX1" s="31" t="s">
        <v>33</v>
      </c>
      <c r="SY1" s="32"/>
      <c r="SZ1" s="33"/>
      <c r="TA1" s="40" t="s">
        <v>1</v>
      </c>
      <c r="TB1" s="41"/>
      <c r="TC1" s="36" t="s">
        <v>85</v>
      </c>
      <c r="TD1" s="37"/>
      <c r="TF1" s="47" t="s">
        <v>0</v>
      </c>
      <c r="TG1" s="48"/>
      <c r="TH1" s="49" t="s">
        <v>33</v>
      </c>
      <c r="TI1" s="50"/>
      <c r="TJ1" s="51"/>
      <c r="TK1" s="47" t="s">
        <v>1</v>
      </c>
      <c r="TL1" s="48"/>
      <c r="TM1" s="52" t="s">
        <v>86</v>
      </c>
      <c r="TN1" s="53"/>
      <c r="TP1" s="34" t="s">
        <v>0</v>
      </c>
      <c r="TQ1" s="35"/>
      <c r="TR1" s="31"/>
      <c r="TS1" s="32"/>
      <c r="TT1" s="33"/>
      <c r="TU1" s="34" t="s">
        <v>1</v>
      </c>
      <c r="TV1" s="35"/>
      <c r="TW1" s="36"/>
      <c r="TX1" s="37"/>
    </row>
    <row r="2" spans="1:544" s="15" customFormat="1" ht="9" x14ac:dyDescent="0.15">
      <c r="A2" s="14" t="s">
        <v>2</v>
      </c>
      <c r="B2" s="3" t="s">
        <v>3</v>
      </c>
      <c r="C2" s="29" t="s">
        <v>4</v>
      </c>
      <c r="D2" s="30"/>
      <c r="F2" s="29" t="s">
        <v>5</v>
      </c>
      <c r="G2" s="30"/>
      <c r="H2" s="29" t="s">
        <v>6</v>
      </c>
      <c r="I2" s="30"/>
      <c r="J2" s="3" t="s">
        <v>7</v>
      </c>
      <c r="K2" s="3" t="s">
        <v>8</v>
      </c>
      <c r="L2" s="3" t="s">
        <v>9</v>
      </c>
      <c r="M2" s="3" t="s">
        <v>10</v>
      </c>
      <c r="N2" s="3" t="s">
        <v>11</v>
      </c>
      <c r="P2" s="29" t="s">
        <v>5</v>
      </c>
      <c r="Q2" s="30"/>
      <c r="R2" s="29" t="s">
        <v>6</v>
      </c>
      <c r="S2" s="30"/>
      <c r="T2" s="3" t="s">
        <v>7</v>
      </c>
      <c r="U2" s="3" t="s">
        <v>8</v>
      </c>
      <c r="V2" s="3" t="s">
        <v>9</v>
      </c>
      <c r="W2" s="3" t="s">
        <v>10</v>
      </c>
      <c r="X2" s="3" t="s">
        <v>11</v>
      </c>
      <c r="Z2" s="29" t="s">
        <v>5</v>
      </c>
      <c r="AA2" s="30"/>
      <c r="AB2" s="29" t="s">
        <v>6</v>
      </c>
      <c r="AC2" s="30"/>
      <c r="AD2" s="3" t="s">
        <v>7</v>
      </c>
      <c r="AE2" s="3" t="s">
        <v>8</v>
      </c>
      <c r="AF2" s="3" t="s">
        <v>9</v>
      </c>
      <c r="AG2" s="3" t="s">
        <v>10</v>
      </c>
      <c r="AH2" s="3" t="s">
        <v>11</v>
      </c>
      <c r="AJ2" s="29" t="s">
        <v>5</v>
      </c>
      <c r="AK2" s="30"/>
      <c r="AL2" s="29" t="s">
        <v>6</v>
      </c>
      <c r="AM2" s="30"/>
      <c r="AN2" s="3" t="s">
        <v>7</v>
      </c>
      <c r="AO2" s="3" t="s">
        <v>8</v>
      </c>
      <c r="AP2" s="3" t="s">
        <v>9</v>
      </c>
      <c r="AQ2" s="3" t="s">
        <v>10</v>
      </c>
      <c r="AR2" s="3" t="s">
        <v>11</v>
      </c>
      <c r="AT2" s="29" t="s">
        <v>5</v>
      </c>
      <c r="AU2" s="30"/>
      <c r="AV2" s="29" t="s">
        <v>6</v>
      </c>
      <c r="AW2" s="30"/>
      <c r="AX2" s="3" t="s">
        <v>7</v>
      </c>
      <c r="AY2" s="3" t="s">
        <v>8</v>
      </c>
      <c r="AZ2" s="3" t="s">
        <v>9</v>
      </c>
      <c r="BA2" s="3" t="s">
        <v>10</v>
      </c>
      <c r="BB2" s="3" t="s">
        <v>11</v>
      </c>
      <c r="BD2" s="29" t="s">
        <v>5</v>
      </c>
      <c r="BE2" s="30"/>
      <c r="BF2" s="29" t="s">
        <v>6</v>
      </c>
      <c r="BG2" s="30"/>
      <c r="BH2" s="3" t="s">
        <v>7</v>
      </c>
      <c r="BI2" s="3" t="s">
        <v>8</v>
      </c>
      <c r="BJ2" s="3" t="s">
        <v>9</v>
      </c>
      <c r="BK2" s="3" t="s">
        <v>10</v>
      </c>
      <c r="BL2" s="3" t="s">
        <v>11</v>
      </c>
      <c r="BN2" s="29" t="s">
        <v>5</v>
      </c>
      <c r="BO2" s="30"/>
      <c r="BP2" s="29" t="s">
        <v>6</v>
      </c>
      <c r="BQ2" s="30"/>
      <c r="BR2" s="3" t="s">
        <v>7</v>
      </c>
      <c r="BS2" s="3" t="s">
        <v>8</v>
      </c>
      <c r="BT2" s="3" t="s">
        <v>9</v>
      </c>
      <c r="BU2" s="3" t="s">
        <v>10</v>
      </c>
      <c r="BV2" s="3" t="s">
        <v>11</v>
      </c>
      <c r="BX2" s="29" t="s">
        <v>5</v>
      </c>
      <c r="BY2" s="30"/>
      <c r="BZ2" s="29" t="s">
        <v>6</v>
      </c>
      <c r="CA2" s="30"/>
      <c r="CB2" s="3" t="s">
        <v>7</v>
      </c>
      <c r="CC2" s="3" t="s">
        <v>8</v>
      </c>
      <c r="CD2" s="3" t="s">
        <v>9</v>
      </c>
      <c r="CE2" s="3" t="s">
        <v>10</v>
      </c>
      <c r="CF2" s="3" t="s">
        <v>11</v>
      </c>
      <c r="CH2" s="29" t="s">
        <v>5</v>
      </c>
      <c r="CI2" s="30"/>
      <c r="CJ2" s="29" t="s">
        <v>6</v>
      </c>
      <c r="CK2" s="30"/>
      <c r="CL2" s="3" t="s">
        <v>7</v>
      </c>
      <c r="CM2" s="3" t="s">
        <v>8</v>
      </c>
      <c r="CN2" s="3" t="s">
        <v>9</v>
      </c>
      <c r="CO2" s="3" t="s">
        <v>10</v>
      </c>
      <c r="CP2" s="3" t="s">
        <v>11</v>
      </c>
      <c r="CR2" s="29" t="s">
        <v>5</v>
      </c>
      <c r="CS2" s="30"/>
      <c r="CT2" s="29" t="s">
        <v>6</v>
      </c>
      <c r="CU2" s="30"/>
      <c r="CV2" s="3" t="s">
        <v>7</v>
      </c>
      <c r="CW2" s="3" t="s">
        <v>8</v>
      </c>
      <c r="CX2" s="3" t="s">
        <v>9</v>
      </c>
      <c r="CY2" s="3" t="s">
        <v>10</v>
      </c>
      <c r="CZ2" s="3" t="s">
        <v>11</v>
      </c>
      <c r="DB2" s="29" t="s">
        <v>5</v>
      </c>
      <c r="DC2" s="30"/>
      <c r="DD2" s="29" t="s">
        <v>6</v>
      </c>
      <c r="DE2" s="30"/>
      <c r="DF2" s="3" t="s">
        <v>7</v>
      </c>
      <c r="DG2" s="3" t="s">
        <v>8</v>
      </c>
      <c r="DH2" s="3" t="s">
        <v>9</v>
      </c>
      <c r="DI2" s="3" t="s">
        <v>10</v>
      </c>
      <c r="DJ2" s="3" t="s">
        <v>11</v>
      </c>
      <c r="DL2" s="29" t="s">
        <v>5</v>
      </c>
      <c r="DM2" s="30"/>
      <c r="DN2" s="29" t="s">
        <v>6</v>
      </c>
      <c r="DO2" s="30"/>
      <c r="DP2" s="3" t="s">
        <v>7</v>
      </c>
      <c r="DQ2" s="3" t="s">
        <v>8</v>
      </c>
      <c r="DR2" s="3" t="s">
        <v>9</v>
      </c>
      <c r="DS2" s="3" t="s">
        <v>10</v>
      </c>
      <c r="DT2" s="3" t="s">
        <v>11</v>
      </c>
      <c r="DV2" s="29" t="s">
        <v>5</v>
      </c>
      <c r="DW2" s="30"/>
      <c r="DX2" s="29" t="s">
        <v>6</v>
      </c>
      <c r="DY2" s="30"/>
      <c r="DZ2" s="3" t="s">
        <v>7</v>
      </c>
      <c r="EA2" s="3" t="s">
        <v>8</v>
      </c>
      <c r="EB2" s="3" t="s">
        <v>9</v>
      </c>
      <c r="EC2" s="3" t="s">
        <v>10</v>
      </c>
      <c r="ED2" s="3" t="s">
        <v>11</v>
      </c>
      <c r="EF2" s="29" t="s">
        <v>5</v>
      </c>
      <c r="EG2" s="30"/>
      <c r="EH2" s="29" t="s">
        <v>6</v>
      </c>
      <c r="EI2" s="30"/>
      <c r="EJ2" s="3" t="s">
        <v>7</v>
      </c>
      <c r="EK2" s="3" t="s">
        <v>8</v>
      </c>
      <c r="EL2" s="3" t="s">
        <v>9</v>
      </c>
      <c r="EM2" s="3" t="s">
        <v>10</v>
      </c>
      <c r="EN2" s="3" t="s">
        <v>11</v>
      </c>
      <c r="EP2" s="29" t="s">
        <v>5</v>
      </c>
      <c r="EQ2" s="30"/>
      <c r="ER2" s="29" t="s">
        <v>6</v>
      </c>
      <c r="ES2" s="30"/>
      <c r="ET2" s="3" t="s">
        <v>7</v>
      </c>
      <c r="EU2" s="3" t="s">
        <v>8</v>
      </c>
      <c r="EV2" s="3" t="s">
        <v>9</v>
      </c>
      <c r="EW2" s="3" t="s">
        <v>10</v>
      </c>
      <c r="EX2" s="3" t="s">
        <v>11</v>
      </c>
      <c r="EZ2" s="29" t="s">
        <v>5</v>
      </c>
      <c r="FA2" s="30"/>
      <c r="FB2" s="29" t="s">
        <v>6</v>
      </c>
      <c r="FC2" s="30"/>
      <c r="FD2" s="3" t="s">
        <v>7</v>
      </c>
      <c r="FE2" s="3" t="s">
        <v>8</v>
      </c>
      <c r="FF2" s="3" t="s">
        <v>9</v>
      </c>
      <c r="FG2" s="3" t="s">
        <v>10</v>
      </c>
      <c r="FH2" s="3" t="s">
        <v>11</v>
      </c>
      <c r="FJ2" s="29" t="s">
        <v>5</v>
      </c>
      <c r="FK2" s="30"/>
      <c r="FL2" s="29" t="s">
        <v>6</v>
      </c>
      <c r="FM2" s="30"/>
      <c r="FN2" s="3" t="s">
        <v>7</v>
      </c>
      <c r="FO2" s="3" t="s">
        <v>8</v>
      </c>
      <c r="FP2" s="3" t="s">
        <v>9</v>
      </c>
      <c r="FQ2" s="3" t="s">
        <v>10</v>
      </c>
      <c r="FR2" s="3" t="s">
        <v>11</v>
      </c>
      <c r="FT2" s="29" t="s">
        <v>5</v>
      </c>
      <c r="FU2" s="30"/>
      <c r="FV2" s="29" t="s">
        <v>6</v>
      </c>
      <c r="FW2" s="30"/>
      <c r="FX2" s="3" t="s">
        <v>7</v>
      </c>
      <c r="FY2" s="3" t="s">
        <v>8</v>
      </c>
      <c r="FZ2" s="3" t="s">
        <v>9</v>
      </c>
      <c r="GA2" s="3" t="s">
        <v>10</v>
      </c>
      <c r="GB2" s="3" t="s">
        <v>11</v>
      </c>
      <c r="GD2" s="29" t="s">
        <v>5</v>
      </c>
      <c r="GE2" s="30"/>
      <c r="GF2" s="29" t="s">
        <v>6</v>
      </c>
      <c r="GG2" s="30"/>
      <c r="GH2" s="3" t="s">
        <v>7</v>
      </c>
      <c r="GI2" s="3" t="s">
        <v>8</v>
      </c>
      <c r="GJ2" s="3" t="s">
        <v>9</v>
      </c>
      <c r="GK2" s="3" t="s">
        <v>10</v>
      </c>
      <c r="GL2" s="3" t="s">
        <v>11</v>
      </c>
      <c r="GN2" s="29" t="s">
        <v>5</v>
      </c>
      <c r="GO2" s="30"/>
      <c r="GP2" s="29" t="s">
        <v>6</v>
      </c>
      <c r="GQ2" s="30"/>
      <c r="GR2" s="3" t="s">
        <v>7</v>
      </c>
      <c r="GS2" s="3" t="s">
        <v>8</v>
      </c>
      <c r="GT2" s="3" t="s">
        <v>9</v>
      </c>
      <c r="GU2" s="3" t="s">
        <v>10</v>
      </c>
      <c r="GV2" s="3" t="s">
        <v>11</v>
      </c>
      <c r="GX2" s="29" t="s">
        <v>5</v>
      </c>
      <c r="GY2" s="30"/>
      <c r="GZ2" s="29" t="s">
        <v>6</v>
      </c>
      <c r="HA2" s="30"/>
      <c r="HB2" s="3" t="s">
        <v>7</v>
      </c>
      <c r="HC2" s="3" t="s">
        <v>8</v>
      </c>
      <c r="HD2" s="3" t="s">
        <v>9</v>
      </c>
      <c r="HE2" s="3" t="s">
        <v>10</v>
      </c>
      <c r="HF2" s="3" t="s">
        <v>11</v>
      </c>
      <c r="HH2" s="29" t="s">
        <v>5</v>
      </c>
      <c r="HI2" s="30"/>
      <c r="HJ2" s="29" t="s">
        <v>6</v>
      </c>
      <c r="HK2" s="30"/>
      <c r="HL2" s="3" t="s">
        <v>7</v>
      </c>
      <c r="HM2" s="3" t="s">
        <v>8</v>
      </c>
      <c r="HN2" s="3" t="s">
        <v>9</v>
      </c>
      <c r="HO2" s="3" t="s">
        <v>10</v>
      </c>
      <c r="HP2" s="3" t="s">
        <v>11</v>
      </c>
      <c r="HR2" s="29" t="s">
        <v>5</v>
      </c>
      <c r="HS2" s="30"/>
      <c r="HT2" s="29" t="s">
        <v>6</v>
      </c>
      <c r="HU2" s="30"/>
      <c r="HV2" s="3" t="s">
        <v>7</v>
      </c>
      <c r="HW2" s="3" t="s">
        <v>8</v>
      </c>
      <c r="HX2" s="3" t="s">
        <v>9</v>
      </c>
      <c r="HY2" s="3" t="s">
        <v>10</v>
      </c>
      <c r="HZ2" s="3" t="s">
        <v>11</v>
      </c>
      <c r="IB2" s="29" t="s">
        <v>5</v>
      </c>
      <c r="IC2" s="30"/>
      <c r="ID2" s="29" t="s">
        <v>6</v>
      </c>
      <c r="IE2" s="30"/>
      <c r="IF2" s="3" t="s">
        <v>7</v>
      </c>
      <c r="IG2" s="3" t="s">
        <v>8</v>
      </c>
      <c r="IH2" s="3" t="s">
        <v>9</v>
      </c>
      <c r="II2" s="3" t="s">
        <v>10</v>
      </c>
      <c r="IJ2" s="3" t="s">
        <v>11</v>
      </c>
      <c r="IL2" s="29" t="s">
        <v>5</v>
      </c>
      <c r="IM2" s="30"/>
      <c r="IN2" s="29" t="s">
        <v>6</v>
      </c>
      <c r="IO2" s="30"/>
      <c r="IP2" s="3" t="s">
        <v>7</v>
      </c>
      <c r="IQ2" s="3" t="s">
        <v>8</v>
      </c>
      <c r="IR2" s="3" t="s">
        <v>9</v>
      </c>
      <c r="IS2" s="3" t="s">
        <v>10</v>
      </c>
      <c r="IT2" s="3" t="s">
        <v>11</v>
      </c>
      <c r="IV2" s="29" t="s">
        <v>5</v>
      </c>
      <c r="IW2" s="30"/>
      <c r="IX2" s="29" t="s">
        <v>6</v>
      </c>
      <c r="IY2" s="30"/>
      <c r="IZ2" s="3" t="s">
        <v>7</v>
      </c>
      <c r="JA2" s="3" t="s">
        <v>8</v>
      </c>
      <c r="JB2" s="3" t="s">
        <v>9</v>
      </c>
      <c r="JC2" s="3" t="s">
        <v>10</v>
      </c>
      <c r="JD2" s="3" t="s">
        <v>11</v>
      </c>
      <c r="JF2" s="29" t="s">
        <v>5</v>
      </c>
      <c r="JG2" s="30"/>
      <c r="JH2" s="29" t="s">
        <v>6</v>
      </c>
      <c r="JI2" s="30"/>
      <c r="JJ2" s="3" t="s">
        <v>7</v>
      </c>
      <c r="JK2" s="3" t="s">
        <v>8</v>
      </c>
      <c r="JL2" s="3" t="s">
        <v>9</v>
      </c>
      <c r="JM2" s="3" t="s">
        <v>10</v>
      </c>
      <c r="JN2" s="3" t="s">
        <v>11</v>
      </c>
      <c r="JP2" s="29" t="s">
        <v>5</v>
      </c>
      <c r="JQ2" s="30"/>
      <c r="JR2" s="29" t="s">
        <v>6</v>
      </c>
      <c r="JS2" s="30"/>
      <c r="JT2" s="3" t="s">
        <v>7</v>
      </c>
      <c r="JU2" s="3" t="s">
        <v>8</v>
      </c>
      <c r="JV2" s="3" t="s">
        <v>9</v>
      </c>
      <c r="JW2" s="3" t="s">
        <v>10</v>
      </c>
      <c r="JX2" s="3" t="s">
        <v>11</v>
      </c>
      <c r="JZ2" s="29" t="s">
        <v>5</v>
      </c>
      <c r="KA2" s="30"/>
      <c r="KB2" s="29" t="s">
        <v>6</v>
      </c>
      <c r="KC2" s="30"/>
      <c r="KD2" s="3" t="s">
        <v>7</v>
      </c>
      <c r="KE2" s="3" t="s">
        <v>8</v>
      </c>
      <c r="KF2" s="3" t="s">
        <v>9</v>
      </c>
      <c r="KG2" s="3" t="s">
        <v>10</v>
      </c>
      <c r="KH2" s="3" t="s">
        <v>11</v>
      </c>
      <c r="KJ2" s="29" t="s">
        <v>5</v>
      </c>
      <c r="KK2" s="30"/>
      <c r="KL2" s="29" t="s">
        <v>6</v>
      </c>
      <c r="KM2" s="30"/>
      <c r="KN2" s="3" t="s">
        <v>7</v>
      </c>
      <c r="KO2" s="3" t="s">
        <v>8</v>
      </c>
      <c r="KP2" s="3" t="s">
        <v>9</v>
      </c>
      <c r="KQ2" s="3" t="s">
        <v>10</v>
      </c>
      <c r="KR2" s="3" t="s">
        <v>11</v>
      </c>
      <c r="KT2" s="29" t="s">
        <v>5</v>
      </c>
      <c r="KU2" s="30"/>
      <c r="KV2" s="29" t="s">
        <v>6</v>
      </c>
      <c r="KW2" s="30"/>
      <c r="KX2" s="3" t="s">
        <v>7</v>
      </c>
      <c r="KY2" s="3" t="s">
        <v>8</v>
      </c>
      <c r="KZ2" s="3" t="s">
        <v>9</v>
      </c>
      <c r="LA2" s="3" t="s">
        <v>10</v>
      </c>
      <c r="LB2" s="3" t="s">
        <v>11</v>
      </c>
      <c r="LD2" s="29" t="s">
        <v>5</v>
      </c>
      <c r="LE2" s="30"/>
      <c r="LF2" s="29" t="s">
        <v>6</v>
      </c>
      <c r="LG2" s="30"/>
      <c r="LH2" s="3" t="s">
        <v>7</v>
      </c>
      <c r="LI2" s="3" t="s">
        <v>8</v>
      </c>
      <c r="LJ2" s="3" t="s">
        <v>9</v>
      </c>
      <c r="LK2" s="3" t="s">
        <v>10</v>
      </c>
      <c r="LL2" s="3" t="s">
        <v>11</v>
      </c>
      <c r="LN2" s="29" t="s">
        <v>5</v>
      </c>
      <c r="LO2" s="30"/>
      <c r="LP2" s="29" t="s">
        <v>6</v>
      </c>
      <c r="LQ2" s="30"/>
      <c r="LR2" s="3" t="s">
        <v>7</v>
      </c>
      <c r="LS2" s="3" t="s">
        <v>8</v>
      </c>
      <c r="LT2" s="3" t="s">
        <v>9</v>
      </c>
      <c r="LU2" s="3" t="s">
        <v>10</v>
      </c>
      <c r="LV2" s="3" t="s">
        <v>11</v>
      </c>
      <c r="LX2" s="29" t="s">
        <v>5</v>
      </c>
      <c r="LY2" s="30"/>
      <c r="LZ2" s="29" t="s">
        <v>6</v>
      </c>
      <c r="MA2" s="30"/>
      <c r="MB2" s="3" t="s">
        <v>7</v>
      </c>
      <c r="MC2" s="3" t="s">
        <v>8</v>
      </c>
      <c r="MD2" s="3" t="s">
        <v>9</v>
      </c>
      <c r="ME2" s="3" t="s">
        <v>10</v>
      </c>
      <c r="MF2" s="3" t="s">
        <v>11</v>
      </c>
      <c r="MH2" s="29" t="s">
        <v>5</v>
      </c>
      <c r="MI2" s="30"/>
      <c r="MJ2" s="29" t="s">
        <v>6</v>
      </c>
      <c r="MK2" s="30"/>
      <c r="ML2" s="3" t="s">
        <v>7</v>
      </c>
      <c r="MM2" s="3" t="s">
        <v>8</v>
      </c>
      <c r="MN2" s="3" t="s">
        <v>9</v>
      </c>
      <c r="MO2" s="3" t="s">
        <v>10</v>
      </c>
      <c r="MP2" s="3" t="s">
        <v>11</v>
      </c>
      <c r="MR2" s="29" t="s">
        <v>5</v>
      </c>
      <c r="MS2" s="30"/>
      <c r="MT2" s="29" t="s">
        <v>6</v>
      </c>
      <c r="MU2" s="30"/>
      <c r="MV2" s="3" t="s">
        <v>7</v>
      </c>
      <c r="MW2" s="3" t="s">
        <v>8</v>
      </c>
      <c r="MX2" s="3" t="s">
        <v>9</v>
      </c>
      <c r="MY2" s="3" t="s">
        <v>10</v>
      </c>
      <c r="MZ2" s="3" t="s">
        <v>11</v>
      </c>
      <c r="NB2" s="29" t="s">
        <v>5</v>
      </c>
      <c r="NC2" s="30"/>
      <c r="ND2" s="29" t="s">
        <v>6</v>
      </c>
      <c r="NE2" s="30"/>
      <c r="NF2" s="3" t="s">
        <v>7</v>
      </c>
      <c r="NG2" s="3" t="s">
        <v>8</v>
      </c>
      <c r="NH2" s="3" t="s">
        <v>9</v>
      </c>
      <c r="NI2" s="3" t="s">
        <v>10</v>
      </c>
      <c r="NJ2" s="3" t="s">
        <v>11</v>
      </c>
      <c r="NL2" s="29" t="s">
        <v>5</v>
      </c>
      <c r="NM2" s="30"/>
      <c r="NN2" s="29" t="s">
        <v>6</v>
      </c>
      <c r="NO2" s="30"/>
      <c r="NP2" s="3" t="s">
        <v>7</v>
      </c>
      <c r="NQ2" s="3" t="s">
        <v>8</v>
      </c>
      <c r="NR2" s="3" t="s">
        <v>9</v>
      </c>
      <c r="NS2" s="3" t="s">
        <v>10</v>
      </c>
      <c r="NT2" s="3" t="s">
        <v>11</v>
      </c>
      <c r="NV2" s="29" t="s">
        <v>5</v>
      </c>
      <c r="NW2" s="30"/>
      <c r="NX2" s="29" t="s">
        <v>6</v>
      </c>
      <c r="NY2" s="30"/>
      <c r="NZ2" s="3" t="s">
        <v>7</v>
      </c>
      <c r="OA2" s="3" t="s">
        <v>8</v>
      </c>
      <c r="OB2" s="3" t="s">
        <v>9</v>
      </c>
      <c r="OC2" s="3" t="s">
        <v>10</v>
      </c>
      <c r="OD2" s="3" t="s">
        <v>11</v>
      </c>
      <c r="OF2" s="29" t="s">
        <v>5</v>
      </c>
      <c r="OG2" s="30"/>
      <c r="OH2" s="29" t="s">
        <v>6</v>
      </c>
      <c r="OI2" s="30"/>
      <c r="OJ2" s="3" t="s">
        <v>7</v>
      </c>
      <c r="OK2" s="3" t="s">
        <v>8</v>
      </c>
      <c r="OL2" s="3" t="s">
        <v>9</v>
      </c>
      <c r="OM2" s="3" t="s">
        <v>10</v>
      </c>
      <c r="ON2" s="3" t="s">
        <v>11</v>
      </c>
      <c r="OP2" s="29" t="s">
        <v>5</v>
      </c>
      <c r="OQ2" s="30"/>
      <c r="OR2" s="29" t="s">
        <v>6</v>
      </c>
      <c r="OS2" s="30"/>
      <c r="OT2" s="3" t="s">
        <v>7</v>
      </c>
      <c r="OU2" s="3" t="s">
        <v>8</v>
      </c>
      <c r="OV2" s="3" t="s">
        <v>9</v>
      </c>
      <c r="OW2" s="3" t="s">
        <v>10</v>
      </c>
      <c r="OX2" s="3" t="s">
        <v>11</v>
      </c>
      <c r="OZ2" s="29" t="s">
        <v>5</v>
      </c>
      <c r="PA2" s="30"/>
      <c r="PB2" s="29" t="s">
        <v>6</v>
      </c>
      <c r="PC2" s="30"/>
      <c r="PD2" s="3" t="s">
        <v>7</v>
      </c>
      <c r="PE2" s="3" t="s">
        <v>8</v>
      </c>
      <c r="PF2" s="3" t="s">
        <v>9</v>
      </c>
      <c r="PG2" s="3" t="s">
        <v>10</v>
      </c>
      <c r="PH2" s="3" t="s">
        <v>11</v>
      </c>
      <c r="PJ2" s="29" t="s">
        <v>5</v>
      </c>
      <c r="PK2" s="30"/>
      <c r="PL2" s="29" t="s">
        <v>6</v>
      </c>
      <c r="PM2" s="30"/>
      <c r="PN2" s="3" t="s">
        <v>7</v>
      </c>
      <c r="PO2" s="3" t="s">
        <v>8</v>
      </c>
      <c r="PP2" s="3" t="s">
        <v>9</v>
      </c>
      <c r="PQ2" s="3" t="s">
        <v>10</v>
      </c>
      <c r="PR2" s="3" t="s">
        <v>11</v>
      </c>
      <c r="PT2" s="29" t="s">
        <v>5</v>
      </c>
      <c r="PU2" s="30"/>
      <c r="PV2" s="29" t="s">
        <v>6</v>
      </c>
      <c r="PW2" s="30"/>
      <c r="PX2" s="3" t="s">
        <v>7</v>
      </c>
      <c r="PY2" s="3" t="s">
        <v>8</v>
      </c>
      <c r="PZ2" s="3" t="s">
        <v>9</v>
      </c>
      <c r="QA2" s="3" t="s">
        <v>10</v>
      </c>
      <c r="QB2" s="3" t="s">
        <v>11</v>
      </c>
      <c r="QD2" s="29" t="s">
        <v>5</v>
      </c>
      <c r="QE2" s="30"/>
      <c r="QF2" s="29" t="s">
        <v>6</v>
      </c>
      <c r="QG2" s="30"/>
      <c r="QH2" s="3" t="s">
        <v>7</v>
      </c>
      <c r="QI2" s="3" t="s">
        <v>8</v>
      </c>
      <c r="QJ2" s="3" t="s">
        <v>9</v>
      </c>
      <c r="QK2" s="3" t="s">
        <v>10</v>
      </c>
      <c r="QL2" s="3" t="s">
        <v>11</v>
      </c>
      <c r="QN2" s="29" t="s">
        <v>5</v>
      </c>
      <c r="QO2" s="30"/>
      <c r="QP2" s="29" t="s">
        <v>6</v>
      </c>
      <c r="QQ2" s="30"/>
      <c r="QR2" s="3" t="s">
        <v>7</v>
      </c>
      <c r="QS2" s="3" t="s">
        <v>8</v>
      </c>
      <c r="QT2" s="3" t="s">
        <v>9</v>
      </c>
      <c r="QU2" s="3" t="s">
        <v>10</v>
      </c>
      <c r="QV2" s="3" t="s">
        <v>11</v>
      </c>
      <c r="QX2" s="29" t="s">
        <v>5</v>
      </c>
      <c r="QY2" s="30"/>
      <c r="QZ2" s="29" t="s">
        <v>6</v>
      </c>
      <c r="RA2" s="30"/>
      <c r="RB2" s="3" t="s">
        <v>7</v>
      </c>
      <c r="RC2" s="3" t="s">
        <v>8</v>
      </c>
      <c r="RD2" s="3" t="s">
        <v>9</v>
      </c>
      <c r="RE2" s="3" t="s">
        <v>10</v>
      </c>
      <c r="RF2" s="3" t="s">
        <v>11</v>
      </c>
      <c r="RH2" s="29" t="s">
        <v>5</v>
      </c>
      <c r="RI2" s="30"/>
      <c r="RJ2" s="29" t="s">
        <v>6</v>
      </c>
      <c r="RK2" s="30"/>
      <c r="RL2" s="3" t="s">
        <v>7</v>
      </c>
      <c r="RM2" s="3" t="s">
        <v>8</v>
      </c>
      <c r="RN2" s="3" t="s">
        <v>9</v>
      </c>
      <c r="RO2" s="3" t="s">
        <v>10</v>
      </c>
      <c r="RP2" s="3" t="s">
        <v>11</v>
      </c>
      <c r="RR2" s="29" t="s">
        <v>5</v>
      </c>
      <c r="RS2" s="30"/>
      <c r="RT2" s="29" t="s">
        <v>6</v>
      </c>
      <c r="RU2" s="30"/>
      <c r="RV2" s="3" t="s">
        <v>7</v>
      </c>
      <c r="RW2" s="3" t="s">
        <v>8</v>
      </c>
      <c r="RX2" s="3" t="s">
        <v>9</v>
      </c>
      <c r="RY2" s="3" t="s">
        <v>10</v>
      </c>
      <c r="RZ2" s="3" t="s">
        <v>11</v>
      </c>
      <c r="SB2" s="29" t="s">
        <v>5</v>
      </c>
      <c r="SC2" s="30"/>
      <c r="SD2" s="29" t="s">
        <v>6</v>
      </c>
      <c r="SE2" s="30"/>
      <c r="SF2" s="3" t="s">
        <v>7</v>
      </c>
      <c r="SG2" s="3" t="s">
        <v>8</v>
      </c>
      <c r="SH2" s="3" t="s">
        <v>9</v>
      </c>
      <c r="SI2" s="3" t="s">
        <v>10</v>
      </c>
      <c r="SJ2" s="3" t="s">
        <v>11</v>
      </c>
      <c r="SL2" s="29" t="s">
        <v>5</v>
      </c>
      <c r="SM2" s="30"/>
      <c r="SN2" s="29" t="s">
        <v>6</v>
      </c>
      <c r="SO2" s="30"/>
      <c r="SP2" s="3" t="s">
        <v>7</v>
      </c>
      <c r="SQ2" s="3" t="s">
        <v>8</v>
      </c>
      <c r="SR2" s="3" t="s">
        <v>9</v>
      </c>
      <c r="SS2" s="3" t="s">
        <v>10</v>
      </c>
      <c r="ST2" s="3" t="s">
        <v>11</v>
      </c>
      <c r="SV2" s="29" t="s">
        <v>5</v>
      </c>
      <c r="SW2" s="30"/>
      <c r="SX2" s="29" t="s">
        <v>6</v>
      </c>
      <c r="SY2" s="30"/>
      <c r="SZ2" s="3" t="s">
        <v>7</v>
      </c>
      <c r="TA2" s="3" t="s">
        <v>8</v>
      </c>
      <c r="TB2" s="3" t="s">
        <v>9</v>
      </c>
      <c r="TC2" s="3" t="s">
        <v>10</v>
      </c>
      <c r="TD2" s="3" t="s">
        <v>11</v>
      </c>
      <c r="TF2" s="54" t="s">
        <v>5</v>
      </c>
      <c r="TG2" s="55"/>
      <c r="TH2" s="54" t="s">
        <v>6</v>
      </c>
      <c r="TI2" s="55"/>
      <c r="TJ2" s="56" t="s">
        <v>7</v>
      </c>
      <c r="TK2" s="56" t="s">
        <v>8</v>
      </c>
      <c r="TL2" s="56" t="s">
        <v>9</v>
      </c>
      <c r="TM2" s="56" t="s">
        <v>10</v>
      </c>
      <c r="TN2" s="56" t="s">
        <v>11</v>
      </c>
      <c r="TP2" s="27" t="s">
        <v>5</v>
      </c>
      <c r="TQ2" s="28"/>
      <c r="TR2" s="27" t="s">
        <v>6</v>
      </c>
      <c r="TS2" s="28"/>
      <c r="TT2" s="3" t="s">
        <v>7</v>
      </c>
      <c r="TU2" s="19" t="s">
        <v>8</v>
      </c>
      <c r="TV2" s="3" t="s">
        <v>9</v>
      </c>
      <c r="TW2" s="3" t="s">
        <v>10</v>
      </c>
      <c r="TX2" s="3" t="s">
        <v>11</v>
      </c>
    </row>
    <row r="3" spans="1:544" ht="12.75" customHeight="1" x14ac:dyDescent="0.2">
      <c r="A3" s="16" t="s">
        <v>23</v>
      </c>
      <c r="B3" s="11" t="s">
        <v>13</v>
      </c>
      <c r="C3" s="12">
        <v>56</v>
      </c>
      <c r="D3" s="13" t="s">
        <v>12</v>
      </c>
      <c r="F3" s="2"/>
      <c r="G3" s="5" t="s">
        <v>12</v>
      </c>
      <c r="H3" s="2"/>
      <c r="I3" s="5" t="s">
        <v>12</v>
      </c>
      <c r="J3" s="4">
        <v>0</v>
      </c>
      <c r="K3" s="17">
        <v>1</v>
      </c>
      <c r="L3" s="18"/>
      <c r="M3" s="4"/>
      <c r="N3" s="8" t="str">
        <f t="shared" ref="N3:N10" si="0">IF(ISNUMBER(M3), M3-L3, "")</f>
        <v/>
      </c>
      <c r="P3" s="20"/>
      <c r="Q3" s="5" t="s">
        <v>12</v>
      </c>
      <c r="R3" s="20">
        <v>7</v>
      </c>
      <c r="S3" s="5" t="s">
        <v>12</v>
      </c>
      <c r="T3" s="4">
        <f t="shared" ref="T3:T10" si="1">IF(OR(ISNUMBER(P3), ISNUMBER(R3)), IF(ISNUMBER(P3), P3, 0) + IF(ISNUMBER(R3), R3, 0), "")</f>
        <v>7</v>
      </c>
      <c r="U3" s="21">
        <v>1</v>
      </c>
      <c r="V3" s="18">
        <f>IF(ISNUMBER(T3), (J3 + (K3 * 24)) - T3, "")</f>
        <v>17</v>
      </c>
      <c r="W3" s="4">
        <v>31</v>
      </c>
      <c r="X3" s="8">
        <f t="shared" ref="X3:X10" si="2">IF(ISNUMBER(W3), W3-V3, "")</f>
        <v>14</v>
      </c>
      <c r="Z3" s="20"/>
      <c r="AA3" s="5" t="s">
        <v>12</v>
      </c>
      <c r="AB3" s="20">
        <v>6</v>
      </c>
      <c r="AC3" s="5" t="s">
        <v>12</v>
      </c>
      <c r="AD3" s="4">
        <f t="shared" ref="AD3:AD10" si="3">IF(OR(ISNUMBER(Z3), ISNUMBER(AB3)), IF(ISNUMBER(Z3), Z3, 0) + IF(ISNUMBER(AB3), AB3, 0), "")</f>
        <v>6</v>
      </c>
      <c r="AE3" s="21">
        <v>2</v>
      </c>
      <c r="AF3" s="18">
        <f>IF(ISNUMBER(AD3), (T3 + (U3 * 24)) - AD3, "")</f>
        <v>25</v>
      </c>
      <c r="AG3" s="4">
        <v>23</v>
      </c>
      <c r="AH3" s="8">
        <f t="shared" ref="AH3:AH10" si="4">IF(ISNUMBER(AG3), AG3-AF3, "")</f>
        <v>-2</v>
      </c>
      <c r="AJ3" s="2">
        <v>48</v>
      </c>
      <c r="AK3" s="5" t="s">
        <v>12</v>
      </c>
      <c r="AL3" s="2">
        <v>0</v>
      </c>
      <c r="AM3" s="5" t="s">
        <v>12</v>
      </c>
      <c r="AN3" s="4">
        <f t="shared" ref="AN3:AN10" si="5">IF(OR(ISNUMBER(AJ3), ISNUMBER(AL3)), IF(ISNUMBER(AJ3), AJ3, 0) + IF(ISNUMBER(AL3), AL3, 0), "")</f>
        <v>48</v>
      </c>
      <c r="AO3" s="17"/>
      <c r="AP3" s="18">
        <f>IF(ISNUMBER(AN3), (AD3 + (AE3 * 24)) - AN3, "")</f>
        <v>6</v>
      </c>
      <c r="AQ3" s="4"/>
      <c r="AR3" s="8" t="str">
        <f t="shared" ref="AR3:AR10" si="6">IF(ISNUMBER(AQ3), AQ3-AP3, "")</f>
        <v/>
      </c>
      <c r="AT3" s="2">
        <v>24</v>
      </c>
      <c r="AU3" s="5" t="s">
        <v>12</v>
      </c>
      <c r="AV3" s="2">
        <v>16</v>
      </c>
      <c r="AW3" s="5" t="s">
        <v>12</v>
      </c>
      <c r="AX3" s="4">
        <f t="shared" ref="AX3:AX10" si="7">IF(OR(ISNUMBER(AT3), ISNUMBER(AV3)), IF(ISNUMBER(AT3), AT3, 0) + IF(ISNUMBER(AV3), AV3, 0), "")</f>
        <v>40</v>
      </c>
      <c r="AY3" s="17">
        <v>0</v>
      </c>
      <c r="AZ3" s="18">
        <f>IF(ISNUMBER(AX3), (AN3 + (AO3 * 24)) - AX3, "")</f>
        <v>8</v>
      </c>
      <c r="BA3" s="4">
        <v>8</v>
      </c>
      <c r="BB3" s="8">
        <f t="shared" ref="BB3:BB10" si="8">IF(ISNUMBER(BA3), BA3-AZ3, "")</f>
        <v>0</v>
      </c>
      <c r="BD3" s="2"/>
      <c r="BE3" s="5" t="s">
        <v>12</v>
      </c>
      <c r="BF3" s="2">
        <v>10</v>
      </c>
      <c r="BG3" s="5" t="s">
        <v>12</v>
      </c>
      <c r="BH3" s="4">
        <f t="shared" ref="BH3:BH10" si="9">IF(OR(ISNUMBER(BD3), ISNUMBER(BF3)), IF(ISNUMBER(BD3), BD3, 0) + IF(ISNUMBER(BF3), BF3, 0), "")</f>
        <v>10</v>
      </c>
      <c r="BI3" s="17">
        <v>2</v>
      </c>
      <c r="BJ3" s="18">
        <f>IF(ISNUMBER(BH3), (AX3 + (AY3 * 24)) - BH3, "")</f>
        <v>30</v>
      </c>
      <c r="BK3" s="4">
        <v>30</v>
      </c>
      <c r="BL3" s="8">
        <f t="shared" ref="BL3:BL10" si="10">IF(ISNUMBER(BK3), BK3-BJ3, "")</f>
        <v>0</v>
      </c>
      <c r="BN3" s="20"/>
      <c r="BO3" s="5" t="s">
        <v>12</v>
      </c>
      <c r="BP3" s="20">
        <v>32</v>
      </c>
      <c r="BQ3" s="5" t="s">
        <v>12</v>
      </c>
      <c r="BR3" s="4">
        <f t="shared" ref="BR3:BR10" si="11">IF(OR(ISNUMBER(BN3), ISNUMBER(BP3)), IF(ISNUMBER(BN3), BN3, 0) + IF(ISNUMBER(BP3), BP3, 0), "")</f>
        <v>32</v>
      </c>
      <c r="BS3" s="21">
        <v>1</v>
      </c>
      <c r="BT3" s="18">
        <f>IF(ISNUMBER(BR3), (BH3 + (BI3 * 24)) - BR3, "")</f>
        <v>26</v>
      </c>
      <c r="BU3" s="4">
        <v>24</v>
      </c>
      <c r="BV3" s="8">
        <f t="shared" ref="BV3:BV10" si="12">IF(ISNUMBER(BU3), BU3-BT3, "")</f>
        <v>-2</v>
      </c>
      <c r="BX3" s="20">
        <v>16</v>
      </c>
      <c r="BY3" s="5" t="s">
        <v>12</v>
      </c>
      <c r="BZ3" s="20">
        <v>21</v>
      </c>
      <c r="CA3" s="5" t="s">
        <v>12</v>
      </c>
      <c r="CB3" s="4">
        <f t="shared" ref="CB3:CB10" si="13">IF(OR(ISNUMBER(BX3), ISNUMBER(BZ3)), IF(ISNUMBER(BX3), BX3, 0) + IF(ISNUMBER(BZ3), BZ3, 0), "")</f>
        <v>37</v>
      </c>
      <c r="CC3" s="21">
        <v>1</v>
      </c>
      <c r="CD3" s="18">
        <f>IF(ISNUMBER(CB3), (BR3 + (BS3 * 24)) - CB3, "")</f>
        <v>19</v>
      </c>
      <c r="CE3" s="4">
        <v>13</v>
      </c>
      <c r="CF3" s="8">
        <f t="shared" ref="CF3:CF10" si="14">IF(ISNUMBER(CE3), CE3-CD3, "")</f>
        <v>-6</v>
      </c>
      <c r="CH3" s="20">
        <v>24</v>
      </c>
      <c r="CI3" s="5" t="s">
        <v>12</v>
      </c>
      <c r="CJ3" s="20">
        <v>9</v>
      </c>
      <c r="CK3" s="5" t="s">
        <v>12</v>
      </c>
      <c r="CL3" s="4">
        <f t="shared" ref="CL3:CL10" si="15">IF(OR(ISNUMBER(CH3), ISNUMBER(CJ3)), IF(ISNUMBER(CH3), CH3, 0) + IF(ISNUMBER(CJ3), CJ3, 0), "")</f>
        <v>33</v>
      </c>
      <c r="CM3" s="21">
        <v>2</v>
      </c>
      <c r="CN3" s="18">
        <f>IF(ISNUMBER(CL3), (CB3 + (CC3 * 24)) - CL3, "")</f>
        <v>28</v>
      </c>
      <c r="CO3" s="4">
        <v>28</v>
      </c>
      <c r="CP3" s="8">
        <f t="shared" ref="CP3:CP10" si="16">IF(ISNUMBER(CO3), CO3-CN3, "")</f>
        <v>0</v>
      </c>
      <c r="CR3" s="20">
        <v>40</v>
      </c>
      <c r="CS3" s="5" t="s">
        <v>12</v>
      </c>
      <c r="CT3" s="20">
        <v>17</v>
      </c>
      <c r="CU3" s="5" t="s">
        <v>12</v>
      </c>
      <c r="CV3" s="4">
        <f t="shared" ref="CV3:CV10" si="17">IF(OR(ISNUMBER(CR3), ISNUMBER(CT3)), IF(ISNUMBER(CR3), CR3, 0) + IF(ISNUMBER(CT3), CT3, 0), "")</f>
        <v>57</v>
      </c>
      <c r="CW3" s="21">
        <v>1</v>
      </c>
      <c r="CX3" s="18">
        <f>IF(ISNUMBER(CV3), (CL3 + (CM3 * 24)) - CV3, "")</f>
        <v>24</v>
      </c>
      <c r="CY3" s="4">
        <v>24</v>
      </c>
      <c r="CZ3" s="8">
        <f t="shared" ref="CZ3:CZ10" si="18">IF(ISNUMBER(CY3), CY3-CX3, "")</f>
        <v>0</v>
      </c>
      <c r="DB3" s="20">
        <v>24</v>
      </c>
      <c r="DC3" s="5" t="s">
        <v>12</v>
      </c>
      <c r="DD3" s="20">
        <v>34</v>
      </c>
      <c r="DE3" s="5" t="s">
        <v>12</v>
      </c>
      <c r="DF3" s="4">
        <f t="shared" ref="DF3:DF10" si="19">IF(OR(ISNUMBER(DB3), ISNUMBER(DD3)), IF(ISNUMBER(DB3), DB3, 0) + IF(ISNUMBER(DD3), DD3, 0), "")</f>
        <v>58</v>
      </c>
      <c r="DG3" s="21">
        <v>1</v>
      </c>
      <c r="DH3" s="18">
        <f>IF(ISNUMBER(DF3), (CV3 + (CW3 * 24)) - DF3, "")</f>
        <v>23</v>
      </c>
      <c r="DI3" s="4">
        <v>23</v>
      </c>
      <c r="DJ3" s="8">
        <f t="shared" ref="DJ3:DJ10" si="20">IF(ISNUMBER(DI3), DI3-DH3, "")</f>
        <v>0</v>
      </c>
      <c r="DL3" s="20">
        <v>36</v>
      </c>
      <c r="DM3" s="5" t="s">
        <v>12</v>
      </c>
      <c r="DN3" s="20">
        <v>21</v>
      </c>
      <c r="DO3" s="5" t="s">
        <v>12</v>
      </c>
      <c r="DP3" s="4">
        <f t="shared" ref="DP3:DP10" si="21">IF(OR(ISNUMBER(DL3), ISNUMBER(DN3)), IF(ISNUMBER(DL3), DL3, 0) + IF(ISNUMBER(DN3), DN3, 0), "")</f>
        <v>57</v>
      </c>
      <c r="DQ3" s="21"/>
      <c r="DR3" s="18">
        <f>IF(ISNUMBER(DP3), (DF3 + (DG3 * 24)) - DP3, "")</f>
        <v>25</v>
      </c>
      <c r="DS3" s="4">
        <v>25</v>
      </c>
      <c r="DT3" s="8">
        <f t="shared" ref="DT3:DT10" si="22">IF(ISNUMBER(DS3), DS3-DR3, "")</f>
        <v>0</v>
      </c>
      <c r="DV3" s="2">
        <v>24</v>
      </c>
      <c r="DW3" s="5" t="s">
        <v>12</v>
      </c>
      <c r="DX3" s="2">
        <v>17</v>
      </c>
      <c r="DY3" s="5" t="s">
        <v>12</v>
      </c>
      <c r="DZ3" s="4">
        <f t="shared" ref="DZ3:DZ10" si="23">IF(OR(ISNUMBER(DV3), ISNUMBER(DX3)), IF(ISNUMBER(DV3), DV3, 0) + IF(ISNUMBER(DX3), DX3, 0), "")</f>
        <v>41</v>
      </c>
      <c r="EA3" s="17">
        <v>1</v>
      </c>
      <c r="EB3" s="18">
        <f>IF(ISNUMBER(DZ3), (DP3 + (DQ3 * 24)) - DZ3, "")</f>
        <v>16</v>
      </c>
      <c r="EC3" s="4">
        <v>16</v>
      </c>
      <c r="ED3" s="8">
        <f t="shared" ref="ED3:ED10" si="24">IF(ISNUMBER(EC3), EC3-EB3, "")</f>
        <v>0</v>
      </c>
      <c r="EF3" s="20">
        <v>24</v>
      </c>
      <c r="EG3" s="5" t="s">
        <v>12</v>
      </c>
      <c r="EH3" s="20">
        <v>24</v>
      </c>
      <c r="EI3" s="5" t="s">
        <v>12</v>
      </c>
      <c r="EJ3" s="4">
        <f t="shared" ref="EJ3:EJ10" si="25">IF(OR(ISNUMBER(EF3), ISNUMBER(EH3)), IF(ISNUMBER(EF3), EF3, 0) + IF(ISNUMBER(EH3), EH3, 0), "")</f>
        <v>48</v>
      </c>
      <c r="EK3" s="21"/>
      <c r="EL3" s="18">
        <f>IF(ISNUMBER(EJ3), (DZ3 + (EA3 * 24)) - EJ3, "")</f>
        <v>17</v>
      </c>
      <c r="EM3" s="4">
        <v>17</v>
      </c>
      <c r="EN3" s="8">
        <f t="shared" ref="EN3:EN10" si="26">IF(ISNUMBER(EM3), EM3-EL3, "")</f>
        <v>0</v>
      </c>
      <c r="EP3" s="20">
        <v>24</v>
      </c>
      <c r="EQ3" s="5" t="s">
        <v>12</v>
      </c>
      <c r="ER3" s="20">
        <v>12</v>
      </c>
      <c r="ES3" s="5" t="s">
        <v>12</v>
      </c>
      <c r="ET3" s="4">
        <f t="shared" ref="ET3:ET10" si="27">IF(OR(ISNUMBER(EP3), ISNUMBER(ER3)), IF(ISNUMBER(EP3), EP3, 0) + IF(ISNUMBER(ER3), ER3, 0), "")</f>
        <v>36</v>
      </c>
      <c r="EU3" s="21">
        <v>1</v>
      </c>
      <c r="EV3" s="18">
        <f>IF(ISNUMBER(ET3), (EJ3 + (EK3 * 24)) - ET3, "")</f>
        <v>12</v>
      </c>
      <c r="EW3" s="4">
        <v>12</v>
      </c>
      <c r="EX3" s="8">
        <f t="shared" ref="EX3:EX10" si="28">IF(ISNUMBER(EW3), EW3-EV3, "")</f>
        <v>0</v>
      </c>
      <c r="EZ3" s="20">
        <v>24</v>
      </c>
      <c r="FA3" s="5" t="s">
        <v>12</v>
      </c>
      <c r="FB3" s="20">
        <v>18</v>
      </c>
      <c r="FC3" s="5" t="s">
        <v>12</v>
      </c>
      <c r="FD3" s="4">
        <f t="shared" ref="FD3:FD10" si="29">IF(OR(ISNUMBER(EZ3), ISNUMBER(FB3)), IF(ISNUMBER(EZ3), EZ3, 0) + IF(ISNUMBER(FB3), FB3, 0), "")</f>
        <v>42</v>
      </c>
      <c r="FE3" s="21">
        <v>1</v>
      </c>
      <c r="FF3" s="18">
        <f>IF(ISNUMBER(FD3), (ET3 + (EU3 * 24)) - FD3, "")</f>
        <v>18</v>
      </c>
      <c r="FG3" s="4">
        <v>18</v>
      </c>
      <c r="FH3" s="8">
        <f t="shared" ref="FH3:FH10" si="30">IF(ISNUMBER(FG3), FG3-FF3, "")</f>
        <v>0</v>
      </c>
      <c r="FJ3" s="2">
        <v>24</v>
      </c>
      <c r="FK3" s="5" t="s">
        <v>12</v>
      </c>
      <c r="FL3" s="2">
        <v>31</v>
      </c>
      <c r="FM3" s="5" t="s">
        <v>12</v>
      </c>
      <c r="FN3" s="4">
        <f t="shared" ref="FN3:FN10" si="31">IF(OR(ISNUMBER(FJ3), ISNUMBER(FL3)), IF(ISNUMBER(FJ3), FJ3, 0) + IF(ISNUMBER(FL3), FL3, 0), "")</f>
        <v>55</v>
      </c>
      <c r="FO3" s="17">
        <v>0</v>
      </c>
      <c r="FP3" s="18">
        <f>IF(ISNUMBER(FN3), (FD3 + (FE3 * 24)) - FN3, "")</f>
        <v>11</v>
      </c>
      <c r="FQ3" s="4">
        <v>15</v>
      </c>
      <c r="FR3" s="8">
        <f t="shared" ref="FR3:FR10" si="32">IF(ISNUMBER(FQ3), FQ3-FP3, "")</f>
        <v>4</v>
      </c>
      <c r="FT3" s="2">
        <v>0</v>
      </c>
      <c r="FU3" s="5" t="s">
        <v>12</v>
      </c>
      <c r="FV3" s="2">
        <v>16</v>
      </c>
      <c r="FW3" s="5" t="s">
        <v>12</v>
      </c>
      <c r="FX3" s="4">
        <f t="shared" ref="FX3:FX10" si="33">IF(OR(ISNUMBER(FT3), ISNUMBER(FV3)), IF(ISNUMBER(FT3), FT3, 0) + IF(ISNUMBER(FV3), FV3, 0), "")</f>
        <v>16</v>
      </c>
      <c r="FY3" s="17">
        <v>2</v>
      </c>
      <c r="FZ3" s="18">
        <f>IF(ISNUMBER(FX3), (FN3 + (FO3 * 24)) - FX3, "")</f>
        <v>39</v>
      </c>
      <c r="GA3" s="4">
        <v>32</v>
      </c>
      <c r="GB3" s="8">
        <f t="shared" ref="GB3:GB10" si="34">IF(ISNUMBER(GA3), GA3-FZ3, "")</f>
        <v>-7</v>
      </c>
      <c r="GD3" s="20">
        <v>32</v>
      </c>
      <c r="GE3" s="5" t="s">
        <v>12</v>
      </c>
      <c r="GF3" s="20">
        <v>24</v>
      </c>
      <c r="GG3" s="5" t="s">
        <v>12</v>
      </c>
      <c r="GH3" s="4">
        <f t="shared" ref="GH3:GH10" si="35">IF(OR(ISNUMBER(GD3), ISNUMBER(GF3)), IF(ISNUMBER(GD3), GD3, 0) + IF(ISNUMBER(GF3), GF3, 0), "")</f>
        <v>56</v>
      </c>
      <c r="GI3" s="21">
        <v>0</v>
      </c>
      <c r="GJ3" s="18">
        <f>IF(ISNUMBER(GH3), (FX3 + (FY3 * 24)) - GH3, "")</f>
        <v>8</v>
      </c>
      <c r="GK3" s="4">
        <v>11</v>
      </c>
      <c r="GL3" s="8">
        <f t="shared" ref="GL3:GL10" si="36">IF(ISNUMBER(GK3), GK3-GJ3, "")</f>
        <v>3</v>
      </c>
      <c r="GN3" s="20"/>
      <c r="GO3" s="5" t="s">
        <v>12</v>
      </c>
      <c r="GP3" s="20">
        <v>28</v>
      </c>
      <c r="GQ3" s="5" t="s">
        <v>12</v>
      </c>
      <c r="GR3" s="4">
        <f t="shared" ref="GR3:GR10" si="37">IF(OR(ISNUMBER(GN3), ISNUMBER(GP3)), IF(ISNUMBER(GN3), GN3, 0) + IF(ISNUMBER(GP3), GP3, 0), "")</f>
        <v>28</v>
      </c>
      <c r="GS3" s="21">
        <v>1</v>
      </c>
      <c r="GT3" s="18">
        <f>IF(ISNUMBER(GR3), (GH3 + (GI3 * 24)) - GR3, "")</f>
        <v>28</v>
      </c>
      <c r="GU3" s="4">
        <v>27</v>
      </c>
      <c r="GV3" s="8">
        <f t="shared" ref="GV3:GV10" si="38">IF(ISNUMBER(GU3), GU3-GT3, "")</f>
        <v>-1</v>
      </c>
      <c r="GX3" s="20">
        <v>24</v>
      </c>
      <c r="GY3" s="5" t="s">
        <v>12</v>
      </c>
      <c r="GZ3" s="20">
        <v>11</v>
      </c>
      <c r="HA3" s="5" t="s">
        <v>12</v>
      </c>
      <c r="HB3" s="4">
        <f t="shared" ref="HB3:HB10" si="39">IF(OR(ISNUMBER(GX3), ISNUMBER(GZ3)), IF(ISNUMBER(GX3), GX3, 0) + IF(ISNUMBER(GZ3), GZ3, 0), "")</f>
        <v>35</v>
      </c>
      <c r="HC3" s="21">
        <v>1</v>
      </c>
      <c r="HD3" s="18">
        <f>IF(ISNUMBER(HB3), (GR3 + (GS3 * 24)) - HB3, "")</f>
        <v>17</v>
      </c>
      <c r="HE3" s="4">
        <v>16</v>
      </c>
      <c r="HF3" s="8">
        <f t="shared" ref="HF3:HF10" si="40">IF(ISNUMBER(HE3), HE3-HD3, "")</f>
        <v>-1</v>
      </c>
      <c r="HH3" s="20">
        <v>24</v>
      </c>
      <c r="HI3" s="5" t="s">
        <v>12</v>
      </c>
      <c r="HJ3" s="20">
        <v>15</v>
      </c>
      <c r="HK3" s="5" t="s">
        <v>12</v>
      </c>
      <c r="HL3" s="4">
        <f t="shared" ref="HL3:HL10" si="41">IF(OR(ISNUMBER(HH3), ISNUMBER(HJ3)), IF(ISNUMBER(HH3), HH3, 0) + IF(ISNUMBER(HJ3), HJ3, 0), "")</f>
        <v>39</v>
      </c>
      <c r="HM3" s="21">
        <v>1</v>
      </c>
      <c r="HN3" s="18">
        <f>IF(ISNUMBER(HL3), (HB3 + (HC3 * 24)) - HL3, "")</f>
        <v>20</v>
      </c>
      <c r="HO3" s="4">
        <v>22</v>
      </c>
      <c r="HP3" s="8">
        <f t="shared" ref="HP3:HP10" si="42">IF(ISNUMBER(HO3), HO3-HN3, "")</f>
        <v>2</v>
      </c>
      <c r="HR3" s="2">
        <v>24</v>
      </c>
      <c r="HS3" s="5" t="s">
        <v>12</v>
      </c>
      <c r="HT3" s="2">
        <v>18</v>
      </c>
      <c r="HU3" s="5" t="s">
        <v>12</v>
      </c>
      <c r="HV3" s="4">
        <f t="shared" ref="HV3:HV10" si="43">IF(OR(ISNUMBER(HR3), ISNUMBER(HT3)), IF(ISNUMBER(HR3), HR3, 0) + IF(ISNUMBER(HT3), HT3, 0), "")</f>
        <v>42</v>
      </c>
      <c r="HW3" s="17">
        <v>1</v>
      </c>
      <c r="HX3" s="18">
        <f>IF(ISNUMBER(HV3), (HL3 + (HM3 * 24)) - HV3, "")</f>
        <v>21</v>
      </c>
      <c r="HY3" s="4">
        <v>23</v>
      </c>
      <c r="HZ3" s="8">
        <f t="shared" ref="HZ3:HZ10" si="44">IF(ISNUMBER(HY3), HY3-HX3, "")</f>
        <v>2</v>
      </c>
      <c r="IB3" s="2">
        <v>24</v>
      </c>
      <c r="IC3" s="5" t="s">
        <v>12</v>
      </c>
      <c r="ID3" s="2">
        <v>18</v>
      </c>
      <c r="IE3" s="5" t="s">
        <v>12</v>
      </c>
      <c r="IF3" s="4">
        <f t="shared" ref="IF3:IF10" si="45">IF(OR(ISNUMBER(IB3), ISNUMBER(ID3)), IF(ISNUMBER(IB3), IB3, 0) + IF(ISNUMBER(ID3), ID3, 0), "")</f>
        <v>42</v>
      </c>
      <c r="IG3" s="17">
        <v>1</v>
      </c>
      <c r="IH3" s="18">
        <f>IF(ISNUMBER(IF3), (HV3 + (HW3 * 24)) - IF3, "")</f>
        <v>24</v>
      </c>
      <c r="II3" s="4">
        <v>18</v>
      </c>
      <c r="IJ3" s="8">
        <f t="shared" ref="IJ3:IJ10" si="46">IF(ISNUMBER(II3), II3-IH3, "")</f>
        <v>-6</v>
      </c>
      <c r="IL3" s="2">
        <v>24</v>
      </c>
      <c r="IM3" s="5" t="s">
        <v>12</v>
      </c>
      <c r="IN3" s="2">
        <v>14</v>
      </c>
      <c r="IO3" s="5" t="s">
        <v>12</v>
      </c>
      <c r="IP3" s="4">
        <f t="shared" ref="IP3:IP10" si="47">IF(OR(ISNUMBER(IL3), ISNUMBER(IN3)), IF(ISNUMBER(IL3), IL3, 0) + IF(ISNUMBER(IN3), IN3, 0), "")</f>
        <v>38</v>
      </c>
      <c r="IQ3" s="17">
        <v>2</v>
      </c>
      <c r="IR3" s="18">
        <f t="shared" ref="IR3:IR10" si="48">IF(ISNUMBER(IP3), (IF3 + (IG3 * 24)) - IP3, "")</f>
        <v>28</v>
      </c>
      <c r="IS3" s="4">
        <v>27</v>
      </c>
      <c r="IT3" s="8">
        <f t="shared" ref="IT3:IT10" si="49">IF(ISNUMBER(IS3), IS3-IR3, "")</f>
        <v>-1</v>
      </c>
      <c r="IV3" s="2">
        <v>48</v>
      </c>
      <c r="IW3" s="5" t="s">
        <v>12</v>
      </c>
      <c r="IX3" s="2">
        <v>19</v>
      </c>
      <c r="IY3" s="5" t="s">
        <v>12</v>
      </c>
      <c r="IZ3" s="4">
        <f t="shared" ref="IZ3:IZ10" si="50">IF(OR(ISNUMBER(IV3), ISNUMBER(IX3)), IF(ISNUMBER(IV3), IV3, 0) + IF(ISNUMBER(IX3), IX3, 0), "")</f>
        <v>67</v>
      </c>
      <c r="JA3" s="17"/>
      <c r="JB3" s="18">
        <f>IF(ISNUMBER(IZ3), (IP3 + (IQ3 * 24)) - IZ3, "")</f>
        <v>19</v>
      </c>
      <c r="JC3" s="4">
        <v>19</v>
      </c>
      <c r="JD3" s="8">
        <f t="shared" ref="JD3:JD10" si="51">IF(ISNUMBER(JC3), JC3-JB3, "")</f>
        <v>0</v>
      </c>
      <c r="JF3" s="2">
        <v>24</v>
      </c>
      <c r="JG3" s="5" t="s">
        <v>12</v>
      </c>
      <c r="JH3" s="2">
        <v>27</v>
      </c>
      <c r="JI3" s="5" t="s">
        <v>12</v>
      </c>
      <c r="JJ3" s="4">
        <f t="shared" ref="JJ3:JJ10" si="52">IF(OR(ISNUMBER(JF3), ISNUMBER(JH3)), IF(ISNUMBER(JF3), JF3, 0) + IF(ISNUMBER(JH3), JH3, 0), "")</f>
        <v>51</v>
      </c>
      <c r="JK3" s="17">
        <v>2</v>
      </c>
      <c r="JL3" s="18">
        <f>IF(ISNUMBER(JJ3), (IZ3 + (JA3 * 24)) - JJ3, "")</f>
        <v>16</v>
      </c>
      <c r="JM3" s="4">
        <v>16</v>
      </c>
      <c r="JN3" s="8">
        <f t="shared" ref="JN3:JN10" si="53">IF(ISNUMBER(JM3), JM3-JL3, "")</f>
        <v>0</v>
      </c>
      <c r="JP3" s="20">
        <v>44</v>
      </c>
      <c r="JQ3" s="5" t="s">
        <v>12</v>
      </c>
      <c r="JR3" s="20">
        <v>23</v>
      </c>
      <c r="JS3" s="5" t="s">
        <v>12</v>
      </c>
      <c r="JT3" s="4">
        <f t="shared" ref="JT3:JT10" si="54">IF(OR(ISNUMBER(JP3), ISNUMBER(JR3)), IF(ISNUMBER(JP3), JP3, 0) + IF(ISNUMBER(JR3), JR3, 0), "")</f>
        <v>67</v>
      </c>
      <c r="JU3" s="21"/>
      <c r="JV3" s="18">
        <f>IF(ISNUMBER(JT3), (JJ3 + (JK3 * 24)) - JT3, "")</f>
        <v>32</v>
      </c>
      <c r="JW3" s="4">
        <v>32</v>
      </c>
      <c r="JX3" s="8">
        <f t="shared" ref="JX3:JX10" si="55">IF(ISNUMBER(JW3), JW3-JV3, "")</f>
        <v>0</v>
      </c>
      <c r="JZ3" s="20"/>
      <c r="KA3" s="5" t="s">
        <v>12</v>
      </c>
      <c r="KB3" s="20">
        <v>19</v>
      </c>
      <c r="KC3" s="5" t="s">
        <v>12</v>
      </c>
      <c r="KD3" s="4">
        <f t="shared" ref="KD3:KD10" si="56">IF(OR(ISNUMBER(JZ3), ISNUMBER(KB3)), IF(ISNUMBER(JZ3), JZ3, 0) + IF(ISNUMBER(KB3), KB3, 0), "")</f>
        <v>19</v>
      </c>
      <c r="KE3" s="21">
        <v>3</v>
      </c>
      <c r="KF3" s="18">
        <f>IF(ISNUMBER(KD3), (JT3 + (JU3 * 24)) - KD3, "")</f>
        <v>48</v>
      </c>
      <c r="KG3" s="4">
        <v>50</v>
      </c>
      <c r="KH3" s="8">
        <f t="shared" ref="KH3:KH10" si="57">IF(ISNUMBER(KG3), KG3-KF3, "")</f>
        <v>2</v>
      </c>
      <c r="KJ3" s="20">
        <v>69</v>
      </c>
      <c r="KK3" s="5" t="s">
        <v>12</v>
      </c>
      <c r="KL3" s="20"/>
      <c r="KM3" s="5" t="s">
        <v>12</v>
      </c>
      <c r="KN3" s="4">
        <f t="shared" ref="KN3:KN10" si="58">IF(OR(ISNUMBER(KJ3), ISNUMBER(KL3)), IF(ISNUMBER(KJ3), KJ3, 0) + IF(ISNUMBER(KL3), KL3, 0), "")</f>
        <v>69</v>
      </c>
      <c r="KO3" s="21"/>
      <c r="KP3" s="18">
        <f>IF(ISNUMBER(KN3), (KD3 + (KE3 * 24)) - KN3, "")</f>
        <v>22</v>
      </c>
      <c r="KQ3" s="4">
        <v>24</v>
      </c>
      <c r="KR3" s="8">
        <f t="shared" ref="KR3:KR10" si="59">IF(ISNUMBER(KQ3), KQ3-KP3, "")</f>
        <v>2</v>
      </c>
      <c r="KT3" s="20">
        <v>24</v>
      </c>
      <c r="KU3" s="5" t="s">
        <v>12</v>
      </c>
      <c r="KV3" s="20">
        <v>14</v>
      </c>
      <c r="KW3" s="5" t="s">
        <v>12</v>
      </c>
      <c r="KX3" s="4">
        <f t="shared" ref="KX3:KX10" si="60">IF(OR(ISNUMBER(KT3), ISNUMBER(KV3)), IF(ISNUMBER(KT3), KT3, 0) + IF(ISNUMBER(KV3), KV3, 0), "")</f>
        <v>38</v>
      </c>
      <c r="KY3" s="21">
        <v>3</v>
      </c>
      <c r="KZ3" s="18">
        <f t="shared" ref="KZ3:KZ10" si="61">IF(ISNUMBER(KX3), (KN3 + (KO3 * 24)) - KX3, "")</f>
        <v>31</v>
      </c>
      <c r="LA3" s="4">
        <v>25</v>
      </c>
      <c r="LB3" s="8">
        <f t="shared" ref="LB3:LB10" si="62">IF(ISNUMBER(LA3), LA3-KZ3, "")</f>
        <v>-6</v>
      </c>
      <c r="LD3" s="20">
        <v>72</v>
      </c>
      <c r="LE3" s="5" t="s">
        <v>12</v>
      </c>
      <c r="LF3" s="20">
        <v>21</v>
      </c>
      <c r="LG3" s="5" t="s">
        <v>12</v>
      </c>
      <c r="LH3" s="4">
        <f t="shared" ref="LH3:LH10" si="63">IF(OR(ISNUMBER(LD3), ISNUMBER(LF3)), IF(ISNUMBER(LD3), LD3, 0) + IF(ISNUMBER(LF3), LF3, 0), "")</f>
        <v>93</v>
      </c>
      <c r="LI3" s="21"/>
      <c r="LJ3" s="18">
        <f t="shared" ref="LJ3:LJ10" si="64">IF(ISNUMBER(LH3), (KX3 + (KY3 * 24)) - LH3, "")</f>
        <v>17</v>
      </c>
      <c r="LK3" s="4">
        <v>17</v>
      </c>
      <c r="LL3" s="8">
        <f t="shared" ref="LL3:LL10" si="65">IF(ISNUMBER(LK3), LK3-LJ3, "")</f>
        <v>0</v>
      </c>
      <c r="LN3" s="20">
        <v>24</v>
      </c>
      <c r="LO3" s="5" t="s">
        <v>12</v>
      </c>
      <c r="LP3" s="20">
        <v>33</v>
      </c>
      <c r="LQ3" s="5" t="s">
        <v>12</v>
      </c>
      <c r="LR3" s="4">
        <v>56</v>
      </c>
      <c r="LS3" s="21">
        <v>2</v>
      </c>
      <c r="LT3" s="18">
        <f t="shared" ref="LT3:LT10" si="66">IF(ISNUMBER(LR3), (LH3 + (LI3 * 24)) - LR3, "")</f>
        <v>37</v>
      </c>
      <c r="LU3" s="4">
        <v>37</v>
      </c>
      <c r="LV3" s="8">
        <f t="shared" ref="LV3:LV10" si="67">IF(ISNUMBER(LU3), LU3-LT3, "")</f>
        <v>0</v>
      </c>
      <c r="LX3" s="20">
        <v>72</v>
      </c>
      <c r="LY3" s="5" t="s">
        <v>12</v>
      </c>
      <c r="LZ3" s="20">
        <v>22</v>
      </c>
      <c r="MA3" s="5" t="s">
        <v>12</v>
      </c>
      <c r="MB3" s="4">
        <f t="shared" ref="MB3:MB10" si="68">IF(OR(ISNUMBER(LX3), ISNUMBER(LZ3)), IF(ISNUMBER(LX3), LX3, 0) + IF(ISNUMBER(LZ3), LZ3, 0), "")</f>
        <v>94</v>
      </c>
      <c r="MC3" s="21"/>
      <c r="MD3" s="18">
        <f t="shared" ref="MD3:MD10" si="69">IF(ISNUMBER(MB3), (LR3 + (LS3 * 24)) - MB3, "")</f>
        <v>10</v>
      </c>
      <c r="ME3" s="4">
        <v>13</v>
      </c>
      <c r="MF3" s="8">
        <f t="shared" ref="MF3:MF10" si="70">IF(ISNUMBER(ME3), ME3-MD3, "")</f>
        <v>3</v>
      </c>
      <c r="MH3" s="20">
        <v>48</v>
      </c>
      <c r="MI3" s="5" t="s">
        <v>12</v>
      </c>
      <c r="MJ3" s="20">
        <v>28</v>
      </c>
      <c r="MK3" s="5" t="s">
        <v>12</v>
      </c>
      <c r="ML3" s="4">
        <f t="shared" ref="ML3:ML10" si="71">IF(OR(ISNUMBER(MH3), ISNUMBER(MJ3)), IF(ISNUMBER(MH3), MH3, 0) + IF(ISNUMBER(MJ3), MJ3, 0), "")</f>
        <v>76</v>
      </c>
      <c r="MM3" s="21">
        <v>0</v>
      </c>
      <c r="MN3" s="18">
        <f t="shared" ref="MN3:MN10" si="72">IF(ISNUMBER(ML3), (MB3 + (MC3 * 24)) - ML3, "")</f>
        <v>18</v>
      </c>
      <c r="MO3" s="4">
        <v>18</v>
      </c>
      <c r="MP3" s="8">
        <f t="shared" ref="MP3:MP10" si="73">IF(ISNUMBER(MO3), MO3-MN3, "")</f>
        <v>0</v>
      </c>
      <c r="MR3" s="20">
        <v>24</v>
      </c>
      <c r="MS3" s="5" t="s">
        <v>12</v>
      </c>
      <c r="MT3" s="20">
        <v>37</v>
      </c>
      <c r="MU3" s="5" t="s">
        <v>12</v>
      </c>
      <c r="MV3" s="4">
        <f t="shared" ref="MV3:MV10" si="74">IF(OR(ISNUMBER(MR3), ISNUMBER(MT3)), IF(ISNUMBER(MR3), MR3, 0) + IF(ISNUMBER(MT3), MT3, 0), "")</f>
        <v>61</v>
      </c>
      <c r="MW3" s="21"/>
      <c r="MX3" s="18">
        <f t="shared" ref="MX3:MX10" si="75">IF(ISNUMBER(MV3), (ML3 + (MM3 * 24)) - MV3, "")</f>
        <v>15</v>
      </c>
      <c r="MY3" s="4">
        <v>15</v>
      </c>
      <c r="MZ3" s="18">
        <f t="shared" ref="MZ3:MZ10" si="76">IF(ISNUMBER(MY3), MY3-MX3, "")</f>
        <v>0</v>
      </c>
      <c r="NB3" s="20"/>
      <c r="NC3" s="5" t="s">
        <v>12</v>
      </c>
      <c r="ND3" s="20">
        <v>37</v>
      </c>
      <c r="NE3" s="5" t="s">
        <v>12</v>
      </c>
      <c r="NF3" s="4">
        <f t="shared" ref="NF3:NF10" si="77">IF(OR(ISNUMBER(NB3), ISNUMBER(ND3)), IF(ISNUMBER(NB3), NB3, 0) + IF(ISNUMBER(ND3), ND3, 0), "")</f>
        <v>37</v>
      </c>
      <c r="NG3" s="21">
        <v>1</v>
      </c>
      <c r="NH3" s="18">
        <f t="shared" ref="NH3:NH10" si="78">IF(ISNUMBER(NF3), (MV3 + (MW3 * 24)) - NF3, "")</f>
        <v>24</v>
      </c>
      <c r="NI3" s="4">
        <v>21</v>
      </c>
      <c r="NJ3" s="8">
        <f t="shared" ref="NJ3:NJ10" si="79">IF(ISNUMBER(NI3), NI3-NH3, "")</f>
        <v>-3</v>
      </c>
      <c r="NL3" s="20"/>
      <c r="NM3" s="5" t="s">
        <v>12</v>
      </c>
      <c r="NN3" s="20">
        <v>38</v>
      </c>
      <c r="NO3" s="5" t="s">
        <v>12</v>
      </c>
      <c r="NP3" s="4">
        <f t="shared" ref="NP3:NP10" si="80">IF(OR(ISNUMBER(NL3), ISNUMBER(NN3)), IF(ISNUMBER(NL3), NL3, 0) + IF(ISNUMBER(NN3), NN3, 0), "")</f>
        <v>38</v>
      </c>
      <c r="NQ3" s="21"/>
      <c r="NR3" s="18">
        <f t="shared" ref="NR3:NR10" si="81">IF(ISNUMBER(NP3), (NF3 + (NG3 * 24)) - NP3, "")</f>
        <v>23</v>
      </c>
      <c r="NS3" s="4">
        <v>23</v>
      </c>
      <c r="NT3" s="8">
        <f t="shared" ref="NT3:NT10" si="82">IF(ISNUMBER(NS3), NS3-NR3, "")</f>
        <v>0</v>
      </c>
      <c r="NV3" s="20"/>
      <c r="NW3" s="5" t="s">
        <v>12</v>
      </c>
      <c r="NX3" s="20">
        <v>22</v>
      </c>
      <c r="NY3" s="5" t="s">
        <v>12</v>
      </c>
      <c r="NZ3" s="4">
        <f t="shared" ref="NZ3:NZ10" si="83">IF(OR(ISNUMBER(NV3), ISNUMBER(NX3)), IF(ISNUMBER(NV3), NV3, 0) + IF(ISNUMBER(NX3), NX3, 0), "")</f>
        <v>22</v>
      </c>
      <c r="OA3" s="21">
        <v>2</v>
      </c>
      <c r="OB3" s="18">
        <f t="shared" ref="OB3:OB10" si="84">IF(ISNUMBER(NZ3), (NP3 + (NQ3 * 24)) - NZ3, "")</f>
        <v>16</v>
      </c>
      <c r="OC3" s="4">
        <v>16</v>
      </c>
      <c r="OD3" s="8">
        <f t="shared" ref="OD3:OD10" si="85">IF(ISNUMBER(OC3), OC3-OB3, "")</f>
        <v>0</v>
      </c>
      <c r="OF3" s="20">
        <v>24</v>
      </c>
      <c r="OG3" s="5" t="s">
        <v>12</v>
      </c>
      <c r="OH3" s="20">
        <v>27</v>
      </c>
      <c r="OI3" s="5" t="s">
        <v>12</v>
      </c>
      <c r="OJ3" s="4">
        <f t="shared" ref="OJ3:OJ10" si="86">IF(OR(ISNUMBER(OF3), ISNUMBER(OH3)), IF(ISNUMBER(OF3), OF3, 0) + IF(ISNUMBER(OH3), OH3, 0), "")</f>
        <v>51</v>
      </c>
      <c r="OK3" s="21"/>
      <c r="OL3" s="18">
        <f t="shared" ref="OL3:OL10" si="87">IF(ISNUMBER(OJ3), (NZ3 + (OA3 * 24)) - OJ3, "")</f>
        <v>19</v>
      </c>
      <c r="OM3" s="4">
        <v>19</v>
      </c>
      <c r="ON3" s="8">
        <f t="shared" ref="ON3:ON10" si="88">IF(ISNUMBER(OM3), OM3-OL3, "")</f>
        <v>0</v>
      </c>
      <c r="OP3" s="20"/>
      <c r="OQ3" s="5" t="s">
        <v>12</v>
      </c>
      <c r="OR3" s="20">
        <v>15</v>
      </c>
      <c r="OS3" s="5" t="s">
        <v>12</v>
      </c>
      <c r="OT3" s="4">
        <f t="shared" ref="OT3:OT10" si="89">IF(OR(ISNUMBER(OP3), ISNUMBER(OR3)), IF(ISNUMBER(OP3), OP3, 0) + IF(ISNUMBER(OR3), OR3, 0), "")</f>
        <v>15</v>
      </c>
      <c r="OU3" s="21"/>
      <c r="OV3" s="18">
        <f t="shared" ref="OV3:OV10" si="90">IF(ISNUMBER(OT3), (OJ3 + (OK3 * 24)) - OT3, "")</f>
        <v>36</v>
      </c>
      <c r="OW3" s="4">
        <v>36</v>
      </c>
      <c r="OX3" s="8">
        <f t="shared" ref="OX3:OX10" si="91">IF(ISNUMBER(OW3), OW3-OV3, "")</f>
        <v>0</v>
      </c>
      <c r="OZ3" s="2">
        <v>0</v>
      </c>
      <c r="PA3" s="5" t="s">
        <v>12</v>
      </c>
      <c r="PB3" s="2">
        <v>0</v>
      </c>
      <c r="PC3" s="5" t="s">
        <v>12</v>
      </c>
      <c r="PD3" s="4">
        <f t="shared" ref="PD3:PD10" si="92">IF(OR(ISNUMBER(OZ3), ISNUMBER(PB3)), IF(ISNUMBER(OZ3), OZ3, 0) + IF(ISNUMBER(PB3), PB3, 0), "")</f>
        <v>0</v>
      </c>
      <c r="PE3" s="17">
        <v>3</v>
      </c>
      <c r="PF3" s="18">
        <f t="shared" ref="PF3:PF10" si="93">IF(ISNUMBER(PD3), (OT3 + (OU3 * 24)) - PD3, "")</f>
        <v>15</v>
      </c>
      <c r="PG3" s="4">
        <v>17</v>
      </c>
      <c r="PH3" s="8">
        <f t="shared" ref="PH3:PH10" si="94">IF(ISNUMBER(PG3), PG3-PF3, "")</f>
        <v>2</v>
      </c>
      <c r="PJ3" s="2">
        <v>48</v>
      </c>
      <c r="PK3" s="5" t="s">
        <v>12</v>
      </c>
      <c r="PL3" s="2">
        <v>16</v>
      </c>
      <c r="PM3" s="5" t="s">
        <v>12</v>
      </c>
      <c r="PN3" s="4">
        <f t="shared" ref="PN3:PN10" si="95">IF(OR(ISNUMBER(PJ3), ISNUMBER(PL3)), IF(ISNUMBER(PJ3), PJ3, 0) + IF(ISNUMBER(PL3), PL3, 0), "")</f>
        <v>64</v>
      </c>
      <c r="PO3" s="17"/>
      <c r="PP3" s="18">
        <f t="shared" ref="PP3:PP10" si="96">IF(ISNUMBER(PN3), (PD3 + (PE3 * 24)) - PN3, "")</f>
        <v>8</v>
      </c>
      <c r="PQ3" s="4">
        <v>8</v>
      </c>
      <c r="PR3" s="8">
        <f t="shared" ref="PR3:PR10" si="97">IF(ISNUMBER(PQ3), PQ3-PP3, "")</f>
        <v>0</v>
      </c>
      <c r="PT3" s="20">
        <v>24</v>
      </c>
      <c r="PU3" s="5" t="s">
        <v>12</v>
      </c>
      <c r="PV3" s="20">
        <v>21</v>
      </c>
      <c r="PW3" s="5" t="s">
        <v>12</v>
      </c>
      <c r="PX3" s="4">
        <f t="shared" ref="PX3:PX10" si="98">IF(OR(ISNUMBER(PT3), ISNUMBER(PV3)), IF(ISNUMBER(PT3), PT3, 0) + IF(ISNUMBER(PV3), PV3, 0), "")</f>
        <v>45</v>
      </c>
      <c r="PY3" s="21">
        <v>1</v>
      </c>
      <c r="PZ3" s="18">
        <f t="shared" ref="PZ3:PZ10" si="99">IF(ISNUMBER(PX3), (PN3 + (PO3 * 24)) - PX3, "")</f>
        <v>19</v>
      </c>
      <c r="QA3" s="4">
        <v>19</v>
      </c>
      <c r="QB3" s="8">
        <f t="shared" ref="QB3:QB10" si="100">IF(ISNUMBER(QA3), QA3-PZ3, "")</f>
        <v>0</v>
      </c>
      <c r="QD3" s="20">
        <v>24</v>
      </c>
      <c r="QE3" s="5" t="s">
        <v>12</v>
      </c>
      <c r="QF3" s="20">
        <v>23</v>
      </c>
      <c r="QG3" s="5" t="s">
        <v>12</v>
      </c>
      <c r="QH3" s="4">
        <f t="shared" ref="QH3:QH10" si="101">IF(OR(ISNUMBER(QD3), ISNUMBER(QF3)), IF(ISNUMBER(QD3), QD3, 0) + IF(ISNUMBER(QF3), QF3, 0), "")</f>
        <v>47</v>
      </c>
      <c r="QI3" s="21"/>
      <c r="QJ3" s="18">
        <f t="shared" ref="QJ3:QJ10" si="102">IF(ISNUMBER(QH3), (PX3 + (PY3 * 24)) - QH3, "")</f>
        <v>22</v>
      </c>
      <c r="QK3" s="4">
        <v>22</v>
      </c>
      <c r="QL3" s="8">
        <f t="shared" ref="QL3:QL10" si="103">IF(ISNUMBER(QK3), QK3-QJ3, "")</f>
        <v>0</v>
      </c>
      <c r="QN3" s="20">
        <v>0</v>
      </c>
      <c r="QO3" s="5" t="s">
        <v>12</v>
      </c>
      <c r="QP3" s="20">
        <v>28</v>
      </c>
      <c r="QQ3" s="5" t="s">
        <v>12</v>
      </c>
      <c r="QR3" s="4">
        <f t="shared" ref="QR3:QR10" si="104">IF(OR(ISNUMBER(QN3), ISNUMBER(QP3)), IF(ISNUMBER(QN3), QN3, 0) + IF(ISNUMBER(QP3), QP3, 0), "")</f>
        <v>28</v>
      </c>
      <c r="QS3" s="21">
        <v>2</v>
      </c>
      <c r="QT3" s="18">
        <f t="shared" ref="QT3:QT10" si="105">IF(ISNUMBER(QR3), (QH3 + (QI3 * 24)) - QR3, "")</f>
        <v>19</v>
      </c>
      <c r="QU3" s="4">
        <v>19</v>
      </c>
      <c r="QV3" s="8">
        <f t="shared" ref="QV3:QV10" si="106">IF(ISNUMBER(QU3), QU3-QT3, "")</f>
        <v>0</v>
      </c>
      <c r="QX3" s="20">
        <v>48</v>
      </c>
      <c r="QY3" s="5" t="s">
        <v>12</v>
      </c>
      <c r="QZ3" s="20">
        <v>17</v>
      </c>
      <c r="RA3" s="5" t="s">
        <v>12</v>
      </c>
      <c r="RB3" s="4">
        <f t="shared" ref="RB3:RB10" si="107">IF(OR(ISNUMBER(QX3), ISNUMBER(QZ3)), IF(ISNUMBER(QX3), QX3, 0) + IF(ISNUMBER(QZ3), QZ3, 0), "")</f>
        <v>65</v>
      </c>
      <c r="RC3" s="21"/>
      <c r="RD3" s="18">
        <f t="shared" ref="RD3:RD10" si="108">IF(ISNUMBER(RB3), (QR3 + (QS3 * 24)) - RB3, "")</f>
        <v>11</v>
      </c>
      <c r="RE3" s="4">
        <v>11</v>
      </c>
      <c r="RF3" s="8">
        <f t="shared" ref="RF3:RF10" si="109">IF(ISNUMBER(RE3), RE3-RD3, "")</f>
        <v>0</v>
      </c>
      <c r="RH3" s="20">
        <v>24</v>
      </c>
      <c r="RI3" s="5" t="s">
        <v>12</v>
      </c>
      <c r="RJ3" s="20">
        <v>23</v>
      </c>
      <c r="RK3" s="5" t="s">
        <v>12</v>
      </c>
      <c r="RL3" s="4">
        <f t="shared" ref="RL3:RL10" si="110">IF(OR(ISNUMBER(RH3), ISNUMBER(RJ3)), IF(ISNUMBER(RH3), RH3, 0) + IF(ISNUMBER(RJ3), RJ3, 0), "")</f>
        <v>47</v>
      </c>
      <c r="RM3" s="21">
        <v>0</v>
      </c>
      <c r="RN3" s="18">
        <f t="shared" ref="RN3:RN10" si="111">IF(ISNUMBER(RL3), (RB3 + (RC3 * 24)) - RL3, "")</f>
        <v>18</v>
      </c>
      <c r="RO3" s="4">
        <v>18</v>
      </c>
      <c r="RP3" s="8">
        <f t="shared" ref="RP3:RP10" si="112">IF(ISNUMBER(RO3), RO3-RN3, "")</f>
        <v>0</v>
      </c>
      <c r="RR3" s="2">
        <v>0</v>
      </c>
      <c r="RS3" s="5" t="s">
        <v>12</v>
      </c>
      <c r="RT3" s="2">
        <v>28</v>
      </c>
      <c r="RU3" s="5" t="s">
        <v>12</v>
      </c>
      <c r="RV3" s="4">
        <f t="shared" ref="RV3:RV10" si="113">IF(OR(ISNUMBER(RR3), ISNUMBER(RT3)), IF(ISNUMBER(RR3), RR3, 0) + IF(ISNUMBER(RT3), RT3, 0), "")</f>
        <v>28</v>
      </c>
      <c r="RW3" s="17"/>
      <c r="RX3" s="18">
        <f t="shared" ref="RX3:RX10" si="114">IF(ISNUMBER(RV3), (RL3 + (RM3 * 24)) - RV3, "")</f>
        <v>19</v>
      </c>
      <c r="RY3" s="4">
        <v>19</v>
      </c>
      <c r="RZ3" s="8">
        <f t="shared" ref="RZ3:RZ10" si="115">IF(ISNUMBER(RY3), RY3-RX3, "")</f>
        <v>0</v>
      </c>
      <c r="SB3" s="20"/>
      <c r="SC3" s="5" t="s">
        <v>12</v>
      </c>
      <c r="SD3" s="20">
        <v>7</v>
      </c>
      <c r="SE3" s="5" t="s">
        <v>12</v>
      </c>
      <c r="SF3" s="4">
        <f t="shared" ref="SF3:SF10" si="116">IF(OR(ISNUMBER(SB3), ISNUMBER(SD3)), IF(ISNUMBER(SB3), SB3, 0) + IF(ISNUMBER(SD3), SD3, 0), "")</f>
        <v>7</v>
      </c>
      <c r="SG3" s="21">
        <v>2</v>
      </c>
      <c r="SH3" s="18">
        <f t="shared" ref="SH3:SH10" si="117">IF(ISNUMBER(SF3), (RV3 + (RW3 * 24)) - SF3, "")</f>
        <v>21</v>
      </c>
      <c r="SI3" s="4">
        <v>21</v>
      </c>
      <c r="SJ3" s="8">
        <f t="shared" ref="SJ3:SJ10" si="118">IF(ISNUMBER(SI3), SI3-SH3, "")</f>
        <v>0</v>
      </c>
      <c r="SL3" s="2">
        <v>24</v>
      </c>
      <c r="SM3" s="5" t="s">
        <v>12</v>
      </c>
      <c r="SN3" s="2">
        <v>19</v>
      </c>
      <c r="SO3" s="5" t="s">
        <v>12</v>
      </c>
      <c r="SP3" s="4">
        <f t="shared" ref="SP3:SP10" si="119">IF(OR(ISNUMBER(SL3), ISNUMBER(SN3)), IF(ISNUMBER(SL3), SL3, 0) + IF(ISNUMBER(SN3), SN3, 0), "")</f>
        <v>43</v>
      </c>
      <c r="SQ3" s="17"/>
      <c r="SR3" s="18">
        <f t="shared" ref="SR3:SR10" si="120">IF(ISNUMBER(SP3), (SF3 + (SG3 * 24)) - SP3, "")</f>
        <v>12</v>
      </c>
      <c r="SS3" s="4">
        <v>11</v>
      </c>
      <c r="ST3" s="8">
        <f t="shared" ref="ST3:ST10" si="121">IF(ISNUMBER(SS3), SS3-SR3, "")</f>
        <v>-1</v>
      </c>
      <c r="SV3" s="2">
        <v>0</v>
      </c>
      <c r="SW3" s="5" t="s">
        <v>12</v>
      </c>
      <c r="SX3" s="2">
        <v>25</v>
      </c>
      <c r="SY3" s="5" t="s">
        <v>12</v>
      </c>
      <c r="SZ3" s="4">
        <f t="shared" ref="SZ3:SZ10" si="122">IF(OR(ISNUMBER(SV3), ISNUMBER(SX3)), IF(ISNUMBER(SV3), SV3, 0) + IF(ISNUMBER(SX3), SX3, 0), "")</f>
        <v>25</v>
      </c>
      <c r="TA3" s="17">
        <v>1</v>
      </c>
      <c r="TB3" s="18">
        <f t="shared" ref="TB3:TB10" si="123">IF(ISNUMBER(SZ3), (SP3 + (SQ3 * 24)) - SZ3, "")</f>
        <v>18</v>
      </c>
      <c r="TC3" s="4">
        <v>18</v>
      </c>
      <c r="TD3" s="8">
        <f t="shared" ref="TD3:TD10" si="124">IF(ISNUMBER(TC3), TC3-TB3, "")</f>
        <v>0</v>
      </c>
      <c r="TF3" s="57"/>
      <c r="TG3" s="58" t="s">
        <v>12</v>
      </c>
      <c r="TH3" s="57">
        <v>32</v>
      </c>
      <c r="TI3" s="58" t="s">
        <v>12</v>
      </c>
      <c r="TJ3" s="59">
        <f t="shared" ref="TJ3:TJ10" si="125">IF(OR(ISNUMBER(TF3), ISNUMBER(TH3)), IF(ISNUMBER(TF3), TF3, 0) + IF(ISNUMBER(TH3), TH3, 0), "")</f>
        <v>32</v>
      </c>
      <c r="TK3" s="60"/>
      <c r="TL3" s="61">
        <f t="shared" ref="TL3:TL10" si="126">IF(ISNUMBER(TJ3), (SZ3 + (TA3 * 24)) - TJ3, "")</f>
        <v>17</v>
      </c>
      <c r="TM3" s="59">
        <v>17</v>
      </c>
      <c r="TN3" s="62">
        <f t="shared" ref="TN3:TN10" si="127">IF(ISNUMBER(TM3), TM3-TL3, "")</f>
        <v>0</v>
      </c>
      <c r="TP3" s="2"/>
      <c r="TQ3" s="5" t="s">
        <v>12</v>
      </c>
      <c r="TR3" s="2"/>
      <c r="TS3" s="5" t="s">
        <v>12</v>
      </c>
      <c r="TT3" s="4" t="str">
        <f t="shared" ref="TT3:TT10" si="128">IF(OR(ISNUMBER(TP3), ISNUMBER(TR3)), IF(ISNUMBER(TP3), TP3, 0) + IF(ISNUMBER(TR3), TR3, 0), "")</f>
        <v/>
      </c>
      <c r="TU3" s="17"/>
      <c r="TV3" s="18" t="str">
        <f t="shared" ref="TV3:TV10" si="129">IF(ISNUMBER(TT3), (TJ3 + (TK3 * 24)) - TT3, "")</f>
        <v/>
      </c>
      <c r="TW3" s="4"/>
      <c r="TX3" s="8" t="str">
        <f t="shared" ref="TX3:TX10" si="130">IF(ISNUMBER(TW3), TW3-TV3, "")</f>
        <v/>
      </c>
    </row>
    <row r="4" spans="1:544" ht="12.75" customHeight="1" x14ac:dyDescent="0.2">
      <c r="A4" s="16" t="s">
        <v>18</v>
      </c>
      <c r="B4" s="11" t="s">
        <v>13</v>
      </c>
      <c r="C4" s="12">
        <v>115</v>
      </c>
      <c r="D4" s="13" t="s">
        <v>12</v>
      </c>
      <c r="F4" s="2"/>
      <c r="G4" s="5" t="s">
        <v>12</v>
      </c>
      <c r="H4" s="2"/>
      <c r="I4" s="5" t="s">
        <v>12</v>
      </c>
      <c r="J4" s="4">
        <v>0</v>
      </c>
      <c r="K4" s="17">
        <v>2</v>
      </c>
      <c r="L4" s="18"/>
      <c r="M4" s="4"/>
      <c r="N4" s="8" t="str">
        <f t="shared" si="0"/>
        <v/>
      </c>
      <c r="P4" s="20">
        <v>18</v>
      </c>
      <c r="Q4" s="5" t="s">
        <v>12</v>
      </c>
      <c r="R4" s="20">
        <v>7</v>
      </c>
      <c r="S4" s="5" t="s">
        <v>12</v>
      </c>
      <c r="T4" s="4">
        <f t="shared" si="1"/>
        <v>25</v>
      </c>
      <c r="U4" s="21">
        <v>2</v>
      </c>
      <c r="V4" s="18">
        <f>IF(ISNUMBER(T4), (J4 + (K4 * 24)) - T4, "")</f>
        <v>23</v>
      </c>
      <c r="W4" s="4">
        <v>20</v>
      </c>
      <c r="X4" s="8">
        <f t="shared" si="2"/>
        <v>-3</v>
      </c>
      <c r="Z4" s="20"/>
      <c r="AA4" s="5" t="s">
        <v>12</v>
      </c>
      <c r="AB4" s="20">
        <v>24</v>
      </c>
      <c r="AC4" s="5" t="s">
        <v>12</v>
      </c>
      <c r="AD4" s="4">
        <f t="shared" si="3"/>
        <v>24</v>
      </c>
      <c r="AE4" s="21">
        <v>1</v>
      </c>
      <c r="AF4" s="18">
        <f>IF(ISNUMBER(AD4), (T4 + (U4 * 24)) - AD4, "")</f>
        <v>49</v>
      </c>
      <c r="AG4" s="4">
        <v>42</v>
      </c>
      <c r="AH4" s="8">
        <f t="shared" si="4"/>
        <v>-7</v>
      </c>
      <c r="AJ4" s="2">
        <v>24</v>
      </c>
      <c r="AK4" s="5" t="s">
        <v>12</v>
      </c>
      <c r="AL4" s="2">
        <v>9</v>
      </c>
      <c r="AM4" s="5" t="s">
        <v>12</v>
      </c>
      <c r="AN4" s="4">
        <f t="shared" si="5"/>
        <v>33</v>
      </c>
      <c r="AO4" s="17">
        <v>1</v>
      </c>
      <c r="AP4" s="18">
        <f>IF(ISNUMBER(AN4), (AD4 + (AE4 * 24)) - AN4, "")</f>
        <v>15</v>
      </c>
      <c r="AQ4" s="4">
        <v>15</v>
      </c>
      <c r="AR4" s="8">
        <f t="shared" si="6"/>
        <v>0</v>
      </c>
      <c r="AT4" s="2"/>
      <c r="AU4" s="5" t="s">
        <v>12</v>
      </c>
      <c r="AV4" s="2">
        <v>30</v>
      </c>
      <c r="AW4" s="5" t="s">
        <v>12</v>
      </c>
      <c r="AX4" s="4">
        <f t="shared" si="7"/>
        <v>30</v>
      </c>
      <c r="AY4" s="17">
        <v>1</v>
      </c>
      <c r="AZ4" s="18">
        <f>IF(ISNUMBER(AX4), (AN4 + (AO4 * 24)) - AX4, "")</f>
        <v>27</v>
      </c>
      <c r="BA4" s="4">
        <v>20</v>
      </c>
      <c r="BB4" s="8">
        <f t="shared" si="8"/>
        <v>-7</v>
      </c>
      <c r="BD4" s="2"/>
      <c r="BE4" s="5" t="s">
        <v>12</v>
      </c>
      <c r="BF4" s="2">
        <v>8</v>
      </c>
      <c r="BG4" s="5" t="s">
        <v>12</v>
      </c>
      <c r="BH4" s="4">
        <f t="shared" si="9"/>
        <v>8</v>
      </c>
      <c r="BI4" s="17">
        <v>3</v>
      </c>
      <c r="BJ4" s="18">
        <f>IF(ISNUMBER(BH4), (AX4 + (AY4 * 24)) - BH4, "")</f>
        <v>46</v>
      </c>
      <c r="BK4" s="4">
        <v>46</v>
      </c>
      <c r="BL4" s="8">
        <f t="shared" si="10"/>
        <v>0</v>
      </c>
      <c r="BN4" s="20">
        <v>24</v>
      </c>
      <c r="BO4" s="5" t="s">
        <v>12</v>
      </c>
      <c r="BP4" s="20">
        <v>27</v>
      </c>
      <c r="BQ4" s="5" t="s">
        <v>12</v>
      </c>
      <c r="BR4" s="4">
        <f t="shared" si="11"/>
        <v>51</v>
      </c>
      <c r="BS4" s="21">
        <v>1</v>
      </c>
      <c r="BT4" s="18">
        <f>IF(ISNUMBER(BR4), (BH4 + (BI4 * 24)) - BR4, "")</f>
        <v>29</v>
      </c>
      <c r="BU4" s="4">
        <v>29</v>
      </c>
      <c r="BV4" s="8">
        <f t="shared" si="12"/>
        <v>0</v>
      </c>
      <c r="BX4" s="20"/>
      <c r="BY4" s="5" t="s">
        <v>12</v>
      </c>
      <c r="BZ4" s="20">
        <v>40</v>
      </c>
      <c r="CA4" s="5" t="s">
        <v>12</v>
      </c>
      <c r="CB4" s="4">
        <f t="shared" si="13"/>
        <v>40</v>
      </c>
      <c r="CC4" s="21">
        <v>2</v>
      </c>
      <c r="CD4" s="18">
        <f>IF(ISNUMBER(CB4), (BR4 + (BS4 * 24)) - CB4, "")</f>
        <v>35</v>
      </c>
      <c r="CE4" s="4">
        <v>35</v>
      </c>
      <c r="CF4" s="8">
        <f t="shared" si="14"/>
        <v>0</v>
      </c>
      <c r="CH4" s="20"/>
      <c r="CI4" s="5" t="s">
        <v>12</v>
      </c>
      <c r="CJ4" s="20">
        <v>40</v>
      </c>
      <c r="CK4" s="5" t="s">
        <v>12</v>
      </c>
      <c r="CL4" s="4">
        <f t="shared" si="15"/>
        <v>40</v>
      </c>
      <c r="CM4" s="21">
        <v>2</v>
      </c>
      <c r="CN4" s="18">
        <f>IF(ISNUMBER(CL4), (CB4 + (CC4 * 24)) - CL4, "")</f>
        <v>48</v>
      </c>
      <c r="CO4" s="4">
        <v>48</v>
      </c>
      <c r="CP4" s="8">
        <f t="shared" si="16"/>
        <v>0</v>
      </c>
      <c r="CR4" s="20">
        <v>24</v>
      </c>
      <c r="CS4" s="5" t="s">
        <v>12</v>
      </c>
      <c r="CT4" s="20">
        <v>25</v>
      </c>
      <c r="CU4" s="5" t="s">
        <v>12</v>
      </c>
      <c r="CV4" s="4">
        <f t="shared" si="17"/>
        <v>49</v>
      </c>
      <c r="CW4" s="21">
        <v>2</v>
      </c>
      <c r="CX4" s="18">
        <f>IF(ISNUMBER(CV4), (CL4 + (CM4 * 24)) - CV4, "")</f>
        <v>39</v>
      </c>
      <c r="CY4" s="4">
        <v>39</v>
      </c>
      <c r="CZ4" s="8">
        <f t="shared" si="18"/>
        <v>0</v>
      </c>
      <c r="DB4" s="20">
        <v>6</v>
      </c>
      <c r="DC4" s="5" t="s">
        <v>12</v>
      </c>
      <c r="DD4" s="20">
        <v>48</v>
      </c>
      <c r="DE4" s="5" t="s">
        <v>12</v>
      </c>
      <c r="DF4" s="4">
        <f t="shared" si="19"/>
        <v>54</v>
      </c>
      <c r="DG4" s="21">
        <v>1</v>
      </c>
      <c r="DH4" s="18">
        <f>IF(ISNUMBER(DF4), (CV4 + (CW4 * 24)) - DF4, "")</f>
        <v>43</v>
      </c>
      <c r="DI4" s="4">
        <v>29</v>
      </c>
      <c r="DJ4" s="8">
        <f t="shared" si="20"/>
        <v>-14</v>
      </c>
      <c r="DL4" s="20">
        <v>6</v>
      </c>
      <c r="DM4" s="5" t="s">
        <v>12</v>
      </c>
      <c r="DN4" s="20">
        <v>30</v>
      </c>
      <c r="DO4" s="5" t="s">
        <v>12</v>
      </c>
      <c r="DP4" s="4">
        <f t="shared" si="21"/>
        <v>36</v>
      </c>
      <c r="DQ4" s="21">
        <v>2</v>
      </c>
      <c r="DR4" s="18">
        <f>IF(ISNUMBER(DP4), (DF4 + (DG4 * 24)) - DP4, "")</f>
        <v>42</v>
      </c>
      <c r="DS4" s="4">
        <v>42</v>
      </c>
      <c r="DT4" s="8">
        <f t="shared" si="22"/>
        <v>0</v>
      </c>
      <c r="DV4" s="2">
        <v>3</v>
      </c>
      <c r="DW4" s="5" t="s">
        <v>12</v>
      </c>
      <c r="DX4" s="2">
        <v>35</v>
      </c>
      <c r="DY4" s="5" t="s">
        <v>12</v>
      </c>
      <c r="DZ4" s="4">
        <f t="shared" si="23"/>
        <v>38</v>
      </c>
      <c r="EA4" s="17">
        <v>1</v>
      </c>
      <c r="EB4" s="18">
        <f>IF(ISNUMBER(DZ4), (DP4 + (DQ4 * 24)) - DZ4, "")</f>
        <v>46</v>
      </c>
      <c r="EC4" s="4">
        <v>46</v>
      </c>
      <c r="ED4" s="8">
        <f t="shared" si="24"/>
        <v>0</v>
      </c>
      <c r="EF4" s="20"/>
      <c r="EG4" s="5" t="s">
        <v>12</v>
      </c>
      <c r="EH4" s="20">
        <v>33</v>
      </c>
      <c r="EI4" s="5" t="s">
        <v>12</v>
      </c>
      <c r="EJ4" s="4">
        <f t="shared" si="25"/>
        <v>33</v>
      </c>
      <c r="EK4" s="21">
        <v>2</v>
      </c>
      <c r="EL4" s="18">
        <f>IF(ISNUMBER(EJ4), (DZ4 + (EA4 * 24)) - EJ4, "")</f>
        <v>29</v>
      </c>
      <c r="EM4" s="4">
        <v>29</v>
      </c>
      <c r="EN4" s="8">
        <f t="shared" si="26"/>
        <v>0</v>
      </c>
      <c r="EP4" s="20">
        <v>24</v>
      </c>
      <c r="EQ4" s="5" t="s">
        <v>12</v>
      </c>
      <c r="ER4" s="20">
        <v>30</v>
      </c>
      <c r="ES4" s="5" t="s">
        <v>12</v>
      </c>
      <c r="ET4" s="4">
        <f t="shared" si="27"/>
        <v>54</v>
      </c>
      <c r="EU4" s="21">
        <v>1</v>
      </c>
      <c r="EV4" s="18">
        <f>IF(ISNUMBER(ET4), (EJ4 + (EK4 * 24)) - ET4, "")</f>
        <v>27</v>
      </c>
      <c r="EW4" s="4">
        <v>31</v>
      </c>
      <c r="EX4" s="8">
        <f t="shared" si="28"/>
        <v>4</v>
      </c>
      <c r="EZ4" s="20"/>
      <c r="FA4" s="5" t="s">
        <v>12</v>
      </c>
      <c r="FB4" s="20">
        <v>32</v>
      </c>
      <c r="FC4" s="5" t="s">
        <v>12</v>
      </c>
      <c r="FD4" s="4">
        <f t="shared" si="29"/>
        <v>32</v>
      </c>
      <c r="FE4" s="21">
        <v>2</v>
      </c>
      <c r="FF4" s="18">
        <f>IF(ISNUMBER(FD4), (ET4 + (EU4 * 24)) - FD4, "")</f>
        <v>46</v>
      </c>
      <c r="FG4" s="4">
        <v>43</v>
      </c>
      <c r="FH4" s="8">
        <f t="shared" si="30"/>
        <v>-3</v>
      </c>
      <c r="FJ4" s="2"/>
      <c r="FK4" s="5" t="s">
        <v>12</v>
      </c>
      <c r="FL4" s="2">
        <v>37</v>
      </c>
      <c r="FM4" s="5" t="s">
        <v>12</v>
      </c>
      <c r="FN4" s="4">
        <f t="shared" si="31"/>
        <v>37</v>
      </c>
      <c r="FO4" s="17">
        <v>2</v>
      </c>
      <c r="FP4" s="18">
        <f>IF(ISNUMBER(FN4), (FD4 + (FE4 * 24)) - FN4, "")</f>
        <v>43</v>
      </c>
      <c r="FQ4" s="4">
        <v>43</v>
      </c>
      <c r="FR4" s="8">
        <f t="shared" si="32"/>
        <v>0</v>
      </c>
      <c r="FT4" s="2"/>
      <c r="FU4" s="5" t="s">
        <v>12</v>
      </c>
      <c r="FV4" s="2">
        <v>28</v>
      </c>
      <c r="FW4" s="5" t="s">
        <v>12</v>
      </c>
      <c r="FX4" s="4">
        <f t="shared" si="33"/>
        <v>28</v>
      </c>
      <c r="FY4" s="17">
        <f>+GP38</f>
        <v>0</v>
      </c>
      <c r="FZ4" s="18">
        <f>IF(ISNUMBER(FX4), (FN4 + (FO4 * 24)) - FX4, "")</f>
        <v>57</v>
      </c>
      <c r="GA4" s="4">
        <v>64</v>
      </c>
      <c r="GB4" s="8">
        <f t="shared" si="34"/>
        <v>7</v>
      </c>
      <c r="GD4" s="20">
        <v>0</v>
      </c>
      <c r="GE4" s="5" t="s">
        <v>12</v>
      </c>
      <c r="GF4" s="20">
        <v>47</v>
      </c>
      <c r="GG4" s="5" t="s">
        <v>12</v>
      </c>
      <c r="GH4" s="4">
        <f t="shared" si="35"/>
        <v>47</v>
      </c>
      <c r="GI4" s="21">
        <v>1</v>
      </c>
      <c r="GJ4" s="18">
        <f>IF(ISNUMBER(GH4), (FX4 + (FY4 * 24)) - GH4, "")</f>
        <v>-19</v>
      </c>
      <c r="GK4" s="4">
        <v>27</v>
      </c>
      <c r="GL4" s="8">
        <f t="shared" si="36"/>
        <v>46</v>
      </c>
      <c r="GN4" s="20"/>
      <c r="GO4" s="5" t="s">
        <v>12</v>
      </c>
      <c r="GP4" s="20">
        <v>33</v>
      </c>
      <c r="GQ4" s="5" t="s">
        <v>12</v>
      </c>
      <c r="GR4" s="4">
        <f t="shared" si="37"/>
        <v>33</v>
      </c>
      <c r="GS4" s="21">
        <v>2</v>
      </c>
      <c r="GT4" s="18">
        <f>IF(ISNUMBER(GR4), (GH4 + (GI4 * 24)) - GR4, "")</f>
        <v>38</v>
      </c>
      <c r="GU4" s="4">
        <v>40</v>
      </c>
      <c r="GV4" s="8">
        <f t="shared" si="38"/>
        <v>2</v>
      </c>
      <c r="GX4" s="20"/>
      <c r="GY4" s="5" t="s">
        <v>12</v>
      </c>
      <c r="GZ4" s="20">
        <v>56</v>
      </c>
      <c r="HA4" s="5" t="s">
        <v>12</v>
      </c>
      <c r="HB4" s="4">
        <f t="shared" si="39"/>
        <v>56</v>
      </c>
      <c r="HC4" s="21">
        <v>1</v>
      </c>
      <c r="HD4" s="18">
        <f>IF(ISNUMBER(HB4), (GR4 + (GS4 * 24)) - HB4, "")</f>
        <v>25</v>
      </c>
      <c r="HE4" s="4">
        <v>36</v>
      </c>
      <c r="HF4" s="8">
        <f t="shared" si="40"/>
        <v>11</v>
      </c>
      <c r="HH4" s="20"/>
      <c r="HI4" s="5" t="s">
        <v>12</v>
      </c>
      <c r="HJ4" s="20">
        <v>8</v>
      </c>
      <c r="HK4" s="5" t="s">
        <v>12</v>
      </c>
      <c r="HL4" s="4">
        <f t="shared" si="41"/>
        <v>8</v>
      </c>
      <c r="HM4" s="21">
        <v>3</v>
      </c>
      <c r="HN4" s="18">
        <f>IF(ISNUMBER(HL4), (HB4 + (HC4 * 24)) - HL4, "")</f>
        <v>72</v>
      </c>
      <c r="HO4" s="4">
        <v>65</v>
      </c>
      <c r="HP4" s="8">
        <f t="shared" si="42"/>
        <v>-7</v>
      </c>
      <c r="HR4" s="2"/>
      <c r="HS4" s="5" t="s">
        <v>12</v>
      </c>
      <c r="HT4" s="2">
        <v>50</v>
      </c>
      <c r="HU4" s="5" t="s">
        <v>12</v>
      </c>
      <c r="HV4" s="4">
        <f t="shared" si="43"/>
        <v>50</v>
      </c>
      <c r="HW4" s="17">
        <v>1</v>
      </c>
      <c r="HX4" s="18">
        <f>IF(ISNUMBER(HV4), (HL4 + (HM4 * 24)) - HV4, "")</f>
        <v>30</v>
      </c>
      <c r="HY4" s="4">
        <v>30</v>
      </c>
      <c r="HZ4" s="8">
        <f t="shared" si="44"/>
        <v>0</v>
      </c>
      <c r="IB4" s="2"/>
      <c r="IC4" s="5" t="s">
        <v>12</v>
      </c>
      <c r="ID4" s="2">
        <v>21</v>
      </c>
      <c r="IE4" s="5" t="s">
        <v>12</v>
      </c>
      <c r="IF4" s="4">
        <f t="shared" si="45"/>
        <v>21</v>
      </c>
      <c r="IG4" s="17">
        <v>2</v>
      </c>
      <c r="IH4" s="18">
        <f>IF(ISNUMBER(IF4), (HV4 + (HW4 * 24)) - IF4, "")</f>
        <v>53</v>
      </c>
      <c r="II4" s="4">
        <v>53</v>
      </c>
      <c r="IJ4" s="8">
        <f t="shared" si="46"/>
        <v>0</v>
      </c>
      <c r="IL4" s="2"/>
      <c r="IM4" s="5" t="s">
        <v>12</v>
      </c>
      <c r="IN4" s="2">
        <v>15</v>
      </c>
      <c r="IO4" s="5" t="s">
        <v>12</v>
      </c>
      <c r="IP4" s="4">
        <f t="shared" si="47"/>
        <v>15</v>
      </c>
      <c r="IQ4" s="17">
        <v>4</v>
      </c>
      <c r="IR4" s="18">
        <f t="shared" si="48"/>
        <v>54</v>
      </c>
      <c r="IS4" s="4">
        <v>55</v>
      </c>
      <c r="IT4" s="8">
        <f t="shared" si="49"/>
        <v>1</v>
      </c>
      <c r="IV4" s="2">
        <v>30</v>
      </c>
      <c r="IW4" s="5" t="s">
        <v>12</v>
      </c>
      <c r="IX4" s="2">
        <v>45</v>
      </c>
      <c r="IY4" s="5" t="s">
        <v>12</v>
      </c>
      <c r="IZ4" s="4">
        <f t="shared" si="50"/>
        <v>75</v>
      </c>
      <c r="JA4" s="17"/>
      <c r="JB4" s="18">
        <f>IF(ISNUMBER(IZ4), (IP4 + (IQ4 * 24)) - IZ4, "")</f>
        <v>36</v>
      </c>
      <c r="JC4" s="4">
        <v>36</v>
      </c>
      <c r="JD4" s="8">
        <f t="shared" si="51"/>
        <v>0</v>
      </c>
      <c r="JF4" s="2"/>
      <c r="JG4" s="5" t="s">
        <v>12</v>
      </c>
      <c r="JH4" s="2">
        <v>9</v>
      </c>
      <c r="JI4" s="5" t="s">
        <v>12</v>
      </c>
      <c r="JJ4" s="4">
        <f t="shared" si="52"/>
        <v>9</v>
      </c>
      <c r="JK4" s="17">
        <v>5</v>
      </c>
      <c r="JL4" s="18">
        <f>IF(ISNUMBER(JJ4), (IZ4 + (JA4 * 24)) - JJ4, "")</f>
        <v>66</v>
      </c>
      <c r="JM4" s="4">
        <v>66</v>
      </c>
      <c r="JN4" s="8">
        <f t="shared" si="53"/>
        <v>0</v>
      </c>
      <c r="JP4" s="20">
        <v>48</v>
      </c>
      <c r="JQ4" s="5" t="s">
        <v>12</v>
      </c>
      <c r="JR4" s="20">
        <v>45</v>
      </c>
      <c r="JS4" s="5" t="s">
        <v>12</v>
      </c>
      <c r="JT4" s="4">
        <f t="shared" si="54"/>
        <v>93</v>
      </c>
      <c r="JU4" s="21"/>
      <c r="JV4" s="18">
        <f>IF(ISNUMBER(JT4), (JJ4 + (JK4 * 24)) - JT4, "")</f>
        <v>36</v>
      </c>
      <c r="JW4" s="4">
        <v>39</v>
      </c>
      <c r="JX4" s="8">
        <f t="shared" si="55"/>
        <v>3</v>
      </c>
      <c r="JZ4" s="20">
        <v>24</v>
      </c>
      <c r="KA4" s="5" t="s">
        <v>12</v>
      </c>
      <c r="KB4" s="20">
        <v>25</v>
      </c>
      <c r="KC4" s="5" t="s">
        <v>12</v>
      </c>
      <c r="KD4" s="4">
        <f t="shared" si="56"/>
        <v>49</v>
      </c>
      <c r="KE4" s="21">
        <v>4</v>
      </c>
      <c r="KF4" s="18">
        <f>IF(ISNUMBER(KD4), (JT4 + (JU4 * 24)) - KD4, "")</f>
        <v>44</v>
      </c>
      <c r="KG4" s="4">
        <v>44</v>
      </c>
      <c r="KH4" s="8">
        <f t="shared" si="57"/>
        <v>0</v>
      </c>
      <c r="KJ4" s="20">
        <v>48</v>
      </c>
      <c r="KK4" s="5" t="s">
        <v>12</v>
      </c>
      <c r="KL4" s="20">
        <v>38</v>
      </c>
      <c r="KM4" s="5" t="s">
        <v>12</v>
      </c>
      <c r="KN4" s="4">
        <f t="shared" si="58"/>
        <v>86</v>
      </c>
      <c r="KO4" s="21"/>
      <c r="KP4" s="18">
        <f>IF(ISNUMBER(KN4), (KD4 + (KE4 * 24)) - KN4, "")</f>
        <v>59</v>
      </c>
      <c r="KQ4" s="4">
        <v>59</v>
      </c>
      <c r="KR4" s="8">
        <f t="shared" si="59"/>
        <v>0</v>
      </c>
      <c r="KT4" s="20"/>
      <c r="KU4" s="5" t="s">
        <v>12</v>
      </c>
      <c r="KV4" s="20">
        <v>32</v>
      </c>
      <c r="KW4" s="5" t="s">
        <v>12</v>
      </c>
      <c r="KX4" s="4">
        <f t="shared" si="60"/>
        <v>32</v>
      </c>
      <c r="KY4" s="21">
        <v>6</v>
      </c>
      <c r="KZ4" s="18">
        <f t="shared" si="61"/>
        <v>54</v>
      </c>
      <c r="LA4" s="4">
        <v>59</v>
      </c>
      <c r="LB4" s="8">
        <f t="shared" si="62"/>
        <v>5</v>
      </c>
      <c r="LD4" s="20">
        <v>120</v>
      </c>
      <c r="LE4" s="5" t="s">
        <v>12</v>
      </c>
      <c r="LF4" s="20">
        <v>18</v>
      </c>
      <c r="LG4" s="5" t="s">
        <v>12</v>
      </c>
      <c r="LH4" s="4">
        <f t="shared" si="63"/>
        <v>138</v>
      </c>
      <c r="LI4" s="21"/>
      <c r="LJ4" s="18">
        <f t="shared" si="64"/>
        <v>38</v>
      </c>
      <c r="LK4" s="4">
        <v>38</v>
      </c>
      <c r="LL4" s="8">
        <f t="shared" si="65"/>
        <v>0</v>
      </c>
      <c r="LN4" s="20">
        <v>48</v>
      </c>
      <c r="LO4" s="5" t="s">
        <v>12</v>
      </c>
      <c r="LP4" s="20">
        <v>31</v>
      </c>
      <c r="LQ4" s="5" t="s">
        <v>12</v>
      </c>
      <c r="LR4" s="4">
        <v>77</v>
      </c>
      <c r="LS4" s="21">
        <v>3</v>
      </c>
      <c r="LT4" s="18">
        <f t="shared" si="66"/>
        <v>61</v>
      </c>
      <c r="LU4" s="4">
        <v>61</v>
      </c>
      <c r="LV4" s="8">
        <f t="shared" si="67"/>
        <v>0</v>
      </c>
      <c r="LX4" s="20">
        <v>72</v>
      </c>
      <c r="LY4" s="5" t="s">
        <v>12</v>
      </c>
      <c r="LZ4" s="20">
        <v>34</v>
      </c>
      <c r="MA4" s="5" t="s">
        <v>12</v>
      </c>
      <c r="MB4" s="4">
        <f t="shared" si="68"/>
        <v>106</v>
      </c>
      <c r="MC4" s="21"/>
      <c r="MD4" s="18">
        <f t="shared" si="69"/>
        <v>43</v>
      </c>
      <c r="ME4" s="4">
        <v>46</v>
      </c>
      <c r="MF4" s="8">
        <f t="shared" si="70"/>
        <v>3</v>
      </c>
      <c r="MH4" s="20">
        <v>24</v>
      </c>
      <c r="MI4" s="5" t="s">
        <v>12</v>
      </c>
      <c r="MJ4" s="20">
        <v>41</v>
      </c>
      <c r="MK4" s="5" t="s">
        <v>12</v>
      </c>
      <c r="ML4" s="4">
        <f t="shared" si="71"/>
        <v>65</v>
      </c>
      <c r="MM4" s="21">
        <v>3</v>
      </c>
      <c r="MN4" s="18">
        <f t="shared" si="72"/>
        <v>41</v>
      </c>
      <c r="MO4" s="4">
        <v>41</v>
      </c>
      <c r="MP4" s="8">
        <f t="shared" si="73"/>
        <v>0</v>
      </c>
      <c r="MR4" s="20">
        <v>48</v>
      </c>
      <c r="MS4" s="5" t="s">
        <v>12</v>
      </c>
      <c r="MT4" s="20">
        <v>45</v>
      </c>
      <c r="MU4" s="5" t="s">
        <v>12</v>
      </c>
      <c r="MV4" s="4">
        <f t="shared" si="74"/>
        <v>93</v>
      </c>
      <c r="MW4" s="21"/>
      <c r="MX4" s="18">
        <f t="shared" si="75"/>
        <v>44</v>
      </c>
      <c r="MY4" s="4">
        <v>39</v>
      </c>
      <c r="MZ4" s="18">
        <f t="shared" si="76"/>
        <v>-5</v>
      </c>
      <c r="NB4" s="20"/>
      <c r="NC4" s="5" t="s">
        <v>12</v>
      </c>
      <c r="ND4" s="20">
        <v>49</v>
      </c>
      <c r="NE4" s="5" t="s">
        <v>12</v>
      </c>
      <c r="NF4" s="4">
        <f t="shared" si="77"/>
        <v>49</v>
      </c>
      <c r="NG4" s="21">
        <v>3</v>
      </c>
      <c r="NH4" s="18">
        <f t="shared" si="78"/>
        <v>44</v>
      </c>
      <c r="NI4" s="4">
        <v>39</v>
      </c>
      <c r="NJ4" s="8">
        <f t="shared" si="79"/>
        <v>-5</v>
      </c>
      <c r="NL4" s="20">
        <v>24</v>
      </c>
      <c r="NM4" s="5" t="s">
        <v>12</v>
      </c>
      <c r="NN4" s="20">
        <v>33</v>
      </c>
      <c r="NO4" s="5" t="s">
        <v>12</v>
      </c>
      <c r="NP4" s="4">
        <f t="shared" si="80"/>
        <v>57</v>
      </c>
      <c r="NQ4" s="21"/>
      <c r="NR4" s="18">
        <f t="shared" si="81"/>
        <v>64</v>
      </c>
      <c r="NS4" s="4">
        <v>64</v>
      </c>
      <c r="NT4" s="8">
        <f t="shared" si="82"/>
        <v>0</v>
      </c>
      <c r="NV4" s="20"/>
      <c r="NW4" s="5" t="s">
        <v>12</v>
      </c>
      <c r="NX4" s="20">
        <v>16</v>
      </c>
      <c r="NY4" s="5" t="s">
        <v>12</v>
      </c>
      <c r="NZ4" s="4">
        <f t="shared" si="83"/>
        <v>16</v>
      </c>
      <c r="OA4" s="21">
        <v>5</v>
      </c>
      <c r="OB4" s="18">
        <f t="shared" si="84"/>
        <v>41</v>
      </c>
      <c r="OC4" s="4">
        <v>41</v>
      </c>
      <c r="OD4" s="8">
        <f t="shared" si="85"/>
        <v>0</v>
      </c>
      <c r="OF4" s="20">
        <v>72</v>
      </c>
      <c r="OG4" s="5" t="s">
        <v>12</v>
      </c>
      <c r="OH4" s="20">
        <v>38</v>
      </c>
      <c r="OI4" s="5" t="s">
        <v>12</v>
      </c>
      <c r="OJ4" s="4">
        <f t="shared" si="86"/>
        <v>110</v>
      </c>
      <c r="OK4" s="21"/>
      <c r="OL4" s="18">
        <f t="shared" si="87"/>
        <v>26</v>
      </c>
      <c r="OM4" s="4">
        <v>26</v>
      </c>
      <c r="ON4" s="8">
        <f t="shared" si="88"/>
        <v>0</v>
      </c>
      <c r="OP4" s="20">
        <v>24</v>
      </c>
      <c r="OQ4" s="5" t="s">
        <v>12</v>
      </c>
      <c r="OR4" s="20">
        <v>18</v>
      </c>
      <c r="OS4" s="5" t="s">
        <v>12</v>
      </c>
      <c r="OT4" s="4">
        <f t="shared" si="89"/>
        <v>42</v>
      </c>
      <c r="OU4" s="21"/>
      <c r="OV4" s="18">
        <f t="shared" si="90"/>
        <v>68</v>
      </c>
      <c r="OW4" s="4">
        <v>70</v>
      </c>
      <c r="OX4" s="8">
        <f t="shared" si="91"/>
        <v>2</v>
      </c>
      <c r="OZ4" s="2">
        <v>0</v>
      </c>
      <c r="PA4" s="5" t="s">
        <v>12</v>
      </c>
      <c r="PB4" s="2">
        <v>4</v>
      </c>
      <c r="PC4" s="5" t="s">
        <v>12</v>
      </c>
      <c r="PD4" s="4">
        <f t="shared" si="92"/>
        <v>4</v>
      </c>
      <c r="PE4" s="17">
        <v>5</v>
      </c>
      <c r="PF4" s="18">
        <f t="shared" si="93"/>
        <v>38</v>
      </c>
      <c r="PG4" s="4">
        <v>42</v>
      </c>
      <c r="PH4" s="8">
        <f t="shared" si="94"/>
        <v>4</v>
      </c>
      <c r="PJ4" s="2">
        <v>72</v>
      </c>
      <c r="PK4" s="5" t="s">
        <v>12</v>
      </c>
      <c r="PL4" s="2">
        <v>32</v>
      </c>
      <c r="PM4" s="5" t="s">
        <v>12</v>
      </c>
      <c r="PN4" s="4">
        <f t="shared" si="95"/>
        <v>104</v>
      </c>
      <c r="PO4" s="17"/>
      <c r="PP4" s="18">
        <f t="shared" si="96"/>
        <v>20</v>
      </c>
      <c r="PQ4" s="4">
        <v>19</v>
      </c>
      <c r="PR4" s="8">
        <f t="shared" si="97"/>
        <v>-1</v>
      </c>
      <c r="PT4" s="20">
        <v>24</v>
      </c>
      <c r="PU4" s="5" t="s">
        <v>12</v>
      </c>
      <c r="PV4" s="20">
        <v>33</v>
      </c>
      <c r="PW4" s="5" t="s">
        <v>12</v>
      </c>
      <c r="PX4" s="4">
        <f t="shared" si="98"/>
        <v>57</v>
      </c>
      <c r="PY4" s="21">
        <v>3</v>
      </c>
      <c r="PZ4" s="18">
        <f t="shared" si="99"/>
        <v>47</v>
      </c>
      <c r="QA4" s="4">
        <v>47</v>
      </c>
      <c r="QB4" s="8">
        <f t="shared" si="100"/>
        <v>0</v>
      </c>
      <c r="QD4" s="20">
        <v>24</v>
      </c>
      <c r="QE4" s="5" t="s">
        <v>12</v>
      </c>
      <c r="QF4" s="20">
        <v>55</v>
      </c>
      <c r="QG4" s="5" t="s">
        <v>12</v>
      </c>
      <c r="QH4" s="4">
        <f t="shared" si="101"/>
        <v>79</v>
      </c>
      <c r="QI4" s="21"/>
      <c r="QJ4" s="18">
        <f t="shared" si="102"/>
        <v>50</v>
      </c>
      <c r="QK4" s="4">
        <v>49</v>
      </c>
      <c r="QL4" s="8">
        <f t="shared" si="103"/>
        <v>-1</v>
      </c>
      <c r="QN4" s="20">
        <v>0</v>
      </c>
      <c r="QO4" s="5" t="s">
        <v>12</v>
      </c>
      <c r="QP4" s="20">
        <v>35</v>
      </c>
      <c r="QQ4" s="5" t="s">
        <v>12</v>
      </c>
      <c r="QR4" s="4">
        <f t="shared" si="104"/>
        <v>35</v>
      </c>
      <c r="QS4" s="21">
        <v>4</v>
      </c>
      <c r="QT4" s="18">
        <f t="shared" si="105"/>
        <v>44</v>
      </c>
      <c r="QU4" s="4">
        <v>44</v>
      </c>
      <c r="QV4" s="8">
        <f t="shared" si="106"/>
        <v>0</v>
      </c>
      <c r="QX4" s="20">
        <v>48</v>
      </c>
      <c r="QY4" s="5" t="s">
        <v>12</v>
      </c>
      <c r="QZ4" s="20">
        <v>29</v>
      </c>
      <c r="RA4" s="5" t="s">
        <v>12</v>
      </c>
      <c r="RB4" s="4">
        <f t="shared" si="107"/>
        <v>77</v>
      </c>
      <c r="RC4" s="21"/>
      <c r="RD4" s="18">
        <f t="shared" si="108"/>
        <v>54</v>
      </c>
      <c r="RE4" s="4">
        <v>54</v>
      </c>
      <c r="RF4" s="8">
        <f t="shared" si="109"/>
        <v>0</v>
      </c>
      <c r="RH4" s="20">
        <v>24</v>
      </c>
      <c r="RI4" s="5" t="s">
        <v>12</v>
      </c>
      <c r="RJ4" s="20">
        <v>25</v>
      </c>
      <c r="RK4" s="5" t="s">
        <v>12</v>
      </c>
      <c r="RL4" s="4">
        <f t="shared" si="110"/>
        <v>49</v>
      </c>
      <c r="RM4" s="21">
        <v>4</v>
      </c>
      <c r="RN4" s="18">
        <f t="shared" si="111"/>
        <v>28</v>
      </c>
      <c r="RO4" s="4">
        <v>28</v>
      </c>
      <c r="RP4" s="8">
        <f t="shared" si="112"/>
        <v>0</v>
      </c>
      <c r="RR4" s="2">
        <v>72</v>
      </c>
      <c r="RS4" s="5" t="s">
        <v>12</v>
      </c>
      <c r="RT4" s="2">
        <v>31</v>
      </c>
      <c r="RU4" s="5" t="s">
        <v>12</v>
      </c>
      <c r="RV4" s="4">
        <f t="shared" si="113"/>
        <v>103</v>
      </c>
      <c r="RW4" s="17"/>
      <c r="RX4" s="18">
        <f t="shared" si="114"/>
        <v>42</v>
      </c>
      <c r="RY4" s="4">
        <v>42</v>
      </c>
      <c r="RZ4" s="8">
        <f t="shared" si="115"/>
        <v>0</v>
      </c>
      <c r="SB4" s="20">
        <v>24</v>
      </c>
      <c r="SC4" s="5" t="s">
        <v>12</v>
      </c>
      <c r="SD4" s="20">
        <v>39</v>
      </c>
      <c r="SE4" s="5" t="s">
        <v>12</v>
      </c>
      <c r="SF4" s="4">
        <f t="shared" si="116"/>
        <v>63</v>
      </c>
      <c r="SG4" s="21">
        <v>4</v>
      </c>
      <c r="SH4" s="18">
        <f t="shared" si="117"/>
        <v>40</v>
      </c>
      <c r="SI4" s="4">
        <v>40</v>
      </c>
      <c r="SJ4" s="8">
        <f t="shared" si="118"/>
        <v>0</v>
      </c>
      <c r="SL4" s="2">
        <v>72</v>
      </c>
      <c r="SM4" s="5" t="s">
        <v>12</v>
      </c>
      <c r="SN4" s="2">
        <v>52</v>
      </c>
      <c r="SO4" s="5" t="s">
        <v>12</v>
      </c>
      <c r="SP4" s="4">
        <f t="shared" si="119"/>
        <v>124</v>
      </c>
      <c r="SQ4" s="17"/>
      <c r="SR4" s="18">
        <f t="shared" si="120"/>
        <v>35</v>
      </c>
      <c r="SS4" s="4">
        <v>35</v>
      </c>
      <c r="ST4" s="8">
        <f t="shared" si="121"/>
        <v>0</v>
      </c>
      <c r="SV4" s="2">
        <v>72</v>
      </c>
      <c r="SW4" s="5" t="s">
        <v>12</v>
      </c>
      <c r="SX4" s="2">
        <v>23</v>
      </c>
      <c r="SY4" s="5" t="s">
        <v>12</v>
      </c>
      <c r="SZ4" s="4">
        <f t="shared" si="122"/>
        <v>95</v>
      </c>
      <c r="TA4" s="17">
        <v>1</v>
      </c>
      <c r="TB4" s="18">
        <f t="shared" si="123"/>
        <v>29</v>
      </c>
      <c r="TC4" s="4">
        <v>31</v>
      </c>
      <c r="TD4" s="8"/>
      <c r="TF4" s="57">
        <v>24</v>
      </c>
      <c r="TG4" s="58" t="s">
        <v>12</v>
      </c>
      <c r="TH4" s="57">
        <v>63</v>
      </c>
      <c r="TI4" s="58" t="s">
        <v>12</v>
      </c>
      <c r="TJ4" s="59">
        <f t="shared" si="125"/>
        <v>87</v>
      </c>
      <c r="TK4" s="60"/>
      <c r="TL4" s="61">
        <f t="shared" si="126"/>
        <v>32</v>
      </c>
      <c r="TM4" s="59">
        <v>32</v>
      </c>
      <c r="TN4" s="62">
        <f t="shared" si="127"/>
        <v>0</v>
      </c>
      <c r="TP4" s="2"/>
      <c r="TQ4" s="5" t="s">
        <v>12</v>
      </c>
      <c r="TR4" s="2"/>
      <c r="TS4" s="5" t="s">
        <v>12</v>
      </c>
      <c r="TT4" s="4" t="str">
        <f t="shared" si="128"/>
        <v/>
      </c>
      <c r="TU4" s="17"/>
      <c r="TV4" s="18" t="str">
        <f t="shared" si="129"/>
        <v/>
      </c>
      <c r="TW4" s="4"/>
      <c r="TX4" s="8" t="str">
        <f t="shared" si="130"/>
        <v/>
      </c>
    </row>
    <row r="5" spans="1:544" ht="12.75" customHeight="1" x14ac:dyDescent="0.2">
      <c r="A5" s="16" t="s">
        <v>19</v>
      </c>
      <c r="B5" s="11" t="s">
        <v>13</v>
      </c>
      <c r="C5" s="12">
        <v>42</v>
      </c>
      <c r="D5" s="13" t="s">
        <v>12</v>
      </c>
      <c r="F5" s="2"/>
      <c r="G5" s="5" t="s">
        <v>12</v>
      </c>
      <c r="H5" s="2"/>
      <c r="I5" s="5" t="s">
        <v>12</v>
      </c>
      <c r="J5" s="4">
        <v>0</v>
      </c>
      <c r="K5" s="17">
        <v>2</v>
      </c>
      <c r="L5" s="18"/>
      <c r="M5" s="4"/>
      <c r="N5" s="8" t="str">
        <f t="shared" si="0"/>
        <v/>
      </c>
      <c r="P5" s="20">
        <v>24</v>
      </c>
      <c r="Q5" s="5" t="s">
        <v>12</v>
      </c>
      <c r="R5" s="20">
        <v>10</v>
      </c>
      <c r="S5" s="5" t="s">
        <v>12</v>
      </c>
      <c r="T5" s="4">
        <f t="shared" si="1"/>
        <v>34</v>
      </c>
      <c r="U5" s="21"/>
      <c r="V5" s="18">
        <f t="shared" ref="V5:V10" si="131">IF(ISNUMBER(T5), (J5 + (K5 * 24)) - T5, "")</f>
        <v>14</v>
      </c>
      <c r="W5" s="4">
        <v>8</v>
      </c>
      <c r="X5" s="8">
        <f t="shared" si="2"/>
        <v>-6</v>
      </c>
      <c r="Z5" s="20"/>
      <c r="AA5" s="5" t="s">
        <v>12</v>
      </c>
      <c r="AB5" s="20">
        <v>17</v>
      </c>
      <c r="AC5" s="5" t="s">
        <v>12</v>
      </c>
      <c r="AD5" s="4">
        <f t="shared" si="3"/>
        <v>17</v>
      </c>
      <c r="AE5" s="21">
        <v>1</v>
      </c>
      <c r="AF5" s="18">
        <f t="shared" ref="AF5:AF10" si="132">IF(ISNUMBER(AD5), (T5 + (U5 * 24)) - AD5, "")</f>
        <v>17</v>
      </c>
      <c r="AG5" s="4">
        <v>10</v>
      </c>
      <c r="AH5" s="8">
        <f t="shared" si="4"/>
        <v>-7</v>
      </c>
      <c r="AJ5" s="2">
        <v>24</v>
      </c>
      <c r="AK5" s="5" t="s">
        <v>12</v>
      </c>
      <c r="AL5" s="2">
        <v>13</v>
      </c>
      <c r="AM5" s="5" t="s">
        <v>12</v>
      </c>
      <c r="AN5" s="4">
        <f t="shared" si="5"/>
        <v>37</v>
      </c>
      <c r="AO5" s="17"/>
      <c r="AP5" s="18">
        <f t="shared" ref="AP5:AP10" si="133">IF(ISNUMBER(AN5), (AD5 + (AE5 * 24)) - AN5, "")</f>
        <v>4</v>
      </c>
      <c r="AQ5" s="4">
        <v>4</v>
      </c>
      <c r="AR5" s="8">
        <f t="shared" si="6"/>
        <v>0</v>
      </c>
      <c r="AT5" s="2"/>
      <c r="AU5" s="5" t="s">
        <v>12</v>
      </c>
      <c r="AV5" s="2">
        <v>13</v>
      </c>
      <c r="AW5" s="5" t="s">
        <v>12</v>
      </c>
      <c r="AX5" s="4">
        <f t="shared" si="7"/>
        <v>13</v>
      </c>
      <c r="AY5" s="17">
        <v>1</v>
      </c>
      <c r="AZ5" s="18">
        <f t="shared" ref="AZ5:AZ10" si="134">IF(ISNUMBER(AX5), (AN5 + (AO5 * 24)) - AX5, "")</f>
        <v>24</v>
      </c>
      <c r="BA5" s="4">
        <v>22</v>
      </c>
      <c r="BB5" s="8">
        <f t="shared" si="8"/>
        <v>-2</v>
      </c>
      <c r="BD5" s="2"/>
      <c r="BE5" s="5" t="s">
        <v>12</v>
      </c>
      <c r="BF5" s="2">
        <v>27</v>
      </c>
      <c r="BG5" s="5" t="s">
        <v>12</v>
      </c>
      <c r="BH5" s="4">
        <f t="shared" si="9"/>
        <v>27</v>
      </c>
      <c r="BI5" s="17">
        <v>1</v>
      </c>
      <c r="BJ5" s="18">
        <f t="shared" ref="BJ5:BJ10" si="135">IF(ISNUMBER(BH5), (AX5 + (AY5 * 24)) - BH5, "")</f>
        <v>10</v>
      </c>
      <c r="BK5" s="4">
        <v>11</v>
      </c>
      <c r="BL5" s="8">
        <f t="shared" si="10"/>
        <v>1</v>
      </c>
      <c r="BN5" s="20"/>
      <c r="BO5" s="5" t="s">
        <v>12</v>
      </c>
      <c r="BP5" s="20">
        <v>37</v>
      </c>
      <c r="BQ5" s="5" t="s">
        <v>12</v>
      </c>
      <c r="BR5" s="4">
        <f t="shared" si="11"/>
        <v>37</v>
      </c>
      <c r="BS5" s="21">
        <v>1</v>
      </c>
      <c r="BT5" s="18">
        <f t="shared" ref="BT5:BT10" si="136">IF(ISNUMBER(BR5), (BH5 + (BI5 * 24)) - BR5, "")</f>
        <v>14</v>
      </c>
      <c r="BU5" s="4">
        <v>14</v>
      </c>
      <c r="BV5" s="8">
        <f t="shared" si="12"/>
        <v>0</v>
      </c>
      <c r="BX5" s="20"/>
      <c r="BY5" s="5" t="s">
        <v>12</v>
      </c>
      <c r="BZ5" s="20">
        <v>43</v>
      </c>
      <c r="CA5" s="5" t="s">
        <v>12</v>
      </c>
      <c r="CB5" s="4">
        <f t="shared" si="13"/>
        <v>43</v>
      </c>
      <c r="CC5" s="21">
        <v>1</v>
      </c>
      <c r="CD5" s="18">
        <f t="shared" ref="CD5:CD10" si="137">IF(ISNUMBER(CB5), (BR5 + (BS5 * 24)) - CB5, "")</f>
        <v>18</v>
      </c>
      <c r="CE5" s="4">
        <v>11</v>
      </c>
      <c r="CF5" s="8">
        <f t="shared" si="14"/>
        <v>-7</v>
      </c>
      <c r="CH5" s="20">
        <v>24</v>
      </c>
      <c r="CI5" s="5" t="s">
        <v>12</v>
      </c>
      <c r="CJ5" s="20">
        <v>36</v>
      </c>
      <c r="CK5" s="5" t="s">
        <v>12</v>
      </c>
      <c r="CL5" s="4">
        <f t="shared" si="15"/>
        <v>60</v>
      </c>
      <c r="CM5" s="21">
        <v>0</v>
      </c>
      <c r="CN5" s="18">
        <f t="shared" ref="CN5:CN10" si="138">IF(ISNUMBER(CL5), (CB5 + (CC5 * 24)) - CL5, "")</f>
        <v>7</v>
      </c>
      <c r="CO5" s="4">
        <v>7</v>
      </c>
      <c r="CP5" s="8">
        <f t="shared" si="16"/>
        <v>0</v>
      </c>
      <c r="CR5" s="20">
        <v>24</v>
      </c>
      <c r="CS5" s="5" t="s">
        <v>12</v>
      </c>
      <c r="CT5" s="20">
        <v>24</v>
      </c>
      <c r="CU5" s="5" t="s">
        <v>12</v>
      </c>
      <c r="CV5" s="4">
        <f t="shared" si="17"/>
        <v>48</v>
      </c>
      <c r="CW5" s="21">
        <v>1</v>
      </c>
      <c r="CX5" s="18">
        <f t="shared" ref="CX5:CX10" si="139">IF(ISNUMBER(CV5), (CL5 + (CM5 * 24)) - CV5, "")</f>
        <v>12</v>
      </c>
      <c r="CY5" s="4">
        <v>11</v>
      </c>
      <c r="CZ5" s="8">
        <f t="shared" si="18"/>
        <v>-1</v>
      </c>
      <c r="DB5" s="20"/>
      <c r="DC5" s="5" t="s">
        <v>12</v>
      </c>
      <c r="DD5" s="20">
        <v>59</v>
      </c>
      <c r="DE5" s="5" t="s">
        <v>12</v>
      </c>
      <c r="DF5" s="4">
        <f t="shared" si="19"/>
        <v>59</v>
      </c>
      <c r="DG5" s="21">
        <v>0</v>
      </c>
      <c r="DH5" s="18">
        <f t="shared" ref="DH5:DH10" si="140">IF(ISNUMBER(DF5), (CV5 + (CW5 * 24)) - DF5, "")</f>
        <v>13</v>
      </c>
      <c r="DI5" s="4">
        <v>11</v>
      </c>
      <c r="DJ5" s="8">
        <f t="shared" si="20"/>
        <v>-2</v>
      </c>
      <c r="DL5" s="20"/>
      <c r="DM5" s="5" t="s">
        <v>12</v>
      </c>
      <c r="DN5" s="20">
        <v>47</v>
      </c>
      <c r="DO5" s="5" t="s">
        <v>12</v>
      </c>
      <c r="DP5" s="4">
        <f t="shared" si="21"/>
        <v>47</v>
      </c>
      <c r="DQ5" s="21"/>
      <c r="DR5" s="18">
        <f t="shared" ref="DR5:DR10" si="141">IF(ISNUMBER(DP5), (DF5 + (DG5 * 24)) - DP5, "")</f>
        <v>12</v>
      </c>
      <c r="DS5" s="4">
        <v>12</v>
      </c>
      <c r="DT5" s="8">
        <f t="shared" si="22"/>
        <v>0</v>
      </c>
      <c r="DV5" s="2"/>
      <c r="DW5" s="5" t="s">
        <v>12</v>
      </c>
      <c r="DX5" s="2">
        <v>28</v>
      </c>
      <c r="DY5" s="5" t="s">
        <v>12</v>
      </c>
      <c r="DZ5" s="4">
        <f t="shared" si="23"/>
        <v>28</v>
      </c>
      <c r="EA5" s="17">
        <v>1</v>
      </c>
      <c r="EB5" s="18">
        <f t="shared" ref="EB5:EB10" si="142">IF(ISNUMBER(DZ5), (DP5 + (DQ5 * 24)) - DZ5, "")</f>
        <v>19</v>
      </c>
      <c r="EC5" s="4">
        <v>17</v>
      </c>
      <c r="ED5" s="8">
        <f t="shared" si="24"/>
        <v>-2</v>
      </c>
      <c r="EF5" s="20"/>
      <c r="EG5" s="5" t="s">
        <v>12</v>
      </c>
      <c r="EH5" s="20">
        <v>41</v>
      </c>
      <c r="EI5" s="5" t="s">
        <v>12</v>
      </c>
      <c r="EJ5" s="4">
        <f t="shared" si="25"/>
        <v>41</v>
      </c>
      <c r="EK5" s="21">
        <v>1</v>
      </c>
      <c r="EL5" s="18">
        <f t="shared" ref="EL5:EL10" si="143">IF(ISNUMBER(EJ5), (DZ5 + (EA5 * 24)) - EJ5, "")</f>
        <v>11</v>
      </c>
      <c r="EM5" s="4">
        <v>11</v>
      </c>
      <c r="EN5" s="8">
        <f t="shared" si="26"/>
        <v>0</v>
      </c>
      <c r="EP5" s="20">
        <v>0</v>
      </c>
      <c r="EQ5" s="5" t="s">
        <v>12</v>
      </c>
      <c r="ER5" s="20">
        <v>49</v>
      </c>
      <c r="ES5" s="5" t="s">
        <v>12</v>
      </c>
      <c r="ET5" s="4">
        <f t="shared" si="27"/>
        <v>49</v>
      </c>
      <c r="EU5" s="21"/>
      <c r="EV5" s="18">
        <f t="shared" ref="EV5:EV10" si="144">IF(ISNUMBER(ET5), (EJ5 + (EK5 * 24)) - ET5, "")</f>
        <v>16</v>
      </c>
      <c r="EW5" s="4">
        <v>16</v>
      </c>
      <c r="EX5" s="8">
        <f t="shared" si="28"/>
        <v>0</v>
      </c>
      <c r="EZ5" s="20"/>
      <c r="FA5" s="5" t="s">
        <v>12</v>
      </c>
      <c r="FB5" s="20">
        <v>41</v>
      </c>
      <c r="FC5" s="5" t="s">
        <v>12</v>
      </c>
      <c r="FD5" s="4">
        <f t="shared" si="29"/>
        <v>41</v>
      </c>
      <c r="FE5" s="21">
        <v>1</v>
      </c>
      <c r="FF5" s="18">
        <f t="shared" ref="FF5:FF10" si="145">IF(ISNUMBER(FD5), (ET5 + (EU5 * 24)) - FD5, "")</f>
        <v>8</v>
      </c>
      <c r="FG5" s="4">
        <v>12</v>
      </c>
      <c r="FH5" s="8">
        <f t="shared" si="30"/>
        <v>4</v>
      </c>
      <c r="FJ5" s="2"/>
      <c r="FK5" s="5" t="s">
        <v>12</v>
      </c>
      <c r="FL5" s="2">
        <v>50</v>
      </c>
      <c r="FM5" s="5" t="s">
        <v>12</v>
      </c>
      <c r="FN5" s="4">
        <f t="shared" si="31"/>
        <v>50</v>
      </c>
      <c r="FO5" s="17">
        <v>0</v>
      </c>
      <c r="FP5" s="18">
        <f t="shared" ref="FP5:FP10" si="146">IF(ISNUMBER(FN5), (FD5 + (FE5 * 24)) - FN5, "")</f>
        <v>15</v>
      </c>
      <c r="FQ5" s="4">
        <v>15</v>
      </c>
      <c r="FR5" s="8">
        <f t="shared" si="32"/>
        <v>0</v>
      </c>
      <c r="FT5" s="2"/>
      <c r="FU5" s="5" t="s">
        <v>12</v>
      </c>
      <c r="FV5" s="2">
        <v>35</v>
      </c>
      <c r="FW5" s="5" t="s">
        <v>12</v>
      </c>
      <c r="FX5" s="4">
        <f t="shared" si="33"/>
        <v>35</v>
      </c>
      <c r="FY5" s="17">
        <v>1</v>
      </c>
      <c r="FZ5" s="18">
        <f t="shared" ref="FZ5:FZ10" si="147">IF(ISNUMBER(FX5), (FN5 + (FO5 * 24)) - FX5, "")</f>
        <v>15</v>
      </c>
      <c r="GA5" s="4">
        <v>11</v>
      </c>
      <c r="GB5" s="8">
        <f t="shared" si="34"/>
        <v>-4</v>
      </c>
      <c r="GD5" s="20">
        <v>0</v>
      </c>
      <c r="GE5" s="5" t="s">
        <v>12</v>
      </c>
      <c r="GF5" s="20">
        <v>44</v>
      </c>
      <c r="GG5" s="5" t="s">
        <v>12</v>
      </c>
      <c r="GH5" s="4">
        <f t="shared" si="35"/>
        <v>44</v>
      </c>
      <c r="GI5" s="21">
        <v>1</v>
      </c>
      <c r="GJ5" s="18">
        <f t="shared" ref="GJ5:GJ10" si="148">IF(ISNUMBER(GH5), (FX5 + (FY5 * 24)) - GH5, "")</f>
        <v>15</v>
      </c>
      <c r="GK5" s="4">
        <v>15</v>
      </c>
      <c r="GL5" s="8">
        <f t="shared" si="36"/>
        <v>0</v>
      </c>
      <c r="GN5" s="20">
        <v>8</v>
      </c>
      <c r="GO5" s="5" t="s">
        <v>12</v>
      </c>
      <c r="GP5" s="20">
        <v>48</v>
      </c>
      <c r="GQ5" s="5" t="s">
        <v>12</v>
      </c>
      <c r="GR5" s="4">
        <f t="shared" si="37"/>
        <v>56</v>
      </c>
      <c r="GS5" s="21">
        <v>0</v>
      </c>
      <c r="GT5" s="18">
        <f t="shared" ref="GT5:GT10" si="149">IF(ISNUMBER(GR5), (GH5 + (GI5 * 24)) - GR5, "")</f>
        <v>12</v>
      </c>
      <c r="GU5" s="4">
        <v>10</v>
      </c>
      <c r="GV5" s="8">
        <f t="shared" si="38"/>
        <v>-2</v>
      </c>
      <c r="GX5" s="20"/>
      <c r="GY5" s="5" t="s">
        <v>12</v>
      </c>
      <c r="GZ5" s="20">
        <v>34</v>
      </c>
      <c r="HA5" s="5" t="s">
        <v>12</v>
      </c>
      <c r="HB5" s="4">
        <f t="shared" si="39"/>
        <v>34</v>
      </c>
      <c r="HC5" s="21">
        <v>1</v>
      </c>
      <c r="HD5" s="18">
        <f t="shared" ref="HD5:HD10" si="150">IF(ISNUMBER(HB5), (GR5 + (GS5 * 24)) - HB5, "")</f>
        <v>22</v>
      </c>
      <c r="HE5" s="4">
        <v>22</v>
      </c>
      <c r="HF5" s="8">
        <f t="shared" si="40"/>
        <v>0</v>
      </c>
      <c r="HH5" s="20"/>
      <c r="HI5" s="5" t="s">
        <v>12</v>
      </c>
      <c r="HJ5" s="20">
        <v>42</v>
      </c>
      <c r="HK5" s="5" t="s">
        <v>12</v>
      </c>
      <c r="HL5" s="4">
        <f t="shared" si="41"/>
        <v>42</v>
      </c>
      <c r="HM5" s="21">
        <v>1</v>
      </c>
      <c r="HN5" s="18">
        <f t="shared" ref="HN5:HN10" si="151">IF(ISNUMBER(HL5), (HB5 + (HC5 * 24)) - HL5, "")</f>
        <v>16</v>
      </c>
      <c r="HO5" s="4">
        <v>17</v>
      </c>
      <c r="HP5" s="8">
        <f t="shared" si="42"/>
        <v>1</v>
      </c>
      <c r="HR5" s="2"/>
      <c r="HS5" s="5" t="s">
        <v>12</v>
      </c>
      <c r="HT5" s="2">
        <v>43</v>
      </c>
      <c r="HU5" s="5" t="s">
        <v>12</v>
      </c>
      <c r="HV5" s="4">
        <f t="shared" si="43"/>
        <v>43</v>
      </c>
      <c r="HW5" s="17">
        <v>1</v>
      </c>
      <c r="HX5" s="18">
        <f t="shared" ref="HX5:HX10" si="152">IF(ISNUMBER(HV5), (HL5 + (HM5 * 24)) - HV5, "")</f>
        <v>23</v>
      </c>
      <c r="HY5" s="4">
        <v>23</v>
      </c>
      <c r="HZ5" s="8">
        <f t="shared" si="44"/>
        <v>0</v>
      </c>
      <c r="IB5" s="2">
        <v>24</v>
      </c>
      <c r="IC5" s="5" t="s">
        <v>12</v>
      </c>
      <c r="ID5" s="2">
        <v>21</v>
      </c>
      <c r="IE5" s="5" t="s">
        <v>12</v>
      </c>
      <c r="IF5" s="4">
        <f t="shared" si="45"/>
        <v>45</v>
      </c>
      <c r="IG5" s="17">
        <v>0</v>
      </c>
      <c r="IH5" s="18">
        <f t="shared" ref="IH5:IH10" si="153">IF(ISNUMBER(IF5), (HV5 + (HW5 * 24)) - IF5, "")</f>
        <v>22</v>
      </c>
      <c r="II5" s="4">
        <v>22</v>
      </c>
      <c r="IJ5" s="8">
        <f t="shared" si="46"/>
        <v>0</v>
      </c>
      <c r="IL5" s="2"/>
      <c r="IM5" s="5" t="s">
        <v>12</v>
      </c>
      <c r="IN5" s="2">
        <v>26</v>
      </c>
      <c r="IO5" s="5" t="s">
        <v>12</v>
      </c>
      <c r="IP5" s="4">
        <f t="shared" si="47"/>
        <v>26</v>
      </c>
      <c r="IQ5" s="17">
        <v>2</v>
      </c>
      <c r="IR5" s="18">
        <f t="shared" si="48"/>
        <v>19</v>
      </c>
      <c r="IS5" s="4">
        <v>19</v>
      </c>
      <c r="IT5" s="8">
        <f t="shared" si="49"/>
        <v>0</v>
      </c>
      <c r="IV5" s="2">
        <v>24</v>
      </c>
      <c r="IW5" s="5" t="s">
        <v>12</v>
      </c>
      <c r="IX5" s="2">
        <v>36</v>
      </c>
      <c r="IY5" s="5" t="s">
        <v>12</v>
      </c>
      <c r="IZ5" s="4">
        <f t="shared" si="50"/>
        <v>60</v>
      </c>
      <c r="JA5" s="17"/>
      <c r="JB5" s="18">
        <f t="shared" ref="JB5:JB10" si="154">IF(ISNUMBER(IZ5), (IP5 + (IQ5 * 24)) - IZ5, "")</f>
        <v>14</v>
      </c>
      <c r="JC5" s="4">
        <v>14</v>
      </c>
      <c r="JD5" s="8">
        <f t="shared" si="51"/>
        <v>0</v>
      </c>
      <c r="JF5" s="2"/>
      <c r="JG5" s="5" t="s">
        <v>12</v>
      </c>
      <c r="JH5" s="2">
        <v>40</v>
      </c>
      <c r="JI5" s="5" t="s">
        <v>12</v>
      </c>
      <c r="JJ5" s="4">
        <f t="shared" si="52"/>
        <v>40</v>
      </c>
      <c r="JK5" s="17">
        <v>2</v>
      </c>
      <c r="JL5" s="18">
        <f t="shared" ref="JL5:JL10" si="155">IF(ISNUMBER(JJ5), (IZ5 + (JA5 * 24)) - JJ5, "")</f>
        <v>20</v>
      </c>
      <c r="JM5" s="4">
        <v>20</v>
      </c>
      <c r="JN5" s="8">
        <f t="shared" si="53"/>
        <v>0</v>
      </c>
      <c r="JP5" s="20">
        <v>24</v>
      </c>
      <c r="JQ5" s="5" t="s">
        <v>12</v>
      </c>
      <c r="JR5" s="20">
        <v>44</v>
      </c>
      <c r="JS5" s="5" t="s">
        <v>12</v>
      </c>
      <c r="JT5" s="4">
        <f t="shared" si="54"/>
        <v>68</v>
      </c>
      <c r="JU5" s="21"/>
      <c r="JV5" s="18">
        <f t="shared" ref="JV5:JV10" si="156">IF(ISNUMBER(JT5), (JJ5 + (JK5 * 24)) - JT5, "")</f>
        <v>20</v>
      </c>
      <c r="JW5" s="4">
        <v>21</v>
      </c>
      <c r="JX5" s="8">
        <f t="shared" si="55"/>
        <v>1</v>
      </c>
      <c r="JZ5" s="20"/>
      <c r="KA5" s="5" t="s">
        <v>12</v>
      </c>
      <c r="KB5" s="20">
        <v>46</v>
      </c>
      <c r="KC5" s="5" t="s">
        <v>12</v>
      </c>
      <c r="KD5" s="4">
        <f t="shared" si="56"/>
        <v>46</v>
      </c>
      <c r="KE5" s="21">
        <v>1</v>
      </c>
      <c r="KF5" s="18">
        <f t="shared" ref="KF5:KF10" si="157">IF(ISNUMBER(KD5), (JT5 + (JU5 * 24)) - KD5, "")</f>
        <v>22</v>
      </c>
      <c r="KG5" s="4">
        <v>21</v>
      </c>
      <c r="KH5" s="8">
        <f t="shared" si="57"/>
        <v>-1</v>
      </c>
      <c r="KJ5" s="20">
        <v>24</v>
      </c>
      <c r="KK5" s="5" t="s">
        <v>12</v>
      </c>
      <c r="KL5" s="20">
        <v>34</v>
      </c>
      <c r="KM5" s="5" t="s">
        <v>12</v>
      </c>
      <c r="KN5" s="4">
        <f t="shared" si="58"/>
        <v>58</v>
      </c>
      <c r="KO5" s="21"/>
      <c r="KP5" s="18">
        <f t="shared" ref="KP5:KP10" si="158">IF(ISNUMBER(KN5), (KD5 + (KE5 * 24)) - KN5, "")</f>
        <v>12</v>
      </c>
      <c r="KQ5" s="4">
        <v>11</v>
      </c>
      <c r="KR5" s="8">
        <f t="shared" si="59"/>
        <v>-1</v>
      </c>
      <c r="KT5" s="20"/>
      <c r="KU5" s="5" t="s">
        <v>12</v>
      </c>
      <c r="KV5" s="20">
        <v>45</v>
      </c>
      <c r="KW5" s="5" t="s">
        <v>12</v>
      </c>
      <c r="KX5" s="4">
        <f t="shared" si="60"/>
        <v>45</v>
      </c>
      <c r="KY5" s="21">
        <v>2</v>
      </c>
      <c r="KZ5" s="18">
        <f t="shared" si="61"/>
        <v>13</v>
      </c>
      <c r="LA5" s="4">
        <v>12</v>
      </c>
      <c r="LB5" s="8">
        <f t="shared" si="62"/>
        <v>-1</v>
      </c>
      <c r="LD5" s="20">
        <v>48</v>
      </c>
      <c r="LE5" s="5" t="s">
        <v>12</v>
      </c>
      <c r="LF5" s="20">
        <v>32</v>
      </c>
      <c r="LG5" s="5" t="s">
        <v>12</v>
      </c>
      <c r="LH5" s="4">
        <f t="shared" si="63"/>
        <v>80</v>
      </c>
      <c r="LI5" s="21"/>
      <c r="LJ5" s="18">
        <f t="shared" si="64"/>
        <v>13</v>
      </c>
      <c r="LK5" s="4">
        <v>13</v>
      </c>
      <c r="LL5" s="8">
        <f t="shared" si="65"/>
        <v>0</v>
      </c>
      <c r="LN5" s="20">
        <v>24</v>
      </c>
      <c r="LO5" s="5" t="s">
        <v>12</v>
      </c>
      <c r="LP5" s="20">
        <v>46</v>
      </c>
      <c r="LQ5" s="5" t="s">
        <v>12</v>
      </c>
      <c r="LR5" s="4">
        <f t="shared" ref="LR5:LR8" si="159">IF(OR(ISNUMBER(LN5), ISNUMBER(LP5)), IF(ISNUMBER(LN5), LN5, 0) + IF(ISNUMBER(LP5), LP5, 0), "")</f>
        <v>70</v>
      </c>
      <c r="LS5" s="21">
        <v>0</v>
      </c>
      <c r="LT5" s="18">
        <f t="shared" si="66"/>
        <v>10</v>
      </c>
      <c r="LU5" s="4">
        <v>11</v>
      </c>
      <c r="LV5" s="8">
        <f t="shared" si="67"/>
        <v>1</v>
      </c>
      <c r="LX5" s="20">
        <v>24</v>
      </c>
      <c r="LY5" s="5" t="s">
        <v>12</v>
      </c>
      <c r="LZ5" s="20">
        <v>38</v>
      </c>
      <c r="MA5" s="5" t="s">
        <v>12</v>
      </c>
      <c r="MB5" s="4">
        <f t="shared" si="68"/>
        <v>62</v>
      </c>
      <c r="MC5" s="21"/>
      <c r="MD5" s="18">
        <f t="shared" si="69"/>
        <v>8</v>
      </c>
      <c r="ME5" s="4">
        <v>8</v>
      </c>
      <c r="MF5" s="8">
        <f t="shared" si="70"/>
        <v>0</v>
      </c>
      <c r="MH5" s="20"/>
      <c r="MI5" s="5" t="s">
        <v>12</v>
      </c>
      <c r="MJ5" s="20">
        <v>47</v>
      </c>
      <c r="MK5" s="5" t="s">
        <v>12</v>
      </c>
      <c r="ML5" s="4">
        <f t="shared" si="71"/>
        <v>47</v>
      </c>
      <c r="MM5" s="21">
        <v>1</v>
      </c>
      <c r="MN5" s="18">
        <f t="shared" si="72"/>
        <v>15</v>
      </c>
      <c r="MO5" s="4">
        <v>15</v>
      </c>
      <c r="MP5" s="8">
        <f t="shared" si="73"/>
        <v>0</v>
      </c>
      <c r="MR5" s="20">
        <v>13</v>
      </c>
      <c r="MS5" s="5" t="s">
        <v>12</v>
      </c>
      <c r="MT5" s="20">
        <v>44</v>
      </c>
      <c r="MU5" s="5" t="s">
        <v>12</v>
      </c>
      <c r="MV5" s="4">
        <f t="shared" si="74"/>
        <v>57</v>
      </c>
      <c r="MW5" s="21"/>
      <c r="MX5" s="18">
        <f t="shared" si="75"/>
        <v>14</v>
      </c>
      <c r="MY5" s="4">
        <v>11</v>
      </c>
      <c r="MZ5" s="18">
        <f t="shared" si="76"/>
        <v>-3</v>
      </c>
      <c r="NB5" s="20"/>
      <c r="NC5" s="5" t="s">
        <v>12</v>
      </c>
      <c r="ND5" s="20">
        <v>40</v>
      </c>
      <c r="NE5" s="5" t="s">
        <v>12</v>
      </c>
      <c r="NF5" s="4">
        <f t="shared" si="77"/>
        <v>40</v>
      </c>
      <c r="NG5" s="21">
        <v>1</v>
      </c>
      <c r="NH5" s="18">
        <f t="shared" si="78"/>
        <v>17</v>
      </c>
      <c r="NI5" s="4">
        <v>17</v>
      </c>
      <c r="NJ5" s="8">
        <f t="shared" si="79"/>
        <v>0</v>
      </c>
      <c r="NL5" s="20"/>
      <c r="NM5" s="5" t="s">
        <v>12</v>
      </c>
      <c r="NN5" s="20">
        <v>48</v>
      </c>
      <c r="NO5" s="5" t="s">
        <v>12</v>
      </c>
      <c r="NP5" s="4">
        <f t="shared" si="80"/>
        <v>48</v>
      </c>
      <c r="NQ5" s="21"/>
      <c r="NR5" s="18">
        <f t="shared" si="81"/>
        <v>16</v>
      </c>
      <c r="NS5" s="4">
        <v>16</v>
      </c>
      <c r="NT5" s="18">
        <f t="shared" si="82"/>
        <v>0</v>
      </c>
      <c r="NV5" s="20"/>
      <c r="NW5" s="5" t="s">
        <v>12</v>
      </c>
      <c r="NX5" s="20">
        <v>28</v>
      </c>
      <c r="NY5" s="5" t="s">
        <v>12</v>
      </c>
      <c r="NZ5" s="4">
        <f t="shared" si="83"/>
        <v>28</v>
      </c>
      <c r="OA5" s="21">
        <v>1</v>
      </c>
      <c r="OB5" s="18">
        <f t="shared" si="84"/>
        <v>20</v>
      </c>
      <c r="OC5" s="4">
        <v>20</v>
      </c>
      <c r="OD5" s="8">
        <f t="shared" si="85"/>
        <v>0</v>
      </c>
      <c r="OF5" s="20"/>
      <c r="OG5" s="5" t="s">
        <v>12</v>
      </c>
      <c r="OH5" s="20">
        <v>34</v>
      </c>
      <c r="OI5" s="5" t="s">
        <v>12</v>
      </c>
      <c r="OJ5" s="4">
        <f t="shared" si="86"/>
        <v>34</v>
      </c>
      <c r="OK5" s="21"/>
      <c r="OL5" s="18">
        <f t="shared" si="87"/>
        <v>18</v>
      </c>
      <c r="OM5" s="4">
        <v>18</v>
      </c>
      <c r="ON5" s="8">
        <f t="shared" si="88"/>
        <v>0</v>
      </c>
      <c r="OP5" s="20"/>
      <c r="OQ5" s="5" t="s">
        <v>12</v>
      </c>
      <c r="OR5" s="20">
        <v>32</v>
      </c>
      <c r="OS5" s="5" t="s">
        <v>12</v>
      </c>
      <c r="OT5" s="4">
        <f t="shared" si="89"/>
        <v>32</v>
      </c>
      <c r="OU5" s="21"/>
      <c r="OV5" s="18">
        <f t="shared" si="90"/>
        <v>2</v>
      </c>
      <c r="OW5" s="4">
        <v>2</v>
      </c>
      <c r="OX5" s="8">
        <f t="shared" si="91"/>
        <v>0</v>
      </c>
      <c r="OZ5" s="2">
        <v>0</v>
      </c>
      <c r="PA5" s="5" t="s">
        <v>12</v>
      </c>
      <c r="PB5" s="2">
        <v>28</v>
      </c>
      <c r="PC5" s="5" t="s">
        <v>12</v>
      </c>
      <c r="PD5" s="4">
        <f t="shared" si="92"/>
        <v>28</v>
      </c>
      <c r="PE5" s="17">
        <v>1</v>
      </c>
      <c r="PF5" s="18">
        <f t="shared" si="93"/>
        <v>4</v>
      </c>
      <c r="PG5" s="4">
        <v>4</v>
      </c>
      <c r="PH5" s="8">
        <f t="shared" si="94"/>
        <v>0</v>
      </c>
      <c r="PJ5" s="2"/>
      <c r="PK5" s="5" t="s">
        <v>12</v>
      </c>
      <c r="PL5" s="2">
        <v>32</v>
      </c>
      <c r="PM5" s="5" t="s">
        <v>12</v>
      </c>
      <c r="PN5" s="4">
        <f t="shared" si="95"/>
        <v>32</v>
      </c>
      <c r="PO5" s="17"/>
      <c r="PP5" s="18">
        <f t="shared" si="96"/>
        <v>20</v>
      </c>
      <c r="PQ5" s="4">
        <v>20</v>
      </c>
      <c r="PR5" s="8">
        <f t="shared" si="97"/>
        <v>0</v>
      </c>
      <c r="PT5" s="20"/>
      <c r="PU5" s="5" t="s">
        <v>12</v>
      </c>
      <c r="PV5" s="20">
        <v>23</v>
      </c>
      <c r="PW5" s="5" t="s">
        <v>12</v>
      </c>
      <c r="PX5" s="4">
        <f t="shared" si="98"/>
        <v>23</v>
      </c>
      <c r="PY5" s="21">
        <v>1</v>
      </c>
      <c r="PZ5" s="18">
        <f t="shared" si="99"/>
        <v>9</v>
      </c>
      <c r="QA5" s="4">
        <v>9</v>
      </c>
      <c r="QB5" s="8">
        <f t="shared" si="100"/>
        <v>0</v>
      </c>
      <c r="QD5" s="20">
        <v>0</v>
      </c>
      <c r="QE5" s="5" t="s">
        <v>12</v>
      </c>
      <c r="QF5" s="20">
        <v>30</v>
      </c>
      <c r="QG5" s="5" t="s">
        <v>12</v>
      </c>
      <c r="QH5" s="4">
        <f t="shared" si="101"/>
        <v>30</v>
      </c>
      <c r="QI5" s="21"/>
      <c r="QJ5" s="18">
        <f t="shared" si="102"/>
        <v>17</v>
      </c>
      <c r="QK5" s="4">
        <v>17</v>
      </c>
      <c r="QL5" s="8">
        <f t="shared" si="103"/>
        <v>0</v>
      </c>
      <c r="QN5" s="20">
        <v>0</v>
      </c>
      <c r="QO5" s="5" t="s">
        <v>12</v>
      </c>
      <c r="QP5" s="20">
        <v>18</v>
      </c>
      <c r="QQ5" s="5" t="s">
        <v>12</v>
      </c>
      <c r="QR5" s="4">
        <f t="shared" si="104"/>
        <v>18</v>
      </c>
      <c r="QS5" s="21">
        <v>2</v>
      </c>
      <c r="QT5" s="18">
        <f t="shared" si="105"/>
        <v>12</v>
      </c>
      <c r="QU5" s="4">
        <v>12</v>
      </c>
      <c r="QV5" s="8">
        <f t="shared" si="106"/>
        <v>0</v>
      </c>
      <c r="QX5" s="20">
        <v>24</v>
      </c>
      <c r="QY5" s="5" t="s">
        <v>12</v>
      </c>
      <c r="QZ5" s="20">
        <v>26</v>
      </c>
      <c r="RA5" s="5" t="s">
        <v>12</v>
      </c>
      <c r="RB5" s="4">
        <f t="shared" si="107"/>
        <v>50</v>
      </c>
      <c r="RC5" s="21"/>
      <c r="RD5" s="18">
        <f t="shared" si="108"/>
        <v>16</v>
      </c>
      <c r="RE5" s="4">
        <v>16</v>
      </c>
      <c r="RF5" s="8">
        <f t="shared" si="109"/>
        <v>0</v>
      </c>
      <c r="RH5" s="20">
        <v>0</v>
      </c>
      <c r="RI5" s="5" t="s">
        <v>12</v>
      </c>
      <c r="RJ5" s="20">
        <v>48</v>
      </c>
      <c r="RK5" s="5" t="s">
        <v>12</v>
      </c>
      <c r="RL5" s="4">
        <f t="shared" si="110"/>
        <v>48</v>
      </c>
      <c r="RM5" s="21">
        <v>0</v>
      </c>
      <c r="RN5" s="18">
        <f t="shared" si="111"/>
        <v>2</v>
      </c>
      <c r="RO5" s="4">
        <v>2</v>
      </c>
      <c r="RP5" s="8">
        <f t="shared" si="112"/>
        <v>0</v>
      </c>
      <c r="RR5" s="2">
        <v>0</v>
      </c>
      <c r="RS5" s="5" t="s">
        <v>12</v>
      </c>
      <c r="RT5" s="2">
        <v>34</v>
      </c>
      <c r="RU5" s="5" t="s">
        <v>12</v>
      </c>
      <c r="RV5" s="4">
        <f t="shared" si="113"/>
        <v>34</v>
      </c>
      <c r="RW5" s="17"/>
      <c r="RX5" s="18">
        <f t="shared" si="114"/>
        <v>14</v>
      </c>
      <c r="RY5" s="4">
        <v>14</v>
      </c>
      <c r="RZ5" s="8">
        <f t="shared" si="115"/>
        <v>0</v>
      </c>
      <c r="SB5" s="20"/>
      <c r="SC5" s="5" t="s">
        <v>12</v>
      </c>
      <c r="SD5" s="20">
        <v>27</v>
      </c>
      <c r="SE5" s="5" t="s">
        <v>12</v>
      </c>
      <c r="SF5" s="4">
        <f t="shared" si="116"/>
        <v>27</v>
      </c>
      <c r="SG5" s="21">
        <v>1</v>
      </c>
      <c r="SH5" s="18">
        <f t="shared" si="117"/>
        <v>7</v>
      </c>
      <c r="SI5" s="4">
        <v>7</v>
      </c>
      <c r="SJ5" s="8">
        <f t="shared" si="118"/>
        <v>0</v>
      </c>
      <c r="SL5" s="2">
        <v>0</v>
      </c>
      <c r="SM5" s="5" t="s">
        <v>12</v>
      </c>
      <c r="SN5" s="2">
        <v>35</v>
      </c>
      <c r="SO5" s="5" t="s">
        <v>12</v>
      </c>
      <c r="SP5" s="4">
        <f t="shared" si="119"/>
        <v>35</v>
      </c>
      <c r="SQ5" s="17"/>
      <c r="SR5" s="18">
        <f t="shared" si="120"/>
        <v>16</v>
      </c>
      <c r="SS5" s="4">
        <v>16</v>
      </c>
      <c r="ST5" s="8">
        <f t="shared" si="121"/>
        <v>0</v>
      </c>
      <c r="SV5" s="2">
        <v>0</v>
      </c>
      <c r="SW5" s="5" t="s">
        <v>12</v>
      </c>
      <c r="SX5" s="2">
        <v>17</v>
      </c>
      <c r="SY5" s="5" t="s">
        <v>12</v>
      </c>
      <c r="SZ5" s="4">
        <f t="shared" si="122"/>
        <v>17</v>
      </c>
      <c r="TA5" s="17">
        <v>1</v>
      </c>
      <c r="TB5" s="18">
        <f t="shared" si="123"/>
        <v>18</v>
      </c>
      <c r="TC5" s="4">
        <v>18</v>
      </c>
      <c r="TD5" s="8">
        <f t="shared" si="124"/>
        <v>0</v>
      </c>
      <c r="TF5" s="57"/>
      <c r="TG5" s="58" t="s">
        <v>12</v>
      </c>
      <c r="TH5" s="57">
        <v>27</v>
      </c>
      <c r="TI5" s="58" t="s">
        <v>12</v>
      </c>
      <c r="TJ5" s="59">
        <f t="shared" si="125"/>
        <v>27</v>
      </c>
      <c r="TK5" s="60"/>
      <c r="TL5" s="61">
        <f t="shared" si="126"/>
        <v>14</v>
      </c>
      <c r="TM5" s="59">
        <v>14</v>
      </c>
      <c r="TN5" s="62">
        <f t="shared" si="127"/>
        <v>0</v>
      </c>
      <c r="TP5" s="2"/>
      <c r="TQ5" s="5" t="s">
        <v>12</v>
      </c>
      <c r="TR5" s="2"/>
      <c r="TS5" s="5" t="s">
        <v>12</v>
      </c>
      <c r="TT5" s="4" t="str">
        <f t="shared" si="128"/>
        <v/>
      </c>
      <c r="TU5" s="17"/>
      <c r="TV5" s="18" t="str">
        <f t="shared" si="129"/>
        <v/>
      </c>
      <c r="TW5" s="4"/>
      <c r="TX5" s="8" t="str">
        <f t="shared" si="130"/>
        <v/>
      </c>
    </row>
    <row r="6" spans="1:544" ht="12.75" customHeight="1" x14ac:dyDescent="0.2">
      <c r="A6" s="16" t="s">
        <v>20</v>
      </c>
      <c r="B6" s="11" t="s">
        <v>13</v>
      </c>
      <c r="C6" s="12">
        <v>66</v>
      </c>
      <c r="D6" s="13" t="s">
        <v>12</v>
      </c>
      <c r="F6" s="2"/>
      <c r="G6" s="5" t="s">
        <v>12</v>
      </c>
      <c r="H6" s="2"/>
      <c r="I6" s="5" t="s">
        <v>12</v>
      </c>
      <c r="J6" s="4">
        <v>0</v>
      </c>
      <c r="K6" s="17">
        <v>1</v>
      </c>
      <c r="L6" s="18"/>
      <c r="M6" s="4"/>
      <c r="N6" s="8" t="str">
        <f t="shared" si="0"/>
        <v/>
      </c>
      <c r="P6" s="20">
        <v>6</v>
      </c>
      <c r="Q6" s="5" t="s">
        <v>12</v>
      </c>
      <c r="R6" s="20">
        <v>8</v>
      </c>
      <c r="S6" s="5" t="s">
        <v>12</v>
      </c>
      <c r="T6" s="4">
        <f t="shared" si="1"/>
        <v>14</v>
      </c>
      <c r="U6" s="21">
        <v>1</v>
      </c>
      <c r="V6" s="18">
        <f t="shared" si="131"/>
        <v>10</v>
      </c>
      <c r="W6" s="4">
        <v>10</v>
      </c>
      <c r="X6" s="8">
        <f t="shared" si="2"/>
        <v>0</v>
      </c>
      <c r="Z6" s="20"/>
      <c r="AA6" s="5" t="s">
        <v>12</v>
      </c>
      <c r="AB6" s="20">
        <v>22</v>
      </c>
      <c r="AC6" s="5" t="s">
        <v>12</v>
      </c>
      <c r="AD6" s="4">
        <f t="shared" si="3"/>
        <v>22</v>
      </c>
      <c r="AE6" s="21"/>
      <c r="AF6" s="18">
        <f t="shared" si="132"/>
        <v>16</v>
      </c>
      <c r="AG6" s="4">
        <v>6</v>
      </c>
      <c r="AH6" s="8">
        <f t="shared" si="4"/>
        <v>-10</v>
      </c>
      <c r="AJ6" s="2"/>
      <c r="AK6" s="5" t="s">
        <v>12</v>
      </c>
      <c r="AL6" s="2">
        <v>11</v>
      </c>
      <c r="AM6" s="5" t="s">
        <v>12</v>
      </c>
      <c r="AN6" s="4">
        <f t="shared" si="5"/>
        <v>11</v>
      </c>
      <c r="AO6" s="17">
        <v>1</v>
      </c>
      <c r="AP6" s="18">
        <f t="shared" si="133"/>
        <v>11</v>
      </c>
      <c r="AQ6" s="4">
        <v>2</v>
      </c>
      <c r="AR6" s="8">
        <f t="shared" si="6"/>
        <v>-9</v>
      </c>
      <c r="AT6" s="2"/>
      <c r="AU6" s="5" t="s">
        <v>12</v>
      </c>
      <c r="AV6" s="2">
        <v>23</v>
      </c>
      <c r="AW6" s="5" t="s">
        <v>12</v>
      </c>
      <c r="AX6" s="4">
        <f t="shared" si="7"/>
        <v>23</v>
      </c>
      <c r="AY6" s="17">
        <v>0</v>
      </c>
      <c r="AZ6" s="18">
        <f t="shared" si="134"/>
        <v>12</v>
      </c>
      <c r="BA6" s="4">
        <v>11</v>
      </c>
      <c r="BB6" s="8">
        <f t="shared" si="8"/>
        <v>-1</v>
      </c>
      <c r="BD6" s="2"/>
      <c r="BE6" s="5" t="s">
        <v>12</v>
      </c>
      <c r="BF6" s="2">
        <v>7</v>
      </c>
      <c r="BG6" s="5" t="s">
        <v>12</v>
      </c>
      <c r="BH6" s="4">
        <f t="shared" si="9"/>
        <v>7</v>
      </c>
      <c r="BI6" s="17">
        <v>1</v>
      </c>
      <c r="BJ6" s="18">
        <f t="shared" si="135"/>
        <v>16</v>
      </c>
      <c r="BK6" s="4">
        <v>13</v>
      </c>
      <c r="BL6" s="8">
        <f t="shared" si="10"/>
        <v>-3</v>
      </c>
      <c r="BN6" s="20"/>
      <c r="BO6" s="5" t="s">
        <v>12</v>
      </c>
      <c r="BP6" s="20">
        <v>21</v>
      </c>
      <c r="BQ6" s="5" t="s">
        <v>12</v>
      </c>
      <c r="BR6" s="4">
        <f t="shared" si="11"/>
        <v>21</v>
      </c>
      <c r="BS6" s="21">
        <v>1</v>
      </c>
      <c r="BT6" s="18">
        <f t="shared" si="136"/>
        <v>10</v>
      </c>
      <c r="BU6" s="4">
        <v>10</v>
      </c>
      <c r="BV6" s="8">
        <f t="shared" si="12"/>
        <v>0</v>
      </c>
      <c r="BX6" s="20"/>
      <c r="BY6" s="5" t="s">
        <v>12</v>
      </c>
      <c r="BZ6" s="20">
        <v>34</v>
      </c>
      <c r="CA6" s="5" t="s">
        <v>12</v>
      </c>
      <c r="CB6" s="4">
        <f t="shared" si="13"/>
        <v>34</v>
      </c>
      <c r="CC6" s="21">
        <v>1</v>
      </c>
      <c r="CD6" s="18">
        <f t="shared" si="137"/>
        <v>11</v>
      </c>
      <c r="CE6" s="4">
        <v>9</v>
      </c>
      <c r="CF6" s="8">
        <f t="shared" si="14"/>
        <v>-2</v>
      </c>
      <c r="CH6" s="20"/>
      <c r="CI6" s="5" t="s">
        <v>12</v>
      </c>
      <c r="CJ6" s="20">
        <v>40</v>
      </c>
      <c r="CK6" s="5" t="s">
        <v>12</v>
      </c>
      <c r="CL6" s="4">
        <f t="shared" si="15"/>
        <v>40</v>
      </c>
      <c r="CM6" s="21">
        <v>1</v>
      </c>
      <c r="CN6" s="18">
        <f t="shared" si="138"/>
        <v>18</v>
      </c>
      <c r="CO6" s="4">
        <v>13</v>
      </c>
      <c r="CP6" s="8">
        <f t="shared" si="16"/>
        <v>-5</v>
      </c>
      <c r="CR6" s="20">
        <v>24</v>
      </c>
      <c r="CS6" s="5" t="s">
        <v>12</v>
      </c>
      <c r="CT6" s="20">
        <v>34</v>
      </c>
      <c r="CU6" s="5" t="s">
        <v>12</v>
      </c>
      <c r="CV6" s="4">
        <f t="shared" si="17"/>
        <v>58</v>
      </c>
      <c r="CW6" s="21">
        <v>0</v>
      </c>
      <c r="CX6" s="18">
        <f t="shared" si="139"/>
        <v>6</v>
      </c>
      <c r="CY6" s="4">
        <v>6</v>
      </c>
      <c r="CZ6" s="8">
        <f t="shared" si="18"/>
        <v>0</v>
      </c>
      <c r="DB6" s="20"/>
      <c r="DC6" s="5" t="s">
        <v>12</v>
      </c>
      <c r="DD6" s="20">
        <v>50</v>
      </c>
      <c r="DE6" s="5" t="s">
        <v>12</v>
      </c>
      <c r="DF6" s="4">
        <f t="shared" si="19"/>
        <v>50</v>
      </c>
      <c r="DG6" s="21">
        <v>0</v>
      </c>
      <c r="DH6" s="18">
        <f t="shared" si="140"/>
        <v>8</v>
      </c>
      <c r="DI6" s="4">
        <v>8</v>
      </c>
      <c r="DJ6" s="8">
        <f t="shared" si="20"/>
        <v>0</v>
      </c>
      <c r="DL6" s="20"/>
      <c r="DM6" s="5" t="s">
        <v>12</v>
      </c>
      <c r="DN6" s="20">
        <v>42</v>
      </c>
      <c r="DO6" s="5" t="s">
        <v>12</v>
      </c>
      <c r="DP6" s="4">
        <f t="shared" si="21"/>
        <v>42</v>
      </c>
      <c r="DQ6" s="21"/>
      <c r="DR6" s="18">
        <f t="shared" si="141"/>
        <v>8</v>
      </c>
      <c r="DS6" s="4">
        <v>8</v>
      </c>
      <c r="DT6" s="8">
        <f t="shared" si="22"/>
        <v>0</v>
      </c>
      <c r="DV6" s="2">
        <v>1</v>
      </c>
      <c r="DW6" s="5" t="s">
        <v>12</v>
      </c>
      <c r="DX6" s="2">
        <v>35</v>
      </c>
      <c r="DY6" s="5" t="s">
        <v>12</v>
      </c>
      <c r="DZ6" s="4">
        <f t="shared" si="23"/>
        <v>36</v>
      </c>
      <c r="EA6" s="17"/>
      <c r="EB6" s="18">
        <f t="shared" si="142"/>
        <v>6</v>
      </c>
      <c r="EC6" s="4">
        <v>7</v>
      </c>
      <c r="ED6" s="8">
        <f t="shared" si="24"/>
        <v>1</v>
      </c>
      <c r="EF6" s="20"/>
      <c r="EG6" s="5" t="s">
        <v>12</v>
      </c>
      <c r="EH6" s="20">
        <v>24</v>
      </c>
      <c r="EI6" s="5" t="s">
        <v>12</v>
      </c>
      <c r="EJ6" s="4">
        <f t="shared" si="25"/>
        <v>24</v>
      </c>
      <c r="EK6" s="21"/>
      <c r="EL6" s="18">
        <f t="shared" si="143"/>
        <v>12</v>
      </c>
      <c r="EM6" s="4">
        <v>12</v>
      </c>
      <c r="EN6" s="8">
        <f t="shared" si="26"/>
        <v>0</v>
      </c>
      <c r="EP6" s="20">
        <v>0</v>
      </c>
      <c r="EQ6" s="5" t="s">
        <v>12</v>
      </c>
      <c r="ER6" s="20">
        <v>15</v>
      </c>
      <c r="ES6" s="5" t="s">
        <v>12</v>
      </c>
      <c r="ET6" s="4">
        <f t="shared" si="27"/>
        <v>15</v>
      </c>
      <c r="EU6" s="21">
        <v>1</v>
      </c>
      <c r="EV6" s="18">
        <f t="shared" si="144"/>
        <v>9</v>
      </c>
      <c r="EW6" s="4">
        <v>7</v>
      </c>
      <c r="EX6" s="8">
        <f t="shared" si="28"/>
        <v>-2</v>
      </c>
      <c r="EZ6" s="20"/>
      <c r="FA6" s="5" t="s">
        <v>12</v>
      </c>
      <c r="FB6" s="20">
        <v>30</v>
      </c>
      <c r="FC6" s="5" t="s">
        <v>12</v>
      </c>
      <c r="FD6" s="4">
        <f t="shared" si="29"/>
        <v>30</v>
      </c>
      <c r="FE6" s="21"/>
      <c r="FF6" s="18">
        <f t="shared" si="145"/>
        <v>9</v>
      </c>
      <c r="FG6" s="4">
        <v>9</v>
      </c>
      <c r="FH6" s="8">
        <f t="shared" si="30"/>
        <v>0</v>
      </c>
      <c r="FJ6" s="2"/>
      <c r="FK6" s="5" t="s">
        <v>12</v>
      </c>
      <c r="FL6" s="2">
        <v>16</v>
      </c>
      <c r="FM6" s="5" t="s">
        <v>12</v>
      </c>
      <c r="FN6" s="4">
        <f t="shared" si="31"/>
        <v>16</v>
      </c>
      <c r="FO6" s="17">
        <v>1</v>
      </c>
      <c r="FP6" s="18">
        <f t="shared" si="146"/>
        <v>14</v>
      </c>
      <c r="FQ6" s="4">
        <v>12</v>
      </c>
      <c r="FR6" s="8">
        <f t="shared" si="32"/>
        <v>-2</v>
      </c>
      <c r="FT6" s="2"/>
      <c r="FU6" s="5" t="s">
        <v>12</v>
      </c>
      <c r="FV6" s="2">
        <v>27</v>
      </c>
      <c r="FW6" s="5" t="s">
        <v>12</v>
      </c>
      <c r="FX6" s="4">
        <f t="shared" si="33"/>
        <v>27</v>
      </c>
      <c r="FY6" s="17">
        <v>0</v>
      </c>
      <c r="FZ6" s="18">
        <f t="shared" si="147"/>
        <v>13</v>
      </c>
      <c r="GA6" s="4">
        <v>11</v>
      </c>
      <c r="GB6" s="8">
        <f t="shared" si="34"/>
        <v>-2</v>
      </c>
      <c r="GD6" s="20">
        <v>0</v>
      </c>
      <c r="GE6" s="5" t="s">
        <v>12</v>
      </c>
      <c r="GF6" s="20">
        <v>21</v>
      </c>
      <c r="GG6" s="5" t="s">
        <v>12</v>
      </c>
      <c r="GH6" s="4">
        <f t="shared" si="35"/>
        <v>21</v>
      </c>
      <c r="GI6" s="21">
        <v>1</v>
      </c>
      <c r="GJ6" s="18">
        <f t="shared" si="148"/>
        <v>6</v>
      </c>
      <c r="GK6" s="4">
        <v>6</v>
      </c>
      <c r="GL6" s="8">
        <f t="shared" si="36"/>
        <v>0</v>
      </c>
      <c r="GN6" s="20"/>
      <c r="GO6" s="5" t="s">
        <v>12</v>
      </c>
      <c r="GP6" s="20">
        <v>36</v>
      </c>
      <c r="GQ6" s="5" t="s">
        <v>12</v>
      </c>
      <c r="GR6" s="4">
        <f t="shared" si="37"/>
        <v>36</v>
      </c>
      <c r="GS6" s="21">
        <v>0</v>
      </c>
      <c r="GT6" s="18">
        <f t="shared" si="149"/>
        <v>9</v>
      </c>
      <c r="GU6" s="4">
        <v>9</v>
      </c>
      <c r="GV6" s="8">
        <f t="shared" si="38"/>
        <v>0</v>
      </c>
      <c r="GX6" s="20"/>
      <c r="GY6" s="5" t="s">
        <v>12</v>
      </c>
      <c r="GZ6" s="20">
        <v>29</v>
      </c>
      <c r="HA6" s="5" t="s">
        <v>12</v>
      </c>
      <c r="HB6" s="4">
        <f t="shared" si="39"/>
        <v>29</v>
      </c>
      <c r="HC6" s="21">
        <v>0</v>
      </c>
      <c r="HD6" s="18">
        <f t="shared" si="150"/>
        <v>7</v>
      </c>
      <c r="HE6" s="4">
        <v>7</v>
      </c>
      <c r="HF6" s="8">
        <f t="shared" si="40"/>
        <v>0</v>
      </c>
      <c r="HH6" s="20"/>
      <c r="HI6" s="5" t="s">
        <v>12</v>
      </c>
      <c r="HJ6" s="20">
        <v>11</v>
      </c>
      <c r="HK6" s="5" t="s">
        <v>12</v>
      </c>
      <c r="HL6" s="4">
        <f t="shared" si="41"/>
        <v>11</v>
      </c>
      <c r="HM6" s="21">
        <v>1</v>
      </c>
      <c r="HN6" s="18">
        <f t="shared" si="151"/>
        <v>18</v>
      </c>
      <c r="HO6" s="4">
        <v>15</v>
      </c>
      <c r="HP6" s="8">
        <f t="shared" si="42"/>
        <v>-3</v>
      </c>
      <c r="HR6" s="2"/>
      <c r="HS6" s="5" t="s">
        <v>12</v>
      </c>
      <c r="HT6" s="2">
        <v>19</v>
      </c>
      <c r="HU6" s="5" t="s">
        <v>12</v>
      </c>
      <c r="HV6" s="4">
        <f t="shared" si="43"/>
        <v>19</v>
      </c>
      <c r="HW6" s="17">
        <v>1</v>
      </c>
      <c r="HX6" s="18">
        <f t="shared" si="152"/>
        <v>16</v>
      </c>
      <c r="HY6" s="4">
        <v>16</v>
      </c>
      <c r="HZ6" s="8">
        <f t="shared" si="44"/>
        <v>0</v>
      </c>
      <c r="IB6" s="2"/>
      <c r="IC6" s="5" t="s">
        <v>12</v>
      </c>
      <c r="ID6" s="2">
        <v>33</v>
      </c>
      <c r="IE6" s="5" t="s">
        <v>12</v>
      </c>
      <c r="IF6" s="4">
        <f t="shared" si="45"/>
        <v>33</v>
      </c>
      <c r="IG6" s="17">
        <v>1</v>
      </c>
      <c r="IH6" s="18">
        <f t="shared" si="153"/>
        <v>10</v>
      </c>
      <c r="II6" s="4">
        <v>10</v>
      </c>
      <c r="IJ6" s="8">
        <f t="shared" si="46"/>
        <v>0</v>
      </c>
      <c r="IL6" s="2">
        <v>24</v>
      </c>
      <c r="IM6" s="5" t="s">
        <v>12</v>
      </c>
      <c r="IN6" s="2">
        <v>23</v>
      </c>
      <c r="IO6" s="5" t="s">
        <v>12</v>
      </c>
      <c r="IP6" s="4">
        <f t="shared" si="47"/>
        <v>47</v>
      </c>
      <c r="IQ6" s="17"/>
      <c r="IR6" s="18">
        <f t="shared" si="48"/>
        <v>10</v>
      </c>
      <c r="IS6" s="4">
        <v>10</v>
      </c>
      <c r="IT6" s="8">
        <f t="shared" si="49"/>
        <v>0</v>
      </c>
      <c r="IV6" s="2">
        <v>0</v>
      </c>
      <c r="IW6" s="5" t="s">
        <v>12</v>
      </c>
      <c r="IX6" s="2">
        <v>33</v>
      </c>
      <c r="IY6" s="5" t="s">
        <v>12</v>
      </c>
      <c r="IZ6" s="4">
        <f t="shared" si="50"/>
        <v>33</v>
      </c>
      <c r="JA6" s="17"/>
      <c r="JB6" s="18">
        <f t="shared" si="154"/>
        <v>14</v>
      </c>
      <c r="JC6" s="4">
        <v>14</v>
      </c>
      <c r="JD6" s="8">
        <f t="shared" si="51"/>
        <v>0</v>
      </c>
      <c r="JF6" s="2"/>
      <c r="JG6" s="5" t="s">
        <v>12</v>
      </c>
      <c r="JH6" s="2">
        <v>16</v>
      </c>
      <c r="JI6" s="5" t="s">
        <v>12</v>
      </c>
      <c r="JJ6" s="4">
        <f t="shared" si="52"/>
        <v>16</v>
      </c>
      <c r="JK6" s="17">
        <v>1</v>
      </c>
      <c r="JL6" s="18">
        <f t="shared" si="155"/>
        <v>17</v>
      </c>
      <c r="JM6" s="4">
        <v>17</v>
      </c>
      <c r="JN6" s="8">
        <f t="shared" si="53"/>
        <v>0</v>
      </c>
      <c r="JP6" s="20">
        <v>0</v>
      </c>
      <c r="JQ6" s="5" t="s">
        <v>12</v>
      </c>
      <c r="JR6" s="20">
        <v>18</v>
      </c>
      <c r="JS6" s="5" t="s">
        <v>12</v>
      </c>
      <c r="JT6" s="4">
        <f t="shared" si="54"/>
        <v>18</v>
      </c>
      <c r="JU6" s="21"/>
      <c r="JV6" s="18">
        <f t="shared" si="156"/>
        <v>22</v>
      </c>
      <c r="JW6" s="4">
        <v>23</v>
      </c>
      <c r="JX6" s="8">
        <f t="shared" si="55"/>
        <v>1</v>
      </c>
      <c r="JZ6" s="20"/>
      <c r="KA6" s="5" t="s">
        <v>12</v>
      </c>
      <c r="KB6" s="20">
        <v>7</v>
      </c>
      <c r="KC6" s="5" t="s">
        <v>12</v>
      </c>
      <c r="KD6" s="4">
        <f t="shared" si="56"/>
        <v>7</v>
      </c>
      <c r="KE6" s="21">
        <v>2</v>
      </c>
      <c r="KF6" s="18">
        <f t="shared" si="157"/>
        <v>11</v>
      </c>
      <c r="KG6" s="4">
        <v>11</v>
      </c>
      <c r="KH6" s="8">
        <f t="shared" si="57"/>
        <v>0</v>
      </c>
      <c r="KJ6" s="20"/>
      <c r="KK6" s="5" t="s">
        <v>12</v>
      </c>
      <c r="KL6" s="20">
        <v>42</v>
      </c>
      <c r="KM6" s="5" t="s">
        <v>12</v>
      </c>
      <c r="KN6" s="4">
        <f t="shared" si="58"/>
        <v>42</v>
      </c>
      <c r="KO6" s="21"/>
      <c r="KP6" s="18">
        <f t="shared" si="158"/>
        <v>13</v>
      </c>
      <c r="KQ6" s="4">
        <v>13</v>
      </c>
      <c r="KR6" s="8">
        <f t="shared" si="59"/>
        <v>0</v>
      </c>
      <c r="KT6" s="20"/>
      <c r="KU6" s="5" t="s">
        <v>12</v>
      </c>
      <c r="KV6" s="20">
        <v>21</v>
      </c>
      <c r="KW6" s="5" t="s">
        <v>12</v>
      </c>
      <c r="KX6" s="4">
        <f t="shared" si="60"/>
        <v>21</v>
      </c>
      <c r="KY6" s="21">
        <v>2</v>
      </c>
      <c r="KZ6" s="18">
        <f t="shared" si="61"/>
        <v>21</v>
      </c>
      <c r="LA6" s="4">
        <v>17</v>
      </c>
      <c r="LB6" s="8">
        <f t="shared" si="62"/>
        <v>-4</v>
      </c>
      <c r="LD6" s="20">
        <v>24</v>
      </c>
      <c r="LE6" s="5" t="s">
        <v>12</v>
      </c>
      <c r="LF6" s="20">
        <v>24</v>
      </c>
      <c r="LG6" s="5" t="s">
        <v>12</v>
      </c>
      <c r="LH6" s="4">
        <f t="shared" si="63"/>
        <v>48</v>
      </c>
      <c r="LI6" s="21"/>
      <c r="LJ6" s="18">
        <f t="shared" si="64"/>
        <v>21</v>
      </c>
      <c r="LK6" s="4">
        <v>21</v>
      </c>
      <c r="LL6" s="8">
        <f t="shared" si="65"/>
        <v>0</v>
      </c>
      <c r="LN6" s="20"/>
      <c r="LO6" s="5" t="s">
        <v>12</v>
      </c>
      <c r="LP6" s="20">
        <v>32</v>
      </c>
      <c r="LQ6" s="5" t="s">
        <v>12</v>
      </c>
      <c r="LR6" s="4">
        <v>34</v>
      </c>
      <c r="LS6" s="21">
        <v>1</v>
      </c>
      <c r="LT6" s="18">
        <f t="shared" si="66"/>
        <v>14</v>
      </c>
      <c r="LU6" s="4">
        <v>11</v>
      </c>
      <c r="LV6" s="8">
        <f t="shared" si="67"/>
        <v>-3</v>
      </c>
      <c r="LX6" s="20"/>
      <c r="LY6" s="5" t="s">
        <v>12</v>
      </c>
      <c r="LZ6" s="20">
        <v>30</v>
      </c>
      <c r="MA6" s="5" t="s">
        <v>12</v>
      </c>
      <c r="MB6" s="4">
        <f t="shared" si="68"/>
        <v>30</v>
      </c>
      <c r="MC6" s="21"/>
      <c r="MD6" s="18">
        <f t="shared" si="69"/>
        <v>28</v>
      </c>
      <c r="ME6" s="4">
        <v>22</v>
      </c>
      <c r="MF6" s="8">
        <f t="shared" si="70"/>
        <v>-6</v>
      </c>
      <c r="MH6" s="20"/>
      <c r="MI6" s="5" t="s">
        <v>12</v>
      </c>
      <c r="MJ6" s="20">
        <v>14</v>
      </c>
      <c r="MK6" s="5" t="s">
        <v>12</v>
      </c>
      <c r="ML6" s="4">
        <f t="shared" si="71"/>
        <v>14</v>
      </c>
      <c r="MM6" s="21">
        <v>1</v>
      </c>
      <c r="MN6" s="18">
        <f t="shared" si="72"/>
        <v>16</v>
      </c>
      <c r="MO6" s="4">
        <v>16</v>
      </c>
      <c r="MP6" s="8">
        <f t="shared" si="73"/>
        <v>0</v>
      </c>
      <c r="MR6" s="20"/>
      <c r="MS6" s="5" t="s">
        <v>12</v>
      </c>
      <c r="MT6" s="20">
        <v>26</v>
      </c>
      <c r="MU6" s="5" t="s">
        <v>12</v>
      </c>
      <c r="MV6" s="4">
        <f t="shared" si="74"/>
        <v>26</v>
      </c>
      <c r="MW6" s="21"/>
      <c r="MX6" s="18">
        <f t="shared" si="75"/>
        <v>12</v>
      </c>
      <c r="MY6" s="4">
        <v>7</v>
      </c>
      <c r="MZ6" s="18">
        <f t="shared" si="76"/>
        <v>-5</v>
      </c>
      <c r="NB6" s="20"/>
      <c r="NC6" s="5" t="s">
        <v>12</v>
      </c>
      <c r="ND6" s="20">
        <v>10</v>
      </c>
      <c r="NE6" s="5" t="s">
        <v>12</v>
      </c>
      <c r="NF6" s="4">
        <f t="shared" si="77"/>
        <v>10</v>
      </c>
      <c r="NG6" s="21">
        <v>2</v>
      </c>
      <c r="NH6" s="18">
        <f t="shared" si="78"/>
        <v>16</v>
      </c>
      <c r="NI6" s="4">
        <v>9</v>
      </c>
      <c r="NJ6" s="8">
        <f t="shared" si="79"/>
        <v>-7</v>
      </c>
      <c r="NL6" s="20"/>
      <c r="NM6" s="5" t="s">
        <v>12</v>
      </c>
      <c r="NN6" s="20">
        <v>47</v>
      </c>
      <c r="NO6" s="5" t="s">
        <v>12</v>
      </c>
      <c r="NP6" s="4">
        <f t="shared" si="80"/>
        <v>47</v>
      </c>
      <c r="NQ6" s="21"/>
      <c r="NR6" s="18">
        <f t="shared" si="81"/>
        <v>11</v>
      </c>
      <c r="NS6" s="4">
        <v>9</v>
      </c>
      <c r="NT6" s="8">
        <f t="shared" si="82"/>
        <v>-2</v>
      </c>
      <c r="NV6" s="20"/>
      <c r="NW6" s="5" t="s">
        <v>12</v>
      </c>
      <c r="NX6" s="20">
        <v>34</v>
      </c>
      <c r="NY6" s="5" t="s">
        <v>12</v>
      </c>
      <c r="NZ6" s="4">
        <f t="shared" si="83"/>
        <v>34</v>
      </c>
      <c r="OA6" s="21">
        <v>1</v>
      </c>
      <c r="OB6" s="18">
        <f t="shared" si="84"/>
        <v>13</v>
      </c>
      <c r="OC6" s="4">
        <v>13</v>
      </c>
      <c r="OD6" s="8">
        <f t="shared" si="85"/>
        <v>0</v>
      </c>
      <c r="OF6" s="20"/>
      <c r="OG6" s="5" t="s">
        <v>12</v>
      </c>
      <c r="OH6" s="20">
        <v>42</v>
      </c>
      <c r="OI6" s="5" t="s">
        <v>12</v>
      </c>
      <c r="OJ6" s="4">
        <f t="shared" si="86"/>
        <v>42</v>
      </c>
      <c r="OK6" s="21"/>
      <c r="OL6" s="18">
        <f t="shared" si="87"/>
        <v>16</v>
      </c>
      <c r="OM6" s="4">
        <v>8</v>
      </c>
      <c r="ON6" s="8">
        <f t="shared" si="88"/>
        <v>-8</v>
      </c>
      <c r="OP6" s="20"/>
      <c r="OQ6" s="5" t="s">
        <v>12</v>
      </c>
      <c r="OR6" s="20">
        <v>29</v>
      </c>
      <c r="OS6" s="5" t="s">
        <v>12</v>
      </c>
      <c r="OT6" s="4">
        <f t="shared" si="89"/>
        <v>29</v>
      </c>
      <c r="OU6" s="21"/>
      <c r="OV6" s="18">
        <f t="shared" si="90"/>
        <v>13</v>
      </c>
      <c r="OW6" s="4">
        <v>13</v>
      </c>
      <c r="OX6" s="8">
        <f t="shared" si="91"/>
        <v>0</v>
      </c>
      <c r="OZ6" s="2">
        <v>0</v>
      </c>
      <c r="PA6" s="5" t="s">
        <v>12</v>
      </c>
      <c r="PB6" s="2">
        <v>22</v>
      </c>
      <c r="PC6" s="5" t="s">
        <v>12</v>
      </c>
      <c r="PD6" s="4">
        <f t="shared" si="92"/>
        <v>22</v>
      </c>
      <c r="PE6" s="17">
        <v>1</v>
      </c>
      <c r="PF6" s="18">
        <f t="shared" si="93"/>
        <v>7</v>
      </c>
      <c r="PG6" s="4">
        <v>6</v>
      </c>
      <c r="PH6" s="8">
        <f t="shared" si="94"/>
        <v>-1</v>
      </c>
      <c r="PJ6" s="2"/>
      <c r="PK6" s="5" t="s">
        <v>12</v>
      </c>
      <c r="PL6" s="2">
        <v>26</v>
      </c>
      <c r="PM6" s="5" t="s">
        <v>12</v>
      </c>
      <c r="PN6" s="4">
        <f t="shared" si="95"/>
        <v>26</v>
      </c>
      <c r="PO6" s="17"/>
      <c r="PP6" s="18">
        <f t="shared" si="96"/>
        <v>20</v>
      </c>
      <c r="PQ6" s="4">
        <v>19</v>
      </c>
      <c r="PR6" s="8">
        <f t="shared" si="97"/>
        <v>-1</v>
      </c>
      <c r="PT6" s="20"/>
      <c r="PU6" s="5" t="s">
        <v>12</v>
      </c>
      <c r="PV6" s="20">
        <v>6</v>
      </c>
      <c r="PW6" s="5" t="s">
        <v>12</v>
      </c>
      <c r="PX6" s="4">
        <f t="shared" si="98"/>
        <v>6</v>
      </c>
      <c r="PY6" s="21">
        <v>2</v>
      </c>
      <c r="PZ6" s="18">
        <f t="shared" si="99"/>
        <v>20</v>
      </c>
      <c r="QA6" s="4">
        <v>20</v>
      </c>
      <c r="QB6" s="8">
        <f t="shared" si="100"/>
        <v>0</v>
      </c>
      <c r="QD6" s="20">
        <v>0</v>
      </c>
      <c r="QE6" s="5" t="s">
        <v>12</v>
      </c>
      <c r="QF6" s="20">
        <v>40</v>
      </c>
      <c r="QG6" s="5" t="s">
        <v>12</v>
      </c>
      <c r="QH6" s="4">
        <f t="shared" si="101"/>
        <v>40</v>
      </c>
      <c r="QI6" s="21"/>
      <c r="QJ6" s="18">
        <f t="shared" si="102"/>
        <v>14</v>
      </c>
      <c r="QK6" s="4">
        <v>14</v>
      </c>
      <c r="QL6" s="8">
        <f t="shared" si="103"/>
        <v>0</v>
      </c>
      <c r="QN6" s="20">
        <v>0</v>
      </c>
      <c r="QO6" s="5" t="s">
        <v>12</v>
      </c>
      <c r="QP6" s="20">
        <v>28</v>
      </c>
      <c r="QQ6" s="5" t="s">
        <v>12</v>
      </c>
      <c r="QR6" s="4">
        <f t="shared" si="104"/>
        <v>28</v>
      </c>
      <c r="QS6" s="21">
        <v>1</v>
      </c>
      <c r="QT6" s="18">
        <f t="shared" si="105"/>
        <v>12</v>
      </c>
      <c r="QU6" s="4">
        <v>12</v>
      </c>
      <c r="QV6" s="8">
        <f t="shared" si="106"/>
        <v>0</v>
      </c>
      <c r="QX6" s="20">
        <v>0</v>
      </c>
      <c r="QY6" s="5" t="s">
        <v>12</v>
      </c>
      <c r="QZ6" s="20">
        <v>30</v>
      </c>
      <c r="RA6" s="5" t="s">
        <v>12</v>
      </c>
      <c r="RB6" s="4">
        <f t="shared" si="107"/>
        <v>30</v>
      </c>
      <c r="RC6" s="21"/>
      <c r="RD6" s="18">
        <f t="shared" si="108"/>
        <v>22</v>
      </c>
      <c r="RE6" s="4">
        <v>22</v>
      </c>
      <c r="RF6" s="8">
        <f t="shared" si="109"/>
        <v>0</v>
      </c>
      <c r="RH6" s="20">
        <v>0</v>
      </c>
      <c r="RI6" s="5" t="s">
        <v>12</v>
      </c>
      <c r="RJ6" s="20">
        <v>10</v>
      </c>
      <c r="RK6" s="5" t="s">
        <v>12</v>
      </c>
      <c r="RL6" s="4">
        <f t="shared" si="110"/>
        <v>10</v>
      </c>
      <c r="RM6" s="21">
        <v>2</v>
      </c>
      <c r="RN6" s="18">
        <f t="shared" si="111"/>
        <v>20</v>
      </c>
      <c r="RO6" s="4">
        <v>19</v>
      </c>
      <c r="RP6" s="8">
        <f t="shared" si="112"/>
        <v>-1</v>
      </c>
      <c r="RR6" s="2">
        <v>0</v>
      </c>
      <c r="RS6" s="5" t="s">
        <v>12</v>
      </c>
      <c r="RT6" s="2">
        <v>43</v>
      </c>
      <c r="RU6" s="5" t="s">
        <v>12</v>
      </c>
      <c r="RV6" s="4">
        <f t="shared" si="113"/>
        <v>43</v>
      </c>
      <c r="RW6" s="17"/>
      <c r="RX6" s="18">
        <f t="shared" si="114"/>
        <v>15</v>
      </c>
      <c r="RY6" s="4">
        <v>15</v>
      </c>
      <c r="RZ6" s="8">
        <f t="shared" si="115"/>
        <v>0</v>
      </c>
      <c r="SB6" s="20"/>
      <c r="SC6" s="5" t="s">
        <v>12</v>
      </c>
      <c r="SD6" s="20">
        <v>5</v>
      </c>
      <c r="SE6" s="5" t="s">
        <v>12</v>
      </c>
      <c r="SF6" s="4">
        <f t="shared" si="116"/>
        <v>5</v>
      </c>
      <c r="SG6" s="21">
        <v>2</v>
      </c>
      <c r="SH6" s="18">
        <f t="shared" si="117"/>
        <v>38</v>
      </c>
      <c r="SI6" s="4">
        <v>35</v>
      </c>
      <c r="SJ6" s="8">
        <f t="shared" si="118"/>
        <v>-3</v>
      </c>
      <c r="SL6" s="2">
        <v>0</v>
      </c>
      <c r="SM6" s="5" t="s">
        <v>12</v>
      </c>
      <c r="SN6" s="2">
        <v>42</v>
      </c>
      <c r="SO6" s="5" t="s">
        <v>12</v>
      </c>
      <c r="SP6" s="4">
        <f t="shared" si="119"/>
        <v>42</v>
      </c>
      <c r="SQ6" s="17"/>
      <c r="SR6" s="18">
        <f t="shared" si="120"/>
        <v>11</v>
      </c>
      <c r="SS6" s="4">
        <v>11</v>
      </c>
      <c r="ST6" s="8">
        <f t="shared" si="121"/>
        <v>0</v>
      </c>
      <c r="SV6" s="2">
        <v>0</v>
      </c>
      <c r="SW6" s="5" t="s">
        <v>12</v>
      </c>
      <c r="SX6" s="2">
        <v>28</v>
      </c>
      <c r="SY6" s="5" t="s">
        <v>12</v>
      </c>
      <c r="SZ6" s="4">
        <f t="shared" si="122"/>
        <v>28</v>
      </c>
      <c r="TA6" s="17">
        <v>1</v>
      </c>
      <c r="TB6" s="18">
        <f t="shared" si="123"/>
        <v>14</v>
      </c>
      <c r="TC6" s="4">
        <v>14</v>
      </c>
      <c r="TD6" s="8">
        <f t="shared" si="124"/>
        <v>0</v>
      </c>
      <c r="TF6" s="57"/>
      <c r="TG6" s="58" t="s">
        <v>12</v>
      </c>
      <c r="TH6" s="57">
        <v>31</v>
      </c>
      <c r="TI6" s="58" t="s">
        <v>12</v>
      </c>
      <c r="TJ6" s="59">
        <f t="shared" si="125"/>
        <v>31</v>
      </c>
      <c r="TK6" s="60"/>
      <c r="TL6" s="61">
        <f t="shared" si="126"/>
        <v>21</v>
      </c>
      <c r="TM6" s="59">
        <v>21</v>
      </c>
      <c r="TN6" s="62">
        <f t="shared" si="127"/>
        <v>0</v>
      </c>
      <c r="TP6" s="2"/>
      <c r="TQ6" s="5" t="s">
        <v>12</v>
      </c>
      <c r="TR6" s="2"/>
      <c r="TS6" s="5" t="s">
        <v>12</v>
      </c>
      <c r="TT6" s="4" t="str">
        <f t="shared" si="128"/>
        <v/>
      </c>
      <c r="TU6" s="17"/>
      <c r="TV6" s="18" t="str">
        <f t="shared" si="129"/>
        <v/>
      </c>
      <c r="TW6" s="4"/>
      <c r="TX6" s="8" t="str">
        <f t="shared" si="130"/>
        <v/>
      </c>
    </row>
    <row r="7" spans="1:544" ht="12.75" customHeight="1" x14ac:dyDescent="0.2">
      <c r="A7" s="16" t="s">
        <v>21</v>
      </c>
      <c r="B7" s="11" t="s">
        <v>13</v>
      </c>
      <c r="C7" s="12">
        <v>18</v>
      </c>
      <c r="D7" s="13" t="s">
        <v>12</v>
      </c>
      <c r="F7" s="2"/>
      <c r="G7" s="5" t="s">
        <v>12</v>
      </c>
      <c r="H7" s="2"/>
      <c r="I7" s="5" t="s">
        <v>12</v>
      </c>
      <c r="J7" s="4">
        <v>0</v>
      </c>
      <c r="K7" s="17">
        <v>2</v>
      </c>
      <c r="L7" s="18"/>
      <c r="M7" s="4"/>
      <c r="N7" s="8" t="str">
        <f t="shared" si="0"/>
        <v/>
      </c>
      <c r="P7" s="20">
        <v>36</v>
      </c>
      <c r="Q7" s="5" t="s">
        <v>12</v>
      </c>
      <c r="R7" s="20">
        <v>7</v>
      </c>
      <c r="S7" s="5" t="s">
        <v>12</v>
      </c>
      <c r="T7" s="4">
        <f t="shared" si="1"/>
        <v>43</v>
      </c>
      <c r="U7" s="21"/>
      <c r="V7" s="18">
        <f t="shared" si="131"/>
        <v>5</v>
      </c>
      <c r="W7" s="4">
        <v>6</v>
      </c>
      <c r="X7" s="8">
        <f t="shared" si="2"/>
        <v>1</v>
      </c>
      <c r="Z7" s="20"/>
      <c r="AA7" s="5" t="s">
        <v>12</v>
      </c>
      <c r="AB7" s="20">
        <v>33</v>
      </c>
      <c r="AC7" s="5" t="s">
        <v>12</v>
      </c>
      <c r="AD7" s="4">
        <f t="shared" si="3"/>
        <v>33</v>
      </c>
      <c r="AE7" s="21"/>
      <c r="AF7" s="18">
        <f t="shared" si="132"/>
        <v>10</v>
      </c>
      <c r="AG7" s="4">
        <v>7</v>
      </c>
      <c r="AH7" s="8">
        <f t="shared" si="4"/>
        <v>-3</v>
      </c>
      <c r="AJ7" s="2"/>
      <c r="AK7" s="5" t="s">
        <v>12</v>
      </c>
      <c r="AL7" s="2">
        <v>32</v>
      </c>
      <c r="AM7" s="5" t="s">
        <v>12</v>
      </c>
      <c r="AN7" s="4">
        <f t="shared" si="5"/>
        <v>32</v>
      </c>
      <c r="AO7" s="17"/>
      <c r="AP7" s="18">
        <f t="shared" si="133"/>
        <v>1</v>
      </c>
      <c r="AQ7" s="4">
        <v>1</v>
      </c>
      <c r="AR7" s="8">
        <f t="shared" si="6"/>
        <v>0</v>
      </c>
      <c r="AT7" s="2"/>
      <c r="AU7" s="5" t="s">
        <v>12</v>
      </c>
      <c r="AV7" s="2">
        <v>23</v>
      </c>
      <c r="AW7" s="5" t="s">
        <v>12</v>
      </c>
      <c r="AX7" s="4">
        <f t="shared" si="7"/>
        <v>23</v>
      </c>
      <c r="AY7" s="17">
        <v>0</v>
      </c>
      <c r="AZ7" s="18">
        <f t="shared" si="134"/>
        <v>9</v>
      </c>
      <c r="BA7" s="4">
        <v>9</v>
      </c>
      <c r="BB7" s="8">
        <f t="shared" si="8"/>
        <v>0</v>
      </c>
      <c r="BD7" s="2"/>
      <c r="BE7" s="5" t="s">
        <v>12</v>
      </c>
      <c r="BF7" s="2">
        <v>9</v>
      </c>
      <c r="BG7" s="5" t="s">
        <v>12</v>
      </c>
      <c r="BH7" s="4">
        <f t="shared" si="9"/>
        <v>9</v>
      </c>
      <c r="BI7" s="17">
        <v>1</v>
      </c>
      <c r="BJ7" s="18">
        <f t="shared" si="135"/>
        <v>14</v>
      </c>
      <c r="BK7" s="4">
        <v>10</v>
      </c>
      <c r="BL7" s="8">
        <f t="shared" si="10"/>
        <v>-4</v>
      </c>
      <c r="BN7" s="20"/>
      <c r="BO7" s="5" t="s">
        <v>12</v>
      </c>
      <c r="BP7" s="20">
        <v>27</v>
      </c>
      <c r="BQ7" s="5" t="s">
        <v>12</v>
      </c>
      <c r="BR7" s="4">
        <f t="shared" si="11"/>
        <v>27</v>
      </c>
      <c r="BS7" s="21">
        <v>2</v>
      </c>
      <c r="BT7" s="18">
        <f t="shared" si="136"/>
        <v>6</v>
      </c>
      <c r="BU7" s="4">
        <v>6</v>
      </c>
      <c r="BV7" s="8">
        <f t="shared" si="12"/>
        <v>0</v>
      </c>
      <c r="BX7" s="20">
        <v>48</v>
      </c>
      <c r="BY7" s="5" t="s">
        <v>12</v>
      </c>
      <c r="BZ7" s="20">
        <v>19</v>
      </c>
      <c r="CA7" s="5" t="s">
        <v>12</v>
      </c>
      <c r="CB7" s="4">
        <f t="shared" si="13"/>
        <v>67</v>
      </c>
      <c r="CC7" s="21">
        <v>0</v>
      </c>
      <c r="CD7" s="18">
        <f t="shared" si="137"/>
        <v>8</v>
      </c>
      <c r="CE7" s="4">
        <v>5</v>
      </c>
      <c r="CF7" s="8">
        <f t="shared" si="14"/>
        <v>-3</v>
      </c>
      <c r="CH7" s="20">
        <v>36</v>
      </c>
      <c r="CI7" s="5" t="s">
        <v>12</v>
      </c>
      <c r="CJ7" s="20">
        <v>20</v>
      </c>
      <c r="CK7" s="5" t="s">
        <v>12</v>
      </c>
      <c r="CL7" s="4">
        <f t="shared" si="15"/>
        <v>56</v>
      </c>
      <c r="CM7" s="21">
        <v>0</v>
      </c>
      <c r="CN7" s="18">
        <f t="shared" si="138"/>
        <v>11</v>
      </c>
      <c r="CO7" s="4">
        <v>9</v>
      </c>
      <c r="CP7" s="8">
        <f t="shared" si="16"/>
        <v>-2</v>
      </c>
      <c r="CR7" s="20">
        <v>24</v>
      </c>
      <c r="CS7" s="5" t="s">
        <v>12</v>
      </c>
      <c r="CT7" s="20">
        <v>23</v>
      </c>
      <c r="CU7" s="5" t="s">
        <v>12</v>
      </c>
      <c r="CV7" s="4">
        <f t="shared" si="17"/>
        <v>47</v>
      </c>
      <c r="CW7" s="21">
        <v>0</v>
      </c>
      <c r="CX7" s="18">
        <f t="shared" si="139"/>
        <v>9</v>
      </c>
      <c r="CY7" s="4">
        <v>7</v>
      </c>
      <c r="CZ7" s="8">
        <f t="shared" si="18"/>
        <v>-2</v>
      </c>
      <c r="DB7" s="20"/>
      <c r="DC7" s="5" t="s">
        <v>12</v>
      </c>
      <c r="DD7" s="20">
        <v>39</v>
      </c>
      <c r="DE7" s="5" t="s">
        <v>12</v>
      </c>
      <c r="DF7" s="4">
        <f t="shared" si="19"/>
        <v>39</v>
      </c>
      <c r="DG7" s="21">
        <v>0</v>
      </c>
      <c r="DH7" s="18">
        <f t="shared" si="140"/>
        <v>8</v>
      </c>
      <c r="DI7" s="4">
        <v>8</v>
      </c>
      <c r="DJ7" s="8">
        <f t="shared" si="20"/>
        <v>0</v>
      </c>
      <c r="DL7" s="20"/>
      <c r="DM7" s="5" t="s">
        <v>12</v>
      </c>
      <c r="DN7" s="20">
        <v>31</v>
      </c>
      <c r="DO7" s="5" t="s">
        <v>12</v>
      </c>
      <c r="DP7" s="4">
        <f t="shared" si="21"/>
        <v>31</v>
      </c>
      <c r="DQ7" s="21"/>
      <c r="DR7" s="18">
        <f t="shared" si="141"/>
        <v>8</v>
      </c>
      <c r="DS7" s="4">
        <v>8</v>
      </c>
      <c r="DT7" s="8">
        <f t="shared" si="22"/>
        <v>0</v>
      </c>
      <c r="DV7" s="2">
        <v>1</v>
      </c>
      <c r="DW7" s="5" t="s">
        <v>12</v>
      </c>
      <c r="DX7" s="2">
        <v>23</v>
      </c>
      <c r="DY7" s="5" t="s">
        <v>12</v>
      </c>
      <c r="DZ7" s="4">
        <f t="shared" si="23"/>
        <v>24</v>
      </c>
      <c r="EA7" s="17"/>
      <c r="EB7" s="18">
        <f t="shared" si="142"/>
        <v>7</v>
      </c>
      <c r="EC7" s="4">
        <v>8</v>
      </c>
      <c r="ED7" s="8">
        <f t="shared" si="24"/>
        <v>1</v>
      </c>
      <c r="EF7" s="20"/>
      <c r="EG7" s="5" t="s">
        <v>12</v>
      </c>
      <c r="EH7" s="20">
        <v>12</v>
      </c>
      <c r="EI7" s="5" t="s">
        <v>12</v>
      </c>
      <c r="EJ7" s="4">
        <f t="shared" si="25"/>
        <v>12</v>
      </c>
      <c r="EK7" s="21">
        <v>1</v>
      </c>
      <c r="EL7" s="18">
        <f t="shared" si="143"/>
        <v>12</v>
      </c>
      <c r="EM7" s="4">
        <v>12</v>
      </c>
      <c r="EN7" s="8">
        <f t="shared" si="26"/>
        <v>0</v>
      </c>
      <c r="EP7" s="20">
        <v>0</v>
      </c>
      <c r="EQ7" s="5" t="s">
        <v>12</v>
      </c>
      <c r="ER7" s="20">
        <v>24</v>
      </c>
      <c r="ES7" s="5" t="s">
        <v>12</v>
      </c>
      <c r="ET7" s="4">
        <f t="shared" si="27"/>
        <v>24</v>
      </c>
      <c r="EU7" s="21"/>
      <c r="EV7" s="18">
        <f t="shared" si="144"/>
        <v>12</v>
      </c>
      <c r="EW7" s="4">
        <v>12</v>
      </c>
      <c r="EX7" s="8">
        <f t="shared" si="28"/>
        <v>0</v>
      </c>
      <c r="EZ7" s="20"/>
      <c r="FA7" s="5" t="s">
        <v>12</v>
      </c>
      <c r="FB7" s="20">
        <v>18</v>
      </c>
      <c r="FC7" s="5" t="s">
        <v>12</v>
      </c>
      <c r="FD7" s="4">
        <f t="shared" si="29"/>
        <v>18</v>
      </c>
      <c r="FE7" s="21"/>
      <c r="FF7" s="18">
        <f t="shared" si="145"/>
        <v>6</v>
      </c>
      <c r="FG7" s="4">
        <v>7</v>
      </c>
      <c r="FH7" s="8">
        <f t="shared" si="30"/>
        <v>1</v>
      </c>
      <c r="FJ7" s="2"/>
      <c r="FK7" s="5" t="s">
        <v>12</v>
      </c>
      <c r="FL7" s="2">
        <v>14</v>
      </c>
      <c r="FM7" s="5" t="s">
        <v>12</v>
      </c>
      <c r="FN7" s="4">
        <f t="shared" si="31"/>
        <v>14</v>
      </c>
      <c r="FO7" s="17">
        <v>1</v>
      </c>
      <c r="FP7" s="18">
        <f t="shared" si="146"/>
        <v>4</v>
      </c>
      <c r="FQ7" s="4">
        <v>4</v>
      </c>
      <c r="FR7" s="8">
        <f t="shared" si="32"/>
        <v>0</v>
      </c>
      <c r="FT7" s="2"/>
      <c r="FU7" s="5" t="s">
        <v>12</v>
      </c>
      <c r="FV7" s="2">
        <v>25</v>
      </c>
      <c r="FW7" s="5" t="s">
        <v>12</v>
      </c>
      <c r="FX7" s="4">
        <f t="shared" si="33"/>
        <v>25</v>
      </c>
      <c r="FY7" s="17">
        <v>0</v>
      </c>
      <c r="FZ7" s="18">
        <f t="shared" si="147"/>
        <v>13</v>
      </c>
      <c r="GA7" s="4">
        <v>6</v>
      </c>
      <c r="GB7" s="8">
        <f t="shared" si="34"/>
        <v>-7</v>
      </c>
      <c r="GD7" s="20">
        <v>0</v>
      </c>
      <c r="GE7" s="5" t="s">
        <v>12</v>
      </c>
      <c r="GF7" s="20">
        <v>18</v>
      </c>
      <c r="GG7" s="5" t="s">
        <v>12</v>
      </c>
      <c r="GH7" s="4">
        <f t="shared" si="35"/>
        <v>18</v>
      </c>
      <c r="GI7" s="21">
        <v>1</v>
      </c>
      <c r="GJ7" s="18">
        <f t="shared" si="148"/>
        <v>7</v>
      </c>
      <c r="GK7" s="4">
        <v>8</v>
      </c>
      <c r="GL7" s="8">
        <f t="shared" si="36"/>
        <v>1</v>
      </c>
      <c r="GN7" s="20"/>
      <c r="GO7" s="5" t="s">
        <v>12</v>
      </c>
      <c r="GP7" s="20">
        <v>37</v>
      </c>
      <c r="GQ7" s="5" t="s">
        <v>12</v>
      </c>
      <c r="GR7" s="4">
        <f t="shared" si="37"/>
        <v>37</v>
      </c>
      <c r="GS7" s="21">
        <v>0</v>
      </c>
      <c r="GT7" s="18">
        <f t="shared" si="149"/>
        <v>5</v>
      </c>
      <c r="GU7" s="4">
        <v>6</v>
      </c>
      <c r="GV7" s="8">
        <f t="shared" si="38"/>
        <v>1</v>
      </c>
      <c r="GX7" s="20"/>
      <c r="GY7" s="5" t="s">
        <v>12</v>
      </c>
      <c r="GZ7" s="20">
        <v>28</v>
      </c>
      <c r="HA7" s="5" t="s">
        <v>12</v>
      </c>
      <c r="HB7" s="4">
        <f t="shared" si="39"/>
        <v>28</v>
      </c>
      <c r="HC7" s="21">
        <v>0</v>
      </c>
      <c r="HD7" s="18">
        <f t="shared" si="150"/>
        <v>9</v>
      </c>
      <c r="HE7" s="4">
        <v>9</v>
      </c>
      <c r="HF7" s="8">
        <f t="shared" si="40"/>
        <v>0</v>
      </c>
      <c r="HH7" s="20"/>
      <c r="HI7" s="5" t="s">
        <v>12</v>
      </c>
      <c r="HJ7" s="20">
        <v>13</v>
      </c>
      <c r="HK7" s="5" t="s">
        <v>12</v>
      </c>
      <c r="HL7" s="4">
        <f t="shared" si="41"/>
        <v>13</v>
      </c>
      <c r="HM7" s="21">
        <v>1</v>
      </c>
      <c r="HN7" s="18">
        <f t="shared" si="151"/>
        <v>15</v>
      </c>
      <c r="HO7" s="4">
        <v>15</v>
      </c>
      <c r="HP7" s="8">
        <f t="shared" si="42"/>
        <v>0</v>
      </c>
      <c r="HR7" s="2"/>
      <c r="HS7" s="5" t="s">
        <v>12</v>
      </c>
      <c r="HT7" s="2">
        <v>22</v>
      </c>
      <c r="HU7" s="5" t="s">
        <v>12</v>
      </c>
      <c r="HV7" s="4">
        <f t="shared" si="43"/>
        <v>22</v>
      </c>
      <c r="HW7" s="17">
        <v>1</v>
      </c>
      <c r="HX7" s="18">
        <f t="shared" si="152"/>
        <v>15</v>
      </c>
      <c r="HY7" s="4">
        <v>15</v>
      </c>
      <c r="HZ7" s="8">
        <f t="shared" si="44"/>
        <v>0</v>
      </c>
      <c r="IB7" s="2"/>
      <c r="IC7" s="5" t="s">
        <v>12</v>
      </c>
      <c r="ID7" s="2">
        <v>41</v>
      </c>
      <c r="IE7" s="5" t="s">
        <v>12</v>
      </c>
      <c r="IF7" s="4">
        <f t="shared" si="45"/>
        <v>41</v>
      </c>
      <c r="IG7" s="17">
        <v>0</v>
      </c>
      <c r="IH7" s="18">
        <f t="shared" si="153"/>
        <v>5</v>
      </c>
      <c r="II7" s="4">
        <v>5</v>
      </c>
      <c r="IJ7" s="8">
        <f t="shared" si="46"/>
        <v>0</v>
      </c>
      <c r="IL7" s="2"/>
      <c r="IM7" s="5" t="s">
        <v>12</v>
      </c>
      <c r="IN7" s="2">
        <v>29</v>
      </c>
      <c r="IO7" s="5" t="s">
        <v>12</v>
      </c>
      <c r="IP7" s="4">
        <f t="shared" si="47"/>
        <v>29</v>
      </c>
      <c r="IQ7" s="17"/>
      <c r="IR7" s="18">
        <f t="shared" si="48"/>
        <v>12</v>
      </c>
      <c r="IS7" s="4">
        <v>12</v>
      </c>
      <c r="IT7" s="8">
        <f t="shared" si="49"/>
        <v>0</v>
      </c>
      <c r="IV7" s="2">
        <v>0</v>
      </c>
      <c r="IW7" s="5" t="s">
        <v>12</v>
      </c>
      <c r="IX7" s="2">
        <v>18</v>
      </c>
      <c r="IY7" s="5" t="s">
        <v>12</v>
      </c>
      <c r="IZ7" s="4">
        <f t="shared" si="50"/>
        <v>18</v>
      </c>
      <c r="JA7" s="17"/>
      <c r="JB7" s="18">
        <f t="shared" si="154"/>
        <v>11</v>
      </c>
      <c r="JC7" s="4">
        <v>11</v>
      </c>
      <c r="JD7" s="8">
        <f t="shared" si="51"/>
        <v>0</v>
      </c>
      <c r="JF7" s="2"/>
      <c r="JG7" s="5" t="s">
        <v>12</v>
      </c>
      <c r="JH7" s="2">
        <v>13</v>
      </c>
      <c r="JI7" s="5" t="s">
        <v>12</v>
      </c>
      <c r="JJ7" s="4">
        <f t="shared" si="52"/>
        <v>13</v>
      </c>
      <c r="JK7" s="17">
        <v>2</v>
      </c>
      <c r="JL7" s="18">
        <f t="shared" si="155"/>
        <v>5</v>
      </c>
      <c r="JM7" s="4">
        <v>5</v>
      </c>
      <c r="JN7" s="8">
        <f t="shared" si="53"/>
        <v>0</v>
      </c>
      <c r="JP7" s="20">
        <v>24</v>
      </c>
      <c r="JQ7" s="5" t="s">
        <v>12</v>
      </c>
      <c r="JR7" s="20">
        <v>28</v>
      </c>
      <c r="JS7" s="5" t="s">
        <v>12</v>
      </c>
      <c r="JT7" s="4">
        <f t="shared" si="54"/>
        <v>52</v>
      </c>
      <c r="JU7" s="21"/>
      <c r="JV7" s="18">
        <f t="shared" si="156"/>
        <v>9</v>
      </c>
      <c r="JW7" s="4">
        <v>6</v>
      </c>
      <c r="JX7" s="8">
        <f t="shared" si="55"/>
        <v>-3</v>
      </c>
      <c r="JZ7" s="20">
        <v>24</v>
      </c>
      <c r="KA7" s="5" t="s">
        <v>12</v>
      </c>
      <c r="KB7" s="20">
        <v>22</v>
      </c>
      <c r="KC7" s="5" t="s">
        <v>12</v>
      </c>
      <c r="KD7" s="4">
        <f t="shared" si="56"/>
        <v>46</v>
      </c>
      <c r="KE7" s="21">
        <v>0</v>
      </c>
      <c r="KF7" s="18">
        <f t="shared" si="157"/>
        <v>6</v>
      </c>
      <c r="KG7" s="4">
        <v>6</v>
      </c>
      <c r="KH7" s="8">
        <f t="shared" si="57"/>
        <v>0</v>
      </c>
      <c r="KJ7" s="20"/>
      <c r="KK7" s="5" t="s">
        <v>12</v>
      </c>
      <c r="KL7" s="20">
        <v>39</v>
      </c>
      <c r="KM7" s="5" t="s">
        <v>12</v>
      </c>
      <c r="KN7" s="4">
        <f t="shared" si="58"/>
        <v>39</v>
      </c>
      <c r="KO7" s="21"/>
      <c r="KP7" s="18">
        <f t="shared" si="158"/>
        <v>7</v>
      </c>
      <c r="KQ7" s="4">
        <v>6</v>
      </c>
      <c r="KR7" s="8">
        <f t="shared" si="59"/>
        <v>-1</v>
      </c>
      <c r="KT7" s="20"/>
      <c r="KU7" s="5" t="s">
        <v>12</v>
      </c>
      <c r="KV7" s="20">
        <v>32</v>
      </c>
      <c r="KW7" s="5" t="s">
        <v>12</v>
      </c>
      <c r="KX7" s="4">
        <f t="shared" si="60"/>
        <v>32</v>
      </c>
      <c r="KY7" s="21">
        <v>0</v>
      </c>
      <c r="KZ7" s="18">
        <f t="shared" si="61"/>
        <v>7</v>
      </c>
      <c r="LA7" s="4">
        <v>3</v>
      </c>
      <c r="LB7" s="8">
        <f t="shared" si="62"/>
        <v>-4</v>
      </c>
      <c r="LD7" s="20"/>
      <c r="LE7" s="5" t="s">
        <v>12</v>
      </c>
      <c r="LF7" s="20">
        <v>28</v>
      </c>
      <c r="LG7" s="5" t="s">
        <v>12</v>
      </c>
      <c r="LH7" s="4">
        <f t="shared" si="63"/>
        <v>28</v>
      </c>
      <c r="LI7" s="21"/>
      <c r="LJ7" s="18">
        <f t="shared" si="64"/>
        <v>4</v>
      </c>
      <c r="LK7" s="4">
        <v>4</v>
      </c>
      <c r="LL7" s="8">
        <f t="shared" si="65"/>
        <v>0</v>
      </c>
      <c r="LN7" s="20"/>
      <c r="LO7" s="5" t="s">
        <v>12</v>
      </c>
      <c r="LP7" s="20">
        <v>19</v>
      </c>
      <c r="LQ7" s="5" t="s">
        <v>12</v>
      </c>
      <c r="LR7" s="4">
        <f t="shared" si="159"/>
        <v>19</v>
      </c>
      <c r="LS7" s="21">
        <v>1</v>
      </c>
      <c r="LT7" s="18">
        <f t="shared" si="66"/>
        <v>9</v>
      </c>
      <c r="LU7" s="4">
        <v>9</v>
      </c>
      <c r="LV7" s="8">
        <f t="shared" si="67"/>
        <v>0</v>
      </c>
      <c r="LX7" s="20"/>
      <c r="LY7" s="5" t="s">
        <v>12</v>
      </c>
      <c r="LZ7" s="20">
        <v>35</v>
      </c>
      <c r="MA7" s="5" t="s">
        <v>12</v>
      </c>
      <c r="MB7" s="4">
        <f t="shared" si="68"/>
        <v>35</v>
      </c>
      <c r="MC7" s="21"/>
      <c r="MD7" s="18">
        <f t="shared" si="69"/>
        <v>8</v>
      </c>
      <c r="ME7" s="4">
        <v>8</v>
      </c>
      <c r="MF7" s="8">
        <f t="shared" si="70"/>
        <v>0</v>
      </c>
      <c r="MH7" s="20"/>
      <c r="MI7" s="5" t="s">
        <v>12</v>
      </c>
      <c r="MJ7" s="20">
        <v>31</v>
      </c>
      <c r="MK7" s="5" t="s">
        <v>12</v>
      </c>
      <c r="ML7" s="4">
        <f t="shared" si="71"/>
        <v>31</v>
      </c>
      <c r="MM7" s="21">
        <v>0</v>
      </c>
      <c r="MN7" s="18">
        <f t="shared" si="72"/>
        <v>4</v>
      </c>
      <c r="MO7" s="4">
        <v>4</v>
      </c>
      <c r="MP7" s="8">
        <f t="shared" si="73"/>
        <v>0</v>
      </c>
      <c r="MR7" s="20"/>
      <c r="MS7" s="5" t="s">
        <v>12</v>
      </c>
      <c r="MT7" s="20">
        <v>27</v>
      </c>
      <c r="MU7" s="5" t="s">
        <v>12</v>
      </c>
      <c r="MV7" s="4">
        <f t="shared" si="74"/>
        <v>27</v>
      </c>
      <c r="MW7" s="21"/>
      <c r="MX7" s="18">
        <f t="shared" si="75"/>
        <v>4</v>
      </c>
      <c r="MY7" s="4">
        <v>4</v>
      </c>
      <c r="MZ7" s="18">
        <f t="shared" si="76"/>
        <v>0</v>
      </c>
      <c r="NB7" s="20"/>
      <c r="NC7" s="5" t="s">
        <v>12</v>
      </c>
      <c r="ND7" s="20">
        <v>19</v>
      </c>
      <c r="NE7" s="5" t="s">
        <v>12</v>
      </c>
      <c r="NF7" s="4">
        <f t="shared" si="77"/>
        <v>19</v>
      </c>
      <c r="NG7" s="21">
        <v>1</v>
      </c>
      <c r="NH7" s="18">
        <f t="shared" si="78"/>
        <v>8</v>
      </c>
      <c r="NI7" s="4">
        <v>8</v>
      </c>
      <c r="NJ7" s="8">
        <f t="shared" si="79"/>
        <v>0</v>
      </c>
      <c r="NL7" s="20"/>
      <c r="NM7" s="5" t="s">
        <v>12</v>
      </c>
      <c r="NN7" s="20">
        <v>35</v>
      </c>
      <c r="NO7" s="5" t="s">
        <v>12</v>
      </c>
      <c r="NP7" s="4">
        <f t="shared" si="80"/>
        <v>35</v>
      </c>
      <c r="NQ7" s="21"/>
      <c r="NR7" s="18">
        <f t="shared" si="81"/>
        <v>8</v>
      </c>
      <c r="NS7" s="4">
        <v>8</v>
      </c>
      <c r="NT7" s="8">
        <f t="shared" si="82"/>
        <v>0</v>
      </c>
      <c r="NV7" s="20"/>
      <c r="NW7" s="5" t="s">
        <v>12</v>
      </c>
      <c r="NX7" s="20">
        <v>28</v>
      </c>
      <c r="NY7" s="5" t="s">
        <v>12</v>
      </c>
      <c r="NZ7" s="4">
        <f t="shared" si="83"/>
        <v>28</v>
      </c>
      <c r="OA7" s="21">
        <v>1</v>
      </c>
      <c r="OB7" s="18">
        <f t="shared" si="84"/>
        <v>7</v>
      </c>
      <c r="OC7" s="4">
        <v>7</v>
      </c>
      <c r="OD7" s="8">
        <f t="shared" si="85"/>
        <v>0</v>
      </c>
      <c r="OF7" s="20">
        <v>24</v>
      </c>
      <c r="OG7" s="5" t="s">
        <v>12</v>
      </c>
      <c r="OH7" s="20">
        <v>14</v>
      </c>
      <c r="OI7" s="5" t="s">
        <v>12</v>
      </c>
      <c r="OJ7" s="4">
        <f t="shared" si="86"/>
        <v>38</v>
      </c>
      <c r="OK7" s="21"/>
      <c r="OL7" s="18">
        <f t="shared" si="87"/>
        <v>14</v>
      </c>
      <c r="OM7" s="4">
        <v>14</v>
      </c>
      <c r="ON7" s="8">
        <f t="shared" si="88"/>
        <v>0</v>
      </c>
      <c r="OP7" s="20"/>
      <c r="OQ7" s="5" t="s">
        <v>12</v>
      </c>
      <c r="OR7" s="20">
        <v>29</v>
      </c>
      <c r="OS7" s="5" t="s">
        <v>12</v>
      </c>
      <c r="OT7" s="4">
        <f t="shared" si="89"/>
        <v>29</v>
      </c>
      <c r="OU7" s="21"/>
      <c r="OV7" s="18">
        <f t="shared" si="90"/>
        <v>9</v>
      </c>
      <c r="OW7" s="4">
        <v>9</v>
      </c>
      <c r="OX7" s="8">
        <f t="shared" si="91"/>
        <v>0</v>
      </c>
      <c r="OZ7" s="2">
        <v>0</v>
      </c>
      <c r="PA7" s="5" t="s">
        <v>12</v>
      </c>
      <c r="PB7" s="2">
        <v>18</v>
      </c>
      <c r="PC7" s="5" t="s">
        <v>12</v>
      </c>
      <c r="PD7" s="4">
        <f t="shared" si="92"/>
        <v>18</v>
      </c>
      <c r="PE7" s="17">
        <v>1</v>
      </c>
      <c r="PF7" s="18">
        <f t="shared" si="93"/>
        <v>11</v>
      </c>
      <c r="PG7" s="4">
        <v>10</v>
      </c>
      <c r="PH7" s="8">
        <f t="shared" si="94"/>
        <v>-1</v>
      </c>
      <c r="PJ7" s="2">
        <v>4</v>
      </c>
      <c r="PK7" s="5" t="s">
        <v>12</v>
      </c>
      <c r="PL7" s="2">
        <v>24</v>
      </c>
      <c r="PM7" s="5" t="s">
        <v>12</v>
      </c>
      <c r="PN7" s="4">
        <f t="shared" si="95"/>
        <v>28</v>
      </c>
      <c r="PO7" s="17"/>
      <c r="PP7" s="18">
        <f t="shared" si="96"/>
        <v>14</v>
      </c>
      <c r="PQ7" s="4">
        <v>13</v>
      </c>
      <c r="PR7" s="8">
        <f t="shared" si="97"/>
        <v>-1</v>
      </c>
      <c r="PT7" s="20"/>
      <c r="PU7" s="5" t="s">
        <v>12</v>
      </c>
      <c r="PV7" s="20">
        <v>11</v>
      </c>
      <c r="PW7" s="5" t="s">
        <v>12</v>
      </c>
      <c r="PX7" s="4">
        <f t="shared" si="98"/>
        <v>11</v>
      </c>
      <c r="PY7" s="21">
        <v>2</v>
      </c>
      <c r="PZ7" s="18">
        <f t="shared" si="99"/>
        <v>17</v>
      </c>
      <c r="QA7" s="4">
        <v>15</v>
      </c>
      <c r="QB7" s="8">
        <f t="shared" si="100"/>
        <v>-2</v>
      </c>
      <c r="QD7" s="20">
        <v>24</v>
      </c>
      <c r="QE7" s="5" t="s">
        <v>12</v>
      </c>
      <c r="QF7" s="20">
        <v>28</v>
      </c>
      <c r="QG7" s="5" t="s">
        <v>12</v>
      </c>
      <c r="QH7" s="4">
        <f t="shared" si="101"/>
        <v>52</v>
      </c>
      <c r="QI7" s="21"/>
      <c r="QJ7" s="18">
        <f t="shared" si="102"/>
        <v>7</v>
      </c>
      <c r="QK7" s="4">
        <v>7</v>
      </c>
      <c r="QL7" s="8">
        <f t="shared" si="103"/>
        <v>0</v>
      </c>
      <c r="QN7" s="20">
        <v>24</v>
      </c>
      <c r="QO7" s="5" t="s">
        <v>12</v>
      </c>
      <c r="QP7" s="20">
        <v>22</v>
      </c>
      <c r="QQ7" s="5" t="s">
        <v>12</v>
      </c>
      <c r="QR7" s="4">
        <f t="shared" si="104"/>
        <v>46</v>
      </c>
      <c r="QS7" s="21">
        <v>0</v>
      </c>
      <c r="QT7" s="18">
        <f t="shared" si="105"/>
        <v>6</v>
      </c>
      <c r="QU7" s="4">
        <v>6</v>
      </c>
      <c r="QV7" s="8">
        <f t="shared" si="106"/>
        <v>0</v>
      </c>
      <c r="QX7" s="20">
        <v>24</v>
      </c>
      <c r="QY7" s="5" t="s">
        <v>12</v>
      </c>
      <c r="QZ7" s="20">
        <v>12</v>
      </c>
      <c r="RA7" s="5" t="s">
        <v>12</v>
      </c>
      <c r="RB7" s="4">
        <f t="shared" si="107"/>
        <v>36</v>
      </c>
      <c r="RC7" s="21"/>
      <c r="RD7" s="18">
        <f t="shared" si="108"/>
        <v>10</v>
      </c>
      <c r="RE7" s="4">
        <v>10</v>
      </c>
      <c r="RF7" s="8">
        <f t="shared" si="109"/>
        <v>0</v>
      </c>
      <c r="RH7" s="20">
        <v>0</v>
      </c>
      <c r="RI7" s="5" t="s">
        <v>12</v>
      </c>
      <c r="RJ7" s="20">
        <v>31</v>
      </c>
      <c r="RK7" s="5" t="s">
        <v>12</v>
      </c>
      <c r="RL7" s="4">
        <f t="shared" si="110"/>
        <v>31</v>
      </c>
      <c r="RM7" s="21">
        <v>0</v>
      </c>
      <c r="RN7" s="18">
        <f t="shared" si="111"/>
        <v>5</v>
      </c>
      <c r="RO7" s="4">
        <v>5</v>
      </c>
      <c r="RP7" s="8">
        <f t="shared" si="112"/>
        <v>0</v>
      </c>
      <c r="RR7" s="2">
        <v>0</v>
      </c>
      <c r="RS7" s="5" t="s">
        <v>12</v>
      </c>
      <c r="RT7" s="2">
        <v>24</v>
      </c>
      <c r="RU7" s="5" t="s">
        <v>12</v>
      </c>
      <c r="RV7" s="4">
        <f t="shared" si="113"/>
        <v>24</v>
      </c>
      <c r="RW7" s="17"/>
      <c r="RX7" s="18">
        <f t="shared" si="114"/>
        <v>7</v>
      </c>
      <c r="RY7" s="4">
        <v>7</v>
      </c>
      <c r="RZ7" s="8">
        <f t="shared" si="115"/>
        <v>0</v>
      </c>
      <c r="SB7" s="20"/>
      <c r="SC7" s="5" t="s">
        <v>12</v>
      </c>
      <c r="SD7" s="20">
        <v>19</v>
      </c>
      <c r="SE7" s="5" t="s">
        <v>12</v>
      </c>
      <c r="SF7" s="4">
        <f t="shared" si="116"/>
        <v>19</v>
      </c>
      <c r="SG7" s="21">
        <v>1</v>
      </c>
      <c r="SH7" s="18">
        <f t="shared" si="117"/>
        <v>5</v>
      </c>
      <c r="SI7" s="4">
        <v>5</v>
      </c>
      <c r="SJ7" s="8">
        <f t="shared" si="118"/>
        <v>0</v>
      </c>
      <c r="SL7" s="2">
        <v>24</v>
      </c>
      <c r="SM7" s="5" t="s">
        <v>12</v>
      </c>
      <c r="SN7" s="2">
        <v>15</v>
      </c>
      <c r="SO7" s="5" t="s">
        <v>12</v>
      </c>
      <c r="SP7" s="4">
        <f t="shared" si="119"/>
        <v>39</v>
      </c>
      <c r="SQ7" s="17"/>
      <c r="SR7" s="18">
        <f t="shared" si="120"/>
        <v>4</v>
      </c>
      <c r="SS7" s="4">
        <v>4</v>
      </c>
      <c r="ST7" s="8">
        <f t="shared" si="121"/>
        <v>0</v>
      </c>
      <c r="SV7" s="2">
        <v>24</v>
      </c>
      <c r="SW7" s="5" t="s">
        <v>12</v>
      </c>
      <c r="SX7" s="2">
        <v>12</v>
      </c>
      <c r="SY7" s="5" t="s">
        <v>12</v>
      </c>
      <c r="SZ7" s="4">
        <f t="shared" si="122"/>
        <v>36</v>
      </c>
      <c r="TA7" s="17">
        <v>0</v>
      </c>
      <c r="TB7" s="18">
        <f t="shared" si="123"/>
        <v>3</v>
      </c>
      <c r="TC7" s="4">
        <v>3</v>
      </c>
      <c r="TD7" s="8">
        <f t="shared" si="124"/>
        <v>0</v>
      </c>
      <c r="TF7" s="57"/>
      <c r="TG7" s="58" t="s">
        <v>12</v>
      </c>
      <c r="TH7" s="57">
        <v>30</v>
      </c>
      <c r="TI7" s="58" t="s">
        <v>12</v>
      </c>
      <c r="TJ7" s="59">
        <f t="shared" si="125"/>
        <v>30</v>
      </c>
      <c r="TK7" s="60"/>
      <c r="TL7" s="61">
        <f t="shared" si="126"/>
        <v>6</v>
      </c>
      <c r="TM7" s="59">
        <v>6</v>
      </c>
      <c r="TN7" s="62">
        <f t="shared" si="127"/>
        <v>0</v>
      </c>
      <c r="TP7" s="2"/>
      <c r="TQ7" s="5" t="s">
        <v>12</v>
      </c>
      <c r="TR7" s="2"/>
      <c r="TS7" s="5" t="s">
        <v>12</v>
      </c>
      <c r="TT7" s="4" t="str">
        <f t="shared" si="128"/>
        <v/>
      </c>
      <c r="TU7" s="17"/>
      <c r="TV7" s="18" t="str">
        <f t="shared" si="129"/>
        <v/>
      </c>
      <c r="TW7" s="4"/>
      <c r="TX7" s="8" t="str">
        <f t="shared" si="130"/>
        <v/>
      </c>
    </row>
    <row r="8" spans="1:544" ht="12.75" customHeight="1" x14ac:dyDescent="0.2">
      <c r="A8" s="16" t="s">
        <v>22</v>
      </c>
      <c r="B8" s="11" t="s">
        <v>13</v>
      </c>
      <c r="C8" s="12">
        <v>28</v>
      </c>
      <c r="D8" s="13" t="s">
        <v>12</v>
      </c>
      <c r="F8" s="2"/>
      <c r="G8" s="5" t="s">
        <v>12</v>
      </c>
      <c r="H8" s="2"/>
      <c r="I8" s="5" t="s">
        <v>12</v>
      </c>
      <c r="J8" s="4">
        <v>0</v>
      </c>
      <c r="K8" s="17">
        <v>1</v>
      </c>
      <c r="L8" s="18"/>
      <c r="M8" s="4"/>
      <c r="N8" s="8" t="str">
        <f t="shared" si="0"/>
        <v/>
      </c>
      <c r="P8" s="20">
        <v>12</v>
      </c>
      <c r="Q8" s="5" t="s">
        <v>12</v>
      </c>
      <c r="R8" s="20">
        <v>4</v>
      </c>
      <c r="S8" s="5" t="s">
        <v>12</v>
      </c>
      <c r="T8" s="4">
        <f t="shared" si="1"/>
        <v>16</v>
      </c>
      <c r="U8" s="21">
        <v>1</v>
      </c>
      <c r="V8" s="18">
        <f t="shared" si="131"/>
        <v>8</v>
      </c>
      <c r="W8" s="4">
        <v>6</v>
      </c>
      <c r="X8" s="8">
        <f t="shared" si="2"/>
        <v>-2</v>
      </c>
      <c r="Z8" s="20"/>
      <c r="AA8" s="5" t="s">
        <v>12</v>
      </c>
      <c r="AB8" s="20">
        <v>31</v>
      </c>
      <c r="AC8" s="5" t="s">
        <v>12</v>
      </c>
      <c r="AD8" s="4">
        <f t="shared" si="3"/>
        <v>31</v>
      </c>
      <c r="AE8" s="21">
        <v>0</v>
      </c>
      <c r="AF8" s="18">
        <f t="shared" si="132"/>
        <v>9</v>
      </c>
      <c r="AG8" s="4">
        <v>9</v>
      </c>
      <c r="AH8" s="8">
        <f t="shared" si="4"/>
        <v>0</v>
      </c>
      <c r="AJ8" s="2"/>
      <c r="AK8" s="5" t="s">
        <v>12</v>
      </c>
      <c r="AL8" s="2">
        <v>25</v>
      </c>
      <c r="AM8" s="5" t="s">
        <v>12</v>
      </c>
      <c r="AN8" s="4">
        <f t="shared" si="5"/>
        <v>25</v>
      </c>
      <c r="AO8" s="17"/>
      <c r="AP8" s="18">
        <f t="shared" si="133"/>
        <v>6</v>
      </c>
      <c r="AQ8" s="4">
        <v>3</v>
      </c>
      <c r="AR8" s="8">
        <f t="shared" si="6"/>
        <v>-3</v>
      </c>
      <c r="AT8" s="2"/>
      <c r="AU8" s="5" t="s">
        <v>12</v>
      </c>
      <c r="AV8" s="2">
        <v>8</v>
      </c>
      <c r="AW8" s="5" t="s">
        <v>12</v>
      </c>
      <c r="AX8" s="4">
        <f t="shared" si="7"/>
        <v>8</v>
      </c>
      <c r="AY8" s="17">
        <v>1</v>
      </c>
      <c r="AZ8" s="18">
        <f t="shared" si="134"/>
        <v>17</v>
      </c>
      <c r="BA8" s="4">
        <v>16</v>
      </c>
      <c r="BB8" s="8">
        <f t="shared" si="8"/>
        <v>-1</v>
      </c>
      <c r="BD8" s="2"/>
      <c r="BE8" s="5" t="s">
        <v>12</v>
      </c>
      <c r="BF8" s="2">
        <v>12</v>
      </c>
      <c r="BG8" s="5" t="s">
        <v>12</v>
      </c>
      <c r="BH8" s="4">
        <f t="shared" si="9"/>
        <v>12</v>
      </c>
      <c r="BI8" s="17">
        <v>1</v>
      </c>
      <c r="BJ8" s="18">
        <f t="shared" si="135"/>
        <v>20</v>
      </c>
      <c r="BK8" s="4">
        <v>18</v>
      </c>
      <c r="BL8" s="8">
        <f t="shared" si="10"/>
        <v>-2</v>
      </c>
      <c r="BN8" s="20"/>
      <c r="BO8" s="5" t="s">
        <v>12</v>
      </c>
      <c r="BP8" s="20">
        <v>30</v>
      </c>
      <c r="BQ8" s="5" t="s">
        <v>12</v>
      </c>
      <c r="BR8" s="4">
        <f t="shared" si="11"/>
        <v>30</v>
      </c>
      <c r="BS8" s="21">
        <v>1</v>
      </c>
      <c r="BT8" s="18">
        <f t="shared" si="136"/>
        <v>6</v>
      </c>
      <c r="BU8" s="4">
        <v>6</v>
      </c>
      <c r="BV8" s="8">
        <f t="shared" si="12"/>
        <v>0</v>
      </c>
      <c r="BX8" s="20"/>
      <c r="BY8" s="5" t="s">
        <v>12</v>
      </c>
      <c r="BZ8" s="20">
        <v>23</v>
      </c>
      <c r="CA8" s="5" t="s">
        <v>12</v>
      </c>
      <c r="CB8" s="4">
        <f t="shared" si="13"/>
        <v>23</v>
      </c>
      <c r="CC8" s="21">
        <v>1</v>
      </c>
      <c r="CD8" s="18">
        <f t="shared" si="137"/>
        <v>31</v>
      </c>
      <c r="CE8" s="4">
        <v>21</v>
      </c>
      <c r="CF8" s="8">
        <f t="shared" si="14"/>
        <v>-10</v>
      </c>
      <c r="CH8" s="20"/>
      <c r="CI8" s="5" t="s">
        <v>12</v>
      </c>
      <c r="CJ8" s="20">
        <v>28</v>
      </c>
      <c r="CK8" s="5" t="s">
        <v>12</v>
      </c>
      <c r="CL8" s="4">
        <f t="shared" si="15"/>
        <v>28</v>
      </c>
      <c r="CM8" s="21">
        <v>1</v>
      </c>
      <c r="CN8" s="18">
        <f t="shared" si="138"/>
        <v>19</v>
      </c>
      <c r="CO8" s="4">
        <v>14</v>
      </c>
      <c r="CP8" s="8">
        <f t="shared" si="16"/>
        <v>-5</v>
      </c>
      <c r="CR8" s="20"/>
      <c r="CS8" s="5" t="s">
        <v>12</v>
      </c>
      <c r="CT8" s="20">
        <v>33</v>
      </c>
      <c r="CU8" s="5" t="s">
        <v>12</v>
      </c>
      <c r="CV8" s="4">
        <f t="shared" si="17"/>
        <v>33</v>
      </c>
      <c r="CW8" s="21">
        <v>0</v>
      </c>
      <c r="CX8" s="18">
        <f t="shared" si="139"/>
        <v>19</v>
      </c>
      <c r="CY8" s="4">
        <v>12</v>
      </c>
      <c r="CZ8" s="8">
        <f t="shared" si="18"/>
        <v>-7</v>
      </c>
      <c r="DB8" s="20"/>
      <c r="DC8" s="5" t="s">
        <v>12</v>
      </c>
      <c r="DD8" s="20">
        <v>24</v>
      </c>
      <c r="DE8" s="5" t="s">
        <v>12</v>
      </c>
      <c r="DF8" s="4">
        <f t="shared" si="19"/>
        <v>24</v>
      </c>
      <c r="DG8" s="21">
        <v>1</v>
      </c>
      <c r="DH8" s="18">
        <f t="shared" si="140"/>
        <v>9</v>
      </c>
      <c r="DI8" s="4">
        <v>9</v>
      </c>
      <c r="DJ8" s="8">
        <f t="shared" si="20"/>
        <v>0</v>
      </c>
      <c r="DL8" s="20"/>
      <c r="DM8" s="5" t="s">
        <v>12</v>
      </c>
      <c r="DN8" s="20">
        <v>35</v>
      </c>
      <c r="DO8" s="5" t="s">
        <v>12</v>
      </c>
      <c r="DP8" s="4">
        <f t="shared" si="21"/>
        <v>35</v>
      </c>
      <c r="DQ8" s="21">
        <v>1</v>
      </c>
      <c r="DR8" s="18">
        <f t="shared" si="141"/>
        <v>13</v>
      </c>
      <c r="DS8" s="4">
        <v>13</v>
      </c>
      <c r="DT8" s="8">
        <f t="shared" si="22"/>
        <v>0</v>
      </c>
      <c r="DV8" s="2">
        <v>1</v>
      </c>
      <c r="DW8" s="5" t="s">
        <v>12</v>
      </c>
      <c r="DX8" s="2">
        <v>39</v>
      </c>
      <c r="DY8" s="5" t="s">
        <v>12</v>
      </c>
      <c r="DZ8" s="4">
        <f t="shared" si="23"/>
        <v>40</v>
      </c>
      <c r="EA8" s="17"/>
      <c r="EB8" s="18">
        <f t="shared" si="142"/>
        <v>19</v>
      </c>
      <c r="EC8" s="4">
        <v>18</v>
      </c>
      <c r="ED8" s="8">
        <f t="shared" si="24"/>
        <v>-1</v>
      </c>
      <c r="EF8" s="20"/>
      <c r="EG8" s="5" t="s">
        <v>12</v>
      </c>
      <c r="EH8" s="20">
        <v>30</v>
      </c>
      <c r="EI8" s="5" t="s">
        <v>12</v>
      </c>
      <c r="EJ8" s="4">
        <f t="shared" si="25"/>
        <v>30</v>
      </c>
      <c r="EK8" s="21"/>
      <c r="EL8" s="18">
        <f t="shared" si="143"/>
        <v>10</v>
      </c>
      <c r="EM8" s="4">
        <v>10</v>
      </c>
      <c r="EN8" s="8">
        <f t="shared" si="26"/>
        <v>0</v>
      </c>
      <c r="EP8" s="20">
        <v>0</v>
      </c>
      <c r="EQ8" s="5" t="s">
        <v>12</v>
      </c>
      <c r="ER8" s="20">
        <v>19</v>
      </c>
      <c r="ES8" s="5" t="s">
        <v>12</v>
      </c>
      <c r="ET8" s="4">
        <f t="shared" si="27"/>
        <v>19</v>
      </c>
      <c r="EU8" s="21">
        <v>1</v>
      </c>
      <c r="EV8" s="18">
        <f t="shared" si="144"/>
        <v>11</v>
      </c>
      <c r="EW8" s="4">
        <v>11</v>
      </c>
      <c r="EX8" s="8">
        <f t="shared" si="28"/>
        <v>0</v>
      </c>
      <c r="EZ8" s="20"/>
      <c r="FA8" s="5" t="s">
        <v>12</v>
      </c>
      <c r="FB8" s="20">
        <v>20</v>
      </c>
      <c r="FC8" s="5" t="s">
        <v>12</v>
      </c>
      <c r="FD8" s="4">
        <f t="shared" si="29"/>
        <v>20</v>
      </c>
      <c r="FE8" s="21">
        <v>1</v>
      </c>
      <c r="FF8" s="18">
        <f t="shared" si="145"/>
        <v>23</v>
      </c>
      <c r="FG8" s="4">
        <v>23</v>
      </c>
      <c r="FH8" s="8">
        <f t="shared" si="30"/>
        <v>0</v>
      </c>
      <c r="FJ8" s="2"/>
      <c r="FK8" s="5" t="s">
        <v>12</v>
      </c>
      <c r="FL8" s="2">
        <v>30</v>
      </c>
      <c r="FM8" s="5" t="s">
        <v>12</v>
      </c>
      <c r="FN8" s="4">
        <f t="shared" si="31"/>
        <v>30</v>
      </c>
      <c r="FO8" s="17">
        <v>1</v>
      </c>
      <c r="FP8" s="18">
        <f t="shared" si="146"/>
        <v>14</v>
      </c>
      <c r="FQ8" s="4">
        <v>18</v>
      </c>
      <c r="FR8" s="8">
        <f t="shared" si="32"/>
        <v>4</v>
      </c>
      <c r="FT8" s="2">
        <v>12</v>
      </c>
      <c r="FU8" s="5" t="s">
        <v>12</v>
      </c>
      <c r="FV8" s="2">
        <v>21</v>
      </c>
      <c r="FW8" s="5" t="s">
        <v>12</v>
      </c>
      <c r="FX8" s="4">
        <f t="shared" si="33"/>
        <v>33</v>
      </c>
      <c r="FY8" s="17">
        <v>1</v>
      </c>
      <c r="FZ8" s="18">
        <f t="shared" si="147"/>
        <v>21</v>
      </c>
      <c r="GA8" s="4">
        <v>15</v>
      </c>
      <c r="GB8" s="8">
        <f t="shared" si="34"/>
        <v>-6</v>
      </c>
      <c r="GD8" s="20">
        <v>0</v>
      </c>
      <c r="GE8" s="5" t="s">
        <v>12</v>
      </c>
      <c r="GF8" s="20">
        <v>50</v>
      </c>
      <c r="GG8" s="5" t="s">
        <v>12</v>
      </c>
      <c r="GH8" s="4">
        <f t="shared" si="35"/>
        <v>50</v>
      </c>
      <c r="GI8" s="21">
        <v>0</v>
      </c>
      <c r="GJ8" s="18">
        <f t="shared" si="148"/>
        <v>7</v>
      </c>
      <c r="GK8" s="4">
        <v>6</v>
      </c>
      <c r="GL8" s="8">
        <f t="shared" si="36"/>
        <v>-1</v>
      </c>
      <c r="GN8" s="20"/>
      <c r="GO8" s="5" t="s">
        <v>12</v>
      </c>
      <c r="GP8" s="20">
        <v>35</v>
      </c>
      <c r="GQ8" s="5" t="s">
        <v>12</v>
      </c>
      <c r="GR8" s="4">
        <f t="shared" si="37"/>
        <v>35</v>
      </c>
      <c r="GS8" s="21">
        <v>1</v>
      </c>
      <c r="GT8" s="18">
        <f t="shared" si="149"/>
        <v>15</v>
      </c>
      <c r="GU8" s="4">
        <v>14</v>
      </c>
      <c r="GV8" s="8">
        <f t="shared" si="38"/>
        <v>-1</v>
      </c>
      <c r="GX8" s="20"/>
      <c r="GY8" s="5" t="s">
        <v>12</v>
      </c>
      <c r="GZ8" s="20">
        <v>49</v>
      </c>
      <c r="HA8" s="5" t="s">
        <v>12</v>
      </c>
      <c r="HB8" s="4">
        <f t="shared" si="39"/>
        <v>49</v>
      </c>
      <c r="HC8" s="21">
        <v>0</v>
      </c>
      <c r="HD8" s="18">
        <f t="shared" si="150"/>
        <v>10</v>
      </c>
      <c r="HE8" s="4">
        <v>10</v>
      </c>
      <c r="HF8" s="8">
        <f t="shared" si="40"/>
        <v>0</v>
      </c>
      <c r="HH8" s="20"/>
      <c r="HI8" s="5" t="s">
        <v>12</v>
      </c>
      <c r="HJ8" s="20">
        <v>21</v>
      </c>
      <c r="HK8" s="5" t="s">
        <v>12</v>
      </c>
      <c r="HL8" s="4">
        <f t="shared" si="41"/>
        <v>21</v>
      </c>
      <c r="HM8" s="21">
        <v>1</v>
      </c>
      <c r="HN8" s="18">
        <f t="shared" si="151"/>
        <v>28</v>
      </c>
      <c r="HO8" s="4">
        <v>23</v>
      </c>
      <c r="HP8" s="8">
        <f t="shared" si="42"/>
        <v>-5</v>
      </c>
      <c r="HR8" s="2"/>
      <c r="HS8" s="5" t="s">
        <v>12</v>
      </c>
      <c r="HT8" s="2">
        <v>25</v>
      </c>
      <c r="HU8" s="5" t="s">
        <v>12</v>
      </c>
      <c r="HV8" s="4">
        <f t="shared" si="43"/>
        <v>25</v>
      </c>
      <c r="HW8" s="17">
        <v>1</v>
      </c>
      <c r="HX8" s="18">
        <f t="shared" si="152"/>
        <v>20</v>
      </c>
      <c r="HY8" s="4">
        <v>21</v>
      </c>
      <c r="HZ8" s="8">
        <f t="shared" si="44"/>
        <v>1</v>
      </c>
      <c r="IB8" s="2"/>
      <c r="IC8" s="5" t="s">
        <v>12</v>
      </c>
      <c r="ID8" s="2">
        <v>37</v>
      </c>
      <c r="IE8" s="5" t="s">
        <v>12</v>
      </c>
      <c r="IF8" s="4">
        <f t="shared" si="45"/>
        <v>37</v>
      </c>
      <c r="IG8" s="17">
        <v>1</v>
      </c>
      <c r="IH8" s="18">
        <f t="shared" si="153"/>
        <v>12</v>
      </c>
      <c r="II8" s="4">
        <v>12</v>
      </c>
      <c r="IJ8" s="8">
        <f t="shared" si="46"/>
        <v>0</v>
      </c>
      <c r="IL8" s="2">
        <v>0</v>
      </c>
      <c r="IM8" s="5" t="s">
        <v>12</v>
      </c>
      <c r="IN8" s="2">
        <v>44</v>
      </c>
      <c r="IO8" s="5" t="s">
        <v>12</v>
      </c>
      <c r="IP8" s="4">
        <f t="shared" si="47"/>
        <v>44</v>
      </c>
      <c r="IQ8" s="17">
        <v>1</v>
      </c>
      <c r="IR8" s="18">
        <f t="shared" si="48"/>
        <v>17</v>
      </c>
      <c r="IS8" s="4">
        <v>17</v>
      </c>
      <c r="IT8" s="8">
        <f t="shared" si="49"/>
        <v>0</v>
      </c>
      <c r="IV8" s="2">
        <v>24</v>
      </c>
      <c r="IW8" s="5" t="s">
        <v>12</v>
      </c>
      <c r="IX8" s="2">
        <v>30</v>
      </c>
      <c r="IY8" s="5" t="s">
        <v>12</v>
      </c>
      <c r="IZ8" s="4">
        <f t="shared" si="50"/>
        <v>54</v>
      </c>
      <c r="JA8" s="17"/>
      <c r="JB8" s="18">
        <f t="shared" si="154"/>
        <v>14</v>
      </c>
      <c r="JC8" s="4">
        <v>14</v>
      </c>
      <c r="JD8" s="8">
        <f t="shared" si="51"/>
        <v>0</v>
      </c>
      <c r="JF8" s="2"/>
      <c r="JG8" s="5" t="s">
        <v>12</v>
      </c>
      <c r="JH8" s="2">
        <v>33</v>
      </c>
      <c r="JI8" s="5" t="s">
        <v>12</v>
      </c>
      <c r="JJ8" s="4">
        <f t="shared" si="52"/>
        <v>33</v>
      </c>
      <c r="JK8" s="17">
        <v>1</v>
      </c>
      <c r="JL8" s="18">
        <f t="shared" si="155"/>
        <v>21</v>
      </c>
      <c r="JM8" s="4">
        <v>21</v>
      </c>
      <c r="JN8" s="8">
        <f t="shared" si="53"/>
        <v>0</v>
      </c>
      <c r="JP8" s="20">
        <v>0</v>
      </c>
      <c r="JQ8" s="5" t="s">
        <v>12</v>
      </c>
      <c r="JR8" s="20">
        <v>33</v>
      </c>
      <c r="JS8" s="5" t="s">
        <v>12</v>
      </c>
      <c r="JT8" s="4">
        <f t="shared" si="54"/>
        <v>33</v>
      </c>
      <c r="JU8" s="21"/>
      <c r="JV8" s="18">
        <f t="shared" si="156"/>
        <v>24</v>
      </c>
      <c r="JW8" s="4">
        <v>21</v>
      </c>
      <c r="JX8" s="8">
        <f t="shared" si="55"/>
        <v>-3</v>
      </c>
      <c r="JZ8" s="20"/>
      <c r="KA8" s="5" t="s">
        <v>12</v>
      </c>
      <c r="KB8" s="20">
        <v>18</v>
      </c>
      <c r="KC8" s="5" t="s">
        <v>12</v>
      </c>
      <c r="KD8" s="4">
        <f t="shared" si="56"/>
        <v>18</v>
      </c>
      <c r="KE8" s="21">
        <v>2</v>
      </c>
      <c r="KF8" s="18">
        <f t="shared" si="157"/>
        <v>15</v>
      </c>
      <c r="KG8" s="4">
        <v>15</v>
      </c>
      <c r="KH8" s="8">
        <f t="shared" si="57"/>
        <v>0</v>
      </c>
      <c r="KJ8" s="20">
        <v>0</v>
      </c>
      <c r="KK8" s="5" t="s">
        <v>12</v>
      </c>
      <c r="KL8" s="20">
        <v>49</v>
      </c>
      <c r="KM8" s="5" t="s">
        <v>12</v>
      </c>
      <c r="KN8" s="4">
        <f t="shared" si="58"/>
        <v>49</v>
      </c>
      <c r="KO8" s="21"/>
      <c r="KP8" s="18">
        <f t="shared" si="158"/>
        <v>17</v>
      </c>
      <c r="KQ8" s="4">
        <v>16</v>
      </c>
      <c r="KR8" s="8">
        <f t="shared" si="59"/>
        <v>-1</v>
      </c>
      <c r="KT8" s="20"/>
      <c r="KU8" s="5" t="s">
        <v>12</v>
      </c>
      <c r="KV8" s="20">
        <v>31</v>
      </c>
      <c r="KW8" s="5" t="s">
        <v>12</v>
      </c>
      <c r="KX8" s="4">
        <f t="shared" si="60"/>
        <v>31</v>
      </c>
      <c r="KY8" s="21">
        <v>1</v>
      </c>
      <c r="KZ8" s="18">
        <f t="shared" si="61"/>
        <v>18</v>
      </c>
      <c r="LA8" s="4">
        <v>17</v>
      </c>
      <c r="LB8" s="8">
        <f t="shared" si="62"/>
        <v>-1</v>
      </c>
      <c r="LD8" s="20">
        <v>0</v>
      </c>
      <c r="LE8" s="5" t="s">
        <v>12</v>
      </c>
      <c r="LF8" s="20">
        <v>37</v>
      </c>
      <c r="LG8" s="5" t="s">
        <v>12</v>
      </c>
      <c r="LH8" s="4">
        <f t="shared" si="63"/>
        <v>37</v>
      </c>
      <c r="LI8" s="21"/>
      <c r="LJ8" s="18">
        <f t="shared" si="64"/>
        <v>18</v>
      </c>
      <c r="LK8" s="4">
        <v>18</v>
      </c>
      <c r="LL8" s="8">
        <f t="shared" si="65"/>
        <v>0</v>
      </c>
      <c r="LN8" s="20"/>
      <c r="LO8" s="5" t="s">
        <v>12</v>
      </c>
      <c r="LP8" s="20">
        <v>29</v>
      </c>
      <c r="LQ8" s="5" t="s">
        <v>12</v>
      </c>
      <c r="LR8" s="4">
        <f t="shared" si="159"/>
        <v>29</v>
      </c>
      <c r="LS8" s="21">
        <v>1</v>
      </c>
      <c r="LT8" s="18">
        <f t="shared" si="66"/>
        <v>8</v>
      </c>
      <c r="LU8" s="4">
        <v>8</v>
      </c>
      <c r="LV8" s="8">
        <f t="shared" si="67"/>
        <v>0</v>
      </c>
      <c r="LX8" s="20"/>
      <c r="LY8" s="5" t="s">
        <v>12</v>
      </c>
      <c r="LZ8" s="20">
        <v>37</v>
      </c>
      <c r="MA8" s="5" t="s">
        <v>12</v>
      </c>
      <c r="MB8" s="4">
        <f t="shared" si="68"/>
        <v>37</v>
      </c>
      <c r="MC8" s="21"/>
      <c r="MD8" s="18">
        <f t="shared" si="69"/>
        <v>16</v>
      </c>
      <c r="ME8" s="4">
        <v>17</v>
      </c>
      <c r="MF8" s="8">
        <f t="shared" si="70"/>
        <v>1</v>
      </c>
      <c r="MH8" s="20"/>
      <c r="MI8" s="5" t="s">
        <v>12</v>
      </c>
      <c r="MJ8" s="20">
        <v>25</v>
      </c>
      <c r="MK8" s="5" t="s">
        <v>12</v>
      </c>
      <c r="ML8" s="4">
        <f t="shared" si="71"/>
        <v>25</v>
      </c>
      <c r="MM8" s="21">
        <v>1</v>
      </c>
      <c r="MN8" s="18">
        <f t="shared" si="72"/>
        <v>12</v>
      </c>
      <c r="MO8" s="4">
        <v>12</v>
      </c>
      <c r="MP8" s="8">
        <f t="shared" si="73"/>
        <v>0</v>
      </c>
      <c r="MR8" s="20"/>
      <c r="MS8" s="5" t="s">
        <v>12</v>
      </c>
      <c r="MT8" s="20">
        <v>32</v>
      </c>
      <c r="MU8" s="5" t="s">
        <v>12</v>
      </c>
      <c r="MV8" s="4">
        <f t="shared" si="74"/>
        <v>32</v>
      </c>
      <c r="MW8" s="21"/>
      <c r="MX8" s="18">
        <f t="shared" si="75"/>
        <v>17</v>
      </c>
      <c r="MY8" s="4">
        <v>14</v>
      </c>
      <c r="MZ8" s="18">
        <f t="shared" si="76"/>
        <v>-3</v>
      </c>
      <c r="NB8" s="20"/>
      <c r="NC8" s="5" t="s">
        <v>12</v>
      </c>
      <c r="ND8" s="20">
        <v>19</v>
      </c>
      <c r="NE8" s="5" t="s">
        <v>12</v>
      </c>
      <c r="NF8" s="4">
        <f t="shared" si="77"/>
        <v>19</v>
      </c>
      <c r="NG8" s="21">
        <v>1</v>
      </c>
      <c r="NH8" s="18">
        <f t="shared" si="78"/>
        <v>13</v>
      </c>
      <c r="NI8" s="4">
        <v>13</v>
      </c>
      <c r="NJ8" s="8">
        <f t="shared" si="79"/>
        <v>0</v>
      </c>
      <c r="NL8" s="20"/>
      <c r="NM8" s="5" t="s">
        <v>12</v>
      </c>
      <c r="NN8" s="20">
        <v>30</v>
      </c>
      <c r="NO8" s="5" t="s">
        <v>12</v>
      </c>
      <c r="NP8" s="4">
        <f t="shared" si="80"/>
        <v>30</v>
      </c>
      <c r="NQ8" s="21"/>
      <c r="NR8" s="18">
        <f t="shared" si="81"/>
        <v>13</v>
      </c>
      <c r="NS8" s="4">
        <v>13</v>
      </c>
      <c r="NT8" s="8">
        <f t="shared" si="82"/>
        <v>0</v>
      </c>
      <c r="NV8" s="20"/>
      <c r="NW8" s="5" t="s">
        <v>12</v>
      </c>
      <c r="NX8" s="20">
        <v>14</v>
      </c>
      <c r="NY8" s="5" t="s">
        <v>12</v>
      </c>
      <c r="NZ8" s="4">
        <f t="shared" si="83"/>
        <v>14</v>
      </c>
      <c r="OA8" s="21">
        <v>1</v>
      </c>
      <c r="OB8" s="18">
        <f t="shared" si="84"/>
        <v>16</v>
      </c>
      <c r="OC8" s="4">
        <v>16</v>
      </c>
      <c r="OD8" s="8">
        <f t="shared" si="85"/>
        <v>0</v>
      </c>
      <c r="OF8" s="20">
        <v>24</v>
      </c>
      <c r="OG8" s="5" t="s">
        <v>12</v>
      </c>
      <c r="OH8" s="20">
        <v>7</v>
      </c>
      <c r="OI8" s="5" t="s">
        <v>12</v>
      </c>
      <c r="OJ8" s="4">
        <f t="shared" si="86"/>
        <v>31</v>
      </c>
      <c r="OK8" s="21"/>
      <c r="OL8" s="18">
        <f t="shared" si="87"/>
        <v>7</v>
      </c>
      <c r="OM8" s="4">
        <v>7</v>
      </c>
      <c r="ON8" s="8">
        <f t="shared" si="88"/>
        <v>0</v>
      </c>
      <c r="OP8" s="20"/>
      <c r="OQ8" s="5" t="s">
        <v>12</v>
      </c>
      <c r="OR8" s="20">
        <v>10</v>
      </c>
      <c r="OS8" s="5" t="s">
        <v>12</v>
      </c>
      <c r="OT8" s="4">
        <f t="shared" si="89"/>
        <v>10</v>
      </c>
      <c r="OU8" s="21"/>
      <c r="OV8" s="18">
        <f t="shared" si="90"/>
        <v>21</v>
      </c>
      <c r="OW8" s="4">
        <v>21</v>
      </c>
      <c r="OX8" s="8">
        <f t="shared" si="91"/>
        <v>0</v>
      </c>
      <c r="OZ8" s="2">
        <v>0</v>
      </c>
      <c r="PA8" s="5" t="s">
        <v>12</v>
      </c>
      <c r="PB8" s="2">
        <v>5</v>
      </c>
      <c r="PC8" s="5" t="s">
        <v>12</v>
      </c>
      <c r="PD8" s="4">
        <f t="shared" si="92"/>
        <v>5</v>
      </c>
      <c r="PE8" s="17">
        <v>2</v>
      </c>
      <c r="PF8" s="18">
        <f t="shared" si="93"/>
        <v>5</v>
      </c>
      <c r="PG8" s="4">
        <v>10</v>
      </c>
      <c r="PH8" s="8">
        <f t="shared" si="94"/>
        <v>5</v>
      </c>
      <c r="PJ8" s="2">
        <v>24</v>
      </c>
      <c r="PK8" s="5" t="s">
        <v>12</v>
      </c>
      <c r="PL8" s="2">
        <v>23</v>
      </c>
      <c r="PM8" s="5" t="s">
        <v>12</v>
      </c>
      <c r="PN8" s="4">
        <f t="shared" si="95"/>
        <v>47</v>
      </c>
      <c r="PO8" s="17"/>
      <c r="PP8" s="18">
        <f t="shared" si="96"/>
        <v>6</v>
      </c>
      <c r="PQ8" s="4">
        <v>5</v>
      </c>
      <c r="PR8" s="18">
        <f t="shared" si="97"/>
        <v>-1</v>
      </c>
      <c r="PT8" s="20">
        <v>24</v>
      </c>
      <c r="PU8" s="5" t="s">
        <v>12</v>
      </c>
      <c r="PV8" s="20">
        <v>11</v>
      </c>
      <c r="PW8" s="5" t="s">
        <v>12</v>
      </c>
      <c r="PX8" s="4">
        <f t="shared" si="98"/>
        <v>35</v>
      </c>
      <c r="PY8" s="21">
        <v>1</v>
      </c>
      <c r="PZ8" s="18">
        <f t="shared" si="99"/>
        <v>12</v>
      </c>
      <c r="QA8" s="4">
        <v>12</v>
      </c>
      <c r="QB8" s="8">
        <f t="shared" si="100"/>
        <v>0</v>
      </c>
      <c r="QD8" s="20">
        <v>18</v>
      </c>
      <c r="QE8" s="5" t="s">
        <v>12</v>
      </c>
      <c r="QF8" s="20">
        <v>20</v>
      </c>
      <c r="QG8" s="5" t="s">
        <v>12</v>
      </c>
      <c r="QH8" s="4">
        <f t="shared" si="101"/>
        <v>38</v>
      </c>
      <c r="QI8" s="21"/>
      <c r="QJ8" s="18">
        <f t="shared" si="102"/>
        <v>21</v>
      </c>
      <c r="QK8" s="4">
        <v>21</v>
      </c>
      <c r="QL8" s="8">
        <f t="shared" si="103"/>
        <v>0</v>
      </c>
      <c r="QN8" s="20">
        <v>0</v>
      </c>
      <c r="QO8" s="5" t="s">
        <v>12</v>
      </c>
      <c r="QP8" s="20">
        <v>30</v>
      </c>
      <c r="QQ8" s="5" t="s">
        <v>12</v>
      </c>
      <c r="QR8" s="4">
        <f t="shared" si="104"/>
        <v>30</v>
      </c>
      <c r="QS8" s="21">
        <v>1</v>
      </c>
      <c r="QT8" s="18">
        <f t="shared" si="105"/>
        <v>8</v>
      </c>
      <c r="QU8" s="4">
        <v>8</v>
      </c>
      <c r="QV8" s="8">
        <f t="shared" si="106"/>
        <v>0</v>
      </c>
      <c r="QX8" s="20">
        <v>24</v>
      </c>
      <c r="QY8" s="5" t="s">
        <v>12</v>
      </c>
      <c r="QZ8" s="20">
        <v>14</v>
      </c>
      <c r="RA8" s="5" t="s">
        <v>12</v>
      </c>
      <c r="RB8" s="4">
        <f t="shared" si="107"/>
        <v>38</v>
      </c>
      <c r="RC8" s="21"/>
      <c r="RD8" s="18">
        <f t="shared" si="108"/>
        <v>16</v>
      </c>
      <c r="RE8" s="4">
        <v>14</v>
      </c>
      <c r="RF8" s="8">
        <f t="shared" si="109"/>
        <v>-2</v>
      </c>
      <c r="RH8" s="20">
        <v>24</v>
      </c>
      <c r="RI8" s="5" t="s">
        <v>12</v>
      </c>
      <c r="RJ8" s="20">
        <v>4</v>
      </c>
      <c r="RK8" s="5" t="s">
        <v>12</v>
      </c>
      <c r="RL8" s="4">
        <f t="shared" si="110"/>
        <v>28</v>
      </c>
      <c r="RM8" s="21">
        <v>1</v>
      </c>
      <c r="RN8" s="18">
        <f t="shared" si="111"/>
        <v>10</v>
      </c>
      <c r="RO8" s="4">
        <v>10</v>
      </c>
      <c r="RP8" s="8">
        <f t="shared" si="112"/>
        <v>0</v>
      </c>
      <c r="RR8" s="2">
        <v>24</v>
      </c>
      <c r="RS8" s="5" t="s">
        <v>12</v>
      </c>
      <c r="RT8" s="2">
        <v>24</v>
      </c>
      <c r="RU8" s="5" t="s">
        <v>12</v>
      </c>
      <c r="RV8" s="4">
        <f t="shared" si="113"/>
        <v>48</v>
      </c>
      <c r="RW8" s="17"/>
      <c r="RX8" s="18">
        <f t="shared" si="114"/>
        <v>4</v>
      </c>
      <c r="RY8" s="4">
        <v>4</v>
      </c>
      <c r="RZ8" s="18">
        <f t="shared" si="115"/>
        <v>0</v>
      </c>
      <c r="SB8" s="20">
        <v>24</v>
      </c>
      <c r="SC8" s="5" t="s">
        <v>12</v>
      </c>
      <c r="SD8" s="20">
        <v>15</v>
      </c>
      <c r="SE8" s="5" t="s">
        <v>12</v>
      </c>
      <c r="SF8" s="4">
        <f t="shared" si="116"/>
        <v>39</v>
      </c>
      <c r="SG8" s="21">
        <v>0</v>
      </c>
      <c r="SH8" s="18">
        <f t="shared" si="117"/>
        <v>9</v>
      </c>
      <c r="SI8" s="4">
        <v>9</v>
      </c>
      <c r="SJ8" s="8">
        <f t="shared" si="118"/>
        <v>0</v>
      </c>
      <c r="SL8" s="2">
        <v>0</v>
      </c>
      <c r="SM8" s="5" t="s">
        <v>12</v>
      </c>
      <c r="SN8" s="2">
        <v>26</v>
      </c>
      <c r="SO8" s="5" t="s">
        <v>12</v>
      </c>
      <c r="SP8" s="4">
        <f t="shared" si="119"/>
        <v>26</v>
      </c>
      <c r="SQ8" s="17"/>
      <c r="SR8" s="18">
        <f t="shared" si="120"/>
        <v>13</v>
      </c>
      <c r="SS8" s="4">
        <v>13</v>
      </c>
      <c r="ST8" s="8">
        <f t="shared" si="121"/>
        <v>0</v>
      </c>
      <c r="SV8" s="2">
        <v>0</v>
      </c>
      <c r="SW8" s="5" t="s">
        <v>12</v>
      </c>
      <c r="SX8" s="2">
        <v>12</v>
      </c>
      <c r="SY8" s="5" t="s">
        <v>12</v>
      </c>
      <c r="SZ8" s="4">
        <f t="shared" si="122"/>
        <v>12</v>
      </c>
      <c r="TA8" s="17">
        <v>1</v>
      </c>
      <c r="TB8" s="18">
        <f t="shared" si="123"/>
        <v>14</v>
      </c>
      <c r="TC8" s="4">
        <v>14</v>
      </c>
      <c r="TD8" s="8">
        <f t="shared" si="124"/>
        <v>0</v>
      </c>
      <c r="TF8" s="57"/>
      <c r="TG8" s="58" t="s">
        <v>12</v>
      </c>
      <c r="TH8" s="57">
        <v>32</v>
      </c>
      <c r="TI8" s="58" t="s">
        <v>12</v>
      </c>
      <c r="TJ8" s="59">
        <f t="shared" si="125"/>
        <v>32</v>
      </c>
      <c r="TK8" s="60"/>
      <c r="TL8" s="61">
        <f t="shared" si="126"/>
        <v>4</v>
      </c>
      <c r="TM8" s="59">
        <v>4</v>
      </c>
      <c r="TN8" s="62">
        <f t="shared" si="127"/>
        <v>0</v>
      </c>
      <c r="TP8" s="2"/>
      <c r="TQ8" s="5" t="s">
        <v>12</v>
      </c>
      <c r="TR8" s="2"/>
      <c r="TS8" s="5" t="s">
        <v>12</v>
      </c>
      <c r="TT8" s="4" t="str">
        <f t="shared" si="128"/>
        <v/>
      </c>
      <c r="TU8" s="17"/>
      <c r="TV8" s="18" t="str">
        <f t="shared" si="129"/>
        <v/>
      </c>
      <c r="TW8" s="4"/>
      <c r="TX8" s="8" t="str">
        <f t="shared" si="130"/>
        <v/>
      </c>
    </row>
    <row r="9" spans="1:544" ht="12.75" customHeight="1" x14ac:dyDescent="0.2">
      <c r="A9" s="16" t="s">
        <v>24</v>
      </c>
      <c r="B9" s="11" t="s">
        <v>13</v>
      </c>
      <c r="C9" s="12">
        <v>28</v>
      </c>
      <c r="D9" s="13" t="s">
        <v>12</v>
      </c>
      <c r="F9" s="2"/>
      <c r="G9" s="5" t="s">
        <v>12</v>
      </c>
      <c r="H9" s="2"/>
      <c r="I9" s="5" t="s">
        <v>12</v>
      </c>
      <c r="J9" s="4">
        <v>0</v>
      </c>
      <c r="K9" s="17">
        <v>1</v>
      </c>
      <c r="L9" s="18"/>
      <c r="M9" s="4"/>
      <c r="N9" s="8" t="str">
        <f t="shared" si="0"/>
        <v/>
      </c>
      <c r="P9" s="20">
        <v>12</v>
      </c>
      <c r="Q9" s="5" t="s">
        <v>12</v>
      </c>
      <c r="R9" s="20">
        <v>8</v>
      </c>
      <c r="S9" s="5" t="s">
        <v>12</v>
      </c>
      <c r="T9" s="4">
        <f t="shared" si="1"/>
        <v>20</v>
      </c>
      <c r="U9" s="21"/>
      <c r="V9" s="18">
        <f t="shared" si="131"/>
        <v>4</v>
      </c>
      <c r="W9" s="4">
        <v>4</v>
      </c>
      <c r="X9" s="8">
        <f t="shared" si="2"/>
        <v>0</v>
      </c>
      <c r="Z9" s="20"/>
      <c r="AA9" s="5" t="s">
        <v>12</v>
      </c>
      <c r="AB9" s="20">
        <v>5</v>
      </c>
      <c r="AC9" s="5" t="s">
        <v>12</v>
      </c>
      <c r="AD9" s="4">
        <f t="shared" si="3"/>
        <v>5</v>
      </c>
      <c r="AE9" s="21">
        <v>1</v>
      </c>
      <c r="AF9" s="18">
        <f t="shared" si="132"/>
        <v>15</v>
      </c>
      <c r="AG9" s="4">
        <v>12</v>
      </c>
      <c r="AH9" s="8">
        <f t="shared" si="4"/>
        <v>-3</v>
      </c>
      <c r="AJ9" s="2">
        <v>24</v>
      </c>
      <c r="AK9" s="5" t="s">
        <v>12</v>
      </c>
      <c r="AL9" s="2">
        <v>1</v>
      </c>
      <c r="AM9" s="5" t="s">
        <v>12</v>
      </c>
      <c r="AN9" s="4">
        <f t="shared" si="5"/>
        <v>25</v>
      </c>
      <c r="AO9" s="17">
        <v>1</v>
      </c>
      <c r="AP9" s="18">
        <f t="shared" si="133"/>
        <v>4</v>
      </c>
      <c r="AQ9" s="4">
        <v>3</v>
      </c>
      <c r="AR9" s="8">
        <f t="shared" si="6"/>
        <v>-1</v>
      </c>
      <c r="AT9" s="2">
        <v>24</v>
      </c>
      <c r="AU9" s="5" t="s">
        <v>12</v>
      </c>
      <c r="AV9" s="2">
        <v>20</v>
      </c>
      <c r="AW9" s="5" t="s">
        <v>12</v>
      </c>
      <c r="AX9" s="4">
        <f t="shared" si="7"/>
        <v>44</v>
      </c>
      <c r="AY9" s="17">
        <v>0</v>
      </c>
      <c r="AZ9" s="18">
        <f t="shared" si="134"/>
        <v>5</v>
      </c>
      <c r="BA9" s="4">
        <v>5</v>
      </c>
      <c r="BB9" s="8">
        <f t="shared" si="8"/>
        <v>0</v>
      </c>
      <c r="BD9" s="2"/>
      <c r="BE9" s="5" t="s">
        <v>12</v>
      </c>
      <c r="BF9" s="2">
        <v>31</v>
      </c>
      <c r="BG9" s="5" t="s">
        <v>12</v>
      </c>
      <c r="BH9" s="4">
        <f t="shared" si="9"/>
        <v>31</v>
      </c>
      <c r="BI9" s="17">
        <v>0</v>
      </c>
      <c r="BJ9" s="18">
        <f t="shared" si="135"/>
        <v>13</v>
      </c>
      <c r="BK9" s="4">
        <v>10</v>
      </c>
      <c r="BL9" s="8">
        <f t="shared" si="10"/>
        <v>-3</v>
      </c>
      <c r="BN9" s="20"/>
      <c r="BO9" s="5" t="s">
        <v>12</v>
      </c>
      <c r="BP9" s="20">
        <v>22</v>
      </c>
      <c r="BQ9" s="5" t="s">
        <v>12</v>
      </c>
      <c r="BR9" s="4">
        <f t="shared" si="11"/>
        <v>22</v>
      </c>
      <c r="BS9" s="21">
        <v>1</v>
      </c>
      <c r="BT9" s="18">
        <f t="shared" si="136"/>
        <v>9</v>
      </c>
      <c r="BU9" s="4">
        <v>8</v>
      </c>
      <c r="BV9" s="8">
        <f t="shared" si="12"/>
        <v>-1</v>
      </c>
      <c r="BX9" s="20"/>
      <c r="BY9" s="5" t="s">
        <v>12</v>
      </c>
      <c r="BZ9" s="20">
        <v>38</v>
      </c>
      <c r="CA9" s="5" t="s">
        <v>12</v>
      </c>
      <c r="CB9" s="4">
        <f t="shared" si="13"/>
        <v>38</v>
      </c>
      <c r="CC9" s="21">
        <v>0</v>
      </c>
      <c r="CD9" s="18">
        <f t="shared" si="137"/>
        <v>8</v>
      </c>
      <c r="CE9" s="4">
        <v>6</v>
      </c>
      <c r="CF9" s="8">
        <f t="shared" si="14"/>
        <v>-2</v>
      </c>
      <c r="CH9" s="20"/>
      <c r="CI9" s="5" t="s">
        <v>12</v>
      </c>
      <c r="CJ9" s="20">
        <v>26</v>
      </c>
      <c r="CK9" s="5" t="s">
        <v>12</v>
      </c>
      <c r="CL9" s="4">
        <f t="shared" si="15"/>
        <v>26</v>
      </c>
      <c r="CM9" s="21">
        <v>1</v>
      </c>
      <c r="CN9" s="18">
        <f t="shared" si="138"/>
        <v>12</v>
      </c>
      <c r="CO9" s="4">
        <v>6</v>
      </c>
      <c r="CP9" s="8">
        <f t="shared" si="16"/>
        <v>-6</v>
      </c>
      <c r="CR9" s="20">
        <v>24</v>
      </c>
      <c r="CS9" s="5" t="s">
        <v>12</v>
      </c>
      <c r="CT9" s="20">
        <v>23</v>
      </c>
      <c r="CU9" s="5" t="s">
        <v>12</v>
      </c>
      <c r="CV9" s="4">
        <f t="shared" si="17"/>
        <v>47</v>
      </c>
      <c r="CW9" s="21">
        <v>0</v>
      </c>
      <c r="CX9" s="18">
        <f t="shared" si="139"/>
        <v>3</v>
      </c>
      <c r="CY9" s="4">
        <v>3</v>
      </c>
      <c r="CZ9" s="8">
        <f t="shared" si="18"/>
        <v>0</v>
      </c>
      <c r="DB9" s="20"/>
      <c r="DC9" s="5" t="s">
        <v>12</v>
      </c>
      <c r="DD9" s="20">
        <v>36</v>
      </c>
      <c r="DE9" s="5" t="s">
        <v>12</v>
      </c>
      <c r="DF9" s="4">
        <f t="shared" si="19"/>
        <v>36</v>
      </c>
      <c r="DG9" s="21">
        <v>0</v>
      </c>
      <c r="DH9" s="18">
        <f t="shared" si="140"/>
        <v>11</v>
      </c>
      <c r="DI9" s="4">
        <v>9</v>
      </c>
      <c r="DJ9" s="8">
        <f t="shared" si="20"/>
        <v>-2</v>
      </c>
      <c r="DL9" s="20">
        <v>6</v>
      </c>
      <c r="DM9" s="5" t="s">
        <v>12</v>
      </c>
      <c r="DN9" s="20">
        <v>15</v>
      </c>
      <c r="DO9" s="5" t="s">
        <v>12</v>
      </c>
      <c r="DP9" s="4">
        <f t="shared" si="21"/>
        <v>21</v>
      </c>
      <c r="DQ9" s="21">
        <v>1</v>
      </c>
      <c r="DR9" s="18">
        <f t="shared" si="141"/>
        <v>15</v>
      </c>
      <c r="DS9" s="4">
        <v>13</v>
      </c>
      <c r="DT9" s="8">
        <f t="shared" si="22"/>
        <v>-2</v>
      </c>
      <c r="DV9" s="2">
        <v>14</v>
      </c>
      <c r="DW9" s="5" t="s">
        <v>12</v>
      </c>
      <c r="DX9" s="2">
        <v>17</v>
      </c>
      <c r="DY9" s="5" t="s">
        <v>12</v>
      </c>
      <c r="DZ9" s="4">
        <f t="shared" si="23"/>
        <v>31</v>
      </c>
      <c r="EA9" s="17"/>
      <c r="EB9" s="18">
        <f t="shared" si="142"/>
        <v>14</v>
      </c>
      <c r="EC9" s="4">
        <v>13</v>
      </c>
      <c r="ED9" s="8">
        <f t="shared" si="24"/>
        <v>-1</v>
      </c>
      <c r="EF9" s="20"/>
      <c r="EG9" s="5" t="s">
        <v>12</v>
      </c>
      <c r="EH9" s="20">
        <v>23</v>
      </c>
      <c r="EI9" s="5" t="s">
        <v>12</v>
      </c>
      <c r="EJ9" s="4">
        <f t="shared" si="25"/>
        <v>23</v>
      </c>
      <c r="EK9" s="21"/>
      <c r="EL9" s="18">
        <f t="shared" si="143"/>
        <v>8</v>
      </c>
      <c r="EM9" s="4">
        <v>8</v>
      </c>
      <c r="EN9" s="8">
        <f t="shared" si="26"/>
        <v>0</v>
      </c>
      <c r="EP9" s="20">
        <v>0</v>
      </c>
      <c r="EQ9" s="5" t="s">
        <v>12</v>
      </c>
      <c r="ER9" s="20">
        <v>17</v>
      </c>
      <c r="ES9" s="5" t="s">
        <v>12</v>
      </c>
      <c r="ET9" s="4">
        <f t="shared" si="27"/>
        <v>17</v>
      </c>
      <c r="EU9" s="21">
        <v>1</v>
      </c>
      <c r="EV9" s="18">
        <f t="shared" si="144"/>
        <v>6</v>
      </c>
      <c r="EW9" s="4">
        <v>6</v>
      </c>
      <c r="EX9" s="8">
        <f t="shared" si="28"/>
        <v>0</v>
      </c>
      <c r="EZ9" s="20"/>
      <c r="FA9" s="5" t="s">
        <v>12</v>
      </c>
      <c r="FB9" s="20">
        <v>27</v>
      </c>
      <c r="FC9" s="5" t="s">
        <v>12</v>
      </c>
      <c r="FD9" s="4">
        <f t="shared" si="29"/>
        <v>27</v>
      </c>
      <c r="FE9" s="21"/>
      <c r="FF9" s="18">
        <f t="shared" si="145"/>
        <v>14</v>
      </c>
      <c r="FG9" s="4">
        <v>14</v>
      </c>
      <c r="FH9" s="8">
        <f t="shared" si="30"/>
        <v>0</v>
      </c>
      <c r="FJ9" s="2"/>
      <c r="FK9" s="5" t="s">
        <v>12</v>
      </c>
      <c r="FL9" s="2">
        <v>20</v>
      </c>
      <c r="FM9" s="5" t="s">
        <v>12</v>
      </c>
      <c r="FN9" s="4">
        <f t="shared" si="31"/>
        <v>20</v>
      </c>
      <c r="FO9" s="17">
        <v>1</v>
      </c>
      <c r="FP9" s="18">
        <f t="shared" si="146"/>
        <v>7</v>
      </c>
      <c r="FQ9" s="4">
        <v>5</v>
      </c>
      <c r="FR9" s="8">
        <f t="shared" si="32"/>
        <v>-2</v>
      </c>
      <c r="FT9" s="2"/>
      <c r="FU9" s="5" t="s">
        <v>12</v>
      </c>
      <c r="FV9" s="2">
        <v>23</v>
      </c>
      <c r="FW9" s="5" t="s">
        <v>12</v>
      </c>
      <c r="FX9" s="4">
        <f t="shared" si="33"/>
        <v>23</v>
      </c>
      <c r="FY9" s="17">
        <v>1</v>
      </c>
      <c r="FZ9" s="18">
        <f t="shared" si="147"/>
        <v>21</v>
      </c>
      <c r="GA9" s="4">
        <v>15</v>
      </c>
      <c r="GB9" s="8">
        <f t="shared" si="34"/>
        <v>-6</v>
      </c>
      <c r="GD9" s="20">
        <v>0</v>
      </c>
      <c r="GE9" s="5" t="s">
        <v>12</v>
      </c>
      <c r="GF9" s="20">
        <v>36</v>
      </c>
      <c r="GG9" s="5" t="s">
        <v>12</v>
      </c>
      <c r="GH9" s="4">
        <f t="shared" si="35"/>
        <v>36</v>
      </c>
      <c r="GI9" s="21">
        <v>0</v>
      </c>
      <c r="GJ9" s="18">
        <f t="shared" si="148"/>
        <v>11</v>
      </c>
      <c r="GK9" s="4">
        <v>9</v>
      </c>
      <c r="GL9" s="8">
        <f t="shared" si="36"/>
        <v>-2</v>
      </c>
      <c r="GN9" s="20"/>
      <c r="GO9" s="5" t="s">
        <v>12</v>
      </c>
      <c r="GP9" s="20">
        <v>30</v>
      </c>
      <c r="GQ9" s="5" t="s">
        <v>12</v>
      </c>
      <c r="GR9" s="4">
        <f t="shared" si="37"/>
        <v>30</v>
      </c>
      <c r="GS9" s="21">
        <v>0</v>
      </c>
      <c r="GT9" s="18">
        <f t="shared" si="149"/>
        <v>6</v>
      </c>
      <c r="GU9" s="4">
        <v>6</v>
      </c>
      <c r="GV9" s="8">
        <f t="shared" si="38"/>
        <v>0</v>
      </c>
      <c r="GX9" s="20"/>
      <c r="GY9" s="5" t="s">
        <v>12</v>
      </c>
      <c r="GZ9" s="20">
        <v>22</v>
      </c>
      <c r="HA9" s="5" t="s">
        <v>12</v>
      </c>
      <c r="HB9" s="4">
        <f t="shared" si="39"/>
        <v>22</v>
      </c>
      <c r="HC9" s="21">
        <v>1</v>
      </c>
      <c r="HD9" s="18">
        <f t="shared" si="150"/>
        <v>8</v>
      </c>
      <c r="HE9" s="4">
        <v>8</v>
      </c>
      <c r="HF9" s="8">
        <f t="shared" si="40"/>
        <v>0</v>
      </c>
      <c r="HH9" s="20">
        <v>24</v>
      </c>
      <c r="HI9" s="5" t="s">
        <v>12</v>
      </c>
      <c r="HJ9" s="20">
        <v>14</v>
      </c>
      <c r="HK9" s="5" t="s">
        <v>12</v>
      </c>
      <c r="HL9" s="4">
        <f t="shared" si="41"/>
        <v>38</v>
      </c>
      <c r="HM9" s="21">
        <v>0</v>
      </c>
      <c r="HN9" s="18">
        <f t="shared" si="151"/>
        <v>8</v>
      </c>
      <c r="HO9" s="4">
        <v>7</v>
      </c>
      <c r="HP9" s="8">
        <f t="shared" si="42"/>
        <v>-1</v>
      </c>
      <c r="HR9" s="2"/>
      <c r="HS9" s="5" t="s">
        <v>12</v>
      </c>
      <c r="HT9" s="2">
        <v>25</v>
      </c>
      <c r="HU9" s="5" t="s">
        <v>12</v>
      </c>
      <c r="HV9" s="4">
        <f t="shared" si="43"/>
        <v>25</v>
      </c>
      <c r="HW9" s="17">
        <v>0</v>
      </c>
      <c r="HX9" s="18">
        <f t="shared" si="152"/>
        <v>13</v>
      </c>
      <c r="HY9" s="4">
        <v>13</v>
      </c>
      <c r="HZ9" s="8">
        <f t="shared" si="44"/>
        <v>0</v>
      </c>
      <c r="IB9" s="2"/>
      <c r="IC9" s="5" t="s">
        <v>12</v>
      </c>
      <c r="ID9" s="2">
        <v>14</v>
      </c>
      <c r="IE9" s="5" t="s">
        <v>12</v>
      </c>
      <c r="IF9" s="4">
        <f t="shared" si="45"/>
        <v>14</v>
      </c>
      <c r="IG9" s="17">
        <v>1</v>
      </c>
      <c r="IH9" s="18">
        <f t="shared" si="153"/>
        <v>11</v>
      </c>
      <c r="II9" s="4">
        <v>11</v>
      </c>
      <c r="IJ9" s="8">
        <f t="shared" si="46"/>
        <v>0</v>
      </c>
      <c r="IL9" s="2"/>
      <c r="IM9" s="5" t="s">
        <v>12</v>
      </c>
      <c r="IN9" s="2">
        <v>24</v>
      </c>
      <c r="IO9" s="5" t="s">
        <v>12</v>
      </c>
      <c r="IP9" s="4">
        <f t="shared" si="47"/>
        <v>24</v>
      </c>
      <c r="IQ9" s="17">
        <v>0</v>
      </c>
      <c r="IR9" s="18">
        <f t="shared" si="48"/>
        <v>14</v>
      </c>
      <c r="IS9" s="4">
        <v>13</v>
      </c>
      <c r="IT9" s="8">
        <f t="shared" si="49"/>
        <v>-1</v>
      </c>
      <c r="IV9" s="2">
        <v>0</v>
      </c>
      <c r="IW9" s="5" t="s">
        <v>12</v>
      </c>
      <c r="IX9" s="2">
        <v>15</v>
      </c>
      <c r="IY9" s="5" t="s">
        <v>12</v>
      </c>
      <c r="IZ9" s="4">
        <f t="shared" si="50"/>
        <v>15</v>
      </c>
      <c r="JA9" s="17"/>
      <c r="JB9" s="18">
        <f t="shared" si="154"/>
        <v>9</v>
      </c>
      <c r="JC9" s="4">
        <v>9</v>
      </c>
      <c r="JD9" s="8">
        <f t="shared" si="51"/>
        <v>0</v>
      </c>
      <c r="JF9" s="2"/>
      <c r="JG9" s="5" t="s">
        <v>12</v>
      </c>
      <c r="JH9" s="2">
        <v>6</v>
      </c>
      <c r="JI9" s="5" t="s">
        <v>12</v>
      </c>
      <c r="JJ9" s="4">
        <f t="shared" si="52"/>
        <v>6</v>
      </c>
      <c r="JK9" s="17">
        <v>1</v>
      </c>
      <c r="JL9" s="18">
        <f t="shared" si="155"/>
        <v>9</v>
      </c>
      <c r="JM9" s="4">
        <v>9</v>
      </c>
      <c r="JN9" s="8">
        <f t="shared" si="53"/>
        <v>0</v>
      </c>
      <c r="JP9" s="20">
        <v>0</v>
      </c>
      <c r="JQ9" s="5" t="s">
        <v>12</v>
      </c>
      <c r="JR9" s="20">
        <v>20</v>
      </c>
      <c r="JS9" s="5" t="s">
        <v>12</v>
      </c>
      <c r="JT9" s="4">
        <f t="shared" si="54"/>
        <v>20</v>
      </c>
      <c r="JU9" s="21"/>
      <c r="JV9" s="18">
        <f t="shared" si="156"/>
        <v>10</v>
      </c>
      <c r="JW9" s="4">
        <v>9</v>
      </c>
      <c r="JX9" s="8">
        <f t="shared" si="55"/>
        <v>-1</v>
      </c>
      <c r="JZ9" s="20"/>
      <c r="KA9" s="5" t="s">
        <v>12</v>
      </c>
      <c r="KB9" s="20">
        <v>8</v>
      </c>
      <c r="KC9" s="5" t="s">
        <v>12</v>
      </c>
      <c r="KD9" s="4">
        <f t="shared" si="56"/>
        <v>8</v>
      </c>
      <c r="KE9" s="21">
        <v>1</v>
      </c>
      <c r="KF9" s="18">
        <f t="shared" si="157"/>
        <v>12</v>
      </c>
      <c r="KG9" s="4">
        <v>11</v>
      </c>
      <c r="KH9" s="8">
        <f t="shared" si="57"/>
        <v>-1</v>
      </c>
      <c r="KJ9" s="20"/>
      <c r="KK9" s="5" t="s">
        <v>12</v>
      </c>
      <c r="KL9" s="20">
        <v>25</v>
      </c>
      <c r="KM9" s="5" t="s">
        <v>12</v>
      </c>
      <c r="KN9" s="4">
        <f t="shared" si="58"/>
        <v>25</v>
      </c>
      <c r="KO9" s="21"/>
      <c r="KP9" s="18">
        <f t="shared" si="158"/>
        <v>7</v>
      </c>
      <c r="KQ9" s="4">
        <v>7</v>
      </c>
      <c r="KR9" s="8">
        <f t="shared" si="59"/>
        <v>0</v>
      </c>
      <c r="KT9" s="20"/>
      <c r="KU9" s="5" t="s">
        <v>12</v>
      </c>
      <c r="KV9" s="20">
        <v>7</v>
      </c>
      <c r="KW9" s="5" t="s">
        <v>12</v>
      </c>
      <c r="KX9" s="4">
        <f t="shared" si="60"/>
        <v>7</v>
      </c>
      <c r="KY9" s="21">
        <v>2</v>
      </c>
      <c r="KZ9" s="18">
        <f t="shared" si="61"/>
        <v>18</v>
      </c>
      <c r="LA9" s="4">
        <v>18</v>
      </c>
      <c r="LB9" s="8">
        <f t="shared" si="62"/>
        <v>0</v>
      </c>
      <c r="LD9" s="20">
        <v>24</v>
      </c>
      <c r="LE9" s="5" t="s">
        <v>12</v>
      </c>
      <c r="LF9" s="20">
        <v>21</v>
      </c>
      <c r="LG9" s="5" t="s">
        <v>12</v>
      </c>
      <c r="LH9" s="4">
        <f t="shared" si="63"/>
        <v>45</v>
      </c>
      <c r="LI9" s="21"/>
      <c r="LJ9" s="18">
        <f t="shared" si="64"/>
        <v>10</v>
      </c>
      <c r="LK9" s="4">
        <v>10</v>
      </c>
      <c r="LL9" s="8">
        <f t="shared" si="65"/>
        <v>0</v>
      </c>
      <c r="LN9" s="20"/>
      <c r="LO9" s="5" t="s">
        <v>12</v>
      </c>
      <c r="LP9" s="20">
        <v>28</v>
      </c>
      <c r="LQ9" s="5" t="s">
        <v>12</v>
      </c>
      <c r="LR9" s="4">
        <v>29</v>
      </c>
      <c r="LS9" s="21">
        <v>1</v>
      </c>
      <c r="LT9" s="18">
        <f t="shared" si="66"/>
        <v>16</v>
      </c>
      <c r="LU9" s="4">
        <v>16</v>
      </c>
      <c r="LV9" s="8">
        <f t="shared" si="67"/>
        <v>0</v>
      </c>
      <c r="LX9" s="20">
        <v>12</v>
      </c>
      <c r="LY9" s="5" t="s">
        <v>12</v>
      </c>
      <c r="LZ9" s="20">
        <v>29</v>
      </c>
      <c r="MA9" s="5" t="s">
        <v>12</v>
      </c>
      <c r="MB9" s="4">
        <f t="shared" si="68"/>
        <v>41</v>
      </c>
      <c r="MC9" s="21"/>
      <c r="MD9" s="18">
        <f t="shared" si="69"/>
        <v>12</v>
      </c>
      <c r="ME9" s="4">
        <v>9</v>
      </c>
      <c r="MF9" s="8">
        <f t="shared" si="70"/>
        <v>-3</v>
      </c>
      <c r="MH9" s="20"/>
      <c r="MI9" s="5" t="s">
        <v>12</v>
      </c>
      <c r="MJ9" s="20">
        <v>33</v>
      </c>
      <c r="MK9" s="5" t="s">
        <v>12</v>
      </c>
      <c r="ML9" s="4">
        <f t="shared" si="71"/>
        <v>33</v>
      </c>
      <c r="MM9" s="21">
        <v>1</v>
      </c>
      <c r="MN9" s="18">
        <f t="shared" si="72"/>
        <v>8</v>
      </c>
      <c r="MO9" s="4">
        <v>8</v>
      </c>
      <c r="MP9" s="8">
        <f t="shared" si="73"/>
        <v>0</v>
      </c>
      <c r="MR9" s="20">
        <v>24</v>
      </c>
      <c r="MS9" s="5" t="s">
        <v>12</v>
      </c>
      <c r="MT9" s="20">
        <v>28</v>
      </c>
      <c r="MU9" s="5" t="s">
        <v>12</v>
      </c>
      <c r="MV9" s="4">
        <f t="shared" si="74"/>
        <v>52</v>
      </c>
      <c r="MW9" s="21"/>
      <c r="MX9" s="18">
        <f t="shared" si="75"/>
        <v>5</v>
      </c>
      <c r="MY9" s="4">
        <v>5</v>
      </c>
      <c r="MZ9" s="18">
        <f t="shared" si="76"/>
        <v>0</v>
      </c>
      <c r="NB9" s="20"/>
      <c r="NC9" s="5" t="s">
        <v>12</v>
      </c>
      <c r="ND9" s="20">
        <v>44</v>
      </c>
      <c r="NE9" s="5" t="s">
        <v>12</v>
      </c>
      <c r="NF9" s="4">
        <f t="shared" si="77"/>
        <v>44</v>
      </c>
      <c r="NG9" s="21"/>
      <c r="NH9" s="18">
        <f t="shared" si="78"/>
        <v>8</v>
      </c>
      <c r="NI9" s="4">
        <v>8</v>
      </c>
      <c r="NJ9" s="8">
        <f t="shared" si="79"/>
        <v>0</v>
      </c>
      <c r="NL9" s="20"/>
      <c r="NM9" s="5" t="s">
        <v>12</v>
      </c>
      <c r="NN9" s="20">
        <v>31</v>
      </c>
      <c r="NO9" s="5" t="s">
        <v>12</v>
      </c>
      <c r="NP9" s="4">
        <f t="shared" si="80"/>
        <v>31</v>
      </c>
      <c r="NQ9" s="21"/>
      <c r="NR9" s="18">
        <f t="shared" si="81"/>
        <v>13</v>
      </c>
      <c r="NS9" s="4">
        <v>13</v>
      </c>
      <c r="NT9" s="8">
        <f t="shared" si="82"/>
        <v>0</v>
      </c>
      <c r="NV9" s="20"/>
      <c r="NW9" s="5" t="s">
        <v>12</v>
      </c>
      <c r="NX9" s="20">
        <v>18</v>
      </c>
      <c r="NY9" s="5" t="s">
        <v>12</v>
      </c>
      <c r="NZ9" s="4">
        <f t="shared" si="83"/>
        <v>18</v>
      </c>
      <c r="OA9" s="21">
        <v>1</v>
      </c>
      <c r="OB9" s="18">
        <f t="shared" si="84"/>
        <v>13</v>
      </c>
      <c r="OC9" s="4">
        <v>13</v>
      </c>
      <c r="OD9" s="8">
        <f t="shared" si="85"/>
        <v>0</v>
      </c>
      <c r="OF9" s="20"/>
      <c r="OG9" s="5" t="s">
        <v>12</v>
      </c>
      <c r="OH9" s="20">
        <v>31</v>
      </c>
      <c r="OI9" s="5" t="s">
        <v>12</v>
      </c>
      <c r="OJ9" s="4">
        <f t="shared" si="86"/>
        <v>31</v>
      </c>
      <c r="OK9" s="21"/>
      <c r="OL9" s="18">
        <f t="shared" si="87"/>
        <v>11</v>
      </c>
      <c r="OM9" s="4">
        <v>11</v>
      </c>
      <c r="ON9" s="8">
        <f t="shared" si="88"/>
        <v>0</v>
      </c>
      <c r="OP9" s="20"/>
      <c r="OQ9" s="5" t="s">
        <v>12</v>
      </c>
      <c r="OR9" s="20">
        <v>14</v>
      </c>
      <c r="OS9" s="5" t="s">
        <v>12</v>
      </c>
      <c r="OT9" s="4">
        <f t="shared" si="89"/>
        <v>14</v>
      </c>
      <c r="OU9" s="21"/>
      <c r="OV9" s="18">
        <f t="shared" si="90"/>
        <v>17</v>
      </c>
      <c r="OW9" s="4">
        <v>17</v>
      </c>
      <c r="OX9" s="8">
        <f t="shared" si="91"/>
        <v>0</v>
      </c>
      <c r="OZ9" s="2">
        <v>0</v>
      </c>
      <c r="PA9" s="5" t="s">
        <v>12</v>
      </c>
      <c r="PB9" s="2">
        <v>8</v>
      </c>
      <c r="PC9" s="5" t="s">
        <v>12</v>
      </c>
      <c r="PD9" s="4">
        <f t="shared" si="92"/>
        <v>8</v>
      </c>
      <c r="PE9" s="17">
        <v>1</v>
      </c>
      <c r="PF9" s="18">
        <f t="shared" si="93"/>
        <v>6</v>
      </c>
      <c r="PG9" s="4">
        <v>6</v>
      </c>
      <c r="PH9" s="8">
        <f t="shared" si="94"/>
        <v>0</v>
      </c>
      <c r="PJ9" s="2"/>
      <c r="PK9" s="5" t="s">
        <v>12</v>
      </c>
      <c r="PL9" s="2">
        <v>21</v>
      </c>
      <c r="PM9" s="5" t="s">
        <v>12</v>
      </c>
      <c r="PN9" s="4">
        <f t="shared" si="95"/>
        <v>21</v>
      </c>
      <c r="PO9" s="17"/>
      <c r="PP9" s="18">
        <f t="shared" si="96"/>
        <v>11</v>
      </c>
      <c r="PQ9" s="4">
        <v>11</v>
      </c>
      <c r="PR9" s="8">
        <f t="shared" si="97"/>
        <v>0</v>
      </c>
      <c r="PT9" s="20"/>
      <c r="PU9" s="5" t="s">
        <v>12</v>
      </c>
      <c r="PV9" s="20">
        <v>9</v>
      </c>
      <c r="PW9" s="5" t="s">
        <v>12</v>
      </c>
      <c r="PX9" s="4">
        <f t="shared" si="98"/>
        <v>9</v>
      </c>
      <c r="PY9" s="21">
        <v>1</v>
      </c>
      <c r="PZ9" s="18">
        <f t="shared" si="99"/>
        <v>12</v>
      </c>
      <c r="QA9" s="4">
        <v>12</v>
      </c>
      <c r="QB9" s="8">
        <f t="shared" si="100"/>
        <v>0</v>
      </c>
      <c r="QD9" s="20">
        <v>0</v>
      </c>
      <c r="QE9" s="5" t="s">
        <v>12</v>
      </c>
      <c r="QF9" s="20">
        <v>21</v>
      </c>
      <c r="QG9" s="5" t="s">
        <v>12</v>
      </c>
      <c r="QH9" s="4">
        <f t="shared" si="101"/>
        <v>21</v>
      </c>
      <c r="QI9" s="21"/>
      <c r="QJ9" s="18">
        <f t="shared" si="102"/>
        <v>12</v>
      </c>
      <c r="QK9" s="4">
        <v>12</v>
      </c>
      <c r="QL9" s="8">
        <f t="shared" si="103"/>
        <v>0</v>
      </c>
      <c r="QN9" s="20">
        <v>0</v>
      </c>
      <c r="QO9" s="5" t="s">
        <v>12</v>
      </c>
      <c r="QP9" s="20">
        <v>11</v>
      </c>
      <c r="QQ9" s="5" t="s">
        <v>12</v>
      </c>
      <c r="QR9" s="4">
        <f t="shared" si="104"/>
        <v>11</v>
      </c>
      <c r="QS9" s="21">
        <v>1</v>
      </c>
      <c r="QT9" s="18">
        <f t="shared" si="105"/>
        <v>10</v>
      </c>
      <c r="QU9" s="4">
        <v>10</v>
      </c>
      <c r="QV9" s="8">
        <f t="shared" si="106"/>
        <v>0</v>
      </c>
      <c r="QX9" s="20">
        <v>0</v>
      </c>
      <c r="QY9" s="5" t="s">
        <v>12</v>
      </c>
      <c r="QZ9" s="20">
        <v>24</v>
      </c>
      <c r="RA9" s="5" t="s">
        <v>12</v>
      </c>
      <c r="RB9" s="4">
        <f t="shared" si="107"/>
        <v>24</v>
      </c>
      <c r="RC9" s="21"/>
      <c r="RD9" s="18">
        <f t="shared" si="108"/>
        <v>11</v>
      </c>
      <c r="RE9" s="4">
        <v>11</v>
      </c>
      <c r="RF9" s="8">
        <f t="shared" si="109"/>
        <v>0</v>
      </c>
      <c r="RH9" s="20">
        <v>0</v>
      </c>
      <c r="RI9" s="5" t="s">
        <v>12</v>
      </c>
      <c r="RJ9" s="20">
        <v>12</v>
      </c>
      <c r="RK9" s="5" t="s">
        <v>12</v>
      </c>
      <c r="RL9" s="4">
        <f t="shared" si="110"/>
        <v>12</v>
      </c>
      <c r="RM9" s="21">
        <v>1</v>
      </c>
      <c r="RN9" s="18">
        <f t="shared" si="111"/>
        <v>12</v>
      </c>
      <c r="RO9" s="4">
        <v>12</v>
      </c>
      <c r="RP9" s="8">
        <f t="shared" si="112"/>
        <v>0</v>
      </c>
      <c r="RR9" s="2">
        <v>0</v>
      </c>
      <c r="RS9" s="5" t="s">
        <v>12</v>
      </c>
      <c r="RT9" s="2">
        <v>29</v>
      </c>
      <c r="RU9" s="5" t="s">
        <v>12</v>
      </c>
      <c r="RV9" s="4">
        <f t="shared" si="113"/>
        <v>29</v>
      </c>
      <c r="RW9" s="17"/>
      <c r="RX9" s="18">
        <f t="shared" si="114"/>
        <v>7</v>
      </c>
      <c r="RY9" s="4">
        <v>6</v>
      </c>
      <c r="RZ9" s="8">
        <f t="shared" si="115"/>
        <v>-1</v>
      </c>
      <c r="SB9" s="20"/>
      <c r="SC9" s="5" t="s">
        <v>12</v>
      </c>
      <c r="SD9" s="20">
        <v>20</v>
      </c>
      <c r="SE9" s="5" t="s">
        <v>12</v>
      </c>
      <c r="SF9" s="4">
        <f t="shared" si="116"/>
        <v>20</v>
      </c>
      <c r="SG9" s="21">
        <v>1</v>
      </c>
      <c r="SH9" s="18">
        <f t="shared" si="117"/>
        <v>9</v>
      </c>
      <c r="SI9" s="4">
        <v>9</v>
      </c>
      <c r="SJ9" s="8">
        <f t="shared" si="118"/>
        <v>0</v>
      </c>
      <c r="SL9" s="2">
        <v>0</v>
      </c>
      <c r="SM9" s="5" t="s">
        <v>12</v>
      </c>
      <c r="SN9" s="2">
        <v>34</v>
      </c>
      <c r="SO9" s="5" t="s">
        <v>12</v>
      </c>
      <c r="SP9" s="4">
        <f t="shared" si="119"/>
        <v>34</v>
      </c>
      <c r="SQ9" s="17"/>
      <c r="SR9" s="18">
        <f t="shared" si="120"/>
        <v>10</v>
      </c>
      <c r="SS9" s="4">
        <v>10</v>
      </c>
      <c r="ST9" s="8">
        <f t="shared" si="121"/>
        <v>0</v>
      </c>
      <c r="SV9" s="2">
        <v>0</v>
      </c>
      <c r="SW9" s="5" t="s">
        <v>12</v>
      </c>
      <c r="SX9" s="2">
        <v>27</v>
      </c>
      <c r="SY9" s="5" t="s">
        <v>12</v>
      </c>
      <c r="SZ9" s="4">
        <f t="shared" si="122"/>
        <v>27</v>
      </c>
      <c r="TA9" s="17">
        <v>0</v>
      </c>
      <c r="TB9" s="18">
        <f t="shared" si="123"/>
        <v>7</v>
      </c>
      <c r="TC9" s="4">
        <v>7</v>
      </c>
      <c r="TD9" s="8">
        <f t="shared" si="124"/>
        <v>0</v>
      </c>
      <c r="TF9" s="57"/>
      <c r="TG9" s="58" t="s">
        <v>12</v>
      </c>
      <c r="TH9" s="57">
        <v>16</v>
      </c>
      <c r="TI9" s="58" t="s">
        <v>12</v>
      </c>
      <c r="TJ9" s="59">
        <f t="shared" si="125"/>
        <v>16</v>
      </c>
      <c r="TK9" s="60"/>
      <c r="TL9" s="61">
        <f t="shared" si="126"/>
        <v>11</v>
      </c>
      <c r="TM9" s="59">
        <v>11</v>
      </c>
      <c r="TN9" s="62">
        <f t="shared" si="127"/>
        <v>0</v>
      </c>
      <c r="TP9" s="2"/>
      <c r="TQ9" s="5" t="s">
        <v>12</v>
      </c>
      <c r="TR9" s="2"/>
      <c r="TS9" s="5" t="s">
        <v>12</v>
      </c>
      <c r="TT9" s="4" t="str">
        <f t="shared" si="128"/>
        <v/>
      </c>
      <c r="TU9" s="17"/>
      <c r="TV9" s="18" t="str">
        <f t="shared" si="129"/>
        <v/>
      </c>
      <c r="TW9" s="4"/>
      <c r="TX9" s="8" t="str">
        <f t="shared" si="130"/>
        <v/>
      </c>
    </row>
    <row r="10" spans="1:544" ht="12.75" customHeight="1" x14ac:dyDescent="0.2">
      <c r="A10" s="16" t="s">
        <v>25</v>
      </c>
      <c r="B10" s="11" t="s">
        <v>13</v>
      </c>
      <c r="C10" s="12">
        <v>12</v>
      </c>
      <c r="D10" s="13" t="s">
        <v>12</v>
      </c>
      <c r="F10" s="2"/>
      <c r="G10" s="5" t="s">
        <v>12</v>
      </c>
      <c r="H10" s="2"/>
      <c r="I10" s="5" t="s">
        <v>12</v>
      </c>
      <c r="J10" s="4">
        <v>0</v>
      </c>
      <c r="K10" s="17">
        <v>1</v>
      </c>
      <c r="L10" s="18"/>
      <c r="M10" s="4"/>
      <c r="N10" s="8" t="str">
        <f t="shared" si="0"/>
        <v/>
      </c>
      <c r="P10" s="20">
        <v>12</v>
      </c>
      <c r="Q10" s="5" t="s">
        <v>12</v>
      </c>
      <c r="R10" s="20">
        <v>6</v>
      </c>
      <c r="S10" s="5" t="s">
        <v>12</v>
      </c>
      <c r="T10" s="4">
        <f t="shared" si="1"/>
        <v>18</v>
      </c>
      <c r="U10" s="21"/>
      <c r="V10" s="18">
        <f t="shared" si="131"/>
        <v>6</v>
      </c>
      <c r="W10" s="4">
        <v>6</v>
      </c>
      <c r="X10" s="8">
        <f t="shared" si="2"/>
        <v>0</v>
      </c>
      <c r="Z10" s="20"/>
      <c r="AA10" s="5" t="s">
        <v>12</v>
      </c>
      <c r="AB10" s="20">
        <v>12</v>
      </c>
      <c r="AC10" s="5" t="s">
        <v>12</v>
      </c>
      <c r="AD10" s="4">
        <f t="shared" si="3"/>
        <v>12</v>
      </c>
      <c r="AE10" s="21">
        <v>1</v>
      </c>
      <c r="AF10" s="18">
        <f t="shared" si="132"/>
        <v>6</v>
      </c>
      <c r="AG10" s="4">
        <v>2</v>
      </c>
      <c r="AH10" s="8">
        <f t="shared" si="4"/>
        <v>-4</v>
      </c>
      <c r="AJ10" s="2">
        <v>24</v>
      </c>
      <c r="AK10" s="5" t="s">
        <v>12</v>
      </c>
      <c r="AL10" s="2">
        <v>9</v>
      </c>
      <c r="AM10" s="5" t="s">
        <v>12</v>
      </c>
      <c r="AN10" s="4">
        <f t="shared" si="5"/>
        <v>33</v>
      </c>
      <c r="AO10" s="17"/>
      <c r="AP10" s="18">
        <f t="shared" si="133"/>
        <v>3</v>
      </c>
      <c r="AQ10" s="4">
        <v>1</v>
      </c>
      <c r="AR10" s="8">
        <f t="shared" si="6"/>
        <v>-2</v>
      </c>
      <c r="AT10" s="2"/>
      <c r="AU10" s="5" t="s">
        <v>12</v>
      </c>
      <c r="AV10" s="2">
        <v>18</v>
      </c>
      <c r="AW10" s="5" t="s">
        <v>12</v>
      </c>
      <c r="AX10" s="4">
        <f t="shared" si="7"/>
        <v>18</v>
      </c>
      <c r="AY10" s="17">
        <v>0</v>
      </c>
      <c r="AZ10" s="18">
        <f t="shared" si="134"/>
        <v>15</v>
      </c>
      <c r="BA10" s="4">
        <v>4</v>
      </c>
      <c r="BB10" s="8">
        <f t="shared" si="8"/>
        <v>-11</v>
      </c>
      <c r="BD10" s="2"/>
      <c r="BE10" s="5" t="s">
        <v>12</v>
      </c>
      <c r="BF10" s="2">
        <v>9</v>
      </c>
      <c r="BG10" s="5" t="s">
        <v>12</v>
      </c>
      <c r="BH10" s="4">
        <f t="shared" si="9"/>
        <v>9</v>
      </c>
      <c r="BI10" s="17">
        <v>1</v>
      </c>
      <c r="BJ10" s="18">
        <f t="shared" si="135"/>
        <v>9</v>
      </c>
      <c r="BK10" s="4">
        <v>6</v>
      </c>
      <c r="BL10" s="8">
        <f t="shared" si="10"/>
        <v>-3</v>
      </c>
      <c r="BN10" s="20"/>
      <c r="BO10" s="5" t="s">
        <v>12</v>
      </c>
      <c r="BP10" s="20">
        <v>29</v>
      </c>
      <c r="BQ10" s="5" t="s">
        <v>12</v>
      </c>
      <c r="BR10" s="4">
        <f t="shared" si="11"/>
        <v>29</v>
      </c>
      <c r="BS10" s="21">
        <v>1</v>
      </c>
      <c r="BT10" s="18">
        <f t="shared" si="136"/>
        <v>4</v>
      </c>
      <c r="BU10" s="4">
        <v>4</v>
      </c>
      <c r="BV10" s="8">
        <f t="shared" si="12"/>
        <v>0</v>
      </c>
      <c r="BX10" s="20"/>
      <c r="BY10" s="5" t="s">
        <v>12</v>
      </c>
      <c r="BZ10" s="20">
        <v>48</v>
      </c>
      <c r="CA10" s="5" t="s">
        <v>12</v>
      </c>
      <c r="CB10" s="4">
        <f t="shared" si="13"/>
        <v>48</v>
      </c>
      <c r="CC10" s="21">
        <v>0</v>
      </c>
      <c r="CD10" s="18">
        <f t="shared" si="137"/>
        <v>5</v>
      </c>
      <c r="CE10" s="4">
        <v>5</v>
      </c>
      <c r="CF10" s="8">
        <f t="shared" si="14"/>
        <v>0</v>
      </c>
      <c r="CH10" s="20"/>
      <c r="CI10" s="5" t="s">
        <v>12</v>
      </c>
      <c r="CJ10" s="20">
        <v>38</v>
      </c>
      <c r="CK10" s="5" t="s">
        <v>12</v>
      </c>
      <c r="CL10" s="4">
        <f t="shared" si="15"/>
        <v>38</v>
      </c>
      <c r="CM10" s="21">
        <v>1</v>
      </c>
      <c r="CN10" s="18">
        <f t="shared" si="138"/>
        <v>10</v>
      </c>
      <c r="CO10" s="4">
        <v>10</v>
      </c>
      <c r="CP10" s="8">
        <f t="shared" si="16"/>
        <v>0</v>
      </c>
      <c r="CR10" s="20">
        <v>24</v>
      </c>
      <c r="CS10" s="5" t="s">
        <v>12</v>
      </c>
      <c r="CT10" s="20">
        <v>30</v>
      </c>
      <c r="CU10" s="5" t="s">
        <v>12</v>
      </c>
      <c r="CV10" s="4">
        <f t="shared" si="17"/>
        <v>54</v>
      </c>
      <c r="CW10" s="21">
        <v>0</v>
      </c>
      <c r="CX10" s="18">
        <f t="shared" si="139"/>
        <v>8</v>
      </c>
      <c r="CY10" s="4">
        <v>7</v>
      </c>
      <c r="CZ10" s="8">
        <f t="shared" si="18"/>
        <v>-1</v>
      </c>
      <c r="DB10" s="20">
        <v>24</v>
      </c>
      <c r="DC10" s="5" t="s">
        <v>12</v>
      </c>
      <c r="DD10" s="20">
        <v>28</v>
      </c>
      <c r="DE10" s="5" t="s">
        <v>12</v>
      </c>
      <c r="DF10" s="4">
        <f t="shared" si="19"/>
        <v>52</v>
      </c>
      <c r="DG10" s="21">
        <v>0</v>
      </c>
      <c r="DH10" s="18">
        <f t="shared" si="140"/>
        <v>2</v>
      </c>
      <c r="DI10" s="4">
        <v>2</v>
      </c>
      <c r="DJ10" s="8">
        <f t="shared" si="20"/>
        <v>0</v>
      </c>
      <c r="DL10" s="20">
        <v>12</v>
      </c>
      <c r="DM10" s="5" t="s">
        <v>12</v>
      </c>
      <c r="DN10" s="20">
        <v>34</v>
      </c>
      <c r="DO10" s="5" t="s">
        <v>12</v>
      </c>
      <c r="DP10" s="4">
        <f t="shared" si="21"/>
        <v>46</v>
      </c>
      <c r="DQ10" s="21"/>
      <c r="DR10" s="18">
        <f t="shared" si="141"/>
        <v>6</v>
      </c>
      <c r="DS10" s="4">
        <v>6</v>
      </c>
      <c r="DT10" s="8">
        <f t="shared" si="22"/>
        <v>0</v>
      </c>
      <c r="DV10" s="2"/>
      <c r="DW10" s="5" t="s">
        <v>12</v>
      </c>
      <c r="DX10" s="2">
        <v>44</v>
      </c>
      <c r="DY10" s="5" t="s">
        <v>12</v>
      </c>
      <c r="DZ10" s="4">
        <f t="shared" si="23"/>
        <v>44</v>
      </c>
      <c r="EA10" s="17"/>
      <c r="EB10" s="18">
        <f t="shared" si="142"/>
        <v>2</v>
      </c>
      <c r="EC10" s="4">
        <v>0</v>
      </c>
      <c r="ED10" s="8">
        <f t="shared" si="24"/>
        <v>-2</v>
      </c>
      <c r="EF10" s="20"/>
      <c r="EG10" s="5" t="s">
        <v>12</v>
      </c>
      <c r="EH10" s="20">
        <v>39</v>
      </c>
      <c r="EI10" s="5" t="s">
        <v>12</v>
      </c>
      <c r="EJ10" s="4">
        <f t="shared" si="25"/>
        <v>39</v>
      </c>
      <c r="EK10" s="21"/>
      <c r="EL10" s="18">
        <f t="shared" si="143"/>
        <v>5</v>
      </c>
      <c r="EM10" s="4">
        <v>5</v>
      </c>
      <c r="EN10" s="8">
        <f t="shared" si="26"/>
        <v>0</v>
      </c>
      <c r="EP10" s="20">
        <v>0</v>
      </c>
      <c r="EQ10" s="5" t="s">
        <v>12</v>
      </c>
      <c r="ER10" s="20">
        <v>36</v>
      </c>
      <c r="ES10" s="5" t="s">
        <v>12</v>
      </c>
      <c r="ET10" s="4">
        <f t="shared" si="27"/>
        <v>36</v>
      </c>
      <c r="EU10" s="21"/>
      <c r="EV10" s="18">
        <f t="shared" si="144"/>
        <v>3</v>
      </c>
      <c r="EW10" s="4">
        <v>3</v>
      </c>
      <c r="EX10" s="8">
        <f t="shared" si="28"/>
        <v>0</v>
      </c>
      <c r="EZ10" s="20"/>
      <c r="FA10" s="5" t="s">
        <v>12</v>
      </c>
      <c r="FB10" s="20">
        <v>34</v>
      </c>
      <c r="FC10" s="5" t="s">
        <v>12</v>
      </c>
      <c r="FD10" s="4">
        <f t="shared" si="29"/>
        <v>34</v>
      </c>
      <c r="FE10" s="21"/>
      <c r="FF10" s="18">
        <f t="shared" si="145"/>
        <v>2</v>
      </c>
      <c r="FG10" s="4">
        <v>3</v>
      </c>
      <c r="FH10" s="8">
        <f t="shared" si="30"/>
        <v>1</v>
      </c>
      <c r="FJ10" s="2"/>
      <c r="FK10" s="5" t="s">
        <v>12</v>
      </c>
      <c r="FL10" s="2">
        <v>30</v>
      </c>
      <c r="FM10" s="5" t="s">
        <v>12</v>
      </c>
      <c r="FN10" s="4">
        <f t="shared" si="31"/>
        <v>30</v>
      </c>
      <c r="FO10" s="17">
        <v>0</v>
      </c>
      <c r="FP10" s="18">
        <f t="shared" si="146"/>
        <v>4</v>
      </c>
      <c r="FQ10" s="4">
        <v>4</v>
      </c>
      <c r="FR10" s="8">
        <f t="shared" si="32"/>
        <v>0</v>
      </c>
      <c r="FT10" s="2"/>
      <c r="FU10" s="5" t="s">
        <v>12</v>
      </c>
      <c r="FV10" s="2">
        <v>23</v>
      </c>
      <c r="FW10" s="5" t="s">
        <v>12</v>
      </c>
      <c r="FX10" s="4">
        <f t="shared" si="33"/>
        <v>23</v>
      </c>
      <c r="FY10" s="17">
        <v>0</v>
      </c>
      <c r="FZ10" s="18">
        <f t="shared" si="147"/>
        <v>7</v>
      </c>
      <c r="GA10" s="4">
        <v>6</v>
      </c>
      <c r="GB10" s="8">
        <f t="shared" si="34"/>
        <v>-1</v>
      </c>
      <c r="GD10" s="20">
        <v>0</v>
      </c>
      <c r="GE10" s="5" t="s">
        <v>12</v>
      </c>
      <c r="GF10" s="20">
        <v>22</v>
      </c>
      <c r="GG10" s="5" t="s">
        <v>12</v>
      </c>
      <c r="GH10" s="4">
        <f t="shared" si="35"/>
        <v>22</v>
      </c>
      <c r="GI10" s="21">
        <v>0</v>
      </c>
      <c r="GJ10" s="18">
        <f t="shared" si="148"/>
        <v>1</v>
      </c>
      <c r="GK10" s="4">
        <v>2</v>
      </c>
      <c r="GL10" s="8">
        <f t="shared" si="36"/>
        <v>1</v>
      </c>
      <c r="GN10" s="20"/>
      <c r="GO10" s="5" t="s">
        <v>12</v>
      </c>
      <c r="GP10" s="20">
        <v>21</v>
      </c>
      <c r="GQ10" s="5" t="s">
        <v>12</v>
      </c>
      <c r="GR10" s="4">
        <f t="shared" si="37"/>
        <v>21</v>
      </c>
      <c r="GS10" s="21">
        <v>1</v>
      </c>
      <c r="GT10" s="18">
        <f t="shared" si="149"/>
        <v>1</v>
      </c>
      <c r="GU10" s="4">
        <v>1</v>
      </c>
      <c r="GV10" s="8">
        <f t="shared" si="38"/>
        <v>0</v>
      </c>
      <c r="GX10" s="20"/>
      <c r="GY10" s="5" t="s">
        <v>12</v>
      </c>
      <c r="GZ10" s="20">
        <v>43</v>
      </c>
      <c r="HA10" s="5" t="s">
        <v>12</v>
      </c>
      <c r="HB10" s="4">
        <f t="shared" si="39"/>
        <v>43</v>
      </c>
      <c r="HC10" s="21">
        <v>0</v>
      </c>
      <c r="HD10" s="18">
        <f t="shared" si="150"/>
        <v>2</v>
      </c>
      <c r="HE10" s="4">
        <v>2</v>
      </c>
      <c r="HF10" s="8">
        <f t="shared" si="40"/>
        <v>0</v>
      </c>
      <c r="HH10" s="20"/>
      <c r="HI10" s="5" t="s">
        <v>12</v>
      </c>
      <c r="HJ10" s="20">
        <v>36</v>
      </c>
      <c r="HK10" s="5" t="s">
        <v>12</v>
      </c>
      <c r="HL10" s="4">
        <f t="shared" si="41"/>
        <v>36</v>
      </c>
      <c r="HM10" s="21">
        <v>0</v>
      </c>
      <c r="HN10" s="18">
        <f t="shared" si="151"/>
        <v>7</v>
      </c>
      <c r="HO10" s="4">
        <v>7</v>
      </c>
      <c r="HP10" s="8">
        <f t="shared" si="42"/>
        <v>0</v>
      </c>
      <c r="HR10" s="2"/>
      <c r="HS10" s="5" t="s">
        <v>12</v>
      </c>
      <c r="HT10" s="2">
        <v>34</v>
      </c>
      <c r="HU10" s="5" t="s">
        <v>12</v>
      </c>
      <c r="HV10" s="4">
        <f t="shared" si="43"/>
        <v>34</v>
      </c>
      <c r="HW10" s="17">
        <v>0</v>
      </c>
      <c r="HX10" s="18">
        <f t="shared" si="152"/>
        <v>2</v>
      </c>
      <c r="HY10" s="4">
        <v>2</v>
      </c>
      <c r="HZ10" s="8">
        <f t="shared" si="44"/>
        <v>0</v>
      </c>
      <c r="IB10" s="2"/>
      <c r="IC10" s="5" t="s">
        <v>12</v>
      </c>
      <c r="ID10" s="2">
        <v>33</v>
      </c>
      <c r="IE10" s="5" t="s">
        <v>12</v>
      </c>
      <c r="IF10" s="4">
        <f t="shared" si="45"/>
        <v>33</v>
      </c>
      <c r="IG10" s="17">
        <v>0</v>
      </c>
      <c r="IH10" s="18">
        <f t="shared" si="153"/>
        <v>1</v>
      </c>
      <c r="II10" s="4">
        <v>1</v>
      </c>
      <c r="IJ10" s="8">
        <f t="shared" si="46"/>
        <v>0</v>
      </c>
      <c r="IL10" s="2"/>
      <c r="IM10" s="5" t="s">
        <v>12</v>
      </c>
      <c r="IN10" s="2">
        <v>21</v>
      </c>
      <c r="IO10" s="5" t="s">
        <v>12</v>
      </c>
      <c r="IP10" s="4">
        <f t="shared" si="47"/>
        <v>21</v>
      </c>
      <c r="IQ10" s="17">
        <v>1</v>
      </c>
      <c r="IR10" s="18">
        <f t="shared" si="48"/>
        <v>12</v>
      </c>
      <c r="IS10" s="4">
        <v>9</v>
      </c>
      <c r="IT10" s="8">
        <f t="shared" si="49"/>
        <v>-3</v>
      </c>
      <c r="IV10" s="2">
        <v>24</v>
      </c>
      <c r="IW10" s="5" t="s">
        <v>12</v>
      </c>
      <c r="IX10" s="2">
        <v>14</v>
      </c>
      <c r="IY10" s="5" t="s">
        <v>12</v>
      </c>
      <c r="IZ10" s="4">
        <f t="shared" si="50"/>
        <v>38</v>
      </c>
      <c r="JA10" s="17"/>
      <c r="JB10" s="18">
        <f t="shared" si="154"/>
        <v>7</v>
      </c>
      <c r="JC10" s="4">
        <v>6</v>
      </c>
      <c r="JD10" s="8">
        <f t="shared" si="51"/>
        <v>-1</v>
      </c>
      <c r="JF10" s="2"/>
      <c r="JG10" s="5" t="s">
        <v>12</v>
      </c>
      <c r="JH10" s="2">
        <v>32</v>
      </c>
      <c r="JI10" s="5" t="s">
        <v>12</v>
      </c>
      <c r="JJ10" s="4">
        <f t="shared" si="52"/>
        <v>32</v>
      </c>
      <c r="JK10" s="17">
        <v>1</v>
      </c>
      <c r="JL10" s="18">
        <f t="shared" si="155"/>
        <v>6</v>
      </c>
      <c r="JM10" s="4">
        <v>6</v>
      </c>
      <c r="JN10" s="8">
        <f t="shared" si="53"/>
        <v>0</v>
      </c>
      <c r="JP10" s="20">
        <v>0</v>
      </c>
      <c r="JQ10" s="5" t="s">
        <v>12</v>
      </c>
      <c r="JR10" s="20">
        <v>50</v>
      </c>
      <c r="JS10" s="5" t="s">
        <v>12</v>
      </c>
      <c r="JT10" s="4">
        <f t="shared" si="54"/>
        <v>50</v>
      </c>
      <c r="JU10" s="21"/>
      <c r="JV10" s="18">
        <f t="shared" si="156"/>
        <v>6</v>
      </c>
      <c r="JW10" s="4">
        <v>6</v>
      </c>
      <c r="JX10" s="8">
        <f t="shared" si="55"/>
        <v>0</v>
      </c>
      <c r="JZ10" s="20"/>
      <c r="KA10" s="5" t="s">
        <v>12</v>
      </c>
      <c r="KB10" s="20">
        <v>44</v>
      </c>
      <c r="KC10" s="5" t="s">
        <v>12</v>
      </c>
      <c r="KD10" s="4">
        <f t="shared" si="56"/>
        <v>44</v>
      </c>
      <c r="KE10" s="21">
        <v>0</v>
      </c>
      <c r="KF10" s="18">
        <f t="shared" si="157"/>
        <v>6</v>
      </c>
      <c r="KG10" s="4">
        <v>6</v>
      </c>
      <c r="KH10" s="8">
        <f t="shared" si="57"/>
        <v>0</v>
      </c>
      <c r="KJ10" s="20"/>
      <c r="KK10" s="5" t="s">
        <v>12</v>
      </c>
      <c r="KL10" s="20">
        <v>40</v>
      </c>
      <c r="KM10" s="5" t="s">
        <v>12</v>
      </c>
      <c r="KN10" s="4">
        <f t="shared" si="58"/>
        <v>40</v>
      </c>
      <c r="KO10" s="21"/>
      <c r="KP10" s="18">
        <f t="shared" si="158"/>
        <v>4</v>
      </c>
      <c r="KQ10" s="4">
        <v>4</v>
      </c>
      <c r="KR10" s="8">
        <f t="shared" si="59"/>
        <v>0</v>
      </c>
      <c r="KT10" s="20"/>
      <c r="KU10" s="5" t="s">
        <v>12</v>
      </c>
      <c r="KV10" s="20">
        <v>34</v>
      </c>
      <c r="KW10" s="5" t="s">
        <v>12</v>
      </c>
      <c r="KX10" s="4">
        <f t="shared" si="60"/>
        <v>34</v>
      </c>
      <c r="KY10" s="21">
        <v>0</v>
      </c>
      <c r="KZ10" s="18">
        <f t="shared" si="61"/>
        <v>6</v>
      </c>
      <c r="LA10" s="4">
        <v>4</v>
      </c>
      <c r="LB10" s="8">
        <f t="shared" si="62"/>
        <v>-2</v>
      </c>
      <c r="LD10" s="20">
        <v>0</v>
      </c>
      <c r="LE10" s="5" t="s">
        <v>12</v>
      </c>
      <c r="LF10" s="20">
        <v>29</v>
      </c>
      <c r="LG10" s="5" t="s">
        <v>12</v>
      </c>
      <c r="LH10" s="4">
        <f t="shared" si="63"/>
        <v>29</v>
      </c>
      <c r="LI10" s="21"/>
      <c r="LJ10" s="18">
        <f t="shared" si="64"/>
        <v>5</v>
      </c>
      <c r="LK10" s="4">
        <v>5</v>
      </c>
      <c r="LL10" s="8">
        <f t="shared" si="65"/>
        <v>0</v>
      </c>
      <c r="LN10" s="20"/>
      <c r="LO10" s="5" t="s">
        <v>12</v>
      </c>
      <c r="LP10" s="20">
        <v>21</v>
      </c>
      <c r="LQ10" s="5" t="s">
        <v>12</v>
      </c>
      <c r="LR10" s="4">
        <v>23</v>
      </c>
      <c r="LS10" s="21">
        <v>1</v>
      </c>
      <c r="LT10" s="18">
        <f t="shared" si="66"/>
        <v>6</v>
      </c>
      <c r="LU10" s="4">
        <v>4</v>
      </c>
      <c r="LV10" s="8">
        <f t="shared" si="67"/>
        <v>-2</v>
      </c>
      <c r="LX10" s="20"/>
      <c r="LY10" s="5" t="s">
        <v>12</v>
      </c>
      <c r="LZ10" s="20">
        <v>36</v>
      </c>
      <c r="MA10" s="5" t="s">
        <v>12</v>
      </c>
      <c r="MB10" s="4">
        <f t="shared" si="68"/>
        <v>36</v>
      </c>
      <c r="MC10" s="21"/>
      <c r="MD10" s="18">
        <f t="shared" si="69"/>
        <v>11</v>
      </c>
      <c r="ME10" s="4">
        <v>6</v>
      </c>
      <c r="MF10" s="8">
        <f t="shared" si="70"/>
        <v>-5</v>
      </c>
      <c r="MH10" s="20"/>
      <c r="MI10" s="5" t="s">
        <v>12</v>
      </c>
      <c r="MJ10" s="20">
        <v>24</v>
      </c>
      <c r="MK10" s="5" t="s">
        <v>12</v>
      </c>
      <c r="ML10" s="4">
        <f t="shared" si="71"/>
        <v>24</v>
      </c>
      <c r="MM10" s="21">
        <v>1</v>
      </c>
      <c r="MN10" s="18">
        <f t="shared" si="72"/>
        <v>12</v>
      </c>
      <c r="MO10" s="4">
        <v>10</v>
      </c>
      <c r="MP10" s="8">
        <f t="shared" si="73"/>
        <v>-2</v>
      </c>
      <c r="MR10" s="20">
        <v>24</v>
      </c>
      <c r="MS10" s="5" t="s">
        <v>12</v>
      </c>
      <c r="MT10" s="20">
        <v>20</v>
      </c>
      <c r="MU10" s="5" t="s">
        <v>12</v>
      </c>
      <c r="MV10" s="4">
        <f t="shared" si="74"/>
        <v>44</v>
      </c>
      <c r="MW10" s="21"/>
      <c r="MX10" s="18">
        <f t="shared" si="75"/>
        <v>4</v>
      </c>
      <c r="MY10" s="4">
        <v>2</v>
      </c>
      <c r="MZ10" s="18">
        <f t="shared" si="76"/>
        <v>-2</v>
      </c>
      <c r="NB10" s="20"/>
      <c r="NC10" s="5" t="s">
        <v>12</v>
      </c>
      <c r="ND10" s="20">
        <v>37</v>
      </c>
      <c r="NE10" s="5" t="s">
        <v>12</v>
      </c>
      <c r="NF10" s="4">
        <f t="shared" si="77"/>
        <v>37</v>
      </c>
      <c r="NG10" s="21"/>
      <c r="NH10" s="18">
        <f t="shared" si="78"/>
        <v>7</v>
      </c>
      <c r="NI10" s="4">
        <v>4</v>
      </c>
      <c r="NJ10" s="8">
        <f t="shared" si="79"/>
        <v>-3</v>
      </c>
      <c r="NL10" s="20"/>
      <c r="NM10" s="5" t="s">
        <v>12</v>
      </c>
      <c r="NN10" s="20">
        <v>30</v>
      </c>
      <c r="NO10" s="5" t="s">
        <v>12</v>
      </c>
      <c r="NP10" s="4">
        <f t="shared" si="80"/>
        <v>30</v>
      </c>
      <c r="NQ10" s="21"/>
      <c r="NR10" s="18">
        <f t="shared" si="81"/>
        <v>7</v>
      </c>
      <c r="NS10" s="4">
        <v>7</v>
      </c>
      <c r="NT10" s="8">
        <f t="shared" si="82"/>
        <v>0</v>
      </c>
      <c r="NV10" s="20"/>
      <c r="NW10" s="5" t="s">
        <v>12</v>
      </c>
      <c r="NX10" s="20">
        <v>21</v>
      </c>
      <c r="NY10" s="5" t="s">
        <v>12</v>
      </c>
      <c r="NZ10" s="4">
        <f t="shared" si="83"/>
        <v>21</v>
      </c>
      <c r="OA10" s="21">
        <v>1</v>
      </c>
      <c r="OB10" s="18">
        <f t="shared" si="84"/>
        <v>9</v>
      </c>
      <c r="OC10" s="4">
        <v>5</v>
      </c>
      <c r="OD10" s="8">
        <f t="shared" si="85"/>
        <v>-4</v>
      </c>
      <c r="OF10" s="20"/>
      <c r="OG10" s="5" t="s">
        <v>12</v>
      </c>
      <c r="OH10" s="20">
        <v>43</v>
      </c>
      <c r="OI10" s="5" t="s">
        <v>12</v>
      </c>
      <c r="OJ10" s="4">
        <f t="shared" si="86"/>
        <v>43</v>
      </c>
      <c r="OK10" s="21"/>
      <c r="OL10" s="18">
        <f t="shared" si="87"/>
        <v>2</v>
      </c>
      <c r="OM10" s="4">
        <v>2</v>
      </c>
      <c r="ON10" s="8">
        <f t="shared" si="88"/>
        <v>0</v>
      </c>
      <c r="OP10" s="20"/>
      <c r="OQ10" s="5" t="s">
        <v>12</v>
      </c>
      <c r="OR10" s="20">
        <v>21</v>
      </c>
      <c r="OS10" s="5" t="s">
        <v>12</v>
      </c>
      <c r="OT10" s="4">
        <f t="shared" si="89"/>
        <v>21</v>
      </c>
      <c r="OU10" s="21"/>
      <c r="OV10" s="18">
        <f t="shared" si="90"/>
        <v>22</v>
      </c>
      <c r="OW10" s="4">
        <v>22</v>
      </c>
      <c r="OX10" s="8">
        <f t="shared" si="91"/>
        <v>0</v>
      </c>
      <c r="OZ10" s="2">
        <v>0</v>
      </c>
      <c r="PA10" s="5" t="s">
        <v>12</v>
      </c>
      <c r="PB10" s="2">
        <v>14</v>
      </c>
      <c r="PC10" s="5" t="s">
        <v>12</v>
      </c>
      <c r="PD10" s="4">
        <f t="shared" si="92"/>
        <v>14</v>
      </c>
      <c r="PE10" s="17">
        <v>1</v>
      </c>
      <c r="PF10" s="18">
        <f t="shared" si="93"/>
        <v>7</v>
      </c>
      <c r="PG10" s="4">
        <v>7</v>
      </c>
      <c r="PH10" s="8">
        <f t="shared" si="94"/>
        <v>0</v>
      </c>
      <c r="PJ10" s="2"/>
      <c r="PK10" s="5" t="s">
        <v>12</v>
      </c>
      <c r="PL10" s="2">
        <v>24</v>
      </c>
      <c r="PM10" s="5" t="s">
        <v>12</v>
      </c>
      <c r="PN10" s="4">
        <f t="shared" si="95"/>
        <v>24</v>
      </c>
      <c r="PO10" s="17"/>
      <c r="PP10" s="18">
        <f t="shared" si="96"/>
        <v>14</v>
      </c>
      <c r="PQ10" s="4">
        <v>14</v>
      </c>
      <c r="PR10" s="8">
        <f t="shared" si="97"/>
        <v>0</v>
      </c>
      <c r="PT10" s="20"/>
      <c r="PU10" s="5" t="s">
        <v>12</v>
      </c>
      <c r="PV10" s="20">
        <v>14</v>
      </c>
      <c r="PW10" s="5" t="s">
        <v>12</v>
      </c>
      <c r="PX10" s="4">
        <f t="shared" si="98"/>
        <v>14</v>
      </c>
      <c r="PY10" s="21">
        <v>1</v>
      </c>
      <c r="PZ10" s="18">
        <f t="shared" si="99"/>
        <v>10</v>
      </c>
      <c r="QA10" s="4">
        <v>9</v>
      </c>
      <c r="QB10" s="8">
        <f t="shared" si="100"/>
        <v>-1</v>
      </c>
      <c r="QD10" s="20">
        <v>0</v>
      </c>
      <c r="QE10" s="5" t="s">
        <v>12</v>
      </c>
      <c r="QF10" s="20">
        <v>29</v>
      </c>
      <c r="QG10" s="5" t="s">
        <v>12</v>
      </c>
      <c r="QH10" s="4">
        <f t="shared" si="101"/>
        <v>29</v>
      </c>
      <c r="QI10" s="21"/>
      <c r="QJ10" s="18">
        <f t="shared" si="102"/>
        <v>9</v>
      </c>
      <c r="QK10" s="4">
        <v>5</v>
      </c>
      <c r="QL10" s="8">
        <f t="shared" si="103"/>
        <v>-4</v>
      </c>
      <c r="QN10" s="20">
        <v>0</v>
      </c>
      <c r="QO10" s="5" t="s">
        <v>12</v>
      </c>
      <c r="QP10" s="20">
        <v>19</v>
      </c>
      <c r="QQ10" s="5" t="s">
        <v>12</v>
      </c>
      <c r="QR10" s="4">
        <f t="shared" si="104"/>
        <v>19</v>
      </c>
      <c r="QS10" s="21">
        <v>0</v>
      </c>
      <c r="QT10" s="18">
        <f t="shared" si="105"/>
        <v>10</v>
      </c>
      <c r="QU10" s="4">
        <v>8</v>
      </c>
      <c r="QV10" s="8">
        <f t="shared" si="106"/>
        <v>-2</v>
      </c>
      <c r="QX10" s="20">
        <v>0</v>
      </c>
      <c r="QY10" s="5" t="s">
        <v>12</v>
      </c>
      <c r="QZ10" s="20">
        <v>7</v>
      </c>
      <c r="RA10" s="5" t="s">
        <v>12</v>
      </c>
      <c r="RB10" s="4">
        <f t="shared" si="107"/>
        <v>7</v>
      </c>
      <c r="RC10" s="21"/>
      <c r="RD10" s="18">
        <f t="shared" si="108"/>
        <v>12</v>
      </c>
      <c r="RE10" s="4">
        <v>7</v>
      </c>
      <c r="RF10" s="8">
        <f t="shared" si="109"/>
        <v>-5</v>
      </c>
      <c r="RH10" s="20">
        <v>0</v>
      </c>
      <c r="RI10" s="5" t="s">
        <v>12</v>
      </c>
      <c r="RJ10" s="20">
        <v>3</v>
      </c>
      <c r="RK10" s="5" t="s">
        <v>12</v>
      </c>
      <c r="RL10" s="4">
        <f t="shared" si="110"/>
        <v>3</v>
      </c>
      <c r="RM10" s="21">
        <v>1</v>
      </c>
      <c r="RN10" s="18">
        <f t="shared" si="111"/>
        <v>4</v>
      </c>
      <c r="RO10" s="4">
        <v>4</v>
      </c>
      <c r="RP10" s="8">
        <f t="shared" si="112"/>
        <v>0</v>
      </c>
      <c r="RR10" s="2">
        <v>0</v>
      </c>
      <c r="RS10" s="5" t="s">
        <v>12</v>
      </c>
      <c r="RT10" s="2">
        <v>25</v>
      </c>
      <c r="RU10" s="5" t="s">
        <v>12</v>
      </c>
      <c r="RV10" s="4">
        <f t="shared" si="113"/>
        <v>25</v>
      </c>
      <c r="RW10" s="17"/>
      <c r="RX10" s="18">
        <f t="shared" si="114"/>
        <v>2</v>
      </c>
      <c r="RY10" s="4">
        <v>2</v>
      </c>
      <c r="RZ10" s="8">
        <f t="shared" si="115"/>
        <v>0</v>
      </c>
      <c r="SB10" s="20"/>
      <c r="SC10" s="5" t="s">
        <v>12</v>
      </c>
      <c r="SD10" s="20">
        <v>21</v>
      </c>
      <c r="SE10" s="5" t="s">
        <v>12</v>
      </c>
      <c r="SF10" s="4">
        <f t="shared" si="116"/>
        <v>21</v>
      </c>
      <c r="SG10" s="21">
        <v>1</v>
      </c>
      <c r="SH10" s="18">
        <f t="shared" si="117"/>
        <v>4</v>
      </c>
      <c r="SI10" s="4">
        <v>4</v>
      </c>
      <c r="SJ10" s="8">
        <f t="shared" si="118"/>
        <v>0</v>
      </c>
      <c r="SL10" s="2">
        <v>0</v>
      </c>
      <c r="SM10" s="5" t="s">
        <v>12</v>
      </c>
      <c r="SN10" s="2">
        <v>43</v>
      </c>
      <c r="SO10" s="5" t="s">
        <v>12</v>
      </c>
      <c r="SP10" s="4">
        <f t="shared" si="119"/>
        <v>43</v>
      </c>
      <c r="SQ10" s="17"/>
      <c r="SR10" s="18">
        <f t="shared" si="120"/>
        <v>2</v>
      </c>
      <c r="SS10" s="4">
        <v>2</v>
      </c>
      <c r="ST10" s="8">
        <f t="shared" si="121"/>
        <v>0</v>
      </c>
      <c r="SV10" s="2">
        <v>0</v>
      </c>
      <c r="SW10" s="5" t="s">
        <v>12</v>
      </c>
      <c r="SX10" s="2">
        <v>40</v>
      </c>
      <c r="SY10" s="5" t="s">
        <v>12</v>
      </c>
      <c r="SZ10" s="4">
        <f t="shared" si="122"/>
        <v>40</v>
      </c>
      <c r="TA10" s="17">
        <v>0</v>
      </c>
      <c r="TB10" s="18">
        <f t="shared" si="123"/>
        <v>3</v>
      </c>
      <c r="TC10" s="4">
        <v>3</v>
      </c>
      <c r="TD10" s="8">
        <f t="shared" si="124"/>
        <v>0</v>
      </c>
      <c r="TF10" s="57"/>
      <c r="TG10" s="58" t="s">
        <v>12</v>
      </c>
      <c r="TH10" s="57">
        <v>38</v>
      </c>
      <c r="TI10" s="58" t="s">
        <v>12</v>
      </c>
      <c r="TJ10" s="59">
        <f t="shared" si="125"/>
        <v>38</v>
      </c>
      <c r="TK10" s="60"/>
      <c r="TL10" s="61">
        <f t="shared" si="126"/>
        <v>2</v>
      </c>
      <c r="TM10" s="59">
        <v>1</v>
      </c>
      <c r="TN10" s="62">
        <f t="shared" si="127"/>
        <v>-1</v>
      </c>
      <c r="TP10" s="2"/>
      <c r="TQ10" s="5" t="s">
        <v>12</v>
      </c>
      <c r="TR10" s="2"/>
      <c r="TS10" s="5" t="s">
        <v>12</v>
      </c>
      <c r="TT10" s="4" t="str">
        <f t="shared" si="128"/>
        <v/>
      </c>
      <c r="TU10" s="17"/>
      <c r="TV10" s="18" t="str">
        <f t="shared" si="129"/>
        <v/>
      </c>
      <c r="TW10" s="4"/>
      <c r="TX10" s="8" t="str">
        <f t="shared" si="130"/>
        <v/>
      </c>
    </row>
    <row r="11" spans="1:544" ht="12.75" customHeight="1" x14ac:dyDescent="0.2">
      <c r="A11" s="9"/>
      <c r="J11" s="6" t="s">
        <v>30</v>
      </c>
      <c r="TF11" s="63"/>
      <c r="TG11" s="64"/>
      <c r="TH11" s="63"/>
      <c r="TI11" s="64"/>
      <c r="TJ11" s="63"/>
      <c r="TK11" s="63"/>
      <c r="TL11" s="63"/>
      <c r="TM11" s="63"/>
      <c r="TN11" s="63"/>
    </row>
    <row r="12" spans="1:544" ht="9.75" customHeight="1" x14ac:dyDescent="0.25">
      <c r="A12" s="14" t="s">
        <v>65</v>
      </c>
      <c r="B12" s="3" t="s">
        <v>3</v>
      </c>
      <c r="C12" s="29" t="s">
        <v>4</v>
      </c>
      <c r="D12" s="30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/>
      <c r="NO12"/>
      <c r="NP12"/>
      <c r="NQ12"/>
      <c r="NR12"/>
      <c r="NS12"/>
      <c r="NT12"/>
      <c r="NU12"/>
      <c r="NV12" s="29" t="s">
        <v>5</v>
      </c>
      <c r="NW12" s="30"/>
      <c r="NX12" s="29" t="s">
        <v>6</v>
      </c>
      <c r="NY12" s="30"/>
      <c r="NZ12" s="3" t="s">
        <v>7</v>
      </c>
      <c r="OA12" s="3" t="s">
        <v>8</v>
      </c>
      <c r="OB12" s="3" t="s">
        <v>9</v>
      </c>
      <c r="OC12" s="3" t="s">
        <v>10</v>
      </c>
      <c r="OD12" s="3" t="s">
        <v>11</v>
      </c>
      <c r="OF12" s="29" t="s">
        <v>5</v>
      </c>
      <c r="OG12" s="30"/>
      <c r="OH12" s="29" t="s">
        <v>6</v>
      </c>
      <c r="OI12" s="30"/>
      <c r="OJ12" s="3" t="s">
        <v>7</v>
      </c>
      <c r="OK12" s="3" t="s">
        <v>8</v>
      </c>
      <c r="OL12" s="3" t="s">
        <v>9</v>
      </c>
      <c r="OM12" s="3" t="s">
        <v>10</v>
      </c>
      <c r="ON12" s="3" t="s">
        <v>11</v>
      </c>
      <c r="OP12" s="29" t="s">
        <v>5</v>
      </c>
      <c r="OQ12" s="30"/>
      <c r="OR12" s="29" t="s">
        <v>6</v>
      </c>
      <c r="OS12" s="30"/>
      <c r="OT12" s="3" t="s">
        <v>7</v>
      </c>
      <c r="OU12" s="3" t="s">
        <v>8</v>
      </c>
      <c r="OV12" s="3" t="s">
        <v>9</v>
      </c>
      <c r="OW12" s="3" t="s">
        <v>10</v>
      </c>
      <c r="OX12" s="3" t="s">
        <v>11</v>
      </c>
      <c r="OZ12" s="29" t="s">
        <v>5</v>
      </c>
      <c r="PA12" s="30"/>
      <c r="PB12" s="29" t="s">
        <v>6</v>
      </c>
      <c r="PC12" s="30"/>
      <c r="PD12" s="3" t="s">
        <v>7</v>
      </c>
      <c r="PE12" s="3" t="s">
        <v>8</v>
      </c>
      <c r="PF12" s="3" t="s">
        <v>9</v>
      </c>
      <c r="PG12" s="3" t="s">
        <v>10</v>
      </c>
      <c r="PH12" s="3" t="s">
        <v>11</v>
      </c>
      <c r="PJ12" s="29" t="s">
        <v>5</v>
      </c>
      <c r="PK12" s="30"/>
      <c r="PL12" s="29" t="s">
        <v>6</v>
      </c>
      <c r="PM12" s="30"/>
      <c r="PN12" s="3" t="s">
        <v>7</v>
      </c>
      <c r="PO12" s="3" t="s">
        <v>8</v>
      </c>
      <c r="PP12" s="3" t="s">
        <v>9</v>
      </c>
      <c r="PQ12" s="3" t="s">
        <v>10</v>
      </c>
      <c r="PR12" s="3" t="s">
        <v>11</v>
      </c>
      <c r="PT12" s="29" t="s">
        <v>5</v>
      </c>
      <c r="PU12" s="30"/>
      <c r="PV12" s="29" t="s">
        <v>6</v>
      </c>
      <c r="PW12" s="30"/>
      <c r="PX12" s="3" t="s">
        <v>7</v>
      </c>
      <c r="PY12" s="3" t="s">
        <v>8</v>
      </c>
      <c r="PZ12" s="3" t="s">
        <v>9</v>
      </c>
      <c r="QA12" s="3" t="s">
        <v>10</v>
      </c>
      <c r="QB12" s="3" t="s">
        <v>11</v>
      </c>
      <c r="QD12" s="29" t="s">
        <v>5</v>
      </c>
      <c r="QE12" s="30"/>
      <c r="QF12" s="29" t="s">
        <v>6</v>
      </c>
      <c r="QG12" s="30"/>
      <c r="QH12" s="3" t="s">
        <v>7</v>
      </c>
      <c r="QI12" s="3" t="s">
        <v>8</v>
      </c>
      <c r="QJ12" s="3" t="s">
        <v>9</v>
      </c>
      <c r="QK12" s="3" t="s">
        <v>10</v>
      </c>
      <c r="QL12" s="3" t="s">
        <v>11</v>
      </c>
      <c r="QN12" s="29" t="s">
        <v>5</v>
      </c>
      <c r="QO12" s="30"/>
      <c r="QP12" s="29" t="s">
        <v>6</v>
      </c>
      <c r="QQ12" s="30"/>
      <c r="QR12" s="3" t="s">
        <v>7</v>
      </c>
      <c r="QS12" s="3" t="s">
        <v>8</v>
      </c>
      <c r="QT12" s="3" t="s">
        <v>9</v>
      </c>
      <c r="QU12" s="3" t="s">
        <v>10</v>
      </c>
      <c r="QV12" s="3" t="s">
        <v>11</v>
      </c>
      <c r="QX12" s="29" t="s">
        <v>5</v>
      </c>
      <c r="QY12" s="30"/>
      <c r="QZ12" s="29" t="s">
        <v>6</v>
      </c>
      <c r="RA12" s="30"/>
      <c r="RB12" s="3" t="s">
        <v>7</v>
      </c>
      <c r="RC12" s="3" t="s">
        <v>8</v>
      </c>
      <c r="RD12" s="3" t="s">
        <v>9</v>
      </c>
      <c r="RE12" s="3" t="s">
        <v>10</v>
      </c>
      <c r="RF12" s="3" t="s">
        <v>11</v>
      </c>
      <c r="RH12" s="29" t="s">
        <v>5</v>
      </c>
      <c r="RI12" s="30"/>
      <c r="RJ12" s="29" t="s">
        <v>6</v>
      </c>
      <c r="RK12" s="30"/>
      <c r="RL12" s="3" t="s">
        <v>7</v>
      </c>
      <c r="RM12" s="3" t="s">
        <v>8</v>
      </c>
      <c r="RN12" s="3" t="s">
        <v>9</v>
      </c>
      <c r="RO12" s="3" t="s">
        <v>10</v>
      </c>
      <c r="RP12" s="3" t="s">
        <v>11</v>
      </c>
      <c r="RR12" s="29" t="s">
        <v>5</v>
      </c>
      <c r="RS12" s="30"/>
      <c r="RT12" s="29" t="s">
        <v>6</v>
      </c>
      <c r="RU12" s="30"/>
      <c r="RV12" s="3" t="s">
        <v>7</v>
      </c>
      <c r="RW12" s="3" t="s">
        <v>8</v>
      </c>
      <c r="RX12" s="3" t="s">
        <v>9</v>
      </c>
      <c r="RY12" s="3" t="s">
        <v>10</v>
      </c>
      <c r="RZ12" s="3" t="s">
        <v>11</v>
      </c>
      <c r="SB12" s="29" t="s">
        <v>5</v>
      </c>
      <c r="SC12" s="30"/>
      <c r="SD12" s="29" t="s">
        <v>6</v>
      </c>
      <c r="SE12" s="30"/>
      <c r="SF12" s="3" t="s">
        <v>7</v>
      </c>
      <c r="SG12" s="3" t="s">
        <v>8</v>
      </c>
      <c r="SH12" s="3" t="s">
        <v>9</v>
      </c>
      <c r="SI12" s="3" t="s">
        <v>10</v>
      </c>
      <c r="SJ12" s="3" t="s">
        <v>11</v>
      </c>
      <c r="SL12" s="29" t="s">
        <v>5</v>
      </c>
      <c r="SM12" s="30"/>
      <c r="SN12" s="29" t="s">
        <v>6</v>
      </c>
      <c r="SO12" s="30"/>
      <c r="SP12" s="3" t="s">
        <v>7</v>
      </c>
      <c r="SQ12" s="3" t="s">
        <v>8</v>
      </c>
      <c r="SR12" s="3" t="s">
        <v>9</v>
      </c>
      <c r="SS12" s="3" t="s">
        <v>10</v>
      </c>
      <c r="ST12" s="3" t="s">
        <v>11</v>
      </c>
      <c r="SV12" s="29" t="s">
        <v>5</v>
      </c>
      <c r="SW12" s="30"/>
      <c r="SX12" s="29" t="s">
        <v>6</v>
      </c>
      <c r="SY12" s="30"/>
      <c r="SZ12" s="3" t="s">
        <v>7</v>
      </c>
      <c r="TA12" s="3" t="s">
        <v>8</v>
      </c>
      <c r="TB12" s="3" t="s">
        <v>9</v>
      </c>
      <c r="TC12" s="3" t="s">
        <v>10</v>
      </c>
      <c r="TD12" s="3" t="s">
        <v>11</v>
      </c>
      <c r="TF12" s="54" t="s">
        <v>5</v>
      </c>
      <c r="TG12" s="55"/>
      <c r="TH12" s="54" t="s">
        <v>6</v>
      </c>
      <c r="TI12" s="55"/>
      <c r="TJ12" s="56" t="s">
        <v>7</v>
      </c>
      <c r="TK12" s="56" t="s">
        <v>8</v>
      </c>
      <c r="TL12" s="56" t="s">
        <v>9</v>
      </c>
      <c r="TM12" s="56" t="s">
        <v>10</v>
      </c>
      <c r="TN12" s="56" t="s">
        <v>11</v>
      </c>
      <c r="TP12" s="27" t="s">
        <v>5</v>
      </c>
      <c r="TQ12" s="28"/>
      <c r="TR12" s="27" t="s">
        <v>6</v>
      </c>
      <c r="TS12" s="28"/>
      <c r="TT12" s="3" t="s">
        <v>7</v>
      </c>
      <c r="TU12" s="3" t="s">
        <v>8</v>
      </c>
      <c r="TV12" s="3" t="s">
        <v>9</v>
      </c>
      <c r="TW12" s="3" t="s">
        <v>10</v>
      </c>
      <c r="TX12" s="3" t="s">
        <v>11</v>
      </c>
    </row>
    <row r="13" spans="1:544" ht="12.75" customHeight="1" x14ac:dyDescent="0.25">
      <c r="A13" s="23" t="s">
        <v>19</v>
      </c>
      <c r="B13" s="11" t="s">
        <v>13</v>
      </c>
      <c r="C13" s="12"/>
      <c r="D13" s="13" t="s">
        <v>12</v>
      </c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 s="20">
        <v>24</v>
      </c>
      <c r="NW13" s="5" t="s">
        <v>12</v>
      </c>
      <c r="NX13" s="20">
        <v>0</v>
      </c>
      <c r="NY13" s="5" t="s">
        <v>12</v>
      </c>
      <c r="NZ13" s="4">
        <f t="shared" ref="NZ13:NZ14" si="160">IF(OR(ISNUMBER(NV13), ISNUMBER(NX13)), IF(ISNUMBER(NV13), NV13, 0) + IF(ISNUMBER(NX13), NX13, 0), "")</f>
        <v>24</v>
      </c>
      <c r="OA13" s="21">
        <v>0</v>
      </c>
      <c r="OB13" s="18">
        <f t="shared" ref="OB13:OB14" si="161">IF(ISNUMBER(NZ13), (NP13 + (NQ13 * 24)) - NZ13, "")</f>
        <v>-24</v>
      </c>
      <c r="OC13" s="4"/>
      <c r="OD13" s="8" t="str">
        <f t="shared" ref="OD13:OD14" si="162">IF(ISNUMBER(OC13), OC13-OB13, "")</f>
        <v/>
      </c>
      <c r="OF13" s="20">
        <v>12</v>
      </c>
      <c r="OG13" s="5" t="s">
        <v>12</v>
      </c>
      <c r="OH13" s="20">
        <v>10</v>
      </c>
      <c r="OI13" s="5" t="s">
        <v>12</v>
      </c>
      <c r="OJ13" s="4">
        <f t="shared" ref="OJ13:OJ14" si="163">IF(OR(ISNUMBER(OF13), ISNUMBER(OH13)), IF(ISNUMBER(OF13), OF13, 0) + IF(ISNUMBER(OH13), OH13, 0), "")</f>
        <v>22</v>
      </c>
      <c r="OK13" s="21"/>
      <c r="OL13" s="18">
        <f t="shared" ref="OL13:OL14" si="164">IF(ISNUMBER(OJ13), (NZ13 + (OA13 * 24)) - OJ13, "")</f>
        <v>2</v>
      </c>
      <c r="OM13" s="4">
        <v>1</v>
      </c>
      <c r="ON13" s="8">
        <f t="shared" ref="ON13:ON14" si="165">IF(ISNUMBER(OM13), OM13-OL13, "")</f>
        <v>-1</v>
      </c>
      <c r="OP13" s="20">
        <v>12</v>
      </c>
      <c r="OQ13" s="5" t="s">
        <v>12</v>
      </c>
      <c r="OR13" s="20">
        <v>10</v>
      </c>
      <c r="OS13" s="5" t="s">
        <v>12</v>
      </c>
      <c r="OT13" s="4">
        <f t="shared" ref="OT13:OT14" si="166">IF(OR(ISNUMBER(OP13), ISNUMBER(OR13)), IF(ISNUMBER(OP13), OP13, 0) + IF(ISNUMBER(OR13), OR13, 0), "")</f>
        <v>22</v>
      </c>
      <c r="OU13" s="21"/>
      <c r="OV13" s="18">
        <f t="shared" ref="OV13:OV14" si="167">IF(ISNUMBER(OT13), (OJ13 + (OK13 * 24)) - OT13, "")</f>
        <v>0</v>
      </c>
      <c r="OW13" s="4"/>
      <c r="OX13" s="8" t="str">
        <f t="shared" ref="OX13:OX14" si="168">IF(ISNUMBER(OW13), OW13-OV13, "")</f>
        <v/>
      </c>
      <c r="OZ13" s="2">
        <v>0</v>
      </c>
      <c r="PA13" s="5" t="s">
        <v>12</v>
      </c>
      <c r="PB13" s="2">
        <v>19</v>
      </c>
      <c r="PC13" s="5" t="s">
        <v>12</v>
      </c>
      <c r="PD13" s="4">
        <f t="shared" ref="PD13:PD14" si="169">IF(OR(ISNUMBER(OZ13), ISNUMBER(PB13)), IF(ISNUMBER(OZ13), OZ13, 0) + IF(ISNUMBER(PB13), PB13, 0), "")</f>
        <v>19</v>
      </c>
      <c r="PE13" s="17"/>
      <c r="PF13" s="18">
        <f t="shared" ref="PF13:PF14" si="170">IF(ISNUMBER(PD13), (OT13 + (OU13 * 24)) - PD13, "")</f>
        <v>3</v>
      </c>
      <c r="PG13" s="4">
        <v>3</v>
      </c>
      <c r="PH13" s="8">
        <f t="shared" ref="PH13:PH14" si="171">IF(ISNUMBER(PG13), PG13-PF13, "")</f>
        <v>0</v>
      </c>
      <c r="PJ13" s="2"/>
      <c r="PK13" s="5" t="s">
        <v>12</v>
      </c>
      <c r="PL13" s="2">
        <v>19</v>
      </c>
      <c r="PM13" s="5" t="s">
        <v>12</v>
      </c>
      <c r="PN13" s="4">
        <f t="shared" ref="PN13:PN14" si="172">IF(OR(ISNUMBER(PJ13), ISNUMBER(PL13)), IF(ISNUMBER(PJ13), PJ13, 0) + IF(ISNUMBER(PL13), PL13, 0), "")</f>
        <v>19</v>
      </c>
      <c r="PO13" s="17"/>
      <c r="PP13" s="18">
        <f t="shared" ref="PP13:PP14" si="173">IF(ISNUMBER(PN13), (PD13 + (PE13 * 24)) - PN13, "")</f>
        <v>0</v>
      </c>
      <c r="PQ13" s="4">
        <v>2</v>
      </c>
      <c r="PR13" s="8">
        <f t="shared" ref="PR13:PR14" si="174">IF(ISNUMBER(PQ13), PQ13-PP13, "")</f>
        <v>2</v>
      </c>
      <c r="PT13" s="20"/>
      <c r="PU13" s="5" t="s">
        <v>12</v>
      </c>
      <c r="PV13" s="20">
        <v>18</v>
      </c>
      <c r="PW13" s="5" t="s">
        <v>12</v>
      </c>
      <c r="PX13" s="4">
        <f t="shared" ref="PX13:PX14" si="175">IF(OR(ISNUMBER(PT13), ISNUMBER(PV13)), IF(ISNUMBER(PT13), PT13, 0) + IF(ISNUMBER(PV13), PV13, 0), "")</f>
        <v>18</v>
      </c>
      <c r="PY13" s="25"/>
      <c r="PZ13" s="18">
        <f t="shared" ref="PZ13:PZ14" si="176">IF(ISNUMBER(PX13), (PN13 + (PO13 * 24)) - PX13, "")</f>
        <v>1</v>
      </c>
      <c r="QA13" s="4">
        <v>1</v>
      </c>
      <c r="QB13" s="8">
        <f t="shared" ref="QB13:QB14" si="177">IF(ISNUMBER(QA13), QA13-PZ13, "")</f>
        <v>0</v>
      </c>
      <c r="QD13" s="20">
        <v>0</v>
      </c>
      <c r="QE13" s="5" t="s">
        <v>12</v>
      </c>
      <c r="QF13" s="20">
        <v>18</v>
      </c>
      <c r="QG13" s="5" t="s">
        <v>12</v>
      </c>
      <c r="QH13" s="4">
        <f t="shared" ref="QH13:QH14" si="178">IF(OR(ISNUMBER(QD13), ISNUMBER(QF13)), IF(ISNUMBER(QD13), QD13, 0) + IF(ISNUMBER(QF13), QF13, 0), "")</f>
        <v>18</v>
      </c>
      <c r="QI13" s="25"/>
      <c r="QJ13" s="18">
        <f t="shared" ref="QJ13:QJ14" si="179">IF(ISNUMBER(QH13), (PX13 + (PY13 * 24)) - QH13, "")</f>
        <v>0</v>
      </c>
      <c r="QK13" s="4">
        <v>0</v>
      </c>
      <c r="QL13" s="8">
        <f t="shared" ref="QL13:QL14" si="180">IF(ISNUMBER(QK13), QK13-QJ13, "")</f>
        <v>0</v>
      </c>
      <c r="QN13" s="20">
        <v>0</v>
      </c>
      <c r="QO13" s="5" t="s">
        <v>12</v>
      </c>
      <c r="QP13" s="20">
        <v>16</v>
      </c>
      <c r="QQ13" s="5" t="s">
        <v>12</v>
      </c>
      <c r="QR13" s="4">
        <f t="shared" ref="QR13:QR14" si="181">IF(OR(ISNUMBER(QN13), ISNUMBER(QP13)), IF(ISNUMBER(QN13), QN13, 0) + IF(ISNUMBER(QP13), QP13, 0), "")</f>
        <v>16</v>
      </c>
      <c r="QS13" s="25"/>
      <c r="QT13" s="18">
        <f t="shared" ref="QT13:QT14" si="182">IF(ISNUMBER(QR13), (QH13 + (QI13 * 24)) - QR13, "")</f>
        <v>2</v>
      </c>
      <c r="QU13" s="4">
        <v>2</v>
      </c>
      <c r="QV13" s="8">
        <f t="shared" ref="QV13:QV14" si="183">IF(ISNUMBER(QU13), QU13-QT13, "")</f>
        <v>0</v>
      </c>
      <c r="QX13" s="20">
        <v>0</v>
      </c>
      <c r="QY13" s="5" t="s">
        <v>12</v>
      </c>
      <c r="QZ13" s="20">
        <v>15</v>
      </c>
      <c r="RA13" s="5" t="s">
        <v>12</v>
      </c>
      <c r="RB13" s="4">
        <f t="shared" ref="RB13:RB14" si="184">IF(OR(ISNUMBER(QX13), ISNUMBER(QZ13)), IF(ISNUMBER(QX13), QX13, 0) + IF(ISNUMBER(QZ13), QZ13, 0), "")</f>
        <v>15</v>
      </c>
      <c r="RC13" s="25"/>
      <c r="RD13" s="18">
        <f t="shared" ref="RD13:RD14" si="185">IF(ISNUMBER(RB13), (QR13 + (QS13 * 24)) - RB13, "")</f>
        <v>1</v>
      </c>
      <c r="RE13" s="4">
        <v>1</v>
      </c>
      <c r="RF13" s="8">
        <f t="shared" ref="RF13:RF14" si="186">IF(ISNUMBER(RE13), RE13-RD13, "")</f>
        <v>0</v>
      </c>
      <c r="RH13" s="20">
        <v>0</v>
      </c>
      <c r="RI13" s="5" t="s">
        <v>12</v>
      </c>
      <c r="RJ13" s="20">
        <v>13</v>
      </c>
      <c r="RK13" s="5" t="s">
        <v>12</v>
      </c>
      <c r="RL13" s="4">
        <f t="shared" ref="RL13:RL14" si="187">IF(OR(ISNUMBER(RH13), ISNUMBER(RJ13)), IF(ISNUMBER(RH13), RH13, 0) + IF(ISNUMBER(RJ13), RJ13, 0), "")</f>
        <v>13</v>
      </c>
      <c r="RM13" s="25"/>
      <c r="RN13" s="18">
        <f t="shared" ref="RN13:RN14" si="188">IF(ISNUMBER(RL13), (RB13 + (RC13 * 24)) - RL13, "")</f>
        <v>2</v>
      </c>
      <c r="RO13" s="4">
        <v>1</v>
      </c>
      <c r="RP13" s="8">
        <f t="shared" ref="RP13:RP14" si="189">IF(ISNUMBER(RO13), RO13-RN13, "")</f>
        <v>-1</v>
      </c>
      <c r="RR13" s="2">
        <v>0</v>
      </c>
      <c r="RS13" s="5" t="s">
        <v>12</v>
      </c>
      <c r="RT13" s="2">
        <v>13</v>
      </c>
      <c r="RU13" s="5" t="s">
        <v>12</v>
      </c>
      <c r="RV13" s="4">
        <f t="shared" ref="RV13:RV14" si="190">IF(OR(ISNUMBER(RR13), ISNUMBER(RT13)), IF(ISNUMBER(RR13), RR13, 0) + IF(ISNUMBER(RT13), RT13, 0), "")</f>
        <v>13</v>
      </c>
      <c r="RW13" s="25"/>
      <c r="RX13" s="18">
        <f t="shared" ref="RX13:RX14" si="191">IF(ISNUMBER(RV13), (RL13 + (RM13 * 24)) - RV13, "")</f>
        <v>0</v>
      </c>
      <c r="RY13" s="4">
        <v>3</v>
      </c>
      <c r="RZ13" s="8">
        <f t="shared" ref="RZ13:RZ14" si="192">IF(ISNUMBER(RY13), RY13-RX13, "")</f>
        <v>3</v>
      </c>
      <c r="SB13" s="20"/>
      <c r="SC13" s="5" t="s">
        <v>12</v>
      </c>
      <c r="SD13" s="20">
        <v>10</v>
      </c>
      <c r="SE13" s="5" t="s">
        <v>12</v>
      </c>
      <c r="SF13" s="4">
        <f t="shared" ref="SF13:SF14" si="193">IF(OR(ISNUMBER(SB13), ISNUMBER(SD13)), IF(ISNUMBER(SB13), SB13, 0) + IF(ISNUMBER(SD13), SD13, 0), "")</f>
        <v>10</v>
      </c>
      <c r="SG13" s="25"/>
      <c r="SH13" s="18">
        <f t="shared" ref="SH13:SH14" si="194">IF(ISNUMBER(SF13), (RV13 + (RW13 * 24)) - SF13, "")</f>
        <v>3</v>
      </c>
      <c r="SI13" s="4">
        <v>3</v>
      </c>
      <c r="SJ13" s="8">
        <f t="shared" ref="SJ13:SJ14" si="195">IF(ISNUMBER(SI13), SI13-SH13, "")</f>
        <v>0</v>
      </c>
      <c r="SL13" s="2"/>
      <c r="SM13" s="5" t="s">
        <v>12</v>
      </c>
      <c r="SN13" s="2">
        <v>7</v>
      </c>
      <c r="SO13" s="5" t="s">
        <v>12</v>
      </c>
      <c r="SP13" s="4">
        <f t="shared" ref="SP13:SP14" si="196">IF(OR(ISNUMBER(SL13), ISNUMBER(SN13)), IF(ISNUMBER(SL13), SL13, 0) + IF(ISNUMBER(SN13), SN13, 0), "")</f>
        <v>7</v>
      </c>
      <c r="SQ13" s="25"/>
      <c r="SR13" s="18">
        <f t="shared" ref="SR13:SR14" si="197">IF(ISNUMBER(SP13), (SF13 + (SG13 * 24)) - SP13, "")</f>
        <v>3</v>
      </c>
      <c r="SS13" s="4">
        <v>2</v>
      </c>
      <c r="ST13" s="8">
        <f t="shared" ref="ST13:ST14" si="198">IF(ISNUMBER(SS13), SS13-SR13, "")</f>
        <v>-1</v>
      </c>
      <c r="SV13" s="2">
        <v>0</v>
      </c>
      <c r="SW13" s="5" t="s">
        <v>12</v>
      </c>
      <c r="SX13" s="2">
        <v>7</v>
      </c>
      <c r="SY13" s="5" t="s">
        <v>12</v>
      </c>
      <c r="SZ13" s="4">
        <f t="shared" ref="SZ13:SZ14" si="199">IF(OR(ISNUMBER(SV13), ISNUMBER(SX13)), IF(ISNUMBER(SV13), SV13, 0) + IF(ISNUMBER(SX13), SX13, 0), "")</f>
        <v>7</v>
      </c>
      <c r="TA13" s="25"/>
      <c r="TB13" s="18">
        <f t="shared" ref="TB13:TB14" si="200">IF(ISNUMBER(SZ13), (SP13 + (SQ13 * 24)) - SZ13, "")</f>
        <v>0</v>
      </c>
      <c r="TC13" s="4">
        <v>0</v>
      </c>
      <c r="TD13" s="8">
        <f t="shared" ref="TD13:TD14" si="201">IF(ISNUMBER(TC13), TC13-TB13, "")</f>
        <v>0</v>
      </c>
      <c r="TF13" s="57"/>
      <c r="TG13" s="58" t="s">
        <v>12</v>
      </c>
      <c r="TH13" s="57"/>
      <c r="TI13" s="58" t="s">
        <v>12</v>
      </c>
      <c r="TJ13" s="59" t="str">
        <f t="shared" ref="TJ13:TJ14" si="202">IF(OR(ISNUMBER(TF13), ISNUMBER(TH13)), IF(ISNUMBER(TF13), TF13, 0) + IF(ISNUMBER(TH13), TH13, 0), "")</f>
        <v/>
      </c>
      <c r="TK13" s="65"/>
      <c r="TL13" s="61" t="str">
        <f t="shared" ref="TL13:TL14" si="203">IF(ISNUMBER(TJ13), (SZ13 + (TA13 * 24)) - TJ13, "")</f>
        <v/>
      </c>
      <c r="TM13" s="59">
        <v>2</v>
      </c>
      <c r="TN13" s="62" t="e">
        <f t="shared" ref="TN13:TN14" si="204">IF(ISNUMBER(TM13), TM13-TL13, "")</f>
        <v>#VALUE!</v>
      </c>
      <c r="TP13" s="2"/>
      <c r="TQ13" s="5" t="s">
        <v>12</v>
      </c>
      <c r="TR13" s="2"/>
      <c r="TS13" s="5" t="s">
        <v>12</v>
      </c>
      <c r="TT13" s="4" t="str">
        <f t="shared" ref="TT13:TT14" si="205">IF(OR(ISNUMBER(TP13), ISNUMBER(TR13)), IF(ISNUMBER(TP13), TP13, 0) + IF(ISNUMBER(TR13), TR13, 0), "")</f>
        <v/>
      </c>
      <c r="TU13" s="25"/>
      <c r="TV13" s="18" t="str">
        <f>IF(ISNUMBER(TT13), (TJ13 + (TK13 * 24)) - TT13, "")</f>
        <v/>
      </c>
      <c r="TW13" s="4"/>
      <c r="TX13" s="8" t="str">
        <f t="shared" ref="TX13:TX14" si="206">IF(ISNUMBER(TW13), TW13-TV13, "")</f>
        <v/>
      </c>
    </row>
    <row r="14" spans="1:544" ht="12.75" customHeight="1" x14ac:dyDescent="0.25">
      <c r="A14" s="23" t="s">
        <v>20</v>
      </c>
      <c r="B14" s="11" t="s">
        <v>13</v>
      </c>
      <c r="C14" s="12"/>
      <c r="D14" s="13" t="s">
        <v>12</v>
      </c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/>
      <c r="NT14"/>
      <c r="NU14"/>
      <c r="NV14" s="20">
        <v>24</v>
      </c>
      <c r="NW14" s="5" t="s">
        <v>12</v>
      </c>
      <c r="NX14" s="20">
        <v>0</v>
      </c>
      <c r="NY14" s="5" t="s">
        <v>12</v>
      </c>
      <c r="NZ14" s="4">
        <f t="shared" si="160"/>
        <v>24</v>
      </c>
      <c r="OA14" s="21">
        <v>0</v>
      </c>
      <c r="OB14" s="18">
        <f t="shared" si="161"/>
        <v>-24</v>
      </c>
      <c r="OC14" s="4"/>
      <c r="OD14" s="8" t="str">
        <f t="shared" si="162"/>
        <v/>
      </c>
      <c r="OF14" s="20">
        <v>12</v>
      </c>
      <c r="OG14" s="5" t="s">
        <v>12</v>
      </c>
      <c r="OH14" s="20">
        <v>6</v>
      </c>
      <c r="OI14" s="5" t="s">
        <v>12</v>
      </c>
      <c r="OJ14" s="4">
        <f t="shared" si="163"/>
        <v>18</v>
      </c>
      <c r="OK14" s="21"/>
      <c r="OL14" s="18">
        <f t="shared" si="164"/>
        <v>6</v>
      </c>
      <c r="OM14" s="4">
        <v>4</v>
      </c>
      <c r="ON14" s="8">
        <f t="shared" si="165"/>
        <v>-2</v>
      </c>
      <c r="OP14" s="20">
        <v>4</v>
      </c>
      <c r="OQ14" s="5" t="s">
        <v>12</v>
      </c>
      <c r="OR14" s="20">
        <v>9</v>
      </c>
      <c r="OS14" s="5" t="s">
        <v>12</v>
      </c>
      <c r="OT14" s="4">
        <f t="shared" si="166"/>
        <v>13</v>
      </c>
      <c r="OU14" s="21"/>
      <c r="OV14" s="18">
        <f t="shared" si="167"/>
        <v>5</v>
      </c>
      <c r="OW14" s="4">
        <v>6</v>
      </c>
      <c r="OX14" s="8">
        <f t="shared" si="168"/>
        <v>1</v>
      </c>
      <c r="OZ14" s="2">
        <v>0</v>
      </c>
      <c r="PA14" s="5" t="s">
        <v>12</v>
      </c>
      <c r="PB14" s="2">
        <v>12</v>
      </c>
      <c r="PC14" s="5" t="s">
        <v>12</v>
      </c>
      <c r="PD14" s="4">
        <f t="shared" si="169"/>
        <v>12</v>
      </c>
      <c r="PE14" s="17"/>
      <c r="PF14" s="18">
        <f t="shared" si="170"/>
        <v>1</v>
      </c>
      <c r="PG14" s="4">
        <v>1</v>
      </c>
      <c r="PH14" s="8">
        <f t="shared" si="171"/>
        <v>0</v>
      </c>
      <c r="PJ14" s="2"/>
      <c r="PK14" s="5" t="s">
        <v>12</v>
      </c>
      <c r="PL14" s="2">
        <v>9</v>
      </c>
      <c r="PM14" s="5" t="s">
        <v>12</v>
      </c>
      <c r="PN14" s="4">
        <f t="shared" si="172"/>
        <v>9</v>
      </c>
      <c r="PO14" s="17"/>
      <c r="PP14" s="18">
        <f t="shared" si="173"/>
        <v>3</v>
      </c>
      <c r="PQ14" s="4">
        <v>3</v>
      </c>
      <c r="PR14" s="8">
        <f t="shared" si="174"/>
        <v>0</v>
      </c>
      <c r="PT14" s="20"/>
      <c r="PU14" s="5" t="s">
        <v>12</v>
      </c>
      <c r="PV14" s="20">
        <v>5</v>
      </c>
      <c r="PW14" s="5" t="s">
        <v>12</v>
      </c>
      <c r="PX14" s="4">
        <f t="shared" si="175"/>
        <v>5</v>
      </c>
      <c r="PY14" s="25">
        <v>1</v>
      </c>
      <c r="PZ14" s="18">
        <f t="shared" si="176"/>
        <v>4</v>
      </c>
      <c r="QA14" s="4">
        <v>4</v>
      </c>
      <c r="QB14" s="8">
        <f t="shared" si="177"/>
        <v>0</v>
      </c>
      <c r="QD14" s="20">
        <v>24</v>
      </c>
      <c r="QE14" s="5" t="s">
        <v>12</v>
      </c>
      <c r="QF14" s="20">
        <v>3</v>
      </c>
      <c r="QG14" s="5" t="s">
        <v>12</v>
      </c>
      <c r="QH14" s="4">
        <f t="shared" si="178"/>
        <v>27</v>
      </c>
      <c r="QI14" s="25"/>
      <c r="QJ14" s="18">
        <f t="shared" si="179"/>
        <v>2</v>
      </c>
      <c r="QK14" s="4"/>
      <c r="QL14" s="8" t="str">
        <f t="shared" si="180"/>
        <v/>
      </c>
      <c r="QN14" s="20">
        <v>20</v>
      </c>
      <c r="QO14" s="5" t="s">
        <v>12</v>
      </c>
      <c r="QP14" s="20">
        <v>6</v>
      </c>
      <c r="QQ14" s="5" t="s">
        <v>12</v>
      </c>
      <c r="QR14" s="4">
        <f t="shared" si="181"/>
        <v>26</v>
      </c>
      <c r="QS14" s="25"/>
      <c r="QT14" s="18">
        <f t="shared" si="182"/>
        <v>1</v>
      </c>
      <c r="QU14" s="4">
        <v>1</v>
      </c>
      <c r="QV14" s="8">
        <f t="shared" si="183"/>
        <v>0</v>
      </c>
      <c r="QX14" s="20">
        <v>20</v>
      </c>
      <c r="QY14" s="5" t="s">
        <v>12</v>
      </c>
      <c r="QZ14" s="20">
        <v>4</v>
      </c>
      <c r="RA14" s="5" t="s">
        <v>12</v>
      </c>
      <c r="RB14" s="4">
        <f t="shared" si="184"/>
        <v>24</v>
      </c>
      <c r="RC14" s="25"/>
      <c r="RD14" s="18">
        <f t="shared" si="185"/>
        <v>2</v>
      </c>
      <c r="RE14" s="4">
        <v>2</v>
      </c>
      <c r="RF14" s="8">
        <f t="shared" si="186"/>
        <v>0</v>
      </c>
      <c r="RH14" s="20">
        <v>16</v>
      </c>
      <c r="RI14" s="5" t="s">
        <v>12</v>
      </c>
      <c r="RJ14" s="20">
        <v>4</v>
      </c>
      <c r="RK14" s="5" t="s">
        <v>12</v>
      </c>
      <c r="RL14" s="4">
        <f t="shared" si="187"/>
        <v>20</v>
      </c>
      <c r="RM14" s="25"/>
      <c r="RN14" s="18">
        <f t="shared" si="188"/>
        <v>4</v>
      </c>
      <c r="RO14" s="4">
        <v>4</v>
      </c>
      <c r="RP14" s="8">
        <f t="shared" si="189"/>
        <v>0</v>
      </c>
      <c r="RR14" s="2">
        <v>8</v>
      </c>
      <c r="RS14" s="5" t="s">
        <v>12</v>
      </c>
      <c r="RT14" s="2">
        <v>8</v>
      </c>
      <c r="RU14" s="5" t="s">
        <v>12</v>
      </c>
      <c r="RV14" s="4">
        <f t="shared" si="190"/>
        <v>16</v>
      </c>
      <c r="RW14" s="25"/>
      <c r="RX14" s="18">
        <f t="shared" si="191"/>
        <v>4</v>
      </c>
      <c r="RY14" s="4">
        <v>4</v>
      </c>
      <c r="RZ14" s="8">
        <f t="shared" si="192"/>
        <v>0</v>
      </c>
      <c r="SB14" s="20"/>
      <c r="SC14" s="5" t="s">
        <v>12</v>
      </c>
      <c r="SD14" s="20">
        <v>12</v>
      </c>
      <c r="SE14" s="5" t="s">
        <v>12</v>
      </c>
      <c r="SF14" s="4">
        <f t="shared" si="193"/>
        <v>12</v>
      </c>
      <c r="SG14" s="25"/>
      <c r="SH14" s="18">
        <f t="shared" si="194"/>
        <v>4</v>
      </c>
      <c r="SI14" s="4">
        <v>4</v>
      </c>
      <c r="SJ14" s="8">
        <f t="shared" si="195"/>
        <v>0</v>
      </c>
      <c r="SL14" s="2"/>
      <c r="SM14" s="5" t="s">
        <v>12</v>
      </c>
      <c r="SN14" s="2">
        <v>6</v>
      </c>
      <c r="SO14" s="5" t="s">
        <v>12</v>
      </c>
      <c r="SP14" s="4">
        <f t="shared" si="196"/>
        <v>6</v>
      </c>
      <c r="SQ14" s="25"/>
      <c r="SR14" s="18">
        <f t="shared" si="197"/>
        <v>6</v>
      </c>
      <c r="SS14" s="4">
        <v>6</v>
      </c>
      <c r="ST14" s="8">
        <f t="shared" si="198"/>
        <v>0</v>
      </c>
      <c r="SV14" s="2">
        <v>0</v>
      </c>
      <c r="SW14" s="5" t="s">
        <v>12</v>
      </c>
      <c r="SX14" s="2">
        <v>1</v>
      </c>
      <c r="SY14" s="5" t="s">
        <v>12</v>
      </c>
      <c r="SZ14" s="4">
        <f t="shared" si="199"/>
        <v>1</v>
      </c>
      <c r="TA14" s="25"/>
      <c r="TB14" s="18">
        <f t="shared" si="200"/>
        <v>5</v>
      </c>
      <c r="TC14" s="4">
        <v>4</v>
      </c>
      <c r="TD14" s="8">
        <f t="shared" si="201"/>
        <v>-1</v>
      </c>
      <c r="TF14" s="57"/>
      <c r="TG14" s="58" t="s">
        <v>12</v>
      </c>
      <c r="TH14" s="57"/>
      <c r="TI14" s="58" t="s">
        <v>12</v>
      </c>
      <c r="TJ14" s="59" t="str">
        <f t="shared" si="202"/>
        <v/>
      </c>
      <c r="TK14" s="65"/>
      <c r="TL14" s="61" t="str">
        <f t="shared" si="203"/>
        <v/>
      </c>
      <c r="TM14" s="59"/>
      <c r="TN14" s="62" t="str">
        <f t="shared" si="204"/>
        <v/>
      </c>
      <c r="TP14" s="2"/>
      <c r="TQ14" s="5" t="s">
        <v>12</v>
      </c>
      <c r="TR14" s="2"/>
      <c r="TS14" s="5" t="s">
        <v>12</v>
      </c>
      <c r="TT14" s="4" t="str">
        <f t="shared" si="205"/>
        <v/>
      </c>
      <c r="TU14" s="25"/>
      <c r="TV14" s="18" t="str">
        <f t="shared" ref="TV14" si="207">IF(ISNUMBER(TT14), (TJ14 + (TK14 * 24)) - TT14, "")</f>
        <v/>
      </c>
      <c r="TW14" s="4"/>
      <c r="TX14" s="8" t="str">
        <f t="shared" si="206"/>
        <v/>
      </c>
    </row>
    <row r="15" spans="1:544" ht="12.75" customHeight="1" x14ac:dyDescent="0.2">
      <c r="A15" s="9"/>
    </row>
    <row r="16" spans="1:544" ht="12.75" customHeight="1" x14ac:dyDescent="0.2">
      <c r="A16" s="9" t="s">
        <v>14</v>
      </c>
    </row>
    <row r="17" spans="1:1" ht="12.75" customHeight="1" x14ac:dyDescent="0.2">
      <c r="A17" s="10" t="s">
        <v>15</v>
      </c>
    </row>
    <row r="18" spans="1:1" ht="12.75" customHeight="1" x14ac:dyDescent="0.2">
      <c r="A18" s="9"/>
    </row>
    <row r="19" spans="1:1" ht="12.75" customHeight="1" x14ac:dyDescent="0.2">
      <c r="A19" s="9" t="s">
        <v>16</v>
      </c>
    </row>
    <row r="20" spans="1:1" ht="12.75" customHeight="1" x14ac:dyDescent="0.2">
      <c r="A20" s="10" t="s">
        <v>27</v>
      </c>
    </row>
    <row r="21" spans="1:1" ht="12.75" customHeight="1" x14ac:dyDescent="0.2">
      <c r="A21" s="10" t="s">
        <v>26</v>
      </c>
    </row>
    <row r="23" spans="1:1" ht="12.75" customHeight="1" x14ac:dyDescent="0.2">
      <c r="A23" s="9" t="s">
        <v>17</v>
      </c>
    </row>
  </sheetData>
  <sheetProtection algorithmName="SHA-512" hashValue="MbipqcwkzcLLkmxHMa9gWZQB/5qKB1HVygKPIxMWVWYiE2syQVmj2dGvDvF1+jIH0BgHDGgyhjTUVc0kn6MS3Q==" saltValue="QTIixbJpE9alyNXziEeiog==" spinCount="100000" sheet="1" selectLockedCells="1"/>
  <mergeCells count="359">
    <mergeCell ref="QZ12:RA12"/>
    <mergeCell ref="TP1:TQ1"/>
    <mergeCell ref="TR1:TT1"/>
    <mergeCell ref="TU1:TV1"/>
    <mergeCell ref="TW1:TX1"/>
    <mergeCell ref="TP2:TQ2"/>
    <mergeCell ref="TR2:TS2"/>
    <mergeCell ref="TP12:TQ12"/>
    <mergeCell ref="TR12:TS12"/>
    <mergeCell ref="RC1:RD1"/>
    <mergeCell ref="TF1:TG1"/>
    <mergeCell ref="TH1:TJ1"/>
    <mergeCell ref="TK1:TL1"/>
    <mergeCell ref="TM1:TN1"/>
    <mergeCell ref="TF2:TG2"/>
    <mergeCell ref="TH2:TI2"/>
    <mergeCell ref="TF12:TG12"/>
    <mergeCell ref="TH12:TI12"/>
    <mergeCell ref="SV1:SW1"/>
    <mergeCell ref="SX1:SZ1"/>
    <mergeCell ref="TA1:TB1"/>
    <mergeCell ref="TC1:TD1"/>
    <mergeCell ref="SV2:SW2"/>
    <mergeCell ref="SX2:SY2"/>
    <mergeCell ref="SV12:SW12"/>
    <mergeCell ref="SX12:SY12"/>
    <mergeCell ref="RE1:RF1"/>
    <mergeCell ref="QX1:QY1"/>
    <mergeCell ref="QZ1:RB1"/>
    <mergeCell ref="QA1:QB1"/>
    <mergeCell ref="PT2:PU2"/>
    <mergeCell ref="PV2:PW2"/>
    <mergeCell ref="QU1:QV1"/>
    <mergeCell ref="QN12:QO12"/>
    <mergeCell ref="QP12:QQ12"/>
    <mergeCell ref="QN1:QO1"/>
    <mergeCell ref="QP1:QR1"/>
    <mergeCell ref="QS1:QT1"/>
    <mergeCell ref="QN2:QO2"/>
    <mergeCell ref="QP2:QQ2"/>
    <mergeCell ref="QD1:QE1"/>
    <mergeCell ref="QF1:QH1"/>
    <mergeCell ref="QI1:QJ1"/>
    <mergeCell ref="QD2:QE2"/>
    <mergeCell ref="QF2:QG2"/>
    <mergeCell ref="QD12:QE12"/>
    <mergeCell ref="QF12:QG12"/>
    <mergeCell ref="QK1:QL1"/>
    <mergeCell ref="QX2:QY2"/>
    <mergeCell ref="QZ2:RA2"/>
    <mergeCell ref="QX12:QY12"/>
    <mergeCell ref="PG1:PH1"/>
    <mergeCell ref="PB2:PC2"/>
    <mergeCell ref="PT12:PU12"/>
    <mergeCell ref="PV12:PW12"/>
    <mergeCell ref="PJ12:PK12"/>
    <mergeCell ref="PL12:PM12"/>
    <mergeCell ref="PJ1:PK1"/>
    <mergeCell ref="PL1:PN1"/>
    <mergeCell ref="PO1:PP1"/>
    <mergeCell ref="PQ1:PR1"/>
    <mergeCell ref="PJ2:PK2"/>
    <mergeCell ref="PL2:PM2"/>
    <mergeCell ref="PT1:PU1"/>
    <mergeCell ref="PV1:PX1"/>
    <mergeCell ref="NV2:NW2"/>
    <mergeCell ref="NX2:NY2"/>
    <mergeCell ref="OW1:OX1"/>
    <mergeCell ref="OP2:OQ2"/>
    <mergeCell ref="OR2:OS2"/>
    <mergeCell ref="NX1:NZ1"/>
    <mergeCell ref="OZ12:PA12"/>
    <mergeCell ref="PB12:PC12"/>
    <mergeCell ref="PY1:PZ1"/>
    <mergeCell ref="OP12:OQ12"/>
    <mergeCell ref="OR12:OS12"/>
    <mergeCell ref="OF12:OG12"/>
    <mergeCell ref="OH12:OI12"/>
    <mergeCell ref="OA1:OB1"/>
    <mergeCell ref="OP1:OQ1"/>
    <mergeCell ref="OR1:OT1"/>
    <mergeCell ref="OU1:OV1"/>
    <mergeCell ref="OF1:OG1"/>
    <mergeCell ref="OH1:OJ1"/>
    <mergeCell ref="OH2:OI2"/>
    <mergeCell ref="OK1:OL1"/>
    <mergeCell ref="OC1:OD1"/>
    <mergeCell ref="PB1:PD1"/>
    <mergeCell ref="PE1:PF1"/>
    <mergeCell ref="NN1:NP1"/>
    <mergeCell ref="NQ1:NR1"/>
    <mergeCell ref="GZ1:HB1"/>
    <mergeCell ref="MR2:MS2"/>
    <mergeCell ref="MT2:MU2"/>
    <mergeCell ref="MH1:MI1"/>
    <mergeCell ref="MJ1:ML1"/>
    <mergeCell ref="MM1:MN1"/>
    <mergeCell ref="MO1:MP1"/>
    <mergeCell ref="MH2:MI2"/>
    <mergeCell ref="MJ2:MK2"/>
    <mergeCell ref="MR1:MS1"/>
    <mergeCell ref="MT1:MV1"/>
    <mergeCell ref="HC1:HD1"/>
    <mergeCell ref="HE1:HF1"/>
    <mergeCell ref="JZ1:KA1"/>
    <mergeCell ref="KB1:KD1"/>
    <mergeCell ref="HH1:HI1"/>
    <mergeCell ref="GZ2:HA2"/>
    <mergeCell ref="JP2:JQ2"/>
    <mergeCell ref="HR2:HS2"/>
    <mergeCell ref="HT2:HU2"/>
    <mergeCell ref="HJ2:HK2"/>
    <mergeCell ref="JF2:JG2"/>
    <mergeCell ref="JM1:JN1"/>
    <mergeCell ref="JP1:JQ1"/>
    <mergeCell ref="IL2:IM2"/>
    <mergeCell ref="IB2:IC2"/>
    <mergeCell ref="ID1:IF1"/>
    <mergeCell ref="ID2:IE2"/>
    <mergeCell ref="IL1:IM1"/>
    <mergeCell ref="IN1:IP1"/>
    <mergeCell ref="IN2:IO2"/>
    <mergeCell ref="JF1:JG1"/>
    <mergeCell ref="JH1:JJ1"/>
    <mergeCell ref="JA1:JB1"/>
    <mergeCell ref="JC1:JD1"/>
    <mergeCell ref="JH2:JI2"/>
    <mergeCell ref="IX1:IZ1"/>
    <mergeCell ref="IS1:IT1"/>
    <mergeCell ref="JK1:JL1"/>
    <mergeCell ref="GD2:GE2"/>
    <mergeCell ref="GF2:GG2"/>
    <mergeCell ref="GX2:GY2"/>
    <mergeCell ref="FY1:FZ1"/>
    <mergeCell ref="GA1:GB1"/>
    <mergeCell ref="GP1:GR1"/>
    <mergeCell ref="GK1:GL1"/>
    <mergeCell ref="GS1:GT1"/>
    <mergeCell ref="GU1:GV1"/>
    <mergeCell ref="GN2:GO2"/>
    <mergeCell ref="GP2:GQ2"/>
    <mergeCell ref="GN1:GO1"/>
    <mergeCell ref="GD1:GE1"/>
    <mergeCell ref="GF1:GH1"/>
    <mergeCell ref="GI1:GJ1"/>
    <mergeCell ref="GX1:GY1"/>
    <mergeCell ref="FG1:FH1"/>
    <mergeCell ref="EZ2:FA2"/>
    <mergeCell ref="FB2:FC2"/>
    <mergeCell ref="EP1:EQ1"/>
    <mergeCell ref="ER1:ET1"/>
    <mergeCell ref="FV2:FW2"/>
    <mergeCell ref="FL1:FN1"/>
    <mergeCell ref="FO1:FP1"/>
    <mergeCell ref="FQ1:FR1"/>
    <mergeCell ref="FL2:FM2"/>
    <mergeCell ref="FJ1:FK1"/>
    <mergeCell ref="FJ2:FK2"/>
    <mergeCell ref="EZ1:FA1"/>
    <mergeCell ref="FB1:FD1"/>
    <mergeCell ref="FE1:FF1"/>
    <mergeCell ref="FT2:FU2"/>
    <mergeCell ref="FT1:FU1"/>
    <mergeCell ref="FV1:FX1"/>
    <mergeCell ref="BU1:BV1"/>
    <mergeCell ref="EF2:EG2"/>
    <mergeCell ref="EH2:EI2"/>
    <mergeCell ref="DL2:DM2"/>
    <mergeCell ref="DN2:DO2"/>
    <mergeCell ref="DV1:DW1"/>
    <mergeCell ref="DX1:DZ1"/>
    <mergeCell ref="CC1:CD1"/>
    <mergeCell ref="CE1:CF1"/>
    <mergeCell ref="BX2:BY2"/>
    <mergeCell ref="BZ2:CA2"/>
    <mergeCell ref="CH2:CI2"/>
    <mergeCell ref="CJ2:CK2"/>
    <mergeCell ref="DN1:DP1"/>
    <mergeCell ref="DQ1:DR1"/>
    <mergeCell ref="DV2:DW2"/>
    <mergeCell ref="DX2:DY2"/>
    <mergeCell ref="DS1:DT1"/>
    <mergeCell ref="DD2:DE2"/>
    <mergeCell ref="DL1:DM1"/>
    <mergeCell ref="DB1:DC1"/>
    <mergeCell ref="DD1:DF1"/>
    <mergeCell ref="DG1:DH1"/>
    <mergeCell ref="DI1:DJ1"/>
    <mergeCell ref="C2:D2"/>
    <mergeCell ref="P1:Q1"/>
    <mergeCell ref="R1:T1"/>
    <mergeCell ref="U1:V1"/>
    <mergeCell ref="F1:G1"/>
    <mergeCell ref="H1:J1"/>
    <mergeCell ref="K1:L1"/>
    <mergeCell ref="M1:N1"/>
    <mergeCell ref="F2:G2"/>
    <mergeCell ref="H2:I2"/>
    <mergeCell ref="B1:D1"/>
    <mergeCell ref="AG1:AH1"/>
    <mergeCell ref="AV1:AX1"/>
    <mergeCell ref="AY1:AZ1"/>
    <mergeCell ref="AT2:AU2"/>
    <mergeCell ref="AV2:AW2"/>
    <mergeCell ref="W1:X1"/>
    <mergeCell ref="P2:Q2"/>
    <mergeCell ref="R2:S2"/>
    <mergeCell ref="Z1:AA1"/>
    <mergeCell ref="AB1:AD1"/>
    <mergeCell ref="AE1:AF1"/>
    <mergeCell ref="Z2:AA2"/>
    <mergeCell ref="AB2:AC2"/>
    <mergeCell ref="AJ1:AK1"/>
    <mergeCell ref="AL1:AN1"/>
    <mergeCell ref="AO1:AP1"/>
    <mergeCell ref="AQ1:AR1"/>
    <mergeCell ref="AJ2:AK2"/>
    <mergeCell ref="AL2:AM2"/>
    <mergeCell ref="AT1:AU1"/>
    <mergeCell ref="BA1:BB1"/>
    <mergeCell ref="BP2:BQ2"/>
    <mergeCell ref="CY1:CZ1"/>
    <mergeCell ref="CR2:CS2"/>
    <mergeCell ref="CT2:CU2"/>
    <mergeCell ref="CR1:CS1"/>
    <mergeCell ref="CT1:CV1"/>
    <mergeCell ref="CW1:CX1"/>
    <mergeCell ref="CO1:CP1"/>
    <mergeCell ref="BF1:BH1"/>
    <mergeCell ref="BI1:BJ1"/>
    <mergeCell ref="BK1:BL1"/>
    <mergeCell ref="BD2:BE2"/>
    <mergeCell ref="BF2:BG2"/>
    <mergeCell ref="BN1:BO1"/>
    <mergeCell ref="BP1:BR1"/>
    <mergeCell ref="BN2:BO2"/>
    <mergeCell ref="BD1:BE1"/>
    <mergeCell ref="BS1:BT1"/>
    <mergeCell ref="CH1:CI1"/>
    <mergeCell ref="CJ1:CL1"/>
    <mergeCell ref="CM1:CN1"/>
    <mergeCell ref="BX1:BY1"/>
    <mergeCell ref="BZ1:CB1"/>
    <mergeCell ref="HH2:HI2"/>
    <mergeCell ref="IV1:IW1"/>
    <mergeCell ref="IG1:IH1"/>
    <mergeCell ref="IV2:IW2"/>
    <mergeCell ref="HJ1:HL1"/>
    <mergeCell ref="IB1:IC1"/>
    <mergeCell ref="IQ1:IR1"/>
    <mergeCell ref="IX2:IY2"/>
    <mergeCell ref="HR1:HS1"/>
    <mergeCell ref="HT1:HV1"/>
    <mergeCell ref="HW1:HX1"/>
    <mergeCell ref="HY1:HZ1"/>
    <mergeCell ref="II1:IJ1"/>
    <mergeCell ref="HM1:HN1"/>
    <mergeCell ref="HO1:HP1"/>
    <mergeCell ref="DB2:DC2"/>
    <mergeCell ref="EF1:EG1"/>
    <mergeCell ref="EH1:EJ1"/>
    <mergeCell ref="EK1:EL1"/>
    <mergeCell ref="EM1:EN1"/>
    <mergeCell ref="EA1:EB1"/>
    <mergeCell ref="EC1:ED1"/>
    <mergeCell ref="EW1:EX1"/>
    <mergeCell ref="EP2:EQ2"/>
    <mergeCell ref="ER2:ES2"/>
    <mergeCell ref="EU1:EV1"/>
    <mergeCell ref="JZ2:KA2"/>
    <mergeCell ref="JU1:JV1"/>
    <mergeCell ref="JR2:JS2"/>
    <mergeCell ref="KJ1:KK1"/>
    <mergeCell ref="KL1:KN1"/>
    <mergeCell ref="KO1:KP1"/>
    <mergeCell ref="KQ1:KR1"/>
    <mergeCell ref="KT1:KU1"/>
    <mergeCell ref="JW1:JX1"/>
    <mergeCell ref="KE1:KF1"/>
    <mergeCell ref="C12:D12"/>
    <mergeCell ref="NV12:NW12"/>
    <mergeCell ref="NX12:NY12"/>
    <mergeCell ref="NG1:NH1"/>
    <mergeCell ref="NI1:NJ1"/>
    <mergeCell ref="NB2:NC2"/>
    <mergeCell ref="ND2:NE2"/>
    <mergeCell ref="KY1:KZ1"/>
    <mergeCell ref="KT2:KU2"/>
    <mergeCell ref="KV2:KW2"/>
    <mergeCell ref="LD1:LE1"/>
    <mergeCell ref="LA1:LB1"/>
    <mergeCell ref="LF1:LH1"/>
    <mergeCell ref="LI1:LJ1"/>
    <mergeCell ref="LK1:LL1"/>
    <mergeCell ref="LD2:LE2"/>
    <mergeCell ref="LZ1:MB1"/>
    <mergeCell ref="LN2:LO2"/>
    <mergeCell ref="LP2:LQ2"/>
    <mergeCell ref="KB2:KC2"/>
    <mergeCell ref="JR1:JT1"/>
    <mergeCell ref="KJ2:KK2"/>
    <mergeCell ref="LZ2:MA2"/>
    <mergeCell ref="KG1:KH1"/>
    <mergeCell ref="LN1:LO1"/>
    <mergeCell ref="LP1:LR1"/>
    <mergeCell ref="OZ1:PA1"/>
    <mergeCell ref="KL2:KM2"/>
    <mergeCell ref="MW1:MX1"/>
    <mergeCell ref="MY1:MZ1"/>
    <mergeCell ref="ME1:MF1"/>
    <mergeCell ref="LS1:LT1"/>
    <mergeCell ref="LU1:LV1"/>
    <mergeCell ref="OZ2:PA2"/>
    <mergeCell ref="LF2:LG2"/>
    <mergeCell ref="LX1:LY1"/>
    <mergeCell ref="KV1:KX1"/>
    <mergeCell ref="LX2:LY2"/>
    <mergeCell ref="NB1:NC1"/>
    <mergeCell ref="ND1:NF1"/>
    <mergeCell ref="MC1:MD1"/>
    <mergeCell ref="OM1:ON1"/>
    <mergeCell ref="OF2:OG2"/>
    <mergeCell ref="NS1:NT1"/>
    <mergeCell ref="NL2:NM2"/>
    <mergeCell ref="NN2:NO2"/>
    <mergeCell ref="NV1:NW1"/>
    <mergeCell ref="NL1:NM1"/>
    <mergeCell ref="RR1:RS1"/>
    <mergeCell ref="RT1:RV1"/>
    <mergeCell ref="RW1:RX1"/>
    <mergeCell ref="RY1:RZ1"/>
    <mergeCell ref="RR2:RS2"/>
    <mergeCell ref="RT2:RU2"/>
    <mergeCell ref="RR12:RS12"/>
    <mergeCell ref="RT12:RU12"/>
    <mergeCell ref="RH1:RI1"/>
    <mergeCell ref="RJ1:RL1"/>
    <mergeCell ref="RM1:RN1"/>
    <mergeCell ref="RO1:RP1"/>
    <mergeCell ref="RH2:RI2"/>
    <mergeCell ref="RJ2:RK2"/>
    <mergeCell ref="RH12:RI12"/>
    <mergeCell ref="RJ12:RK12"/>
    <mergeCell ref="SL1:SM1"/>
    <mergeCell ref="SN1:SP1"/>
    <mergeCell ref="SQ1:SR1"/>
    <mergeCell ref="SS1:ST1"/>
    <mergeCell ref="SL2:SM2"/>
    <mergeCell ref="SN2:SO2"/>
    <mergeCell ref="SL12:SM12"/>
    <mergeCell ref="SN12:SO12"/>
    <mergeCell ref="SB1:SC1"/>
    <mergeCell ref="SD1:SF1"/>
    <mergeCell ref="SG1:SH1"/>
    <mergeCell ref="SI1:SJ1"/>
    <mergeCell ref="SB2:SC2"/>
    <mergeCell ref="SD2:SE2"/>
    <mergeCell ref="SB12:SC12"/>
    <mergeCell ref="SD12:SE12"/>
  </mergeCells>
  <conditionalFormatting sqref="B1:D1">
    <cfRule type="containsText" dxfId="646" priority="207" operator="containsText" text="DUE TODAY">
      <formula>NOT(ISERROR(SEARCH("DUE TODAY",B1)))</formula>
    </cfRule>
  </conditionalFormatting>
  <conditionalFormatting sqref="L3:L10 OB13:OB14 OL13:OL14 OV13:OV14 PF13:PF14 PP13:PP14 PZ13:PZ14 QJ13:QJ14 QT13:QT14 RD13:RD14 RN13:RN14 RX13:RX14 SH13:SH14 SR13:SR14 TB13:TB14 TL13:TL14">
    <cfRule type="cellIs" dxfId="645" priority="388" operator="lessThan">
      <formula>0</formula>
    </cfRule>
    <cfRule type="cellIs" dxfId="644" priority="387" operator="equal">
      <formula>0</formula>
    </cfRule>
  </conditionalFormatting>
  <conditionalFormatting sqref="N3:N10 OD13:OD14 ON13:ON14 OX13:OX14 PH13:PH14 PR13:PR14 QB13:QB14 QL13:QL14 QV13:QV14 RF13:RF14 RP13:RP14 RZ13:RZ14 SJ13:SJ14 ST13:ST14 TD13:TD14 TN13:TN14">
    <cfRule type="cellIs" dxfId="643" priority="390" operator="lessThan">
      <formula>0</formula>
    </cfRule>
    <cfRule type="cellIs" dxfId="642" priority="389" operator="equal">
      <formula>0</formula>
    </cfRule>
    <cfRule type="cellIs" dxfId="641" priority="391" operator="greaterThan">
      <formula>0</formula>
    </cfRule>
  </conditionalFormatting>
  <conditionalFormatting sqref="V3:V10">
    <cfRule type="cellIs" dxfId="640" priority="378" operator="lessThan">
      <formula>0</formula>
    </cfRule>
    <cfRule type="cellIs" dxfId="639" priority="377" operator="equal">
      <formula>0</formula>
    </cfRule>
  </conditionalFormatting>
  <conditionalFormatting sqref="X3:X10">
    <cfRule type="cellIs" dxfId="638" priority="380" operator="lessThan">
      <formula>0</formula>
    </cfRule>
    <cfRule type="cellIs" dxfId="637" priority="381" operator="greaterThan">
      <formula>0</formula>
    </cfRule>
    <cfRule type="cellIs" dxfId="636" priority="379" operator="equal">
      <formula>0</formula>
    </cfRule>
  </conditionalFormatting>
  <conditionalFormatting sqref="AF3:AF10">
    <cfRule type="cellIs" dxfId="635" priority="368" operator="lessThan">
      <formula>0</formula>
    </cfRule>
    <cfRule type="cellIs" dxfId="634" priority="367" operator="equal">
      <formula>0</formula>
    </cfRule>
  </conditionalFormatting>
  <conditionalFormatting sqref="AH3:AH10">
    <cfRule type="cellIs" dxfId="633" priority="369" operator="equal">
      <formula>0</formula>
    </cfRule>
    <cfRule type="cellIs" dxfId="632" priority="371" operator="greaterThan">
      <formula>0</formula>
    </cfRule>
    <cfRule type="cellIs" dxfId="631" priority="370" operator="lessThan">
      <formula>0</formula>
    </cfRule>
  </conditionalFormatting>
  <conditionalFormatting sqref="AP3:AP10">
    <cfRule type="cellIs" dxfId="630" priority="363" operator="lessThan">
      <formula>0</formula>
    </cfRule>
    <cfRule type="cellIs" dxfId="629" priority="362" operator="equal">
      <formula>0</formula>
    </cfRule>
  </conditionalFormatting>
  <conditionalFormatting sqref="AR3:AR10">
    <cfRule type="cellIs" dxfId="628" priority="365" operator="lessThan">
      <formula>0</formula>
    </cfRule>
    <cfRule type="cellIs" dxfId="627" priority="366" operator="greaterThan">
      <formula>0</formula>
    </cfRule>
    <cfRule type="cellIs" dxfId="626" priority="364" operator="equal">
      <formula>0</formula>
    </cfRule>
  </conditionalFormatting>
  <conditionalFormatting sqref="AZ3:AZ10">
    <cfRule type="cellIs" dxfId="625" priority="358" operator="lessThan">
      <formula>0</formula>
    </cfRule>
    <cfRule type="cellIs" dxfId="624" priority="357" operator="equal">
      <formula>0</formula>
    </cfRule>
  </conditionalFormatting>
  <conditionalFormatting sqref="BB3:BB10">
    <cfRule type="cellIs" dxfId="623" priority="361" operator="greaterThan">
      <formula>0</formula>
    </cfRule>
    <cfRule type="cellIs" dxfId="622" priority="360" operator="lessThan">
      <formula>0</formula>
    </cfRule>
    <cfRule type="cellIs" dxfId="621" priority="359" operator="equal">
      <formula>0</formula>
    </cfRule>
  </conditionalFormatting>
  <conditionalFormatting sqref="BJ3:BJ10">
    <cfRule type="cellIs" dxfId="620" priority="353" operator="lessThan">
      <formula>0</formula>
    </cfRule>
    <cfRule type="cellIs" dxfId="619" priority="352" operator="equal">
      <formula>0</formula>
    </cfRule>
  </conditionalFormatting>
  <conditionalFormatting sqref="BL3:BL10">
    <cfRule type="cellIs" dxfId="618" priority="356" operator="greaterThan">
      <formula>0</formula>
    </cfRule>
    <cfRule type="cellIs" dxfId="617" priority="355" operator="lessThan">
      <formula>0</formula>
    </cfRule>
    <cfRule type="cellIs" dxfId="616" priority="354" operator="equal">
      <formula>0</formula>
    </cfRule>
  </conditionalFormatting>
  <conditionalFormatting sqref="BT3:BT10">
    <cfRule type="cellIs" dxfId="615" priority="348" operator="lessThan">
      <formula>0</formula>
    </cfRule>
    <cfRule type="cellIs" dxfId="614" priority="347" operator="equal">
      <formula>0</formula>
    </cfRule>
  </conditionalFormatting>
  <conditionalFormatting sqref="BV3:BV10">
    <cfRule type="cellIs" dxfId="613" priority="350" operator="lessThan">
      <formula>0</formula>
    </cfRule>
    <cfRule type="cellIs" dxfId="612" priority="349" operator="equal">
      <formula>0</formula>
    </cfRule>
    <cfRule type="cellIs" dxfId="611" priority="351" operator="greaterThan">
      <formula>0</formula>
    </cfRule>
  </conditionalFormatting>
  <conditionalFormatting sqref="CD3:CD10">
    <cfRule type="cellIs" dxfId="610" priority="341" operator="lessThan">
      <formula>0</formula>
    </cfRule>
    <cfRule type="cellIs" dxfId="609" priority="340" operator="equal">
      <formula>0</formula>
    </cfRule>
  </conditionalFormatting>
  <conditionalFormatting sqref="CF3:CF10">
    <cfRule type="cellIs" dxfId="608" priority="346" operator="greaterThan">
      <formula>0</formula>
    </cfRule>
    <cfRule type="cellIs" dxfId="607" priority="345" operator="lessThan">
      <formula>0</formula>
    </cfRule>
    <cfRule type="cellIs" dxfId="606" priority="344" operator="equal">
      <formula>0</formula>
    </cfRule>
  </conditionalFormatting>
  <conditionalFormatting sqref="CN3:CN10">
    <cfRule type="cellIs" dxfId="605" priority="336" operator="lessThan">
      <formula>0</formula>
    </cfRule>
    <cfRule type="cellIs" dxfId="604" priority="335" operator="equal">
      <formula>0</formula>
    </cfRule>
  </conditionalFormatting>
  <conditionalFormatting sqref="CP3:CP10">
    <cfRule type="cellIs" dxfId="603" priority="338" operator="lessThan">
      <formula>0</formula>
    </cfRule>
    <cfRule type="cellIs" dxfId="602" priority="337" operator="equal">
      <formula>0</formula>
    </cfRule>
    <cfRule type="cellIs" dxfId="601" priority="339" operator="greaterThan">
      <formula>0</formula>
    </cfRule>
  </conditionalFormatting>
  <conditionalFormatting sqref="CX3:CX10">
    <cfRule type="cellIs" dxfId="600" priority="331" operator="lessThan">
      <formula>0</formula>
    </cfRule>
    <cfRule type="cellIs" dxfId="599" priority="330" operator="equal">
      <formula>0</formula>
    </cfRule>
  </conditionalFormatting>
  <conditionalFormatting sqref="CZ3:CZ10">
    <cfRule type="cellIs" dxfId="598" priority="334" operator="greaterThan">
      <formula>0</formula>
    </cfRule>
    <cfRule type="cellIs" dxfId="597" priority="332" operator="equal">
      <formula>0</formula>
    </cfRule>
    <cfRule type="cellIs" dxfId="596" priority="333" operator="lessThan">
      <formula>0</formula>
    </cfRule>
  </conditionalFormatting>
  <conditionalFormatting sqref="DH3:DH10">
    <cfRule type="cellIs" dxfId="595" priority="326" operator="lessThan">
      <formula>0</formula>
    </cfRule>
    <cfRule type="cellIs" dxfId="594" priority="325" operator="equal">
      <formula>0</formula>
    </cfRule>
  </conditionalFormatting>
  <conditionalFormatting sqref="DJ3:DJ10">
    <cfRule type="cellIs" dxfId="593" priority="329" operator="greaterThan">
      <formula>0</formula>
    </cfRule>
    <cfRule type="cellIs" dxfId="592" priority="328" operator="lessThan">
      <formula>0</formula>
    </cfRule>
    <cfRule type="cellIs" dxfId="591" priority="327" operator="equal">
      <formula>0</formula>
    </cfRule>
  </conditionalFormatting>
  <conditionalFormatting sqref="DR3:DR10">
    <cfRule type="cellIs" dxfId="590" priority="321" operator="lessThan">
      <formula>0</formula>
    </cfRule>
    <cfRule type="cellIs" dxfId="589" priority="320" operator="equal">
      <formula>0</formula>
    </cfRule>
  </conditionalFormatting>
  <conditionalFormatting sqref="DT3:DT10">
    <cfRule type="cellIs" dxfId="588" priority="324" operator="greaterThan">
      <formula>0</formula>
    </cfRule>
    <cfRule type="cellIs" dxfId="587" priority="323" operator="lessThan">
      <formula>0</formula>
    </cfRule>
    <cfRule type="cellIs" dxfId="586" priority="322" operator="equal">
      <formula>0</formula>
    </cfRule>
  </conditionalFormatting>
  <conditionalFormatting sqref="EB3:EB10">
    <cfRule type="cellIs" dxfId="585" priority="316" operator="lessThan">
      <formula>0</formula>
    </cfRule>
    <cfRule type="cellIs" dxfId="584" priority="315" operator="equal">
      <formula>0</formula>
    </cfRule>
  </conditionalFormatting>
  <conditionalFormatting sqref="ED3:ED10">
    <cfRule type="cellIs" dxfId="583" priority="319" operator="greaterThan">
      <formula>0</formula>
    </cfRule>
    <cfRule type="cellIs" dxfId="582" priority="318" operator="lessThan">
      <formula>0</formula>
    </cfRule>
    <cfRule type="cellIs" dxfId="581" priority="317" operator="equal">
      <formula>0</formula>
    </cfRule>
  </conditionalFormatting>
  <conditionalFormatting sqref="EL3:EL10">
    <cfRule type="cellIs" dxfId="580" priority="311" operator="lessThan">
      <formula>0</formula>
    </cfRule>
    <cfRule type="cellIs" dxfId="579" priority="310" operator="equal">
      <formula>0</formula>
    </cfRule>
  </conditionalFormatting>
  <conditionalFormatting sqref="EN3:EN10">
    <cfRule type="cellIs" dxfId="578" priority="313" operator="lessThan">
      <formula>0</formula>
    </cfRule>
    <cfRule type="cellIs" dxfId="577" priority="312" operator="equal">
      <formula>0</formula>
    </cfRule>
    <cfRule type="cellIs" dxfId="576" priority="314" operator="greaterThan">
      <formula>0</formula>
    </cfRule>
  </conditionalFormatting>
  <conditionalFormatting sqref="EV3:EV10">
    <cfRule type="cellIs" dxfId="575" priority="305" operator="equal">
      <formula>0</formula>
    </cfRule>
    <cfRule type="cellIs" dxfId="574" priority="306" operator="lessThan">
      <formula>0</formula>
    </cfRule>
  </conditionalFormatting>
  <conditionalFormatting sqref="EX3:EX10">
    <cfRule type="cellIs" dxfId="573" priority="309" operator="greaterThan">
      <formula>0</formula>
    </cfRule>
    <cfRule type="cellIs" dxfId="572" priority="308" operator="lessThan">
      <formula>0</formula>
    </cfRule>
    <cfRule type="cellIs" dxfId="571" priority="307" operator="equal">
      <formula>0</formula>
    </cfRule>
  </conditionalFormatting>
  <conditionalFormatting sqref="FF3:FF10">
    <cfRule type="cellIs" dxfId="570" priority="301" operator="lessThan">
      <formula>0</formula>
    </cfRule>
    <cfRule type="cellIs" dxfId="569" priority="300" operator="equal">
      <formula>0</formula>
    </cfRule>
  </conditionalFormatting>
  <conditionalFormatting sqref="FH3:FH10">
    <cfRule type="cellIs" dxfId="568" priority="304" operator="greaterThan">
      <formula>0</formula>
    </cfRule>
    <cfRule type="cellIs" dxfId="567" priority="303" operator="lessThan">
      <formula>0</formula>
    </cfRule>
    <cfRule type="cellIs" dxfId="566" priority="302" operator="equal">
      <formula>0</formula>
    </cfRule>
  </conditionalFormatting>
  <conditionalFormatting sqref="FP3:FP10">
    <cfRule type="cellIs" dxfId="565" priority="296" operator="lessThan">
      <formula>0</formula>
    </cfRule>
    <cfRule type="cellIs" dxfId="564" priority="295" operator="equal">
      <formula>0</formula>
    </cfRule>
  </conditionalFormatting>
  <conditionalFormatting sqref="FR3:FR10">
    <cfRule type="cellIs" dxfId="563" priority="299" operator="greaterThan">
      <formula>0</formula>
    </cfRule>
    <cfRule type="cellIs" dxfId="562" priority="298" operator="lessThan">
      <formula>0</formula>
    </cfRule>
    <cfRule type="cellIs" dxfId="561" priority="297" operator="equal">
      <formula>0</formula>
    </cfRule>
  </conditionalFormatting>
  <conditionalFormatting sqref="FZ3:FZ10">
    <cfRule type="cellIs" dxfId="560" priority="291" operator="lessThan">
      <formula>0</formula>
    </cfRule>
    <cfRule type="cellIs" dxfId="559" priority="290" operator="equal">
      <formula>0</formula>
    </cfRule>
  </conditionalFormatting>
  <conditionalFormatting sqref="GB3:GB10">
    <cfRule type="cellIs" dxfId="558" priority="294" operator="greaterThan">
      <formula>0</formula>
    </cfRule>
    <cfRule type="cellIs" dxfId="557" priority="293" operator="lessThan">
      <formula>0</formula>
    </cfRule>
    <cfRule type="cellIs" dxfId="556" priority="292" operator="equal">
      <formula>0</formula>
    </cfRule>
  </conditionalFormatting>
  <conditionalFormatting sqref="GJ3:GJ10">
    <cfRule type="cellIs" dxfId="555" priority="286" operator="lessThan">
      <formula>0</formula>
    </cfRule>
    <cfRule type="cellIs" dxfId="554" priority="285" operator="equal">
      <formula>0</formula>
    </cfRule>
  </conditionalFormatting>
  <conditionalFormatting sqref="GL3:GL10">
    <cfRule type="cellIs" dxfId="553" priority="289" operator="greaterThan">
      <formula>0</formula>
    </cfRule>
    <cfRule type="cellIs" dxfId="552" priority="288" operator="lessThan">
      <formula>0</formula>
    </cfRule>
    <cfRule type="cellIs" dxfId="551" priority="287" operator="equal">
      <formula>0</formula>
    </cfRule>
  </conditionalFormatting>
  <conditionalFormatting sqref="GT3:GT10">
    <cfRule type="cellIs" dxfId="550" priority="281" operator="lessThan">
      <formula>0</formula>
    </cfRule>
    <cfRule type="cellIs" dxfId="549" priority="280" operator="equal">
      <formula>0</formula>
    </cfRule>
  </conditionalFormatting>
  <conditionalFormatting sqref="GV3:GV10">
    <cfRule type="cellIs" dxfId="548" priority="284" operator="greaterThan">
      <formula>0</formula>
    </cfRule>
    <cfRule type="cellIs" dxfId="547" priority="283" operator="lessThan">
      <formula>0</formula>
    </cfRule>
    <cfRule type="cellIs" dxfId="546" priority="282" operator="equal">
      <formula>0</formula>
    </cfRule>
  </conditionalFormatting>
  <conditionalFormatting sqref="HD3:HD10">
    <cfRule type="cellIs" dxfId="545" priority="276" operator="lessThan">
      <formula>0</formula>
    </cfRule>
    <cfRule type="cellIs" dxfId="544" priority="275" operator="equal">
      <formula>0</formula>
    </cfRule>
  </conditionalFormatting>
  <conditionalFormatting sqref="HF3:HF10">
    <cfRule type="cellIs" dxfId="543" priority="279" operator="greaterThan">
      <formula>0</formula>
    </cfRule>
    <cfRule type="cellIs" dxfId="542" priority="278" operator="lessThan">
      <formula>0</formula>
    </cfRule>
    <cfRule type="cellIs" dxfId="541" priority="277" operator="equal">
      <formula>0</formula>
    </cfRule>
  </conditionalFormatting>
  <conditionalFormatting sqref="HN3:HN10">
    <cfRule type="cellIs" dxfId="540" priority="271" operator="lessThan">
      <formula>0</formula>
    </cfRule>
    <cfRule type="cellIs" dxfId="539" priority="270" operator="equal">
      <formula>0</formula>
    </cfRule>
  </conditionalFormatting>
  <conditionalFormatting sqref="HP3:HP10">
    <cfRule type="cellIs" dxfId="538" priority="274" operator="greaterThan">
      <formula>0</formula>
    </cfRule>
    <cfRule type="cellIs" dxfId="537" priority="273" operator="lessThan">
      <formula>0</formula>
    </cfRule>
    <cfRule type="cellIs" dxfId="536" priority="272" operator="equal">
      <formula>0</formula>
    </cfRule>
  </conditionalFormatting>
  <conditionalFormatting sqref="HX3:HX10">
    <cfRule type="cellIs" dxfId="535" priority="266" operator="lessThan">
      <formula>0</formula>
    </cfRule>
    <cfRule type="cellIs" dxfId="534" priority="265" operator="equal">
      <formula>0</formula>
    </cfRule>
  </conditionalFormatting>
  <conditionalFormatting sqref="HZ3:HZ10">
    <cfRule type="cellIs" dxfId="533" priority="267" operator="equal">
      <formula>0</formula>
    </cfRule>
    <cfRule type="cellIs" dxfId="532" priority="269" operator="greaterThan">
      <formula>0</formula>
    </cfRule>
    <cfRule type="cellIs" dxfId="531" priority="268" operator="lessThan">
      <formula>0</formula>
    </cfRule>
  </conditionalFormatting>
  <conditionalFormatting sqref="IH3:IH10">
    <cfRule type="cellIs" dxfId="530" priority="261" operator="lessThan">
      <formula>0</formula>
    </cfRule>
    <cfRule type="cellIs" dxfId="529" priority="260" operator="equal">
      <formula>0</formula>
    </cfRule>
  </conditionalFormatting>
  <conditionalFormatting sqref="IJ3:IJ10">
    <cfRule type="cellIs" dxfId="528" priority="264" operator="greaterThan">
      <formula>0</formula>
    </cfRule>
    <cfRule type="cellIs" dxfId="527" priority="263" operator="lessThan">
      <formula>0</formula>
    </cfRule>
    <cfRule type="cellIs" dxfId="526" priority="262" operator="equal">
      <formula>0</formula>
    </cfRule>
  </conditionalFormatting>
  <conditionalFormatting sqref="IR3:IR10">
    <cfRule type="cellIs" dxfId="525" priority="256" operator="lessThan">
      <formula>0</formula>
    </cfRule>
    <cfRule type="cellIs" dxfId="524" priority="255" operator="equal">
      <formula>0</formula>
    </cfRule>
  </conditionalFormatting>
  <conditionalFormatting sqref="IT3:IT10">
    <cfRule type="cellIs" dxfId="523" priority="259" operator="greaterThan">
      <formula>0</formula>
    </cfRule>
    <cfRule type="cellIs" dxfId="522" priority="258" operator="lessThan">
      <formula>0</formula>
    </cfRule>
    <cfRule type="cellIs" dxfId="521" priority="257" operator="equal">
      <formula>0</formula>
    </cfRule>
  </conditionalFormatting>
  <conditionalFormatting sqref="JB3:JB10">
    <cfRule type="cellIs" dxfId="520" priority="251" operator="lessThan">
      <formula>0</formula>
    </cfRule>
    <cfRule type="cellIs" dxfId="519" priority="250" operator="equal">
      <formula>0</formula>
    </cfRule>
  </conditionalFormatting>
  <conditionalFormatting sqref="JD3:JD10">
    <cfRule type="cellIs" dxfId="518" priority="254" operator="greaterThan">
      <formula>0</formula>
    </cfRule>
    <cfRule type="cellIs" dxfId="517" priority="253" operator="lessThan">
      <formula>0</formula>
    </cfRule>
    <cfRule type="cellIs" dxfId="516" priority="252" operator="equal">
      <formula>0</formula>
    </cfRule>
  </conditionalFormatting>
  <conditionalFormatting sqref="JL3:JL10">
    <cfRule type="cellIs" dxfId="515" priority="245" operator="equal">
      <formula>0</formula>
    </cfRule>
    <cfRule type="cellIs" dxfId="514" priority="246" operator="lessThan">
      <formula>0</formula>
    </cfRule>
  </conditionalFormatting>
  <conditionalFormatting sqref="JN3:JN10">
    <cfRule type="cellIs" dxfId="513" priority="247" operator="equal">
      <formula>0</formula>
    </cfRule>
    <cfRule type="cellIs" dxfId="512" priority="248" operator="lessThan">
      <formula>0</formula>
    </cfRule>
    <cfRule type="cellIs" dxfId="511" priority="249" operator="greaterThan">
      <formula>0</formula>
    </cfRule>
  </conditionalFormatting>
  <conditionalFormatting sqref="JV3:JV10">
    <cfRule type="cellIs" dxfId="510" priority="241" operator="lessThan">
      <formula>0</formula>
    </cfRule>
    <cfRule type="cellIs" dxfId="509" priority="240" operator="equal">
      <formula>0</formula>
    </cfRule>
  </conditionalFormatting>
  <conditionalFormatting sqref="JX3:JX10">
    <cfRule type="cellIs" dxfId="508" priority="244" operator="greaterThan">
      <formula>0</formula>
    </cfRule>
    <cfRule type="cellIs" dxfId="507" priority="243" operator="lessThan">
      <formula>0</formula>
    </cfRule>
    <cfRule type="cellIs" dxfId="506" priority="242" operator="equal">
      <formula>0</formula>
    </cfRule>
  </conditionalFormatting>
  <conditionalFormatting sqref="KF3:KF10">
    <cfRule type="cellIs" dxfId="505" priority="236" operator="lessThan">
      <formula>0</formula>
    </cfRule>
    <cfRule type="cellIs" dxfId="504" priority="235" operator="equal">
      <formula>0</formula>
    </cfRule>
  </conditionalFormatting>
  <conditionalFormatting sqref="KH3:KH10">
    <cfRule type="cellIs" dxfId="503" priority="239" operator="greaterThan">
      <formula>0</formula>
    </cfRule>
    <cfRule type="cellIs" dxfId="502" priority="238" operator="lessThan">
      <formula>0</formula>
    </cfRule>
    <cfRule type="cellIs" dxfId="501" priority="237" operator="equal">
      <formula>0</formula>
    </cfRule>
  </conditionalFormatting>
  <conditionalFormatting sqref="KP3:KP10">
    <cfRule type="cellIs" dxfId="500" priority="231" operator="lessThan">
      <formula>0</formula>
    </cfRule>
    <cfRule type="cellIs" dxfId="499" priority="230" operator="equal">
      <formula>0</formula>
    </cfRule>
  </conditionalFormatting>
  <conditionalFormatting sqref="KR3:KR10">
    <cfRule type="cellIs" dxfId="498" priority="234" operator="greaterThan">
      <formula>0</formula>
    </cfRule>
    <cfRule type="cellIs" dxfId="497" priority="233" operator="lessThan">
      <formula>0</formula>
    </cfRule>
    <cfRule type="cellIs" dxfId="496" priority="232" operator="equal">
      <formula>0</formula>
    </cfRule>
  </conditionalFormatting>
  <conditionalFormatting sqref="KZ3:KZ10">
    <cfRule type="cellIs" dxfId="495" priority="224" operator="lessThan">
      <formula>0</formula>
    </cfRule>
    <cfRule type="cellIs" dxfId="494" priority="223" operator="equal">
      <formula>0</formula>
    </cfRule>
  </conditionalFormatting>
  <conditionalFormatting sqref="LB3:LB10">
    <cfRule type="cellIs" dxfId="493" priority="229" operator="greaterThan">
      <formula>0</formula>
    </cfRule>
    <cfRule type="cellIs" dxfId="492" priority="228" operator="lessThan">
      <formula>0</formula>
    </cfRule>
    <cfRule type="cellIs" dxfId="491" priority="227" operator="equal">
      <formula>0</formula>
    </cfRule>
  </conditionalFormatting>
  <conditionalFormatting sqref="LJ3:LJ10">
    <cfRule type="cellIs" dxfId="490" priority="217" operator="lessThan">
      <formula>0</formula>
    </cfRule>
    <cfRule type="cellIs" dxfId="489" priority="216" operator="equal">
      <formula>0</formula>
    </cfRule>
  </conditionalFormatting>
  <conditionalFormatting sqref="LL3:LL10">
    <cfRule type="cellIs" dxfId="488" priority="215" operator="greaterThan">
      <formula>0</formula>
    </cfRule>
    <cfRule type="cellIs" dxfId="487" priority="214" operator="lessThan">
      <formula>0</formula>
    </cfRule>
    <cfRule type="cellIs" dxfId="486" priority="213" operator="equal">
      <formula>0</formula>
    </cfRule>
  </conditionalFormatting>
  <conditionalFormatting sqref="LT3:LT10">
    <cfRule type="cellIs" dxfId="485" priority="206" operator="lessThan">
      <formula>0</formula>
    </cfRule>
    <cfRule type="cellIs" dxfId="484" priority="205" operator="equal">
      <formula>0</formula>
    </cfRule>
  </conditionalFormatting>
  <conditionalFormatting sqref="LV3:LV10">
    <cfRule type="cellIs" dxfId="483" priority="212" operator="greaterThan">
      <formula>0</formula>
    </cfRule>
    <cfRule type="cellIs" dxfId="482" priority="211" operator="lessThan">
      <formula>0</formula>
    </cfRule>
    <cfRule type="cellIs" dxfId="481" priority="210" operator="equal">
      <formula>0</formula>
    </cfRule>
  </conditionalFormatting>
  <conditionalFormatting sqref="MD3:MD10">
    <cfRule type="cellIs" dxfId="480" priority="198" operator="equal">
      <formula>0</formula>
    </cfRule>
    <cfRule type="cellIs" dxfId="479" priority="199" operator="lessThan">
      <formula>0</formula>
    </cfRule>
  </conditionalFormatting>
  <conditionalFormatting sqref="MF3:MF10">
    <cfRule type="cellIs" dxfId="478" priority="204" operator="greaterThan">
      <formula>0</formula>
    </cfRule>
    <cfRule type="cellIs" dxfId="477" priority="203" operator="lessThan">
      <formula>0</formula>
    </cfRule>
    <cfRule type="cellIs" dxfId="476" priority="202" operator="equal">
      <formula>0</formula>
    </cfRule>
  </conditionalFormatting>
  <conditionalFormatting sqref="MN3:MN10">
    <cfRule type="cellIs" dxfId="475" priority="192" operator="lessThan">
      <formula>0</formula>
    </cfRule>
    <cfRule type="cellIs" dxfId="474" priority="191" operator="equal">
      <formula>0</formula>
    </cfRule>
  </conditionalFormatting>
  <conditionalFormatting sqref="MP3:MP10">
    <cfRule type="cellIs" dxfId="473" priority="197" operator="greaterThan">
      <formula>0</formula>
    </cfRule>
    <cfRule type="cellIs" dxfId="472" priority="196" operator="lessThan">
      <formula>0</formula>
    </cfRule>
    <cfRule type="cellIs" dxfId="471" priority="195" operator="equal">
      <formula>0</formula>
    </cfRule>
  </conditionalFormatting>
  <conditionalFormatting sqref="MX3:MX10">
    <cfRule type="cellIs" dxfId="470" priority="187" operator="lessThan">
      <formula>0</formula>
    </cfRule>
    <cfRule type="cellIs" dxfId="469" priority="186" operator="equal">
      <formula>0</formula>
    </cfRule>
  </conditionalFormatting>
  <conditionalFormatting sqref="MZ3:MZ10">
    <cfRule type="cellIs" dxfId="468" priority="190" operator="greaterThan">
      <formula>0</formula>
    </cfRule>
    <cfRule type="cellIs" dxfId="467" priority="189" operator="lessThan">
      <formula>0</formula>
    </cfRule>
    <cfRule type="cellIs" dxfId="466" priority="188" operator="equal">
      <formula>0</formula>
    </cfRule>
  </conditionalFormatting>
  <conditionalFormatting sqref="NH3:NH10">
    <cfRule type="cellIs" dxfId="465" priority="181" operator="equal">
      <formula>0</formula>
    </cfRule>
    <cfRule type="cellIs" dxfId="464" priority="182" operator="lessThan">
      <formula>0</formula>
    </cfRule>
  </conditionalFormatting>
  <conditionalFormatting sqref="NJ3:NJ10">
    <cfRule type="cellIs" dxfId="463" priority="185" operator="greaterThan">
      <formula>0</formula>
    </cfRule>
    <cfRule type="cellIs" dxfId="462" priority="184" operator="lessThan">
      <formula>0</formula>
    </cfRule>
    <cfRule type="cellIs" dxfId="461" priority="183" operator="equal">
      <formula>0</formula>
    </cfRule>
  </conditionalFormatting>
  <conditionalFormatting sqref="NR3:NR10">
    <cfRule type="cellIs" dxfId="460" priority="177" operator="lessThan">
      <formula>0</formula>
    </cfRule>
    <cfRule type="cellIs" dxfId="459" priority="176" operator="equal">
      <formula>0</formula>
    </cfRule>
  </conditionalFormatting>
  <conditionalFormatting sqref="NT3:NT10">
    <cfRule type="cellIs" dxfId="458" priority="180" operator="greaterThan">
      <formula>0</formula>
    </cfRule>
    <cfRule type="cellIs" dxfId="457" priority="179" operator="lessThan">
      <formula>0</formula>
    </cfRule>
    <cfRule type="cellIs" dxfId="456" priority="178" operator="equal">
      <formula>0</formula>
    </cfRule>
  </conditionalFormatting>
  <conditionalFormatting sqref="OB3:OB10">
    <cfRule type="cellIs" dxfId="455" priority="172" operator="lessThan">
      <formula>0</formula>
    </cfRule>
    <cfRule type="cellIs" dxfId="454" priority="171" operator="equal">
      <formula>0</formula>
    </cfRule>
  </conditionalFormatting>
  <conditionalFormatting sqref="OD3:OD10">
    <cfRule type="cellIs" dxfId="453" priority="175" operator="greaterThan">
      <formula>0</formula>
    </cfRule>
    <cfRule type="cellIs" dxfId="452" priority="174" operator="lessThan">
      <formula>0</formula>
    </cfRule>
    <cfRule type="cellIs" dxfId="451" priority="173" operator="equal">
      <formula>0</formula>
    </cfRule>
  </conditionalFormatting>
  <conditionalFormatting sqref="OL3:OL10">
    <cfRule type="cellIs" dxfId="450" priority="151" operator="equal">
      <formula>0</formula>
    </cfRule>
    <cfRule type="cellIs" dxfId="449" priority="152" operator="lessThan">
      <formula>0</formula>
    </cfRule>
  </conditionalFormatting>
  <conditionalFormatting sqref="ON3:ON10">
    <cfRule type="cellIs" dxfId="448" priority="155" operator="greaterThan">
      <formula>0</formula>
    </cfRule>
    <cfRule type="cellIs" dxfId="447" priority="154" operator="lessThan">
      <formula>0</formula>
    </cfRule>
    <cfRule type="cellIs" dxfId="446" priority="153" operator="equal">
      <formula>0</formula>
    </cfRule>
  </conditionalFormatting>
  <conditionalFormatting sqref="OV3:OV10">
    <cfRule type="cellIs" dxfId="445" priority="142" operator="lessThan">
      <formula>0</formula>
    </cfRule>
    <cfRule type="cellIs" dxfId="444" priority="141" operator="equal">
      <formula>0</formula>
    </cfRule>
  </conditionalFormatting>
  <conditionalFormatting sqref="OX3:OX10">
    <cfRule type="cellIs" dxfId="443" priority="143" operator="equal">
      <formula>0</formula>
    </cfRule>
    <cfRule type="cellIs" dxfId="442" priority="145" operator="greaterThan">
      <formula>0</formula>
    </cfRule>
    <cfRule type="cellIs" dxfId="441" priority="144" operator="lessThan">
      <formula>0</formula>
    </cfRule>
  </conditionalFormatting>
  <conditionalFormatting sqref="PF3:PF10">
    <cfRule type="cellIs" dxfId="440" priority="132" operator="lessThan">
      <formula>0</formula>
    </cfRule>
    <cfRule type="cellIs" dxfId="439" priority="131" operator="equal">
      <formula>0</formula>
    </cfRule>
  </conditionalFormatting>
  <conditionalFormatting sqref="PH3:PH10">
    <cfRule type="cellIs" dxfId="438" priority="135" operator="greaterThan">
      <formula>0</formula>
    </cfRule>
    <cfRule type="cellIs" dxfId="437" priority="134" operator="lessThan">
      <formula>0</formula>
    </cfRule>
    <cfRule type="cellIs" dxfId="436" priority="133" operator="equal">
      <formula>0</formula>
    </cfRule>
  </conditionalFormatting>
  <conditionalFormatting sqref="PP3:PP10">
    <cfRule type="cellIs" dxfId="435" priority="122" operator="lessThan">
      <formula>0</formula>
    </cfRule>
    <cfRule type="cellIs" dxfId="434" priority="121" operator="equal">
      <formula>0</formula>
    </cfRule>
  </conditionalFormatting>
  <conditionalFormatting sqref="PR3:PR10">
    <cfRule type="cellIs" dxfId="433" priority="125" operator="greaterThan">
      <formula>0</formula>
    </cfRule>
    <cfRule type="cellIs" dxfId="432" priority="124" operator="lessThan">
      <formula>0</formula>
    </cfRule>
    <cfRule type="cellIs" dxfId="431" priority="123" operator="equal">
      <formula>0</formula>
    </cfRule>
  </conditionalFormatting>
  <conditionalFormatting sqref="PZ3:PZ10">
    <cfRule type="cellIs" dxfId="430" priority="112" operator="lessThan">
      <formula>0</formula>
    </cfRule>
    <cfRule type="cellIs" dxfId="429" priority="111" operator="equal">
      <formula>0</formula>
    </cfRule>
  </conditionalFormatting>
  <conditionalFormatting sqref="QB3:QB10">
    <cfRule type="cellIs" dxfId="428" priority="115" operator="greaterThan">
      <formula>0</formula>
    </cfRule>
    <cfRule type="cellIs" dxfId="427" priority="114" operator="lessThan">
      <formula>0</formula>
    </cfRule>
    <cfRule type="cellIs" dxfId="426" priority="113" operator="equal">
      <formula>0</formula>
    </cfRule>
  </conditionalFormatting>
  <conditionalFormatting sqref="QJ3:QJ10">
    <cfRule type="cellIs" dxfId="425" priority="102" operator="lessThan">
      <formula>0</formula>
    </cfRule>
    <cfRule type="cellIs" dxfId="424" priority="101" operator="equal">
      <formula>0</formula>
    </cfRule>
  </conditionalFormatting>
  <conditionalFormatting sqref="QL3:QL10">
    <cfRule type="cellIs" dxfId="423" priority="105" operator="greaterThan">
      <formula>0</formula>
    </cfRule>
    <cfRule type="cellIs" dxfId="422" priority="104" operator="lessThan">
      <formula>0</formula>
    </cfRule>
    <cfRule type="cellIs" dxfId="421" priority="103" operator="equal">
      <formula>0</formula>
    </cfRule>
  </conditionalFormatting>
  <conditionalFormatting sqref="QT3:QT10">
    <cfRule type="cellIs" dxfId="420" priority="92" operator="lessThan">
      <formula>0</formula>
    </cfRule>
    <cfRule type="cellIs" dxfId="419" priority="91" operator="equal">
      <formula>0</formula>
    </cfRule>
  </conditionalFormatting>
  <conditionalFormatting sqref="QV3:QV10">
    <cfRule type="cellIs" dxfId="418" priority="95" operator="greaterThan">
      <formula>0</formula>
    </cfRule>
    <cfRule type="cellIs" dxfId="417" priority="94" operator="lessThan">
      <formula>0</formula>
    </cfRule>
    <cfRule type="cellIs" dxfId="416" priority="93" operator="equal">
      <formula>0</formula>
    </cfRule>
  </conditionalFormatting>
  <conditionalFormatting sqref="RD3:RD10">
    <cfRule type="cellIs" dxfId="415" priority="82" operator="lessThan">
      <formula>0</formula>
    </cfRule>
    <cfRule type="cellIs" dxfId="414" priority="81" operator="equal">
      <formula>0</formula>
    </cfRule>
  </conditionalFormatting>
  <conditionalFormatting sqref="RF3:RF10">
    <cfRule type="cellIs" dxfId="413" priority="85" operator="greaterThan">
      <formula>0</formula>
    </cfRule>
    <cfRule type="cellIs" dxfId="412" priority="84" operator="lessThan">
      <formula>0</formula>
    </cfRule>
    <cfRule type="cellIs" dxfId="411" priority="83" operator="equal">
      <formula>0</formula>
    </cfRule>
  </conditionalFormatting>
  <conditionalFormatting sqref="RN3:RN10">
    <cfRule type="cellIs" dxfId="410" priority="72" operator="lessThan">
      <formula>0</formula>
    </cfRule>
    <cfRule type="cellIs" dxfId="409" priority="71" operator="equal">
      <formula>0</formula>
    </cfRule>
  </conditionalFormatting>
  <conditionalFormatting sqref="RP3:RP10">
    <cfRule type="cellIs" dxfId="408" priority="73" operator="equal">
      <formula>0</formula>
    </cfRule>
    <cfRule type="cellIs" dxfId="407" priority="75" operator="greaterThan">
      <formula>0</formula>
    </cfRule>
    <cfRule type="cellIs" dxfId="406" priority="74" operator="lessThan">
      <formula>0</formula>
    </cfRule>
  </conditionalFormatting>
  <conditionalFormatting sqref="RX3:RX10">
    <cfRule type="cellIs" dxfId="405" priority="62" operator="lessThan">
      <formula>0</formula>
    </cfRule>
    <cfRule type="cellIs" dxfId="404" priority="61" operator="equal">
      <formula>0</formula>
    </cfRule>
  </conditionalFormatting>
  <conditionalFormatting sqref="RZ3:RZ10">
    <cfRule type="cellIs" dxfId="403" priority="65" operator="greaterThan">
      <formula>0</formula>
    </cfRule>
    <cfRule type="cellIs" dxfId="402" priority="64" operator="lessThan">
      <formula>0</formula>
    </cfRule>
    <cfRule type="cellIs" dxfId="401" priority="63" operator="equal">
      <formula>0</formula>
    </cfRule>
  </conditionalFormatting>
  <conditionalFormatting sqref="SH3:SH10">
    <cfRule type="cellIs" dxfId="400" priority="51" operator="equal">
      <formula>0</formula>
    </cfRule>
    <cfRule type="cellIs" dxfId="399" priority="52" operator="lessThan">
      <formula>0</formula>
    </cfRule>
  </conditionalFormatting>
  <conditionalFormatting sqref="SJ3:SJ10">
    <cfRule type="cellIs" dxfId="398" priority="55" operator="greaterThan">
      <formula>0</formula>
    </cfRule>
    <cfRule type="cellIs" dxfId="397" priority="54" operator="lessThan">
      <formula>0</formula>
    </cfRule>
    <cfRule type="cellIs" dxfId="396" priority="53" operator="equal">
      <formula>0</formula>
    </cfRule>
  </conditionalFormatting>
  <conditionalFormatting sqref="SR3:SR10">
    <cfRule type="cellIs" dxfId="395" priority="42" operator="lessThan">
      <formula>0</formula>
    </cfRule>
    <cfRule type="cellIs" dxfId="394" priority="41" operator="equal">
      <formula>0</formula>
    </cfRule>
  </conditionalFormatting>
  <conditionalFormatting sqref="ST3:ST10">
    <cfRule type="cellIs" dxfId="393" priority="44" operator="lessThan">
      <formula>0</formula>
    </cfRule>
    <cfRule type="cellIs" dxfId="392" priority="43" operator="equal">
      <formula>0</formula>
    </cfRule>
    <cfRule type="cellIs" dxfId="391" priority="45" operator="greaterThan">
      <formula>0</formula>
    </cfRule>
  </conditionalFormatting>
  <conditionalFormatting sqref="TB3:TB10">
    <cfRule type="cellIs" dxfId="390" priority="32" operator="lessThan">
      <formula>0</formula>
    </cfRule>
    <cfRule type="cellIs" dxfId="389" priority="31" operator="equal">
      <formula>0</formula>
    </cfRule>
  </conditionalFormatting>
  <conditionalFormatting sqref="TD3:TD10">
    <cfRule type="cellIs" dxfId="388" priority="35" operator="greaterThan">
      <formula>0</formula>
    </cfRule>
    <cfRule type="cellIs" dxfId="387" priority="34" operator="lessThan">
      <formula>0</formula>
    </cfRule>
    <cfRule type="cellIs" dxfId="386" priority="33" operator="equal">
      <formula>0</formula>
    </cfRule>
  </conditionalFormatting>
  <conditionalFormatting sqref="TL3:TL10">
    <cfRule type="cellIs" dxfId="13" priority="11" operator="equal">
      <formula>0</formula>
    </cfRule>
    <cfRule type="cellIs" dxfId="14" priority="12" operator="lessThan">
      <formula>0</formula>
    </cfRule>
  </conditionalFormatting>
  <conditionalFormatting sqref="TN3:TN10">
    <cfRule type="cellIs" dxfId="10" priority="13" operator="equal">
      <formula>0</formula>
    </cfRule>
    <cfRule type="cellIs" dxfId="11" priority="14" operator="lessThan">
      <formula>0</formula>
    </cfRule>
    <cfRule type="cellIs" dxfId="12" priority="15" operator="greaterThan">
      <formula>0</formula>
    </cfRule>
  </conditionalFormatting>
  <conditionalFormatting sqref="TV3:TV10">
    <cfRule type="cellIs" dxfId="9" priority="6" operator="equal">
      <formula>0</formula>
    </cfRule>
    <cfRule type="cellIs" dxfId="8" priority="7" operator="lessThan">
      <formula>0</formula>
    </cfRule>
  </conditionalFormatting>
  <conditionalFormatting sqref="TV13:TV14">
    <cfRule type="cellIs" dxfId="7" priority="1" operator="equal">
      <formula>0</formula>
    </cfRule>
    <cfRule type="cellIs" dxfId="6" priority="2" operator="lessThan">
      <formula>0</formula>
    </cfRule>
  </conditionalFormatting>
  <conditionalFormatting sqref="TX3:TX10">
    <cfRule type="cellIs" dxfId="5" priority="8" operator="equal">
      <formula>0</formula>
    </cfRule>
    <cfRule type="cellIs" dxfId="4" priority="9" operator="lessThan">
      <formula>0</formula>
    </cfRule>
    <cfRule type="cellIs" dxfId="3" priority="10" operator="greaterThan">
      <formula>0</formula>
    </cfRule>
  </conditionalFormatting>
  <conditionalFormatting sqref="TX13:TX14">
    <cfRule type="cellIs" dxfId="2" priority="3" operator="equal">
      <formula>0</formula>
    </cfRule>
    <cfRule type="cellIs" dxfId="1" priority="4" operator="lessThan">
      <formula>0</formula>
    </cfRule>
    <cfRule type="cellIs" dxfId="0" priority="5" operator="greaterThan">
      <formula>0</formula>
    </cfRule>
  </conditionalFormatting>
  <pageMargins left="0.25" right="0.25" top="0.80208333333333337" bottom="0.40865384615384615" header="0.3" footer="0.3"/>
  <pageSetup fitToWidth="0" fitToHeight="0" orientation="landscape" r:id="rId1"/>
  <headerFooter>
    <oddHeader>&amp;L&amp;"-,Bold"&amp;14NORTH&amp;C&amp;"-,Bold"&amp;14COCA COLA&amp;R&amp;"-,Bold"&amp;14FRI for TUE - &amp;UAS&amp;"-,Regular"&amp;U
&amp;7Printed &amp;D &amp;T</oddHeader>
    <oddFooter>&amp;C&amp;7&amp;Z&amp;F (GV 9/23/25)&amp;R&amp;7&amp;P OF &amp;N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04E4B-D22A-470D-8DD4-CF0400EBFB02}">
  <sheetPr codeName="Sheet2">
    <tabColor rgb="FFFF0000"/>
  </sheetPr>
  <dimension ref="A1:AC18"/>
  <sheetViews>
    <sheetView topLeftCell="K1" workbookViewId="0">
      <selection activeCell="T2" sqref="K1:T1048576"/>
    </sheetView>
  </sheetViews>
  <sheetFormatPr defaultRowHeight="15" x14ac:dyDescent="0.25"/>
  <cols>
    <col min="1" max="1" width="1.28515625" style="1" hidden="1" customWidth="1"/>
    <col min="2" max="2" width="3.140625" style="6" hidden="1" customWidth="1"/>
    <col min="3" max="3" width="3.140625" style="7" bestFit="1" customWidth="1"/>
    <col min="4" max="4" width="3.140625" style="6" hidden="1" customWidth="1"/>
    <col min="5" max="5" width="3.140625" style="7" bestFit="1" customWidth="1"/>
    <col min="6" max="6" width="4.42578125" style="6" bestFit="1" customWidth="1"/>
    <col min="7" max="7" width="4.7109375" style="6" bestFit="1" customWidth="1"/>
    <col min="8" max="8" width="4.28515625" style="6" bestFit="1" customWidth="1"/>
    <col min="9" max="9" width="5.28515625" style="6" bestFit="1" customWidth="1"/>
    <col min="10" max="10" width="4.5703125" style="6" bestFit="1" customWidth="1"/>
    <col min="11" max="11" width="0.85546875" style="1" customWidth="1"/>
    <col min="12" max="12" width="3.140625" style="6" customWidth="1"/>
    <col min="13" max="13" width="3.140625" style="7" bestFit="1" customWidth="1"/>
    <col min="14" max="14" width="3.140625" style="6" customWidth="1"/>
    <col min="15" max="15" width="3.140625" style="7" bestFit="1" customWidth="1"/>
    <col min="16" max="16" width="4.28515625" style="6" customWidth="1"/>
    <col min="17" max="17" width="4.5703125" style="6" customWidth="1"/>
    <col min="18" max="18" width="4.28515625" style="6" bestFit="1" customWidth="1"/>
    <col min="19" max="19" width="4.5703125" style="6" customWidth="1"/>
    <col min="20" max="20" width="4" style="6" customWidth="1"/>
    <col min="23" max="23" width="12.5703125" bestFit="1" customWidth="1"/>
  </cols>
  <sheetData>
    <row r="1" spans="1:29" x14ac:dyDescent="0.25">
      <c r="B1" s="34" t="s">
        <v>0</v>
      </c>
      <c r="C1" s="35"/>
      <c r="D1" s="31"/>
      <c r="E1" s="32"/>
      <c r="F1" s="33"/>
      <c r="G1" s="34" t="s">
        <v>1</v>
      </c>
      <c r="H1" s="35"/>
      <c r="I1" s="36"/>
      <c r="J1" s="37"/>
      <c r="L1" s="34" t="s">
        <v>0</v>
      </c>
      <c r="M1" s="35"/>
      <c r="N1" s="31"/>
      <c r="O1" s="32"/>
      <c r="P1" s="33"/>
      <c r="Q1" s="34" t="s">
        <v>1</v>
      </c>
      <c r="R1" s="35"/>
      <c r="S1" s="36"/>
      <c r="T1" s="37"/>
      <c r="W1" s="26">
        <v>46268</v>
      </c>
    </row>
    <row r="2" spans="1:29" x14ac:dyDescent="0.25">
      <c r="A2" s="15"/>
      <c r="B2" s="27" t="s">
        <v>5</v>
      </c>
      <c r="C2" s="28"/>
      <c r="D2" s="27" t="s">
        <v>6</v>
      </c>
      <c r="E2" s="28"/>
      <c r="F2" s="3" t="s">
        <v>7</v>
      </c>
      <c r="G2" s="19" t="s">
        <v>8</v>
      </c>
      <c r="H2" s="3" t="s">
        <v>9</v>
      </c>
      <c r="I2" s="3" t="s">
        <v>10</v>
      </c>
      <c r="J2" s="3" t="s">
        <v>11</v>
      </c>
      <c r="K2" s="15"/>
      <c r="L2" s="27" t="s">
        <v>5</v>
      </c>
      <c r="M2" s="28"/>
      <c r="N2" s="27" t="s">
        <v>6</v>
      </c>
      <c r="O2" s="28"/>
      <c r="P2" s="3" t="s">
        <v>7</v>
      </c>
      <c r="Q2" s="19" t="s">
        <v>8</v>
      </c>
      <c r="R2" s="3" t="s">
        <v>9</v>
      </c>
      <c r="S2" s="3" t="s">
        <v>10</v>
      </c>
      <c r="T2" s="3" t="s">
        <v>11</v>
      </c>
      <c r="W2" s="14" t="s">
        <v>2</v>
      </c>
      <c r="Z2" t="s">
        <v>68</v>
      </c>
    </row>
    <row r="3" spans="1:29" x14ac:dyDescent="0.25">
      <c r="B3" s="2"/>
      <c r="C3" s="5" t="s">
        <v>12</v>
      </c>
      <c r="D3" s="2"/>
      <c r="E3" s="5" t="s">
        <v>12</v>
      </c>
      <c r="F3" s="4" t="str">
        <f t="shared" ref="F3:F10" si="0">IF(OR(ISNUMBER(B3), ISNUMBER(D3)), IF(ISNUMBER(B3), B3, 0) + IF(ISNUMBER(D3), D3, 0), "")</f>
        <v/>
      </c>
      <c r="G3" s="17"/>
      <c r="H3" s="18" t="str">
        <f t="shared" ref="H3" si="1">IF(ISNUMBER(F3), (#REF! + (#REF! * 24)) - F3, "")</f>
        <v/>
      </c>
      <c r="I3" s="4"/>
      <c r="J3" s="8" t="str">
        <f t="shared" ref="J3:J10" si="2">IF(ISNUMBER(I3), I3-H3, "")</f>
        <v/>
      </c>
      <c r="L3" s="2"/>
      <c r="M3" s="5" t="s">
        <v>12</v>
      </c>
      <c r="N3" s="2"/>
      <c r="O3" s="5" t="s">
        <v>12</v>
      </c>
      <c r="P3" s="4" t="str">
        <f t="shared" ref="P3:P10" si="3">IF(OR(ISNUMBER(L3), ISNUMBER(N3)), IF(ISNUMBER(L3), L3, 0) + IF(ISNUMBER(N3), N3, 0), "")</f>
        <v/>
      </c>
      <c r="Q3" s="17"/>
      <c r="R3" s="18" t="str">
        <f t="shared" ref="R3:R10" si="4">IF(ISNUMBER(P3), (F3 + (G3 * 24)) - P3, "")</f>
        <v/>
      </c>
      <c r="S3" s="4"/>
      <c r="T3" s="8" t="str">
        <f t="shared" ref="T3:T10" si="5">IF(ISNUMBER(S3), S3-R3, "")</f>
        <v/>
      </c>
      <c r="W3" s="16" t="s">
        <v>23</v>
      </c>
      <c r="X3">
        <v>49</v>
      </c>
      <c r="Y3">
        <v>49</v>
      </c>
      <c r="Z3" s="24">
        <f>X3-Y3</f>
        <v>0</v>
      </c>
      <c r="AB3" s="15" t="s">
        <v>81</v>
      </c>
      <c r="AC3">
        <v>0</v>
      </c>
    </row>
    <row r="4" spans="1:29" x14ac:dyDescent="0.25">
      <c r="B4" s="2"/>
      <c r="C4" s="5" t="s">
        <v>12</v>
      </c>
      <c r="D4" s="2"/>
      <c r="E4" s="5" t="s">
        <v>12</v>
      </c>
      <c r="F4" s="4" t="str">
        <f t="shared" si="0"/>
        <v/>
      </c>
      <c r="G4" s="17"/>
      <c r="H4" s="18" t="str">
        <f t="shared" ref="H4" si="6">IF(ISNUMBER(F4), (#REF! + (#REF! * 24)) - F4, "")</f>
        <v/>
      </c>
      <c r="I4" s="4"/>
      <c r="J4" s="8" t="str">
        <f t="shared" si="2"/>
        <v/>
      </c>
      <c r="L4" s="2"/>
      <c r="M4" s="5" t="s">
        <v>12</v>
      </c>
      <c r="N4" s="2"/>
      <c r="O4" s="5" t="s">
        <v>12</v>
      </c>
      <c r="P4" s="4" t="str">
        <f t="shared" si="3"/>
        <v/>
      </c>
      <c r="Q4" s="17"/>
      <c r="R4" s="18" t="str">
        <f t="shared" si="4"/>
        <v/>
      </c>
      <c r="S4" s="4"/>
      <c r="T4" s="8" t="str">
        <f t="shared" si="5"/>
        <v/>
      </c>
      <c r="W4" s="16" t="s">
        <v>18</v>
      </c>
      <c r="X4">
        <v>120</v>
      </c>
      <c r="Y4">
        <v>120</v>
      </c>
      <c r="Z4" s="24">
        <f t="shared" ref="Z4:Z10" si="7">X4-Y4</f>
        <v>0</v>
      </c>
      <c r="AB4" s="15" t="s">
        <v>82</v>
      </c>
      <c r="AC4">
        <v>3</v>
      </c>
    </row>
    <row r="5" spans="1:29" x14ac:dyDescent="0.25">
      <c r="B5" s="2"/>
      <c r="C5" s="5" t="s">
        <v>12</v>
      </c>
      <c r="D5" s="2"/>
      <c r="E5" s="5" t="s">
        <v>12</v>
      </c>
      <c r="F5" s="4" t="str">
        <f t="shared" si="0"/>
        <v/>
      </c>
      <c r="G5" s="17"/>
      <c r="H5" s="18" t="str">
        <f t="shared" ref="H5" si="8">IF(ISNUMBER(F5), (#REF! + (#REF! * 24)) - F5, "")</f>
        <v/>
      </c>
      <c r="I5" s="4"/>
      <c r="J5" s="8" t="str">
        <f t="shared" si="2"/>
        <v/>
      </c>
      <c r="L5" s="2"/>
      <c r="M5" s="5" t="s">
        <v>12</v>
      </c>
      <c r="N5" s="2"/>
      <c r="O5" s="5" t="s">
        <v>12</v>
      </c>
      <c r="P5" s="4" t="str">
        <f t="shared" si="3"/>
        <v/>
      </c>
      <c r="Q5" s="17"/>
      <c r="R5" s="18" t="str">
        <f t="shared" si="4"/>
        <v/>
      </c>
      <c r="S5" s="4"/>
      <c r="T5" s="8" t="str">
        <f t="shared" si="5"/>
        <v/>
      </c>
      <c r="W5" s="16" t="s">
        <v>19</v>
      </c>
      <c r="X5">
        <v>35</v>
      </c>
      <c r="Y5">
        <v>37</v>
      </c>
      <c r="Z5" s="24">
        <f t="shared" si="7"/>
        <v>-2</v>
      </c>
      <c r="AB5" s="15" t="s">
        <v>83</v>
      </c>
      <c r="AC5">
        <v>4</v>
      </c>
    </row>
    <row r="6" spans="1:29" x14ac:dyDescent="0.25">
      <c r="B6" s="2"/>
      <c r="C6" s="5" t="s">
        <v>12</v>
      </c>
      <c r="D6" s="2"/>
      <c r="E6" s="5" t="s">
        <v>12</v>
      </c>
      <c r="F6" s="4" t="str">
        <f t="shared" si="0"/>
        <v/>
      </c>
      <c r="G6" s="17"/>
      <c r="H6" s="18" t="str">
        <f t="shared" ref="H6" si="9">IF(ISNUMBER(F6), (#REF! + (#REF! * 24)) - F6, "")</f>
        <v/>
      </c>
      <c r="I6" s="4"/>
      <c r="J6" s="8" t="str">
        <f t="shared" si="2"/>
        <v/>
      </c>
      <c r="L6" s="2"/>
      <c r="M6" s="5" t="s">
        <v>12</v>
      </c>
      <c r="N6" s="2"/>
      <c r="O6" s="5" t="s">
        <v>12</v>
      </c>
      <c r="P6" s="4" t="str">
        <f t="shared" si="3"/>
        <v/>
      </c>
      <c r="Q6" s="17"/>
      <c r="R6" s="18" t="str">
        <f t="shared" si="4"/>
        <v/>
      </c>
      <c r="S6" s="4"/>
      <c r="T6" s="8" t="str">
        <f t="shared" si="5"/>
        <v/>
      </c>
      <c r="W6" s="16" t="s">
        <v>20</v>
      </c>
      <c r="X6">
        <v>54</v>
      </c>
      <c r="Y6">
        <v>64</v>
      </c>
      <c r="Z6" s="24">
        <f t="shared" si="7"/>
        <v>-10</v>
      </c>
      <c r="AB6" s="15" t="s">
        <v>84</v>
      </c>
      <c r="AC6">
        <v>5</v>
      </c>
    </row>
    <row r="7" spans="1:29" x14ac:dyDescent="0.25">
      <c r="B7" s="2"/>
      <c r="C7" s="5" t="s">
        <v>12</v>
      </c>
      <c r="D7" s="2"/>
      <c r="E7" s="5" t="s">
        <v>12</v>
      </c>
      <c r="F7" s="4" t="str">
        <f t="shared" si="0"/>
        <v/>
      </c>
      <c r="G7" s="17"/>
      <c r="H7" s="18" t="str">
        <f t="shared" ref="H7" si="10">IF(ISNUMBER(F7), (#REF! + (#REF! * 24)) - F7, "")</f>
        <v/>
      </c>
      <c r="I7" s="4"/>
      <c r="J7" s="8" t="str">
        <f t="shared" si="2"/>
        <v/>
      </c>
      <c r="L7" s="2"/>
      <c r="M7" s="5" t="s">
        <v>12</v>
      </c>
      <c r="N7" s="2"/>
      <c r="O7" s="5" t="s">
        <v>12</v>
      </c>
      <c r="P7" s="4" t="str">
        <f t="shared" si="3"/>
        <v/>
      </c>
      <c r="Q7" s="17"/>
      <c r="R7" s="18" t="str">
        <f t="shared" si="4"/>
        <v/>
      </c>
      <c r="S7" s="4"/>
      <c r="T7" s="8" t="str">
        <f t="shared" si="5"/>
        <v/>
      </c>
      <c r="W7" s="16" t="s">
        <v>21</v>
      </c>
      <c r="X7">
        <v>16</v>
      </c>
      <c r="Y7">
        <v>16</v>
      </c>
      <c r="Z7" s="24">
        <f t="shared" si="7"/>
        <v>0</v>
      </c>
    </row>
    <row r="8" spans="1:29" x14ac:dyDescent="0.25">
      <c r="B8" s="2"/>
      <c r="C8" s="5" t="s">
        <v>12</v>
      </c>
      <c r="D8" s="2"/>
      <c r="E8" s="5" t="s">
        <v>12</v>
      </c>
      <c r="F8" s="4" t="str">
        <f t="shared" si="0"/>
        <v/>
      </c>
      <c r="G8" s="17"/>
      <c r="H8" s="18" t="str">
        <f t="shared" ref="H8" si="11">IF(ISNUMBER(F8), (#REF! + (#REF! * 24)) - F8, "")</f>
        <v/>
      </c>
      <c r="I8" s="4"/>
      <c r="J8" s="8" t="str">
        <f t="shared" si="2"/>
        <v/>
      </c>
      <c r="L8" s="2"/>
      <c r="M8" s="5" t="s">
        <v>12</v>
      </c>
      <c r="N8" s="2"/>
      <c r="O8" s="5" t="s">
        <v>12</v>
      </c>
      <c r="P8" s="4" t="str">
        <f t="shared" si="3"/>
        <v/>
      </c>
      <c r="Q8" s="17"/>
      <c r="R8" s="18" t="str">
        <f t="shared" si="4"/>
        <v/>
      </c>
      <c r="S8" s="4"/>
      <c r="T8" s="8" t="str">
        <f t="shared" si="5"/>
        <v/>
      </c>
      <c r="W8" s="16" t="s">
        <v>22</v>
      </c>
      <c r="X8">
        <v>22</v>
      </c>
      <c r="Y8">
        <v>26</v>
      </c>
      <c r="Z8" s="24">
        <f t="shared" si="7"/>
        <v>-4</v>
      </c>
    </row>
    <row r="9" spans="1:29" x14ac:dyDescent="0.25">
      <c r="B9" s="2"/>
      <c r="C9" s="5" t="s">
        <v>12</v>
      </c>
      <c r="D9" s="2"/>
      <c r="E9" s="5" t="s">
        <v>12</v>
      </c>
      <c r="F9" s="4" t="str">
        <f t="shared" si="0"/>
        <v/>
      </c>
      <c r="G9" s="17"/>
      <c r="H9" s="18" t="str">
        <f t="shared" ref="H9" si="12">IF(ISNUMBER(F9), (#REF! + (#REF! * 24)) - F9, "")</f>
        <v/>
      </c>
      <c r="I9" s="4"/>
      <c r="J9" s="8" t="str">
        <f t="shared" si="2"/>
        <v/>
      </c>
      <c r="L9" s="2"/>
      <c r="M9" s="5" t="s">
        <v>12</v>
      </c>
      <c r="N9" s="2"/>
      <c r="O9" s="5" t="s">
        <v>12</v>
      </c>
      <c r="P9" s="4" t="str">
        <f t="shared" si="3"/>
        <v/>
      </c>
      <c r="Q9" s="17"/>
      <c r="R9" s="18" t="str">
        <f t="shared" si="4"/>
        <v/>
      </c>
      <c r="S9" s="4"/>
      <c r="T9" s="8" t="str">
        <f t="shared" si="5"/>
        <v/>
      </c>
      <c r="W9" s="16" t="s">
        <v>24</v>
      </c>
      <c r="X9">
        <v>22</v>
      </c>
      <c r="Y9">
        <v>23</v>
      </c>
      <c r="Z9" s="24">
        <f t="shared" si="7"/>
        <v>-1</v>
      </c>
    </row>
    <row r="10" spans="1:29" x14ac:dyDescent="0.25">
      <c r="B10" s="2"/>
      <c r="C10" s="5" t="s">
        <v>12</v>
      </c>
      <c r="D10" s="2"/>
      <c r="E10" s="5" t="s">
        <v>12</v>
      </c>
      <c r="F10" s="4" t="str">
        <f t="shared" si="0"/>
        <v/>
      </c>
      <c r="G10" s="17"/>
      <c r="H10" s="18" t="str">
        <f t="shared" ref="H10" si="13">IF(ISNUMBER(F10), (#REF! + (#REF! * 24)) - F10, "")</f>
        <v/>
      </c>
      <c r="I10" s="4"/>
      <c r="J10" s="8" t="str">
        <f t="shared" si="2"/>
        <v/>
      </c>
      <c r="L10" s="2"/>
      <c r="M10" s="5" t="s">
        <v>12</v>
      </c>
      <c r="N10" s="2"/>
      <c r="O10" s="5" t="s">
        <v>12</v>
      </c>
      <c r="P10" s="4" t="str">
        <f t="shared" si="3"/>
        <v/>
      </c>
      <c r="Q10" s="17"/>
      <c r="R10" s="18" t="str">
        <f t="shared" si="4"/>
        <v/>
      </c>
      <c r="S10" s="4"/>
      <c r="T10" s="8" t="str">
        <f t="shared" si="5"/>
        <v/>
      </c>
      <c r="W10" s="16" t="s">
        <v>25</v>
      </c>
      <c r="X10">
        <v>11</v>
      </c>
      <c r="Y10">
        <v>11</v>
      </c>
      <c r="Z10" s="24">
        <f t="shared" si="7"/>
        <v>0</v>
      </c>
    </row>
    <row r="12" spans="1:29" ht="14.25" customHeight="1" x14ac:dyDescent="0.25">
      <c r="L12" s="27" t="s">
        <v>5</v>
      </c>
      <c r="M12" s="28"/>
      <c r="N12" s="27" t="s">
        <v>6</v>
      </c>
      <c r="O12" s="28"/>
      <c r="P12" s="3" t="s">
        <v>7</v>
      </c>
      <c r="Q12" s="3" t="s">
        <v>8</v>
      </c>
      <c r="R12" s="3" t="s">
        <v>9</v>
      </c>
      <c r="S12" s="3" t="s">
        <v>10</v>
      </c>
      <c r="T12" s="3" t="s">
        <v>11</v>
      </c>
    </row>
    <row r="13" spans="1:29" x14ac:dyDescent="0.25">
      <c r="L13" s="2"/>
      <c r="M13" s="5" t="s">
        <v>12</v>
      </c>
      <c r="N13" s="2"/>
      <c r="O13" s="5" t="s">
        <v>12</v>
      </c>
      <c r="P13" s="4" t="str">
        <f t="shared" ref="P13:P14" si="14">IF(OR(ISNUMBER(L13), ISNUMBER(N13)), IF(ISNUMBER(L13), L13, 0) + IF(ISNUMBER(N13), N13, 0), "")</f>
        <v/>
      </c>
      <c r="Q13" s="25"/>
      <c r="R13" s="18" t="str">
        <f>IF(ISNUMBER(P13), (F13 + (G13 * 24)) - P13, "")</f>
        <v/>
      </c>
      <c r="S13" s="4"/>
      <c r="T13" s="8" t="str">
        <f t="shared" ref="T13:T14" si="15">IF(ISNUMBER(S13), S13-R13, "")</f>
        <v/>
      </c>
    </row>
    <row r="14" spans="1:29" x14ac:dyDescent="0.25">
      <c r="L14" s="2"/>
      <c r="M14" s="5" t="s">
        <v>12</v>
      </c>
      <c r="N14" s="2"/>
      <c r="O14" s="5" t="s">
        <v>12</v>
      </c>
      <c r="P14" s="4" t="str">
        <f t="shared" si="14"/>
        <v/>
      </c>
      <c r="Q14" s="25"/>
      <c r="R14" s="18" t="str">
        <f t="shared" ref="R14" si="16">IF(ISNUMBER(P14), (F14 + (G14 * 24)) - P14, "")</f>
        <v/>
      </c>
      <c r="S14" s="4"/>
      <c r="T14" s="8" t="str">
        <f t="shared" si="15"/>
        <v/>
      </c>
    </row>
    <row r="16" spans="1:29" x14ac:dyDescent="0.25">
      <c r="W16">
        <v>49</v>
      </c>
    </row>
    <row r="17" spans="23:23" x14ac:dyDescent="0.25">
      <c r="W17">
        <v>15</v>
      </c>
    </row>
    <row r="18" spans="23:23" x14ac:dyDescent="0.25">
      <c r="W18">
        <f>SUM(W16:W17)</f>
        <v>64</v>
      </c>
    </row>
  </sheetData>
  <mergeCells count="14">
    <mergeCell ref="Q1:R1"/>
    <mergeCell ref="S1:T1"/>
    <mergeCell ref="L2:M2"/>
    <mergeCell ref="N2:O2"/>
    <mergeCell ref="L12:M12"/>
    <mergeCell ref="N12:O12"/>
    <mergeCell ref="L1:M1"/>
    <mergeCell ref="N1:P1"/>
    <mergeCell ref="B1:C1"/>
    <mergeCell ref="D1:F1"/>
    <mergeCell ref="G1:H1"/>
    <mergeCell ref="I1:J1"/>
    <mergeCell ref="B2:C2"/>
    <mergeCell ref="D2:E2"/>
  </mergeCells>
  <conditionalFormatting sqref="H3:H10">
    <cfRule type="cellIs" dxfId="380" priority="28" operator="equal">
      <formula>0</formula>
    </cfRule>
    <cfRule type="cellIs" dxfId="379" priority="29" operator="lessThan">
      <formula>0</formula>
    </cfRule>
  </conditionalFormatting>
  <conditionalFormatting sqref="J3:J10">
    <cfRule type="cellIs" dxfId="378" priority="36" operator="equal">
      <formula>0</formula>
    </cfRule>
    <cfRule type="cellIs" dxfId="377" priority="37" operator="lessThan">
      <formula>0</formula>
    </cfRule>
    <cfRule type="cellIs" dxfId="376" priority="38" operator="greaterThan">
      <formula>0</formula>
    </cfRule>
  </conditionalFormatting>
  <conditionalFormatting sqref="R3:R10">
    <cfRule type="cellIs" dxfId="375" priority="16" operator="equal">
      <formula>0</formula>
    </cfRule>
    <cfRule type="cellIs" dxfId="374" priority="17" operator="lessThan">
      <formula>0</formula>
    </cfRule>
  </conditionalFormatting>
  <conditionalFormatting sqref="R13:R14">
    <cfRule type="cellIs" dxfId="373" priority="1" operator="equal">
      <formula>0</formula>
    </cfRule>
    <cfRule type="cellIs" dxfId="372" priority="2" operator="lessThan">
      <formula>0</formula>
    </cfRule>
  </conditionalFormatting>
  <conditionalFormatting sqref="T3:T10">
    <cfRule type="cellIs" dxfId="371" priority="18" operator="equal">
      <formula>0</formula>
    </cfRule>
    <cfRule type="cellIs" dxfId="370" priority="19" operator="lessThan">
      <formula>0</formula>
    </cfRule>
    <cfRule type="cellIs" dxfId="369" priority="20" operator="greaterThan">
      <formula>0</formula>
    </cfRule>
  </conditionalFormatting>
  <conditionalFormatting sqref="T13:T14">
    <cfRule type="cellIs" dxfId="368" priority="3" operator="equal">
      <formula>0</formula>
    </cfRule>
    <cfRule type="cellIs" dxfId="367" priority="4" operator="lessThan">
      <formula>0</formula>
    </cfRule>
    <cfRule type="cellIs" dxfId="366" priority="5" operator="greater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154B2-807D-421B-B34A-FFDA178F402E}">
  <sheetPr>
    <tabColor theme="7" tint="0.79998168889431442"/>
  </sheetPr>
  <dimension ref="A1:TN25"/>
  <sheetViews>
    <sheetView view="pageLayout" zoomScale="139" zoomScaleNormal="130" zoomScalePageLayoutView="139" workbookViewId="0">
      <selection activeCell="SB1" sqref="SB1:TN16"/>
    </sheetView>
  </sheetViews>
  <sheetFormatPr defaultColWidth="9.140625" defaultRowHeight="12.75" customHeight="1" x14ac:dyDescent="0.2"/>
  <cols>
    <col min="1" max="1" width="10.5703125" style="1" customWidth="1"/>
    <col min="2" max="2" width="3.140625" style="1" customWidth="1"/>
    <col min="3" max="3" width="2.7109375" style="1" customWidth="1"/>
    <col min="4" max="4" width="1.85546875" style="1" customWidth="1"/>
    <col min="5" max="5" width="0.85546875" style="1" hidden="1" customWidth="1"/>
    <col min="6" max="6" width="3.140625" style="6" hidden="1" customWidth="1"/>
    <col min="7" max="7" width="2.42578125" style="7" hidden="1" customWidth="1"/>
    <col min="8" max="8" width="3.140625" style="6" hidden="1" customWidth="1"/>
    <col min="9" max="9" width="2.42578125" style="7" hidden="1" customWidth="1"/>
    <col min="10" max="11" width="3.140625" style="6" hidden="1" customWidth="1"/>
    <col min="12" max="12" width="2.85546875" style="6" hidden="1" customWidth="1"/>
    <col min="13" max="14" width="3.140625" style="6" hidden="1" customWidth="1"/>
    <col min="15" max="15" width="1" style="1" hidden="1" customWidth="1"/>
    <col min="16" max="16" width="3.140625" style="6" hidden="1" customWidth="1"/>
    <col min="17" max="17" width="2.42578125" style="7" hidden="1" customWidth="1"/>
    <col min="18" max="18" width="3.140625" style="6" hidden="1" customWidth="1"/>
    <col min="19" max="19" width="2.42578125" style="7" hidden="1" customWidth="1"/>
    <col min="20" max="21" width="3.140625" style="6" hidden="1" customWidth="1"/>
    <col min="22" max="22" width="2.85546875" style="6" hidden="1" customWidth="1"/>
    <col min="23" max="23" width="3.140625" style="6" hidden="1" customWidth="1"/>
    <col min="24" max="24" width="4.5703125" style="6" hidden="1" customWidth="1"/>
    <col min="25" max="25" width="1" style="1" hidden="1" customWidth="1"/>
    <col min="26" max="26" width="3.140625" style="6" hidden="1" customWidth="1"/>
    <col min="27" max="27" width="2.42578125" style="7" hidden="1" customWidth="1"/>
    <col min="28" max="28" width="3.140625" style="6" hidden="1" customWidth="1"/>
    <col min="29" max="29" width="2.42578125" style="7" hidden="1" customWidth="1"/>
    <col min="30" max="31" width="3.140625" style="6" hidden="1" customWidth="1"/>
    <col min="32" max="32" width="3" style="6" hidden="1" customWidth="1"/>
    <col min="33" max="33" width="3.140625" style="6" hidden="1" customWidth="1"/>
    <col min="34" max="34" width="4.5703125" style="6" hidden="1" customWidth="1"/>
    <col min="35" max="35" width="1.140625" style="1" hidden="1" customWidth="1"/>
    <col min="36" max="36" width="3.140625" style="6" hidden="1" customWidth="1"/>
    <col min="37" max="37" width="2.42578125" style="7" hidden="1" customWidth="1"/>
    <col min="38" max="38" width="3.140625" style="6" hidden="1" customWidth="1"/>
    <col min="39" max="39" width="2.42578125" style="7" hidden="1" customWidth="1"/>
    <col min="40" max="41" width="3.140625" style="6" hidden="1" customWidth="1"/>
    <col min="42" max="42" width="3.28515625" style="6" hidden="1" customWidth="1"/>
    <col min="43" max="43" width="3" style="6" hidden="1" customWidth="1"/>
    <col min="44" max="44" width="3.7109375" style="6" hidden="1" customWidth="1"/>
    <col min="45" max="45" width="1.42578125" style="1" hidden="1" customWidth="1"/>
    <col min="46" max="46" width="2.42578125" style="6" hidden="1" customWidth="1"/>
    <col min="47" max="47" width="2.42578125" style="7" hidden="1" customWidth="1"/>
    <col min="48" max="48" width="2.42578125" style="6" hidden="1" customWidth="1"/>
    <col min="49" max="49" width="2.42578125" style="7" hidden="1" customWidth="1"/>
    <col min="50" max="50" width="2.7109375" style="6" hidden="1" customWidth="1"/>
    <col min="51" max="51" width="3" style="6" hidden="1" customWidth="1"/>
    <col min="52" max="52" width="2.85546875" style="6" hidden="1" customWidth="1"/>
    <col min="53" max="53" width="3" style="6" hidden="1" customWidth="1"/>
    <col min="54" max="54" width="3.140625" style="6" hidden="1" customWidth="1"/>
    <col min="55" max="55" width="0.85546875" style="1" hidden="1" customWidth="1"/>
    <col min="56" max="56" width="3.140625" style="6" hidden="1" customWidth="1"/>
    <col min="57" max="57" width="2.42578125" style="7" hidden="1" customWidth="1"/>
    <col min="58" max="58" width="3.140625" style="6" hidden="1" customWidth="1"/>
    <col min="59" max="59" width="2.42578125" style="7" hidden="1" customWidth="1"/>
    <col min="60" max="63" width="3.140625" style="6" hidden="1" customWidth="1"/>
    <col min="64" max="64" width="4.140625" style="6" hidden="1" customWidth="1"/>
    <col min="65" max="65" width="0.7109375" style="1" hidden="1" customWidth="1"/>
    <col min="66" max="66" width="3.140625" style="6" hidden="1" customWidth="1"/>
    <col min="67" max="67" width="2.42578125" style="7" hidden="1" customWidth="1"/>
    <col min="68" max="68" width="3.140625" style="6" hidden="1" customWidth="1"/>
    <col min="69" max="69" width="2.42578125" style="7" hidden="1" customWidth="1"/>
    <col min="70" max="73" width="3.140625" style="6" hidden="1" customWidth="1"/>
    <col min="74" max="74" width="3.5703125" style="6" hidden="1" customWidth="1"/>
    <col min="75" max="75" width="0.7109375" style="1" hidden="1" customWidth="1"/>
    <col min="76" max="76" width="3.140625" style="6" hidden="1" customWidth="1"/>
    <col min="77" max="77" width="2.42578125" style="7" hidden="1" customWidth="1"/>
    <col min="78" max="78" width="3.140625" style="6" hidden="1" customWidth="1"/>
    <col min="79" max="79" width="2.42578125" style="7" hidden="1" customWidth="1"/>
    <col min="80" max="83" width="3.140625" style="6" hidden="1" customWidth="1"/>
    <col min="84" max="84" width="3.85546875" style="6" hidden="1" customWidth="1"/>
    <col min="85" max="85" width="1" style="1" hidden="1" customWidth="1"/>
    <col min="86" max="86" width="2.85546875" style="6" hidden="1" customWidth="1"/>
    <col min="87" max="87" width="2.42578125" style="7" hidden="1" customWidth="1"/>
    <col min="88" max="88" width="2.85546875" style="6" hidden="1" customWidth="1"/>
    <col min="89" max="89" width="2.42578125" style="7" hidden="1" customWidth="1"/>
    <col min="90" max="90" width="2.85546875" style="6" hidden="1" customWidth="1"/>
    <col min="91" max="92" width="3.140625" style="6" hidden="1" customWidth="1"/>
    <col min="93" max="93" width="2.85546875" style="6" hidden="1" customWidth="1"/>
    <col min="94" max="94" width="3.42578125" style="6" hidden="1" customWidth="1"/>
    <col min="95" max="95" width="1" style="1" hidden="1" customWidth="1"/>
    <col min="96" max="96" width="2.85546875" style="6" hidden="1" customWidth="1"/>
    <col min="97" max="97" width="2.42578125" style="7" hidden="1" customWidth="1"/>
    <col min="98" max="98" width="3.140625" style="6" hidden="1" customWidth="1"/>
    <col min="99" max="99" width="2.42578125" style="7" hidden="1" customWidth="1"/>
    <col min="100" max="103" width="3.140625" style="6" hidden="1" customWidth="1"/>
    <col min="104" max="104" width="4.5703125" style="6" hidden="1" customWidth="1"/>
    <col min="105" max="105" width="1" style="1" hidden="1" customWidth="1"/>
    <col min="106" max="106" width="2.85546875" style="6" hidden="1" customWidth="1"/>
    <col min="107" max="107" width="2.42578125" style="7" hidden="1" customWidth="1"/>
    <col min="108" max="108" width="3.140625" style="6" hidden="1" customWidth="1"/>
    <col min="109" max="109" width="2.42578125" style="7" hidden="1" customWidth="1"/>
    <col min="110" max="112" width="3.140625" style="6" hidden="1" customWidth="1"/>
    <col min="113" max="113" width="2.85546875" style="6" hidden="1" customWidth="1"/>
    <col min="114" max="114" width="3.85546875" style="6" hidden="1" customWidth="1"/>
    <col min="115" max="115" width="1" style="1" hidden="1" customWidth="1"/>
    <col min="116" max="116" width="2.85546875" style="6" hidden="1" customWidth="1"/>
    <col min="117" max="117" width="2.42578125" style="7" hidden="1" customWidth="1"/>
    <col min="118" max="118" width="3.140625" style="6" hidden="1" customWidth="1"/>
    <col min="119" max="119" width="2.42578125" style="7" hidden="1" customWidth="1"/>
    <col min="120" max="122" width="3.140625" style="6" hidden="1" customWidth="1"/>
    <col min="123" max="123" width="2.85546875" style="6" hidden="1" customWidth="1"/>
    <col min="124" max="124" width="3.7109375" style="6" hidden="1" customWidth="1"/>
    <col min="125" max="125" width="1" style="1" hidden="1" customWidth="1"/>
    <col min="126" max="126" width="2.85546875" style="6" hidden="1" customWidth="1"/>
    <col min="127" max="127" width="2.42578125" style="7" hidden="1" customWidth="1"/>
    <col min="128" max="128" width="3.140625" style="6" hidden="1" customWidth="1"/>
    <col min="129" max="129" width="2.42578125" style="7" hidden="1" customWidth="1"/>
    <col min="130" max="132" width="3.140625" style="6" hidden="1" customWidth="1"/>
    <col min="133" max="133" width="3" style="6" hidden="1" customWidth="1"/>
    <col min="134" max="134" width="4.140625" style="6" hidden="1" customWidth="1"/>
    <col min="135" max="135" width="1" style="1" hidden="1" customWidth="1"/>
    <col min="136" max="136" width="3.140625" style="6" hidden="1" customWidth="1"/>
    <col min="137" max="137" width="2.42578125" style="7" hidden="1" customWidth="1"/>
    <col min="138" max="138" width="3.140625" style="6" hidden="1" customWidth="1"/>
    <col min="139" max="139" width="2.42578125" style="7" hidden="1" customWidth="1"/>
    <col min="140" max="142" width="3.140625" style="6" hidden="1" customWidth="1"/>
    <col min="143" max="143" width="2.85546875" style="6" hidden="1" customWidth="1"/>
    <col min="144" max="144" width="4" style="6" hidden="1" customWidth="1"/>
    <col min="145" max="145" width="1" style="1" hidden="1" customWidth="1"/>
    <col min="146" max="146" width="3.140625" style="6" hidden="1" customWidth="1"/>
    <col min="147" max="147" width="2.42578125" style="7" hidden="1" customWidth="1"/>
    <col min="148" max="148" width="3.140625" style="6" hidden="1" customWidth="1"/>
    <col min="149" max="149" width="2.42578125" style="7" hidden="1" customWidth="1"/>
    <col min="150" max="153" width="3.140625" style="6" hidden="1" customWidth="1"/>
    <col min="154" max="154" width="3.85546875" style="6" hidden="1" customWidth="1"/>
    <col min="155" max="155" width="1" style="1" hidden="1" customWidth="1"/>
    <col min="156" max="156" width="2.85546875" style="6" hidden="1" customWidth="1"/>
    <col min="157" max="157" width="2.42578125" style="7" hidden="1" customWidth="1"/>
    <col min="158" max="158" width="2.85546875" style="6" hidden="1" customWidth="1"/>
    <col min="159" max="159" width="2.42578125" style="7" hidden="1" customWidth="1"/>
    <col min="160" max="163" width="3.140625" style="6" hidden="1" customWidth="1"/>
    <col min="164" max="164" width="3" style="6" hidden="1" customWidth="1"/>
    <col min="165" max="165" width="1" style="1" hidden="1" customWidth="1"/>
    <col min="166" max="166" width="3.140625" style="6" hidden="1" customWidth="1"/>
    <col min="167" max="167" width="2.42578125" style="7" hidden="1" customWidth="1"/>
    <col min="168" max="168" width="3.140625" style="6" hidden="1" customWidth="1"/>
    <col min="169" max="169" width="2.42578125" style="7" hidden="1" customWidth="1"/>
    <col min="170" max="173" width="3.140625" style="6" hidden="1" customWidth="1"/>
    <col min="174" max="174" width="3.85546875" style="6" hidden="1" customWidth="1"/>
    <col min="175" max="175" width="1.28515625" style="1" hidden="1" customWidth="1"/>
    <col min="176" max="176" width="2.85546875" style="6" hidden="1" customWidth="1"/>
    <col min="177" max="177" width="2.42578125" style="7" hidden="1" customWidth="1"/>
    <col min="178" max="178" width="3.140625" style="6" hidden="1" customWidth="1"/>
    <col min="179" max="179" width="2.42578125" style="7" hidden="1" customWidth="1"/>
    <col min="180" max="183" width="3.140625" style="6" hidden="1" customWidth="1"/>
    <col min="184" max="184" width="4" style="6" hidden="1" customWidth="1"/>
    <col min="185" max="185" width="1" style="1" hidden="1" customWidth="1"/>
    <col min="186" max="186" width="2.5703125" style="6" hidden="1" customWidth="1"/>
    <col min="187" max="187" width="2.42578125" style="7" hidden="1" customWidth="1"/>
    <col min="188" max="188" width="2.85546875" style="6" hidden="1" customWidth="1"/>
    <col min="189" max="189" width="2.42578125" style="7" hidden="1" customWidth="1"/>
    <col min="190" max="193" width="3.140625" style="6" hidden="1" customWidth="1"/>
    <col min="194" max="194" width="4.28515625" style="6" hidden="1" customWidth="1"/>
    <col min="195" max="195" width="1" style="1" hidden="1" customWidth="1"/>
    <col min="196" max="196" width="2.85546875" style="6" hidden="1" customWidth="1"/>
    <col min="197" max="197" width="2.42578125" style="7" hidden="1" customWidth="1"/>
    <col min="198" max="198" width="2.85546875" style="6" hidden="1" customWidth="1"/>
    <col min="199" max="199" width="2.42578125" style="7" hidden="1" customWidth="1"/>
    <col min="200" max="201" width="3.140625" style="6" hidden="1" customWidth="1"/>
    <col min="202" max="203" width="2.85546875" style="6" hidden="1" customWidth="1"/>
    <col min="204" max="204" width="4.5703125" style="6" hidden="1" customWidth="1"/>
    <col min="205" max="205" width="1" style="1" hidden="1" customWidth="1"/>
    <col min="206" max="206" width="2.85546875" style="6" hidden="1" customWidth="1"/>
    <col min="207" max="207" width="2.42578125" style="7" hidden="1" customWidth="1"/>
    <col min="208" max="208" width="2.7109375" style="6" hidden="1" customWidth="1"/>
    <col min="209" max="209" width="2.42578125" style="7" hidden="1" customWidth="1"/>
    <col min="210" max="213" width="3.140625" style="6" hidden="1" customWidth="1"/>
    <col min="214" max="214" width="4.5703125" style="6" hidden="1" customWidth="1"/>
    <col min="215" max="215" width="1" style="1" hidden="1" customWidth="1"/>
    <col min="216" max="216" width="3.140625" style="6" hidden="1" customWidth="1"/>
    <col min="217" max="217" width="2.42578125" style="7" hidden="1" customWidth="1"/>
    <col min="218" max="218" width="2.85546875" style="6" hidden="1" customWidth="1"/>
    <col min="219" max="219" width="2.42578125" style="7" hidden="1" customWidth="1"/>
    <col min="220" max="223" width="3.140625" style="6" hidden="1" customWidth="1"/>
    <col min="224" max="224" width="3.85546875" style="6" hidden="1" customWidth="1"/>
    <col min="225" max="225" width="1" style="1" hidden="1" customWidth="1"/>
    <col min="226" max="226" width="3.140625" style="6" hidden="1" customWidth="1"/>
    <col min="227" max="227" width="2.42578125" style="7" hidden="1" customWidth="1"/>
    <col min="228" max="228" width="3.140625" style="6" hidden="1" customWidth="1"/>
    <col min="229" max="229" width="2.42578125" style="7" hidden="1" customWidth="1"/>
    <col min="230" max="233" width="3.140625" style="6" hidden="1" customWidth="1"/>
    <col min="234" max="234" width="3.85546875" style="6" hidden="1" customWidth="1"/>
    <col min="235" max="235" width="1" style="1" hidden="1" customWidth="1"/>
    <col min="236" max="236" width="2.85546875" style="6" hidden="1" customWidth="1"/>
    <col min="237" max="237" width="2.42578125" style="7" hidden="1" customWidth="1"/>
    <col min="238" max="238" width="3.140625" style="6" hidden="1" customWidth="1"/>
    <col min="239" max="239" width="2.42578125" style="7" hidden="1" customWidth="1"/>
    <col min="240" max="240" width="3.140625" style="6" hidden="1" customWidth="1"/>
    <col min="241" max="241" width="2.85546875" style="6" hidden="1" customWidth="1"/>
    <col min="242" max="243" width="3.140625" style="6" hidden="1" customWidth="1"/>
    <col min="244" max="244" width="3.5703125" style="6" hidden="1" customWidth="1"/>
    <col min="245" max="245" width="1" style="1" hidden="1" customWidth="1"/>
    <col min="246" max="246" width="2.5703125" style="6" hidden="1" customWidth="1"/>
    <col min="247" max="247" width="2.42578125" style="7" hidden="1" customWidth="1"/>
    <col min="248" max="248" width="2.85546875" style="6" hidden="1" customWidth="1"/>
    <col min="249" max="249" width="2.42578125" style="7" hidden="1" customWidth="1"/>
    <col min="250" max="250" width="2.85546875" style="6" hidden="1" customWidth="1"/>
    <col min="251" max="253" width="3.140625" style="6" hidden="1" customWidth="1"/>
    <col min="254" max="254" width="4" style="6" hidden="1" customWidth="1"/>
    <col min="255" max="255" width="0.85546875" style="1" hidden="1" customWidth="1"/>
    <col min="256" max="256" width="3.140625" style="6" hidden="1" customWidth="1"/>
    <col min="257" max="257" width="2.42578125" style="7" hidden="1" customWidth="1"/>
    <col min="258" max="258" width="3.140625" style="6" hidden="1" customWidth="1"/>
    <col min="259" max="259" width="2.42578125" style="7" hidden="1" customWidth="1"/>
    <col min="260" max="263" width="3.140625" style="6" hidden="1" customWidth="1"/>
    <col min="264" max="264" width="3.85546875" style="6" hidden="1" customWidth="1"/>
    <col min="265" max="265" width="1" style="1" hidden="1" customWidth="1"/>
    <col min="266" max="266" width="3.140625" style="6" hidden="1" customWidth="1"/>
    <col min="267" max="267" width="2.42578125" style="7" hidden="1" customWidth="1"/>
    <col min="268" max="268" width="3.140625" style="6" hidden="1" customWidth="1"/>
    <col min="269" max="269" width="2.42578125" style="7" hidden="1" customWidth="1"/>
    <col min="270" max="273" width="3.140625" style="6" hidden="1" customWidth="1"/>
    <col min="274" max="274" width="3.42578125" style="6" hidden="1" customWidth="1"/>
    <col min="275" max="275" width="1" style="1" hidden="1" customWidth="1"/>
    <col min="276" max="276" width="2.7109375" style="6" hidden="1" customWidth="1"/>
    <col min="277" max="277" width="2.42578125" style="7" hidden="1" customWidth="1"/>
    <col min="278" max="278" width="3.140625" style="6" hidden="1" customWidth="1"/>
    <col min="279" max="279" width="2.42578125" style="7" hidden="1" customWidth="1"/>
    <col min="280" max="283" width="3.140625" style="6" hidden="1" customWidth="1"/>
    <col min="284" max="284" width="3.7109375" style="6" hidden="1" customWidth="1"/>
    <col min="285" max="285" width="1" style="1" hidden="1" customWidth="1"/>
    <col min="286" max="286" width="3.140625" style="6" hidden="1" customWidth="1"/>
    <col min="287" max="287" width="2.42578125" style="7" hidden="1" customWidth="1"/>
    <col min="288" max="288" width="3.140625" style="6" hidden="1" customWidth="1"/>
    <col min="289" max="289" width="2.42578125" style="7" hidden="1" customWidth="1"/>
    <col min="290" max="293" width="3.140625" style="6" hidden="1" customWidth="1"/>
    <col min="294" max="294" width="3.42578125" style="6" hidden="1" customWidth="1"/>
    <col min="295" max="295" width="1" style="1" hidden="1" customWidth="1"/>
    <col min="296" max="296" width="3.140625" style="6" hidden="1" customWidth="1"/>
    <col min="297" max="297" width="2.42578125" style="7" hidden="1" customWidth="1"/>
    <col min="298" max="298" width="3.140625" style="6" hidden="1" customWidth="1"/>
    <col min="299" max="299" width="2.42578125" style="7" hidden="1" customWidth="1"/>
    <col min="300" max="303" width="3.140625" style="6" hidden="1" customWidth="1"/>
    <col min="304" max="304" width="4.5703125" style="6" hidden="1" customWidth="1"/>
    <col min="305" max="305" width="1" style="1" hidden="1" customWidth="1"/>
    <col min="306" max="306" width="3.140625" style="6" hidden="1" customWidth="1"/>
    <col min="307" max="307" width="2.42578125" style="7" hidden="1" customWidth="1"/>
    <col min="308" max="308" width="3.140625" style="6" hidden="1" customWidth="1"/>
    <col min="309" max="309" width="2.42578125" style="7" hidden="1" customWidth="1"/>
    <col min="310" max="314" width="3.140625" style="6" hidden="1" customWidth="1"/>
    <col min="315" max="315" width="1.140625" style="1" hidden="1" customWidth="1"/>
    <col min="316" max="316" width="3.140625" style="6" hidden="1" customWidth="1"/>
    <col min="317" max="317" width="2.42578125" style="7" hidden="1" customWidth="1"/>
    <col min="318" max="318" width="3.140625" style="6" hidden="1" customWidth="1"/>
    <col min="319" max="319" width="2.42578125" style="7" hidden="1" customWidth="1"/>
    <col min="320" max="324" width="3.140625" style="6" hidden="1" customWidth="1"/>
    <col min="325" max="325" width="1.28515625" style="1" hidden="1" customWidth="1"/>
    <col min="326" max="326" width="3.140625" style="6" hidden="1" customWidth="1"/>
    <col min="327" max="327" width="2.42578125" style="7" hidden="1" customWidth="1"/>
    <col min="328" max="328" width="3.140625" style="6" hidden="1" customWidth="1"/>
    <col min="329" max="329" width="2.42578125" style="7" hidden="1" customWidth="1"/>
    <col min="330" max="334" width="3.140625" style="6" hidden="1" customWidth="1"/>
    <col min="335" max="335" width="1.28515625" style="1" hidden="1" customWidth="1"/>
    <col min="336" max="336" width="3.140625" style="6" hidden="1" customWidth="1"/>
    <col min="337" max="337" width="2.42578125" style="7" hidden="1" customWidth="1"/>
    <col min="338" max="338" width="3.140625" style="6" hidden="1" customWidth="1"/>
    <col min="339" max="339" width="2.42578125" style="7" hidden="1" customWidth="1"/>
    <col min="340" max="343" width="3.140625" style="6" hidden="1" customWidth="1"/>
    <col min="344" max="344" width="3.7109375" style="6" hidden="1" customWidth="1"/>
    <col min="345" max="345" width="1.28515625" style="1" hidden="1" customWidth="1"/>
    <col min="346" max="346" width="3.140625" style="6" hidden="1" customWidth="1"/>
    <col min="347" max="347" width="2.42578125" style="7" hidden="1" customWidth="1"/>
    <col min="348" max="348" width="3.140625" style="6" hidden="1" customWidth="1"/>
    <col min="349" max="349" width="2.42578125" style="7" hidden="1" customWidth="1"/>
    <col min="350" max="354" width="3.140625" style="6" hidden="1" customWidth="1"/>
    <col min="355" max="355" width="1.28515625" style="1" hidden="1" customWidth="1"/>
    <col min="356" max="356" width="3.140625" style="6" hidden="1" customWidth="1"/>
    <col min="357" max="357" width="2.42578125" style="7" hidden="1" customWidth="1"/>
    <col min="358" max="358" width="3.140625" style="6" hidden="1" customWidth="1"/>
    <col min="359" max="359" width="2.42578125" style="7" hidden="1" customWidth="1"/>
    <col min="360" max="364" width="3.140625" style="6" hidden="1" customWidth="1"/>
    <col min="365" max="365" width="1" style="1" hidden="1" customWidth="1"/>
    <col min="366" max="366" width="3.140625" style="6" hidden="1" customWidth="1"/>
    <col min="367" max="367" width="2.42578125" style="7" hidden="1" customWidth="1"/>
    <col min="368" max="368" width="3.140625" style="6" hidden="1" customWidth="1"/>
    <col min="369" max="369" width="2.42578125" style="7" hidden="1" customWidth="1"/>
    <col min="370" max="374" width="3.140625" style="6" hidden="1" customWidth="1"/>
    <col min="375" max="375" width="0.7109375" style="1" hidden="1" customWidth="1"/>
    <col min="376" max="376" width="3.140625" style="6" hidden="1" customWidth="1"/>
    <col min="377" max="377" width="2.42578125" style="7" hidden="1" customWidth="1"/>
    <col min="378" max="378" width="3.140625" style="6" hidden="1" customWidth="1"/>
    <col min="379" max="379" width="2.42578125" style="7" hidden="1" customWidth="1"/>
    <col min="380" max="384" width="3.140625" style="6" hidden="1" customWidth="1"/>
    <col min="385" max="385" width="0.85546875" style="1" hidden="1" customWidth="1"/>
    <col min="386" max="386" width="3.140625" style="6" hidden="1" customWidth="1"/>
    <col min="387" max="387" width="2.42578125" style="7" hidden="1" customWidth="1"/>
    <col min="388" max="388" width="3.140625" style="6" hidden="1" customWidth="1"/>
    <col min="389" max="389" width="2.42578125" style="7" hidden="1" customWidth="1"/>
    <col min="390" max="394" width="3.140625" style="6" hidden="1" customWidth="1"/>
    <col min="395" max="395" width="0.5703125" style="1" hidden="1" customWidth="1"/>
    <col min="396" max="396" width="2.5703125" style="6" hidden="1" customWidth="1"/>
    <col min="397" max="397" width="3.140625" style="7" hidden="1" customWidth="1"/>
    <col min="398" max="398" width="2.85546875" style="6" hidden="1" customWidth="1"/>
    <col min="399" max="399" width="3.140625" style="7" hidden="1" customWidth="1"/>
    <col min="400" max="400" width="3.5703125" style="6" hidden="1" customWidth="1"/>
    <col min="401" max="401" width="3.7109375" style="6" hidden="1" customWidth="1"/>
    <col min="402" max="402" width="2.85546875" style="6" hidden="1" customWidth="1"/>
    <col min="403" max="403" width="4" style="6" hidden="1" customWidth="1"/>
    <col min="404" max="404" width="3.42578125" style="6" hidden="1" customWidth="1"/>
    <col min="405" max="405" width="0.5703125" style="1" hidden="1" customWidth="1"/>
    <col min="406" max="406" width="2.85546875" style="6" hidden="1" customWidth="1"/>
    <col min="407" max="407" width="2.85546875" style="7" hidden="1" customWidth="1"/>
    <col min="408" max="408" width="2.85546875" style="6" hidden="1" customWidth="1"/>
    <col min="409" max="409" width="2.7109375" style="7" hidden="1" customWidth="1"/>
    <col min="410" max="410" width="3" style="6" hidden="1" customWidth="1"/>
    <col min="411" max="411" width="3.28515625" style="6" hidden="1" customWidth="1"/>
    <col min="412" max="412" width="2.5703125" style="6" hidden="1" customWidth="1"/>
    <col min="413" max="414" width="3.5703125" style="6" hidden="1" customWidth="1"/>
    <col min="415" max="415" width="0.7109375" style="1" hidden="1" customWidth="1"/>
    <col min="416" max="416" width="2.85546875" style="6" hidden="1" customWidth="1"/>
    <col min="417" max="417" width="2.5703125" style="7" hidden="1" customWidth="1"/>
    <col min="418" max="418" width="2.5703125" style="6" hidden="1" customWidth="1"/>
    <col min="419" max="419" width="2.85546875" style="7" hidden="1" customWidth="1"/>
    <col min="420" max="420" width="3.42578125" style="6" hidden="1" customWidth="1"/>
    <col min="421" max="421" width="3.140625" style="6" hidden="1" customWidth="1"/>
    <col min="422" max="422" width="2.85546875" style="6" hidden="1" customWidth="1"/>
    <col min="423" max="423" width="3.7109375" style="6" hidden="1" customWidth="1"/>
    <col min="424" max="424" width="3" style="6" hidden="1" customWidth="1"/>
    <col min="425" max="425" width="0.7109375" style="1" hidden="1" customWidth="1"/>
    <col min="426" max="426" width="2.7109375" style="6" hidden="1" customWidth="1"/>
    <col min="427" max="427" width="2.28515625" style="7" hidden="1" customWidth="1"/>
    <col min="428" max="428" width="3.140625" style="6" hidden="1" customWidth="1"/>
    <col min="429" max="429" width="2.28515625" style="7" hidden="1" customWidth="1"/>
    <col min="430" max="430" width="3.7109375" style="6" hidden="1" customWidth="1"/>
    <col min="431" max="431" width="3.140625" style="6" hidden="1" customWidth="1"/>
    <col min="432" max="432" width="3" style="6" hidden="1" customWidth="1"/>
    <col min="433" max="433" width="3.85546875" style="6" hidden="1" customWidth="1"/>
    <col min="434" max="434" width="3.140625" style="6" hidden="1" customWidth="1"/>
    <col min="435" max="435" width="0.85546875" style="1" hidden="1" customWidth="1"/>
    <col min="436" max="436" width="2.85546875" style="6" hidden="1" customWidth="1"/>
    <col min="437" max="437" width="2.5703125" style="7" hidden="1" customWidth="1"/>
    <col min="438" max="438" width="3.140625" style="6" hidden="1" customWidth="1"/>
    <col min="439" max="439" width="2.42578125" style="7" hidden="1" customWidth="1"/>
    <col min="440" max="440" width="3.28515625" style="6" hidden="1" customWidth="1"/>
    <col min="441" max="441" width="3.140625" style="6" hidden="1" customWidth="1"/>
    <col min="442" max="442" width="3.42578125" style="6" hidden="1" customWidth="1"/>
    <col min="443" max="443" width="3.85546875" style="6" hidden="1" customWidth="1"/>
    <col min="444" max="444" width="3.5703125" style="6" hidden="1" customWidth="1"/>
    <col min="445" max="445" width="0.85546875" style="1" hidden="1" customWidth="1"/>
    <col min="446" max="446" width="2.7109375" style="6" hidden="1" customWidth="1"/>
    <col min="447" max="447" width="3.140625" style="7" hidden="1" customWidth="1"/>
    <col min="448" max="448" width="2.42578125" style="6" hidden="1" customWidth="1"/>
    <col min="449" max="449" width="3.140625" style="7" hidden="1" customWidth="1"/>
    <col min="450" max="450" width="3" style="6" hidden="1" customWidth="1"/>
    <col min="451" max="451" width="3.28515625" style="6" hidden="1" customWidth="1"/>
    <col min="452" max="452" width="2.85546875" style="6" hidden="1" customWidth="1"/>
    <col min="453" max="453" width="3.85546875" style="6" hidden="1" customWidth="1"/>
    <col min="454" max="454" width="3.140625" style="6" hidden="1" customWidth="1"/>
    <col min="455" max="455" width="0.85546875" style="1" hidden="1" customWidth="1"/>
    <col min="456" max="456" width="2.7109375" style="6" hidden="1" customWidth="1"/>
    <col min="457" max="457" width="2.85546875" style="7" hidden="1" customWidth="1"/>
    <col min="458" max="458" width="2.5703125" style="6" hidden="1" customWidth="1"/>
    <col min="459" max="459" width="2.5703125" style="7" hidden="1" customWidth="1"/>
    <col min="460" max="460" width="3.42578125" style="6" hidden="1" customWidth="1"/>
    <col min="461" max="461" width="3.28515625" style="6" hidden="1" customWidth="1"/>
    <col min="462" max="462" width="2.85546875" style="6" hidden="1" customWidth="1"/>
    <col min="463" max="463" width="3.7109375" style="6" hidden="1" customWidth="1"/>
    <col min="464" max="464" width="3.28515625" style="6" hidden="1" customWidth="1"/>
    <col min="465" max="465" width="0.85546875" style="1" hidden="1" customWidth="1"/>
    <col min="466" max="466" width="2.5703125" style="6" hidden="1" customWidth="1"/>
    <col min="467" max="467" width="2.140625" style="7" hidden="1" customWidth="1"/>
    <col min="468" max="468" width="3" style="6" hidden="1" customWidth="1"/>
    <col min="469" max="469" width="2.28515625" style="7" hidden="1" customWidth="1"/>
    <col min="470" max="470" width="3.28515625" style="6" hidden="1" customWidth="1"/>
    <col min="471" max="471" width="3.5703125" style="6" hidden="1" customWidth="1"/>
    <col min="472" max="472" width="3" style="6" hidden="1" customWidth="1"/>
    <col min="473" max="473" width="4.140625" style="6" hidden="1" customWidth="1"/>
    <col min="474" max="474" width="3.140625" style="6" hidden="1" customWidth="1"/>
    <col min="475" max="475" width="0.85546875" style="1" hidden="1" customWidth="1"/>
    <col min="476" max="476" width="2.7109375" style="6" hidden="1" customWidth="1"/>
    <col min="477" max="477" width="3.140625" style="7" hidden="1" customWidth="1"/>
    <col min="478" max="478" width="3.140625" style="6" hidden="1" customWidth="1"/>
    <col min="479" max="479" width="3.140625" style="7" hidden="1" customWidth="1"/>
    <col min="480" max="480" width="3.7109375" style="6" hidden="1" customWidth="1"/>
    <col min="481" max="481" width="3.5703125" style="6" hidden="1" customWidth="1"/>
    <col min="482" max="482" width="3.28515625" style="6" hidden="1" customWidth="1"/>
    <col min="483" max="483" width="4" style="6" hidden="1" customWidth="1"/>
    <col min="484" max="484" width="3.42578125" style="6" hidden="1" customWidth="1"/>
    <col min="485" max="485" width="0.85546875" style="1" hidden="1" customWidth="1"/>
    <col min="486" max="486" width="2.5703125" style="6" hidden="1" customWidth="1"/>
    <col min="487" max="487" width="2.42578125" style="7" hidden="1" customWidth="1"/>
    <col min="488" max="488" width="2.5703125" style="6" hidden="1" customWidth="1"/>
    <col min="489" max="489" width="2.7109375" style="7" hidden="1" customWidth="1"/>
    <col min="490" max="490" width="3.28515625" style="6" hidden="1" customWidth="1"/>
    <col min="491" max="491" width="3.42578125" style="6" hidden="1" customWidth="1"/>
    <col min="492" max="492" width="3.140625" style="6" hidden="1" customWidth="1"/>
    <col min="493" max="493" width="4.140625" style="6" hidden="1" customWidth="1"/>
    <col min="494" max="494" width="3.140625" style="6" hidden="1" customWidth="1"/>
    <col min="495" max="495" width="0.85546875" style="1" customWidth="1"/>
    <col min="496" max="496" width="2.5703125" style="6" customWidth="1"/>
    <col min="497" max="497" width="2.28515625" style="7" customWidth="1"/>
    <col min="498" max="498" width="2.7109375" style="6" customWidth="1"/>
    <col min="499" max="499" width="2.140625" style="7" customWidth="1"/>
    <col min="500" max="500" width="3.140625" style="6" customWidth="1"/>
    <col min="501" max="501" width="3.28515625" style="6" customWidth="1"/>
    <col min="502" max="502" width="3.140625" style="6" customWidth="1"/>
    <col min="503" max="503" width="3.28515625" style="6" customWidth="1"/>
    <col min="504" max="504" width="3.42578125" style="6" customWidth="1"/>
    <col min="505" max="505" width="0.85546875" style="1" customWidth="1"/>
    <col min="506" max="506" width="2.85546875" style="6" customWidth="1"/>
    <col min="507" max="507" width="2.42578125" style="7" customWidth="1"/>
    <col min="508" max="508" width="2.7109375" style="6" customWidth="1"/>
    <col min="509" max="509" width="2.28515625" style="7" customWidth="1"/>
    <col min="510" max="510" width="3.5703125" style="6" customWidth="1"/>
    <col min="511" max="511" width="3.42578125" style="6" customWidth="1"/>
    <col min="512" max="512" width="3" style="6" customWidth="1"/>
    <col min="513" max="513" width="3.5703125" style="6" customWidth="1"/>
    <col min="514" max="514" width="3.28515625" style="6" customWidth="1"/>
    <col min="515" max="515" width="0.85546875" style="1" customWidth="1"/>
    <col min="516" max="516" width="3.140625" style="6" customWidth="1"/>
    <col min="517" max="517" width="2.28515625" style="7" customWidth="1"/>
    <col min="518" max="518" width="3.140625" style="6" customWidth="1"/>
    <col min="519" max="519" width="2.28515625" style="7" customWidth="1"/>
    <col min="520" max="520" width="4.28515625" style="6" customWidth="1"/>
    <col min="521" max="521" width="3.5703125" style="6" customWidth="1"/>
    <col min="522" max="522" width="3.28515625" style="6" customWidth="1"/>
    <col min="523" max="523" width="3.7109375" style="6" customWidth="1"/>
    <col min="524" max="524" width="3.28515625" style="6" customWidth="1"/>
    <col min="525" max="525" width="0.85546875" style="1" customWidth="1"/>
    <col min="526" max="526" width="3.140625" style="6" customWidth="1"/>
    <col min="527" max="527" width="2.42578125" style="7" customWidth="1"/>
    <col min="528" max="528" width="3.140625" style="6" customWidth="1"/>
    <col min="529" max="529" width="2.7109375" style="7" customWidth="1"/>
    <col min="530" max="530" width="4.28515625" style="6" customWidth="1"/>
    <col min="531" max="531" width="3.7109375" style="6" customWidth="1"/>
    <col min="532" max="532" width="3.42578125" style="6" customWidth="1"/>
    <col min="533" max="533" width="3.7109375" style="6" customWidth="1"/>
    <col min="534" max="534" width="3.42578125" style="6" customWidth="1"/>
    <col min="535" max="16384" width="9.140625" style="1"/>
  </cols>
  <sheetData>
    <row r="1" spans="1:534" ht="11.25" x14ac:dyDescent="0.2">
      <c r="A1" s="22" t="s">
        <v>60</v>
      </c>
      <c r="B1" s="46">
        <f ca="1">_xlfn.LET(_xlpm.anchor,DATE(2026,5,1),_xlpm.cycle,14,_xlpm.next,_xlpm.anchor+_xlfn.CEILING.MATH(MAX(0,TODAY()-_xlpm.anchor),_xlpm.cycle),IF(_xlpm.next=TODAY(),"DUE TODAY",_xlpm.next))</f>
        <v>46297</v>
      </c>
      <c r="C1" s="46"/>
      <c r="D1" s="46"/>
      <c r="F1" s="40" t="s">
        <v>0</v>
      </c>
      <c r="G1" s="41"/>
      <c r="H1" s="31" t="s">
        <v>28</v>
      </c>
      <c r="I1" s="32"/>
      <c r="J1" s="33"/>
      <c r="K1" s="43" t="s">
        <v>1</v>
      </c>
      <c r="L1" s="43"/>
      <c r="M1" s="45">
        <v>45933</v>
      </c>
      <c r="N1" s="45"/>
      <c r="P1" s="40" t="s">
        <v>0</v>
      </c>
      <c r="Q1" s="41"/>
      <c r="R1" s="40" t="s">
        <v>29</v>
      </c>
      <c r="S1" s="42"/>
      <c r="T1" s="41"/>
      <c r="U1" s="43" t="s">
        <v>1</v>
      </c>
      <c r="V1" s="43"/>
      <c r="W1" s="44">
        <v>45938</v>
      </c>
      <c r="X1" s="44"/>
      <c r="Z1" s="40" t="s">
        <v>0</v>
      </c>
      <c r="AA1" s="41"/>
      <c r="AB1" s="40" t="s">
        <v>31</v>
      </c>
      <c r="AC1" s="42"/>
      <c r="AD1" s="41"/>
      <c r="AE1" s="43" t="s">
        <v>1</v>
      </c>
      <c r="AF1" s="43"/>
      <c r="AG1" s="44">
        <v>45946</v>
      </c>
      <c r="AH1" s="44"/>
      <c r="AJ1" s="40" t="s">
        <v>0</v>
      </c>
      <c r="AK1" s="41"/>
      <c r="AL1" s="31" t="s">
        <v>32</v>
      </c>
      <c r="AM1" s="32"/>
      <c r="AN1" s="33"/>
      <c r="AO1" s="43" t="s">
        <v>1</v>
      </c>
      <c r="AP1" s="43"/>
      <c r="AQ1" s="45">
        <v>45947</v>
      </c>
      <c r="AR1" s="45"/>
      <c r="AT1" s="40" t="s">
        <v>0</v>
      </c>
      <c r="AU1" s="41"/>
      <c r="AV1" s="31" t="s">
        <v>31</v>
      </c>
      <c r="AW1" s="32"/>
      <c r="AX1" s="33"/>
      <c r="AY1" s="43" t="s">
        <v>1</v>
      </c>
      <c r="AZ1" s="43"/>
      <c r="BA1" s="45">
        <v>45954</v>
      </c>
      <c r="BB1" s="45"/>
      <c r="BD1" s="40" t="s">
        <v>0</v>
      </c>
      <c r="BE1" s="41"/>
      <c r="BF1" s="31" t="s">
        <v>31</v>
      </c>
      <c r="BG1" s="32"/>
      <c r="BH1" s="33"/>
      <c r="BI1" s="43" t="s">
        <v>1</v>
      </c>
      <c r="BJ1" s="43"/>
      <c r="BK1" s="45">
        <v>45961</v>
      </c>
      <c r="BL1" s="45"/>
      <c r="BN1" s="40" t="s">
        <v>0</v>
      </c>
      <c r="BO1" s="41"/>
      <c r="BP1" s="40" t="s">
        <v>31</v>
      </c>
      <c r="BQ1" s="42"/>
      <c r="BR1" s="41"/>
      <c r="BS1" s="43" t="s">
        <v>1</v>
      </c>
      <c r="BT1" s="43"/>
      <c r="BU1" s="44">
        <v>45968</v>
      </c>
      <c r="BV1" s="44"/>
      <c r="BX1" s="40" t="s">
        <v>0</v>
      </c>
      <c r="BY1" s="41"/>
      <c r="BZ1" s="40" t="s">
        <v>31</v>
      </c>
      <c r="CA1" s="42"/>
      <c r="CB1" s="41"/>
      <c r="CC1" s="43" t="s">
        <v>1</v>
      </c>
      <c r="CD1" s="43"/>
      <c r="CE1" s="44">
        <v>45975</v>
      </c>
      <c r="CF1" s="44"/>
      <c r="CH1" s="40" t="s">
        <v>0</v>
      </c>
      <c r="CI1" s="41"/>
      <c r="CJ1" s="40" t="s">
        <v>33</v>
      </c>
      <c r="CK1" s="42"/>
      <c r="CL1" s="41"/>
      <c r="CM1" s="43" t="s">
        <v>1</v>
      </c>
      <c r="CN1" s="43"/>
      <c r="CO1" s="44">
        <v>45982</v>
      </c>
      <c r="CP1" s="44"/>
      <c r="CR1" s="40" t="s">
        <v>0</v>
      </c>
      <c r="CS1" s="41"/>
      <c r="CT1" s="40" t="s">
        <v>34</v>
      </c>
      <c r="CU1" s="42"/>
      <c r="CV1" s="41"/>
      <c r="CW1" s="43" t="s">
        <v>1</v>
      </c>
      <c r="CX1" s="43"/>
      <c r="CY1" s="44" t="s">
        <v>35</v>
      </c>
      <c r="CZ1" s="44"/>
      <c r="DB1" s="40" t="s">
        <v>0</v>
      </c>
      <c r="DC1" s="41"/>
      <c r="DD1" s="40" t="s">
        <v>33</v>
      </c>
      <c r="DE1" s="42"/>
      <c r="DF1" s="41"/>
      <c r="DG1" s="43" t="s">
        <v>1</v>
      </c>
      <c r="DH1" s="43"/>
      <c r="DI1" s="44" t="s">
        <v>36</v>
      </c>
      <c r="DJ1" s="44"/>
      <c r="DL1" s="40" t="s">
        <v>0</v>
      </c>
      <c r="DM1" s="41"/>
      <c r="DN1" s="40" t="s">
        <v>33</v>
      </c>
      <c r="DO1" s="42"/>
      <c r="DP1" s="41"/>
      <c r="DQ1" s="43" t="s">
        <v>1</v>
      </c>
      <c r="DR1" s="43"/>
      <c r="DS1" s="44" t="s">
        <v>37</v>
      </c>
      <c r="DT1" s="44"/>
      <c r="DV1" s="40" t="s">
        <v>0</v>
      </c>
      <c r="DW1" s="41"/>
      <c r="DX1" s="31" t="s">
        <v>38</v>
      </c>
      <c r="DY1" s="32"/>
      <c r="DZ1" s="33"/>
      <c r="EA1" s="43" t="s">
        <v>1</v>
      </c>
      <c r="EB1" s="43"/>
      <c r="EC1" s="45" t="s">
        <v>39</v>
      </c>
      <c r="ED1" s="45"/>
      <c r="EF1" s="40" t="s">
        <v>0</v>
      </c>
      <c r="EG1" s="41"/>
      <c r="EH1" s="40" t="s">
        <v>31</v>
      </c>
      <c r="EI1" s="42"/>
      <c r="EJ1" s="41"/>
      <c r="EK1" s="43" t="s">
        <v>1</v>
      </c>
      <c r="EL1" s="43"/>
      <c r="EM1" s="44">
        <v>46017</v>
      </c>
      <c r="EN1" s="44"/>
      <c r="EP1" s="40" t="s">
        <v>0</v>
      </c>
      <c r="EQ1" s="41"/>
      <c r="ER1" s="40" t="s">
        <v>40</v>
      </c>
      <c r="ES1" s="42"/>
      <c r="ET1" s="41"/>
      <c r="EU1" s="43" t="s">
        <v>1</v>
      </c>
      <c r="EV1" s="43"/>
      <c r="EW1" s="44" t="s">
        <v>41</v>
      </c>
      <c r="EX1" s="44"/>
      <c r="EZ1" s="40" t="s">
        <v>0</v>
      </c>
      <c r="FA1" s="41"/>
      <c r="FB1" s="40" t="s">
        <v>42</v>
      </c>
      <c r="FC1" s="42"/>
      <c r="FD1" s="41"/>
      <c r="FE1" s="43" t="s">
        <v>1</v>
      </c>
      <c r="FF1" s="43"/>
      <c r="FG1" s="44" t="s">
        <v>43</v>
      </c>
      <c r="FH1" s="44"/>
      <c r="FJ1" s="40" t="s">
        <v>0</v>
      </c>
      <c r="FK1" s="41"/>
      <c r="FL1" s="31" t="s">
        <v>31</v>
      </c>
      <c r="FM1" s="32"/>
      <c r="FN1" s="33"/>
      <c r="FO1" s="43" t="s">
        <v>1</v>
      </c>
      <c r="FP1" s="43"/>
      <c r="FQ1" s="45">
        <v>46037</v>
      </c>
      <c r="FR1" s="45"/>
      <c r="FT1" s="40" t="s">
        <v>0</v>
      </c>
      <c r="FU1" s="41"/>
      <c r="FV1" s="31" t="s">
        <v>44</v>
      </c>
      <c r="FW1" s="32"/>
      <c r="FX1" s="33"/>
      <c r="FY1" s="43" t="s">
        <v>1</v>
      </c>
      <c r="FZ1" s="43"/>
      <c r="GA1" s="45" t="s">
        <v>45</v>
      </c>
      <c r="GB1" s="45"/>
      <c r="GD1" s="40" t="s">
        <v>0</v>
      </c>
      <c r="GE1" s="41"/>
      <c r="GF1" s="40" t="s">
        <v>44</v>
      </c>
      <c r="GG1" s="42"/>
      <c r="GH1" s="41"/>
      <c r="GI1" s="43" t="s">
        <v>1</v>
      </c>
      <c r="GJ1" s="43"/>
      <c r="GK1" s="44" t="s">
        <v>46</v>
      </c>
      <c r="GL1" s="44"/>
      <c r="GN1" s="40" t="s">
        <v>0</v>
      </c>
      <c r="GO1" s="41"/>
      <c r="GP1" s="40" t="s">
        <v>33</v>
      </c>
      <c r="GQ1" s="42"/>
      <c r="GR1" s="41"/>
      <c r="GS1" s="43" t="s">
        <v>1</v>
      </c>
      <c r="GT1" s="43"/>
      <c r="GU1" s="44" t="s">
        <v>47</v>
      </c>
      <c r="GV1" s="44"/>
      <c r="GX1" s="40" t="s">
        <v>0</v>
      </c>
      <c r="GY1" s="41"/>
      <c r="GZ1" s="40" t="s">
        <v>48</v>
      </c>
      <c r="HA1" s="42"/>
      <c r="HB1" s="41"/>
      <c r="HC1" s="43" t="s">
        <v>1</v>
      </c>
      <c r="HD1" s="43"/>
      <c r="HE1" s="44" t="s">
        <v>49</v>
      </c>
      <c r="HF1" s="44"/>
      <c r="HH1" s="40" t="s">
        <v>0</v>
      </c>
      <c r="HI1" s="41"/>
      <c r="HJ1" s="40" t="s">
        <v>44</v>
      </c>
      <c r="HK1" s="42"/>
      <c r="HL1" s="41"/>
      <c r="HM1" s="43" t="s">
        <v>1</v>
      </c>
      <c r="HN1" s="43"/>
      <c r="HO1" s="44" t="s">
        <v>50</v>
      </c>
      <c r="HP1" s="44"/>
      <c r="HR1" s="40" t="s">
        <v>0</v>
      </c>
      <c r="HS1" s="41"/>
      <c r="HT1" s="31" t="s">
        <v>44</v>
      </c>
      <c r="HU1" s="32"/>
      <c r="HV1" s="33"/>
      <c r="HW1" s="43" t="s">
        <v>1</v>
      </c>
      <c r="HX1" s="43"/>
      <c r="HY1" s="45" t="s">
        <v>51</v>
      </c>
      <c r="HZ1" s="45"/>
      <c r="IB1" s="40" t="s">
        <v>0</v>
      </c>
      <c r="IC1" s="41"/>
      <c r="ID1" s="31" t="s">
        <v>44</v>
      </c>
      <c r="IE1" s="32"/>
      <c r="IF1" s="33"/>
      <c r="IG1" s="43" t="s">
        <v>1</v>
      </c>
      <c r="IH1" s="43"/>
      <c r="II1" s="45" t="s">
        <v>52</v>
      </c>
      <c r="IJ1" s="45"/>
      <c r="IL1" s="40" t="s">
        <v>0</v>
      </c>
      <c r="IM1" s="41"/>
      <c r="IN1" s="31" t="s">
        <v>44</v>
      </c>
      <c r="IO1" s="32"/>
      <c r="IP1" s="33"/>
      <c r="IQ1" s="43" t="s">
        <v>1</v>
      </c>
      <c r="IR1" s="43"/>
      <c r="IS1" s="45" t="s">
        <v>53</v>
      </c>
      <c r="IT1" s="45"/>
      <c r="IV1" s="40" t="s">
        <v>0</v>
      </c>
      <c r="IW1" s="41"/>
      <c r="IX1" s="31" t="s">
        <v>44</v>
      </c>
      <c r="IY1" s="32"/>
      <c r="IZ1" s="33"/>
      <c r="JA1" s="43" t="s">
        <v>1</v>
      </c>
      <c r="JB1" s="43"/>
      <c r="JC1" s="45" t="s">
        <v>54</v>
      </c>
      <c r="JD1" s="45"/>
      <c r="JF1" s="40" t="s">
        <v>0</v>
      </c>
      <c r="JG1" s="41"/>
      <c r="JH1" s="31" t="s">
        <v>33</v>
      </c>
      <c r="JI1" s="32"/>
      <c r="JJ1" s="33"/>
      <c r="JK1" s="43" t="s">
        <v>1</v>
      </c>
      <c r="JL1" s="43"/>
      <c r="JM1" s="45" t="s">
        <v>55</v>
      </c>
      <c r="JN1" s="45"/>
      <c r="JP1" s="40" t="s">
        <v>0</v>
      </c>
      <c r="JQ1" s="41"/>
      <c r="JR1" s="40" t="s">
        <v>56</v>
      </c>
      <c r="JS1" s="42"/>
      <c r="JT1" s="41"/>
      <c r="JU1" s="43" t="s">
        <v>1</v>
      </c>
      <c r="JV1" s="43"/>
      <c r="JW1" s="44" t="s">
        <v>57</v>
      </c>
      <c r="JX1" s="44"/>
      <c r="JZ1" s="40" t="s">
        <v>0</v>
      </c>
      <c r="KA1" s="41"/>
      <c r="KB1" s="40" t="s">
        <v>44</v>
      </c>
      <c r="KC1" s="42"/>
      <c r="KD1" s="41"/>
      <c r="KE1" s="43" t="s">
        <v>1</v>
      </c>
      <c r="KF1" s="43"/>
      <c r="KG1" s="44" t="s">
        <v>58</v>
      </c>
      <c r="KH1" s="44"/>
      <c r="KJ1" s="40" t="s">
        <v>0</v>
      </c>
      <c r="KK1" s="41"/>
      <c r="KL1" s="40" t="s">
        <v>33</v>
      </c>
      <c r="KM1" s="42"/>
      <c r="KN1" s="41"/>
      <c r="KO1" s="43" t="s">
        <v>1</v>
      </c>
      <c r="KP1" s="43"/>
      <c r="KQ1" s="44" t="s">
        <v>59</v>
      </c>
      <c r="KR1" s="44"/>
      <c r="KT1" s="40" t="s">
        <v>0</v>
      </c>
      <c r="KU1" s="41"/>
      <c r="KV1" s="40" t="s">
        <v>44</v>
      </c>
      <c r="KW1" s="42"/>
      <c r="KX1" s="41"/>
      <c r="KY1" s="43" t="s">
        <v>1</v>
      </c>
      <c r="KZ1" s="43"/>
      <c r="LA1" s="44">
        <v>46135</v>
      </c>
      <c r="LB1" s="44"/>
      <c r="LD1" s="40" t="s">
        <v>0</v>
      </c>
      <c r="LE1" s="41"/>
      <c r="LF1" s="40" t="s">
        <v>44</v>
      </c>
      <c r="LG1" s="42"/>
      <c r="LH1" s="41"/>
      <c r="LI1" s="43" t="s">
        <v>1</v>
      </c>
      <c r="LJ1" s="43"/>
      <c r="LK1" s="44">
        <v>46142</v>
      </c>
      <c r="LL1" s="44"/>
      <c r="LN1" s="40" t="s">
        <v>0</v>
      </c>
      <c r="LO1" s="41"/>
      <c r="LP1" s="40" t="s">
        <v>44</v>
      </c>
      <c r="LQ1" s="42"/>
      <c r="LR1" s="41"/>
      <c r="LS1" s="43" t="s">
        <v>1</v>
      </c>
      <c r="LT1" s="43"/>
      <c r="LU1" s="44">
        <v>46149</v>
      </c>
      <c r="LV1" s="44"/>
      <c r="LX1" s="40" t="s">
        <v>0</v>
      </c>
      <c r="LY1" s="41"/>
      <c r="LZ1" s="40" t="s">
        <v>44</v>
      </c>
      <c r="MA1" s="42"/>
      <c r="MB1" s="41"/>
      <c r="MC1" s="43" t="s">
        <v>1</v>
      </c>
      <c r="MD1" s="43"/>
      <c r="ME1" s="44" t="s">
        <v>61</v>
      </c>
      <c r="MF1" s="44"/>
      <c r="MH1" s="40" t="s">
        <v>0</v>
      </c>
      <c r="MI1" s="41"/>
      <c r="MJ1" s="40" t="s">
        <v>33</v>
      </c>
      <c r="MK1" s="42"/>
      <c r="ML1" s="41"/>
      <c r="MM1" s="43" t="s">
        <v>1</v>
      </c>
      <c r="MN1" s="43"/>
      <c r="MO1" s="44" t="s">
        <v>62</v>
      </c>
      <c r="MP1" s="44"/>
      <c r="MR1" s="40" t="s">
        <v>0</v>
      </c>
      <c r="MS1" s="41"/>
      <c r="MT1" s="40" t="s">
        <v>44</v>
      </c>
      <c r="MU1" s="42"/>
      <c r="MV1" s="41"/>
      <c r="MW1" s="40" t="s">
        <v>1</v>
      </c>
      <c r="MX1" s="41"/>
      <c r="MY1" s="38" t="s">
        <v>67</v>
      </c>
      <c r="MZ1" s="39"/>
      <c r="NB1" s="40" t="s">
        <v>0</v>
      </c>
      <c r="NC1" s="41"/>
      <c r="ND1" s="40" t="s">
        <v>33</v>
      </c>
      <c r="NE1" s="42"/>
      <c r="NF1" s="41"/>
      <c r="NG1" s="40" t="s">
        <v>1</v>
      </c>
      <c r="NH1" s="41"/>
      <c r="NI1" s="38" t="s">
        <v>63</v>
      </c>
      <c r="NJ1" s="39"/>
      <c r="NL1" s="40" t="s">
        <v>0</v>
      </c>
      <c r="NM1" s="41"/>
      <c r="NN1" s="40" t="s">
        <v>44</v>
      </c>
      <c r="NO1" s="42"/>
      <c r="NP1" s="41"/>
      <c r="NQ1" s="40" t="s">
        <v>1</v>
      </c>
      <c r="NR1" s="41"/>
      <c r="NS1" s="38" t="s">
        <v>64</v>
      </c>
      <c r="NT1" s="39"/>
      <c r="NV1" s="40" t="s">
        <v>0</v>
      </c>
      <c r="NW1" s="41"/>
      <c r="NX1" s="40" t="s">
        <v>44</v>
      </c>
      <c r="NY1" s="42"/>
      <c r="NZ1" s="41"/>
      <c r="OA1" s="40" t="s">
        <v>1</v>
      </c>
      <c r="OB1" s="41"/>
      <c r="OC1" s="38" t="s">
        <v>66</v>
      </c>
      <c r="OD1" s="39"/>
      <c r="OF1" s="40" t="s">
        <v>0</v>
      </c>
      <c r="OG1" s="41"/>
      <c r="OH1" s="40" t="s">
        <v>44</v>
      </c>
      <c r="OI1" s="42"/>
      <c r="OJ1" s="41"/>
      <c r="OK1" s="40" t="s">
        <v>1</v>
      </c>
      <c r="OL1" s="41"/>
      <c r="OM1" s="38" t="s">
        <v>69</v>
      </c>
      <c r="ON1" s="39"/>
      <c r="OP1" s="40" t="s">
        <v>0</v>
      </c>
      <c r="OQ1" s="41"/>
      <c r="OR1" s="40" t="s">
        <v>44</v>
      </c>
      <c r="OS1" s="42"/>
      <c r="OT1" s="41"/>
      <c r="OU1" s="40" t="s">
        <v>1</v>
      </c>
      <c r="OV1" s="41"/>
      <c r="OW1" s="38" t="s">
        <v>70</v>
      </c>
      <c r="OX1" s="39"/>
      <c r="OZ1" s="40" t="s">
        <v>0</v>
      </c>
      <c r="PA1" s="41"/>
      <c r="PB1" s="31" t="s">
        <v>71</v>
      </c>
      <c r="PC1" s="32"/>
      <c r="PD1" s="33"/>
      <c r="PE1" s="40" t="s">
        <v>1</v>
      </c>
      <c r="PF1" s="41"/>
      <c r="PG1" s="36" t="s">
        <v>72</v>
      </c>
      <c r="PH1" s="37"/>
      <c r="PJ1" s="40" t="s">
        <v>0</v>
      </c>
      <c r="PK1" s="41"/>
      <c r="PL1" s="31" t="s">
        <v>44</v>
      </c>
      <c r="PM1" s="32"/>
      <c r="PN1" s="33"/>
      <c r="PO1" s="40" t="s">
        <v>1</v>
      </c>
      <c r="PP1" s="41"/>
      <c r="PQ1" s="36" t="s">
        <v>73</v>
      </c>
      <c r="PR1" s="37"/>
      <c r="PT1" s="40" t="s">
        <v>0</v>
      </c>
      <c r="PU1" s="41"/>
      <c r="PV1" s="40" t="s">
        <v>33</v>
      </c>
      <c r="PW1" s="42"/>
      <c r="PX1" s="41"/>
      <c r="PY1" s="40" t="s">
        <v>1</v>
      </c>
      <c r="PZ1" s="41"/>
      <c r="QA1" s="38" t="s">
        <v>74</v>
      </c>
      <c r="QB1" s="39"/>
      <c r="QD1" s="40" t="s">
        <v>0</v>
      </c>
      <c r="QE1" s="41"/>
      <c r="QF1" s="40" t="s">
        <v>44</v>
      </c>
      <c r="QG1" s="42"/>
      <c r="QH1" s="41"/>
      <c r="QI1" s="40" t="s">
        <v>1</v>
      </c>
      <c r="QJ1" s="41"/>
      <c r="QK1" s="38" t="s">
        <v>75</v>
      </c>
      <c r="QL1" s="39"/>
      <c r="QN1" s="40" t="s">
        <v>0</v>
      </c>
      <c r="QO1" s="41"/>
      <c r="QP1" s="40" t="s">
        <v>44</v>
      </c>
      <c r="QQ1" s="42"/>
      <c r="QR1" s="41"/>
      <c r="QS1" s="40" t="s">
        <v>1</v>
      </c>
      <c r="QT1" s="41"/>
      <c r="QU1" s="38" t="s">
        <v>76</v>
      </c>
      <c r="QV1" s="39"/>
      <c r="QX1" s="40" t="s">
        <v>0</v>
      </c>
      <c r="QY1" s="41"/>
      <c r="QZ1" s="40" t="s">
        <v>44</v>
      </c>
      <c r="RA1" s="42"/>
      <c r="RB1" s="41"/>
      <c r="RC1" s="40" t="s">
        <v>1</v>
      </c>
      <c r="RD1" s="41"/>
      <c r="RE1" s="38" t="s">
        <v>77</v>
      </c>
      <c r="RF1" s="39"/>
      <c r="RH1" s="40" t="s">
        <v>0</v>
      </c>
      <c r="RI1" s="41"/>
      <c r="RJ1" s="40" t="s">
        <v>79</v>
      </c>
      <c r="RK1" s="42"/>
      <c r="RL1" s="41"/>
      <c r="RM1" s="40" t="s">
        <v>1</v>
      </c>
      <c r="RN1" s="41"/>
      <c r="RO1" s="38" t="s">
        <v>78</v>
      </c>
      <c r="RP1" s="39"/>
      <c r="RR1" s="40" t="s">
        <v>0</v>
      </c>
      <c r="RS1" s="41"/>
      <c r="RT1" s="31" t="s">
        <v>44</v>
      </c>
      <c r="RU1" s="32"/>
      <c r="RV1" s="33"/>
      <c r="RW1" s="40" t="s">
        <v>1</v>
      </c>
      <c r="RX1" s="41"/>
      <c r="RY1" s="36" t="s">
        <v>80</v>
      </c>
      <c r="RZ1" s="37"/>
      <c r="SB1" s="40" t="s">
        <v>0</v>
      </c>
      <c r="SC1" s="41"/>
      <c r="SD1" s="40" t="s">
        <v>31</v>
      </c>
      <c r="SE1" s="42"/>
      <c r="SF1" s="41"/>
      <c r="SG1" s="40" t="s">
        <v>1</v>
      </c>
      <c r="SH1" s="41"/>
      <c r="SI1" s="38">
        <v>46268</v>
      </c>
      <c r="SJ1" s="39"/>
      <c r="SL1" s="40" t="s">
        <v>0</v>
      </c>
      <c r="SM1" s="41"/>
      <c r="SN1" s="40" t="s">
        <v>33</v>
      </c>
      <c r="SO1" s="42"/>
      <c r="SP1" s="41"/>
      <c r="SQ1" s="40" t="s">
        <v>1</v>
      </c>
      <c r="SR1" s="41"/>
      <c r="SS1" s="38">
        <v>46275</v>
      </c>
      <c r="ST1" s="39"/>
      <c r="SV1" s="66" t="s">
        <v>0</v>
      </c>
      <c r="SW1" s="67"/>
      <c r="SX1" s="66" t="s">
        <v>33</v>
      </c>
      <c r="SY1" s="68"/>
      <c r="SZ1" s="67"/>
      <c r="TA1" s="66" t="s">
        <v>1</v>
      </c>
      <c r="TB1" s="67"/>
      <c r="TC1" s="69" t="s">
        <v>85</v>
      </c>
      <c r="TD1" s="70"/>
      <c r="TF1" s="83" t="s">
        <v>0</v>
      </c>
      <c r="TG1" s="84"/>
      <c r="TH1" s="83" t="s">
        <v>33</v>
      </c>
      <c r="TI1" s="85"/>
      <c r="TJ1" s="84"/>
      <c r="TK1" s="83" t="s">
        <v>1</v>
      </c>
      <c r="TL1" s="84"/>
      <c r="TM1" s="86" t="s">
        <v>86</v>
      </c>
      <c r="TN1" s="87"/>
    </row>
    <row r="2" spans="1:534" s="15" customFormat="1" ht="9" x14ac:dyDescent="0.15">
      <c r="A2" s="14" t="s">
        <v>2</v>
      </c>
      <c r="B2" s="3" t="s">
        <v>3</v>
      </c>
      <c r="C2" s="29" t="s">
        <v>4</v>
      </c>
      <c r="D2" s="30"/>
      <c r="F2" s="29" t="s">
        <v>5</v>
      </c>
      <c r="G2" s="30"/>
      <c r="H2" s="29" t="s">
        <v>6</v>
      </c>
      <c r="I2" s="30"/>
      <c r="J2" s="3" t="s">
        <v>7</v>
      </c>
      <c r="K2" s="3" t="s">
        <v>8</v>
      </c>
      <c r="L2" s="3" t="s">
        <v>9</v>
      </c>
      <c r="M2" s="3" t="s">
        <v>10</v>
      </c>
      <c r="N2" s="3" t="s">
        <v>11</v>
      </c>
      <c r="P2" s="29" t="s">
        <v>5</v>
      </c>
      <c r="Q2" s="30"/>
      <c r="R2" s="29" t="s">
        <v>6</v>
      </c>
      <c r="S2" s="30"/>
      <c r="T2" s="3" t="s">
        <v>7</v>
      </c>
      <c r="U2" s="3" t="s">
        <v>8</v>
      </c>
      <c r="V2" s="3" t="s">
        <v>9</v>
      </c>
      <c r="W2" s="3" t="s">
        <v>10</v>
      </c>
      <c r="X2" s="3" t="s">
        <v>11</v>
      </c>
      <c r="Z2" s="29" t="s">
        <v>5</v>
      </c>
      <c r="AA2" s="30"/>
      <c r="AB2" s="29" t="s">
        <v>6</v>
      </c>
      <c r="AC2" s="30"/>
      <c r="AD2" s="3" t="s">
        <v>7</v>
      </c>
      <c r="AE2" s="3" t="s">
        <v>8</v>
      </c>
      <c r="AF2" s="3" t="s">
        <v>9</v>
      </c>
      <c r="AG2" s="3" t="s">
        <v>10</v>
      </c>
      <c r="AH2" s="3" t="s">
        <v>11</v>
      </c>
      <c r="AJ2" s="29" t="s">
        <v>5</v>
      </c>
      <c r="AK2" s="30"/>
      <c r="AL2" s="29" t="s">
        <v>6</v>
      </c>
      <c r="AM2" s="30"/>
      <c r="AN2" s="3" t="s">
        <v>7</v>
      </c>
      <c r="AO2" s="3" t="s">
        <v>8</v>
      </c>
      <c r="AP2" s="3" t="s">
        <v>9</v>
      </c>
      <c r="AQ2" s="3" t="s">
        <v>10</v>
      </c>
      <c r="AR2" s="3" t="s">
        <v>11</v>
      </c>
      <c r="AT2" s="29" t="s">
        <v>5</v>
      </c>
      <c r="AU2" s="30"/>
      <c r="AV2" s="29" t="s">
        <v>6</v>
      </c>
      <c r="AW2" s="30"/>
      <c r="AX2" s="3" t="s">
        <v>7</v>
      </c>
      <c r="AY2" s="3" t="s">
        <v>8</v>
      </c>
      <c r="AZ2" s="3" t="s">
        <v>9</v>
      </c>
      <c r="BA2" s="3" t="s">
        <v>10</v>
      </c>
      <c r="BB2" s="3" t="s">
        <v>11</v>
      </c>
      <c r="BD2" s="29" t="s">
        <v>5</v>
      </c>
      <c r="BE2" s="30"/>
      <c r="BF2" s="29" t="s">
        <v>6</v>
      </c>
      <c r="BG2" s="30"/>
      <c r="BH2" s="3" t="s">
        <v>7</v>
      </c>
      <c r="BI2" s="3" t="s">
        <v>8</v>
      </c>
      <c r="BJ2" s="3" t="s">
        <v>9</v>
      </c>
      <c r="BK2" s="3" t="s">
        <v>10</v>
      </c>
      <c r="BL2" s="3" t="s">
        <v>11</v>
      </c>
      <c r="BN2" s="29" t="s">
        <v>5</v>
      </c>
      <c r="BO2" s="30"/>
      <c r="BP2" s="29" t="s">
        <v>6</v>
      </c>
      <c r="BQ2" s="30"/>
      <c r="BR2" s="3" t="s">
        <v>7</v>
      </c>
      <c r="BS2" s="3" t="s">
        <v>8</v>
      </c>
      <c r="BT2" s="3" t="s">
        <v>9</v>
      </c>
      <c r="BU2" s="3" t="s">
        <v>10</v>
      </c>
      <c r="BV2" s="3" t="s">
        <v>11</v>
      </c>
      <c r="BX2" s="29" t="s">
        <v>5</v>
      </c>
      <c r="BY2" s="30"/>
      <c r="BZ2" s="29" t="s">
        <v>6</v>
      </c>
      <c r="CA2" s="30"/>
      <c r="CB2" s="3" t="s">
        <v>7</v>
      </c>
      <c r="CC2" s="3" t="s">
        <v>8</v>
      </c>
      <c r="CD2" s="3" t="s">
        <v>9</v>
      </c>
      <c r="CE2" s="3" t="s">
        <v>10</v>
      </c>
      <c r="CF2" s="3" t="s">
        <v>11</v>
      </c>
      <c r="CH2" s="29" t="s">
        <v>5</v>
      </c>
      <c r="CI2" s="30"/>
      <c r="CJ2" s="29" t="s">
        <v>6</v>
      </c>
      <c r="CK2" s="30"/>
      <c r="CL2" s="3" t="s">
        <v>7</v>
      </c>
      <c r="CM2" s="3" t="s">
        <v>8</v>
      </c>
      <c r="CN2" s="3" t="s">
        <v>9</v>
      </c>
      <c r="CO2" s="3" t="s">
        <v>10</v>
      </c>
      <c r="CP2" s="3" t="s">
        <v>11</v>
      </c>
      <c r="CR2" s="29" t="s">
        <v>5</v>
      </c>
      <c r="CS2" s="30"/>
      <c r="CT2" s="29" t="s">
        <v>6</v>
      </c>
      <c r="CU2" s="30"/>
      <c r="CV2" s="3" t="s">
        <v>7</v>
      </c>
      <c r="CW2" s="3" t="s">
        <v>8</v>
      </c>
      <c r="CX2" s="3" t="s">
        <v>9</v>
      </c>
      <c r="CY2" s="3" t="s">
        <v>10</v>
      </c>
      <c r="CZ2" s="3" t="s">
        <v>11</v>
      </c>
      <c r="DB2" s="29" t="s">
        <v>5</v>
      </c>
      <c r="DC2" s="30"/>
      <c r="DD2" s="29" t="s">
        <v>6</v>
      </c>
      <c r="DE2" s="30"/>
      <c r="DF2" s="3" t="s">
        <v>7</v>
      </c>
      <c r="DG2" s="3" t="s">
        <v>8</v>
      </c>
      <c r="DH2" s="3" t="s">
        <v>9</v>
      </c>
      <c r="DI2" s="3" t="s">
        <v>10</v>
      </c>
      <c r="DJ2" s="3" t="s">
        <v>11</v>
      </c>
      <c r="DL2" s="29" t="s">
        <v>5</v>
      </c>
      <c r="DM2" s="30"/>
      <c r="DN2" s="29" t="s">
        <v>6</v>
      </c>
      <c r="DO2" s="30"/>
      <c r="DP2" s="3" t="s">
        <v>7</v>
      </c>
      <c r="DQ2" s="3" t="s">
        <v>8</v>
      </c>
      <c r="DR2" s="3" t="s">
        <v>9</v>
      </c>
      <c r="DS2" s="3" t="s">
        <v>10</v>
      </c>
      <c r="DT2" s="3" t="s">
        <v>11</v>
      </c>
      <c r="DV2" s="29" t="s">
        <v>5</v>
      </c>
      <c r="DW2" s="30"/>
      <c r="DX2" s="29" t="s">
        <v>6</v>
      </c>
      <c r="DY2" s="30"/>
      <c r="DZ2" s="3" t="s">
        <v>7</v>
      </c>
      <c r="EA2" s="3" t="s">
        <v>8</v>
      </c>
      <c r="EB2" s="3" t="s">
        <v>9</v>
      </c>
      <c r="EC2" s="3" t="s">
        <v>10</v>
      </c>
      <c r="ED2" s="3" t="s">
        <v>11</v>
      </c>
      <c r="EF2" s="29" t="s">
        <v>5</v>
      </c>
      <c r="EG2" s="30"/>
      <c r="EH2" s="29" t="s">
        <v>6</v>
      </c>
      <c r="EI2" s="30"/>
      <c r="EJ2" s="3" t="s">
        <v>7</v>
      </c>
      <c r="EK2" s="3" t="s">
        <v>8</v>
      </c>
      <c r="EL2" s="3" t="s">
        <v>9</v>
      </c>
      <c r="EM2" s="3" t="s">
        <v>10</v>
      </c>
      <c r="EN2" s="3" t="s">
        <v>11</v>
      </c>
      <c r="EP2" s="29" t="s">
        <v>5</v>
      </c>
      <c r="EQ2" s="30"/>
      <c r="ER2" s="29" t="s">
        <v>6</v>
      </c>
      <c r="ES2" s="30"/>
      <c r="ET2" s="3" t="s">
        <v>7</v>
      </c>
      <c r="EU2" s="3" t="s">
        <v>8</v>
      </c>
      <c r="EV2" s="3" t="s">
        <v>9</v>
      </c>
      <c r="EW2" s="3" t="s">
        <v>10</v>
      </c>
      <c r="EX2" s="3" t="s">
        <v>11</v>
      </c>
      <c r="EZ2" s="29" t="s">
        <v>5</v>
      </c>
      <c r="FA2" s="30"/>
      <c r="FB2" s="29" t="s">
        <v>6</v>
      </c>
      <c r="FC2" s="30"/>
      <c r="FD2" s="3" t="s">
        <v>7</v>
      </c>
      <c r="FE2" s="3" t="s">
        <v>8</v>
      </c>
      <c r="FF2" s="3" t="s">
        <v>9</v>
      </c>
      <c r="FG2" s="3" t="s">
        <v>10</v>
      </c>
      <c r="FH2" s="3" t="s">
        <v>11</v>
      </c>
      <c r="FJ2" s="29" t="s">
        <v>5</v>
      </c>
      <c r="FK2" s="30"/>
      <c r="FL2" s="29" t="s">
        <v>6</v>
      </c>
      <c r="FM2" s="30"/>
      <c r="FN2" s="3" t="s">
        <v>7</v>
      </c>
      <c r="FO2" s="3" t="s">
        <v>8</v>
      </c>
      <c r="FP2" s="3" t="s">
        <v>9</v>
      </c>
      <c r="FQ2" s="3" t="s">
        <v>10</v>
      </c>
      <c r="FR2" s="3" t="s">
        <v>11</v>
      </c>
      <c r="FT2" s="29" t="s">
        <v>5</v>
      </c>
      <c r="FU2" s="30"/>
      <c r="FV2" s="29" t="s">
        <v>6</v>
      </c>
      <c r="FW2" s="30"/>
      <c r="FX2" s="3" t="s">
        <v>7</v>
      </c>
      <c r="FY2" s="3" t="s">
        <v>8</v>
      </c>
      <c r="FZ2" s="3" t="s">
        <v>9</v>
      </c>
      <c r="GA2" s="3" t="s">
        <v>10</v>
      </c>
      <c r="GB2" s="3" t="s">
        <v>11</v>
      </c>
      <c r="GD2" s="29" t="s">
        <v>5</v>
      </c>
      <c r="GE2" s="30"/>
      <c r="GF2" s="29" t="s">
        <v>6</v>
      </c>
      <c r="GG2" s="30"/>
      <c r="GH2" s="3" t="s">
        <v>7</v>
      </c>
      <c r="GI2" s="3" t="s">
        <v>8</v>
      </c>
      <c r="GJ2" s="3" t="s">
        <v>9</v>
      </c>
      <c r="GK2" s="3" t="s">
        <v>10</v>
      </c>
      <c r="GL2" s="3" t="s">
        <v>11</v>
      </c>
      <c r="GN2" s="29" t="s">
        <v>5</v>
      </c>
      <c r="GO2" s="30"/>
      <c r="GP2" s="29" t="s">
        <v>6</v>
      </c>
      <c r="GQ2" s="30"/>
      <c r="GR2" s="3" t="s">
        <v>7</v>
      </c>
      <c r="GS2" s="3" t="s">
        <v>8</v>
      </c>
      <c r="GT2" s="3" t="s">
        <v>9</v>
      </c>
      <c r="GU2" s="3" t="s">
        <v>10</v>
      </c>
      <c r="GV2" s="3" t="s">
        <v>11</v>
      </c>
      <c r="GX2" s="29" t="s">
        <v>5</v>
      </c>
      <c r="GY2" s="30"/>
      <c r="GZ2" s="29" t="s">
        <v>6</v>
      </c>
      <c r="HA2" s="30"/>
      <c r="HB2" s="3" t="s">
        <v>7</v>
      </c>
      <c r="HC2" s="3" t="s">
        <v>8</v>
      </c>
      <c r="HD2" s="3" t="s">
        <v>9</v>
      </c>
      <c r="HE2" s="3" t="s">
        <v>10</v>
      </c>
      <c r="HF2" s="3" t="s">
        <v>11</v>
      </c>
      <c r="HH2" s="29" t="s">
        <v>5</v>
      </c>
      <c r="HI2" s="30"/>
      <c r="HJ2" s="29" t="s">
        <v>6</v>
      </c>
      <c r="HK2" s="30"/>
      <c r="HL2" s="3" t="s">
        <v>7</v>
      </c>
      <c r="HM2" s="3" t="s">
        <v>8</v>
      </c>
      <c r="HN2" s="3" t="s">
        <v>9</v>
      </c>
      <c r="HO2" s="3" t="s">
        <v>10</v>
      </c>
      <c r="HP2" s="3" t="s">
        <v>11</v>
      </c>
      <c r="HR2" s="29" t="s">
        <v>5</v>
      </c>
      <c r="HS2" s="30"/>
      <c r="HT2" s="29" t="s">
        <v>6</v>
      </c>
      <c r="HU2" s="30"/>
      <c r="HV2" s="3" t="s">
        <v>7</v>
      </c>
      <c r="HW2" s="3" t="s">
        <v>8</v>
      </c>
      <c r="HX2" s="3" t="s">
        <v>9</v>
      </c>
      <c r="HY2" s="3" t="s">
        <v>10</v>
      </c>
      <c r="HZ2" s="3" t="s">
        <v>11</v>
      </c>
      <c r="IB2" s="29" t="s">
        <v>5</v>
      </c>
      <c r="IC2" s="30"/>
      <c r="ID2" s="29" t="s">
        <v>6</v>
      </c>
      <c r="IE2" s="30"/>
      <c r="IF2" s="3" t="s">
        <v>7</v>
      </c>
      <c r="IG2" s="3" t="s">
        <v>8</v>
      </c>
      <c r="IH2" s="3" t="s">
        <v>9</v>
      </c>
      <c r="II2" s="3" t="s">
        <v>10</v>
      </c>
      <c r="IJ2" s="3" t="s">
        <v>11</v>
      </c>
      <c r="IL2" s="29" t="s">
        <v>5</v>
      </c>
      <c r="IM2" s="30"/>
      <c r="IN2" s="29" t="s">
        <v>6</v>
      </c>
      <c r="IO2" s="30"/>
      <c r="IP2" s="3" t="s">
        <v>7</v>
      </c>
      <c r="IQ2" s="3" t="s">
        <v>8</v>
      </c>
      <c r="IR2" s="3" t="s">
        <v>9</v>
      </c>
      <c r="IS2" s="3" t="s">
        <v>10</v>
      </c>
      <c r="IT2" s="3" t="s">
        <v>11</v>
      </c>
      <c r="IV2" s="29" t="s">
        <v>5</v>
      </c>
      <c r="IW2" s="30"/>
      <c r="IX2" s="29" t="s">
        <v>6</v>
      </c>
      <c r="IY2" s="30"/>
      <c r="IZ2" s="3" t="s">
        <v>7</v>
      </c>
      <c r="JA2" s="3" t="s">
        <v>8</v>
      </c>
      <c r="JB2" s="3" t="s">
        <v>9</v>
      </c>
      <c r="JC2" s="3" t="s">
        <v>10</v>
      </c>
      <c r="JD2" s="3" t="s">
        <v>11</v>
      </c>
      <c r="JF2" s="29" t="s">
        <v>5</v>
      </c>
      <c r="JG2" s="30"/>
      <c r="JH2" s="29" t="s">
        <v>6</v>
      </c>
      <c r="JI2" s="30"/>
      <c r="JJ2" s="3" t="s">
        <v>7</v>
      </c>
      <c r="JK2" s="3" t="s">
        <v>8</v>
      </c>
      <c r="JL2" s="3" t="s">
        <v>9</v>
      </c>
      <c r="JM2" s="3" t="s">
        <v>10</v>
      </c>
      <c r="JN2" s="3" t="s">
        <v>11</v>
      </c>
      <c r="JP2" s="29" t="s">
        <v>5</v>
      </c>
      <c r="JQ2" s="30"/>
      <c r="JR2" s="29" t="s">
        <v>6</v>
      </c>
      <c r="JS2" s="30"/>
      <c r="JT2" s="3" t="s">
        <v>7</v>
      </c>
      <c r="JU2" s="3" t="s">
        <v>8</v>
      </c>
      <c r="JV2" s="3" t="s">
        <v>9</v>
      </c>
      <c r="JW2" s="3" t="s">
        <v>10</v>
      </c>
      <c r="JX2" s="3" t="s">
        <v>11</v>
      </c>
      <c r="JZ2" s="29" t="s">
        <v>5</v>
      </c>
      <c r="KA2" s="30"/>
      <c r="KB2" s="29" t="s">
        <v>6</v>
      </c>
      <c r="KC2" s="30"/>
      <c r="KD2" s="3" t="s">
        <v>7</v>
      </c>
      <c r="KE2" s="3" t="s">
        <v>8</v>
      </c>
      <c r="KF2" s="3" t="s">
        <v>9</v>
      </c>
      <c r="KG2" s="3" t="s">
        <v>10</v>
      </c>
      <c r="KH2" s="3" t="s">
        <v>11</v>
      </c>
      <c r="KJ2" s="29" t="s">
        <v>5</v>
      </c>
      <c r="KK2" s="30"/>
      <c r="KL2" s="29" t="s">
        <v>6</v>
      </c>
      <c r="KM2" s="30"/>
      <c r="KN2" s="3" t="s">
        <v>7</v>
      </c>
      <c r="KO2" s="3" t="s">
        <v>8</v>
      </c>
      <c r="KP2" s="3" t="s">
        <v>9</v>
      </c>
      <c r="KQ2" s="3" t="s">
        <v>10</v>
      </c>
      <c r="KR2" s="3" t="s">
        <v>11</v>
      </c>
      <c r="KT2" s="29" t="s">
        <v>5</v>
      </c>
      <c r="KU2" s="30"/>
      <c r="KV2" s="29" t="s">
        <v>6</v>
      </c>
      <c r="KW2" s="30"/>
      <c r="KX2" s="3" t="s">
        <v>7</v>
      </c>
      <c r="KY2" s="3" t="s">
        <v>8</v>
      </c>
      <c r="KZ2" s="3" t="s">
        <v>9</v>
      </c>
      <c r="LA2" s="3" t="s">
        <v>10</v>
      </c>
      <c r="LB2" s="3" t="s">
        <v>11</v>
      </c>
      <c r="LD2" s="29" t="s">
        <v>5</v>
      </c>
      <c r="LE2" s="30"/>
      <c r="LF2" s="29" t="s">
        <v>6</v>
      </c>
      <c r="LG2" s="30"/>
      <c r="LH2" s="3" t="s">
        <v>7</v>
      </c>
      <c r="LI2" s="3" t="s">
        <v>8</v>
      </c>
      <c r="LJ2" s="3" t="s">
        <v>9</v>
      </c>
      <c r="LK2" s="3" t="s">
        <v>10</v>
      </c>
      <c r="LL2" s="3" t="s">
        <v>11</v>
      </c>
      <c r="LN2" s="29" t="s">
        <v>5</v>
      </c>
      <c r="LO2" s="30"/>
      <c r="LP2" s="29" t="s">
        <v>6</v>
      </c>
      <c r="LQ2" s="30"/>
      <c r="LR2" s="3" t="s">
        <v>7</v>
      </c>
      <c r="LS2" s="3" t="s">
        <v>8</v>
      </c>
      <c r="LT2" s="3" t="s">
        <v>9</v>
      </c>
      <c r="LU2" s="3" t="s">
        <v>10</v>
      </c>
      <c r="LV2" s="3" t="s">
        <v>11</v>
      </c>
      <c r="LX2" s="29" t="s">
        <v>5</v>
      </c>
      <c r="LY2" s="30"/>
      <c r="LZ2" s="29" t="s">
        <v>6</v>
      </c>
      <c r="MA2" s="30"/>
      <c r="MB2" s="3" t="s">
        <v>7</v>
      </c>
      <c r="MC2" s="3" t="s">
        <v>8</v>
      </c>
      <c r="MD2" s="3" t="s">
        <v>9</v>
      </c>
      <c r="ME2" s="3" t="s">
        <v>10</v>
      </c>
      <c r="MF2" s="3" t="s">
        <v>11</v>
      </c>
      <c r="MH2" s="29" t="s">
        <v>5</v>
      </c>
      <c r="MI2" s="30"/>
      <c r="MJ2" s="29" t="s">
        <v>6</v>
      </c>
      <c r="MK2" s="30"/>
      <c r="ML2" s="3" t="s">
        <v>7</v>
      </c>
      <c r="MM2" s="3" t="s">
        <v>8</v>
      </c>
      <c r="MN2" s="3" t="s">
        <v>9</v>
      </c>
      <c r="MO2" s="3" t="s">
        <v>10</v>
      </c>
      <c r="MP2" s="3" t="s">
        <v>11</v>
      </c>
      <c r="MR2" s="29" t="s">
        <v>5</v>
      </c>
      <c r="MS2" s="30"/>
      <c r="MT2" s="29" t="s">
        <v>6</v>
      </c>
      <c r="MU2" s="30"/>
      <c r="MV2" s="3" t="s">
        <v>7</v>
      </c>
      <c r="MW2" s="3" t="s">
        <v>8</v>
      </c>
      <c r="MX2" s="3" t="s">
        <v>9</v>
      </c>
      <c r="MY2" s="3" t="s">
        <v>10</v>
      </c>
      <c r="MZ2" s="3" t="s">
        <v>11</v>
      </c>
      <c r="NB2" s="29" t="s">
        <v>5</v>
      </c>
      <c r="NC2" s="30"/>
      <c r="ND2" s="29" t="s">
        <v>6</v>
      </c>
      <c r="NE2" s="30"/>
      <c r="NF2" s="3" t="s">
        <v>7</v>
      </c>
      <c r="NG2" s="3" t="s">
        <v>8</v>
      </c>
      <c r="NH2" s="3" t="s">
        <v>9</v>
      </c>
      <c r="NI2" s="3" t="s">
        <v>10</v>
      </c>
      <c r="NJ2" s="3" t="s">
        <v>11</v>
      </c>
      <c r="NL2" s="29" t="s">
        <v>5</v>
      </c>
      <c r="NM2" s="30"/>
      <c r="NN2" s="29" t="s">
        <v>6</v>
      </c>
      <c r="NO2" s="30"/>
      <c r="NP2" s="3" t="s">
        <v>7</v>
      </c>
      <c r="NQ2" s="3" t="s">
        <v>8</v>
      </c>
      <c r="NR2" s="3" t="s">
        <v>9</v>
      </c>
      <c r="NS2" s="3" t="s">
        <v>10</v>
      </c>
      <c r="NT2" s="3" t="s">
        <v>11</v>
      </c>
      <c r="NV2" s="29" t="s">
        <v>5</v>
      </c>
      <c r="NW2" s="30"/>
      <c r="NX2" s="29" t="s">
        <v>6</v>
      </c>
      <c r="NY2" s="30"/>
      <c r="NZ2" s="3" t="s">
        <v>7</v>
      </c>
      <c r="OA2" s="3" t="s">
        <v>8</v>
      </c>
      <c r="OB2" s="3" t="s">
        <v>9</v>
      </c>
      <c r="OC2" s="3" t="s">
        <v>10</v>
      </c>
      <c r="OD2" s="3" t="s">
        <v>11</v>
      </c>
      <c r="OF2" s="29" t="s">
        <v>5</v>
      </c>
      <c r="OG2" s="30"/>
      <c r="OH2" s="29" t="s">
        <v>6</v>
      </c>
      <c r="OI2" s="30"/>
      <c r="OJ2" s="3" t="s">
        <v>7</v>
      </c>
      <c r="OK2" s="3" t="s">
        <v>8</v>
      </c>
      <c r="OL2" s="3" t="s">
        <v>9</v>
      </c>
      <c r="OM2" s="3" t="s">
        <v>10</v>
      </c>
      <c r="ON2" s="3" t="s">
        <v>11</v>
      </c>
      <c r="OP2" s="29" t="s">
        <v>5</v>
      </c>
      <c r="OQ2" s="30"/>
      <c r="OR2" s="29" t="s">
        <v>6</v>
      </c>
      <c r="OS2" s="30"/>
      <c r="OT2" s="3" t="s">
        <v>7</v>
      </c>
      <c r="OU2" s="3" t="s">
        <v>8</v>
      </c>
      <c r="OV2" s="3" t="s">
        <v>9</v>
      </c>
      <c r="OW2" s="3" t="s">
        <v>10</v>
      </c>
      <c r="OX2" s="3" t="s">
        <v>11</v>
      </c>
      <c r="OZ2" s="29" t="s">
        <v>5</v>
      </c>
      <c r="PA2" s="30"/>
      <c r="PB2" s="29" t="s">
        <v>6</v>
      </c>
      <c r="PC2" s="30"/>
      <c r="PD2" s="3" t="s">
        <v>7</v>
      </c>
      <c r="PE2" s="3" t="s">
        <v>8</v>
      </c>
      <c r="PF2" s="3" t="s">
        <v>9</v>
      </c>
      <c r="PG2" s="3" t="s">
        <v>10</v>
      </c>
      <c r="PH2" s="3" t="s">
        <v>11</v>
      </c>
      <c r="PJ2" s="29" t="s">
        <v>5</v>
      </c>
      <c r="PK2" s="30"/>
      <c r="PL2" s="29" t="s">
        <v>6</v>
      </c>
      <c r="PM2" s="30"/>
      <c r="PN2" s="3" t="s">
        <v>7</v>
      </c>
      <c r="PO2" s="3" t="s">
        <v>8</v>
      </c>
      <c r="PP2" s="3" t="s">
        <v>9</v>
      </c>
      <c r="PQ2" s="3" t="s">
        <v>10</v>
      </c>
      <c r="PR2" s="3" t="s">
        <v>11</v>
      </c>
      <c r="PT2" s="29" t="s">
        <v>5</v>
      </c>
      <c r="PU2" s="30"/>
      <c r="PV2" s="29" t="s">
        <v>6</v>
      </c>
      <c r="PW2" s="30"/>
      <c r="PX2" s="3" t="s">
        <v>7</v>
      </c>
      <c r="PY2" s="3" t="s">
        <v>8</v>
      </c>
      <c r="PZ2" s="3" t="s">
        <v>9</v>
      </c>
      <c r="QA2" s="3" t="s">
        <v>10</v>
      </c>
      <c r="QB2" s="3" t="s">
        <v>11</v>
      </c>
      <c r="QD2" s="29" t="s">
        <v>5</v>
      </c>
      <c r="QE2" s="30"/>
      <c r="QF2" s="29" t="s">
        <v>6</v>
      </c>
      <c r="QG2" s="30"/>
      <c r="QH2" s="3" t="s">
        <v>7</v>
      </c>
      <c r="QI2" s="3" t="s">
        <v>8</v>
      </c>
      <c r="QJ2" s="3" t="s">
        <v>9</v>
      </c>
      <c r="QK2" s="3" t="s">
        <v>10</v>
      </c>
      <c r="QL2" s="3" t="s">
        <v>11</v>
      </c>
      <c r="QN2" s="29" t="s">
        <v>5</v>
      </c>
      <c r="QO2" s="30"/>
      <c r="QP2" s="29" t="s">
        <v>6</v>
      </c>
      <c r="QQ2" s="30"/>
      <c r="QR2" s="3" t="s">
        <v>7</v>
      </c>
      <c r="QS2" s="3" t="s">
        <v>8</v>
      </c>
      <c r="QT2" s="3" t="s">
        <v>9</v>
      </c>
      <c r="QU2" s="3" t="s">
        <v>10</v>
      </c>
      <c r="QV2" s="3" t="s">
        <v>11</v>
      </c>
      <c r="QX2" s="29" t="s">
        <v>5</v>
      </c>
      <c r="QY2" s="30"/>
      <c r="QZ2" s="29" t="s">
        <v>6</v>
      </c>
      <c r="RA2" s="30"/>
      <c r="RB2" s="3" t="s">
        <v>7</v>
      </c>
      <c r="RC2" s="3" t="s">
        <v>8</v>
      </c>
      <c r="RD2" s="3" t="s">
        <v>9</v>
      </c>
      <c r="RE2" s="3" t="s">
        <v>10</v>
      </c>
      <c r="RF2" s="3" t="s">
        <v>11</v>
      </c>
      <c r="RH2" s="29" t="s">
        <v>5</v>
      </c>
      <c r="RI2" s="30"/>
      <c r="RJ2" s="29" t="s">
        <v>6</v>
      </c>
      <c r="RK2" s="30"/>
      <c r="RL2" s="3" t="s">
        <v>7</v>
      </c>
      <c r="RM2" s="3" t="s">
        <v>8</v>
      </c>
      <c r="RN2" s="3" t="s">
        <v>9</v>
      </c>
      <c r="RO2" s="3" t="s">
        <v>10</v>
      </c>
      <c r="RP2" s="3" t="s">
        <v>11</v>
      </c>
      <c r="RR2" s="29" t="s">
        <v>5</v>
      </c>
      <c r="RS2" s="30"/>
      <c r="RT2" s="29" t="s">
        <v>6</v>
      </c>
      <c r="RU2" s="30"/>
      <c r="RV2" s="3" t="s">
        <v>7</v>
      </c>
      <c r="RW2" s="3" t="s">
        <v>8</v>
      </c>
      <c r="RX2" s="3" t="s">
        <v>9</v>
      </c>
      <c r="RY2" s="3" t="s">
        <v>10</v>
      </c>
      <c r="RZ2" s="3" t="s">
        <v>11</v>
      </c>
      <c r="SB2" s="29" t="s">
        <v>5</v>
      </c>
      <c r="SC2" s="30"/>
      <c r="SD2" s="29" t="s">
        <v>6</v>
      </c>
      <c r="SE2" s="30"/>
      <c r="SF2" s="3" t="s">
        <v>7</v>
      </c>
      <c r="SG2" s="3" t="s">
        <v>8</v>
      </c>
      <c r="SH2" s="3" t="s">
        <v>9</v>
      </c>
      <c r="SI2" s="3" t="s">
        <v>10</v>
      </c>
      <c r="SJ2" s="3" t="s">
        <v>11</v>
      </c>
      <c r="SL2" s="29" t="s">
        <v>5</v>
      </c>
      <c r="SM2" s="30"/>
      <c r="SN2" s="29" t="s">
        <v>6</v>
      </c>
      <c r="SO2" s="30"/>
      <c r="SP2" s="3" t="s">
        <v>7</v>
      </c>
      <c r="SQ2" s="3" t="s">
        <v>8</v>
      </c>
      <c r="SR2" s="3" t="s">
        <v>9</v>
      </c>
      <c r="SS2" s="3" t="s">
        <v>10</v>
      </c>
      <c r="ST2" s="3" t="s">
        <v>11</v>
      </c>
      <c r="SV2" s="71" t="s">
        <v>5</v>
      </c>
      <c r="SW2" s="72"/>
      <c r="SX2" s="71" t="s">
        <v>6</v>
      </c>
      <c r="SY2" s="72"/>
      <c r="SZ2" s="73" t="s">
        <v>7</v>
      </c>
      <c r="TA2" s="73" t="s">
        <v>8</v>
      </c>
      <c r="TB2" s="73" t="s">
        <v>9</v>
      </c>
      <c r="TC2" s="73" t="s">
        <v>10</v>
      </c>
      <c r="TD2" s="73" t="s">
        <v>11</v>
      </c>
      <c r="TF2" s="88" t="s">
        <v>5</v>
      </c>
      <c r="TG2" s="89"/>
      <c r="TH2" s="88" t="s">
        <v>6</v>
      </c>
      <c r="TI2" s="89"/>
      <c r="TJ2" s="90" t="s">
        <v>7</v>
      </c>
      <c r="TK2" s="90" t="s">
        <v>8</v>
      </c>
      <c r="TL2" s="90" t="s">
        <v>9</v>
      </c>
      <c r="TM2" s="90" t="s">
        <v>10</v>
      </c>
      <c r="TN2" s="90" t="s">
        <v>11</v>
      </c>
    </row>
    <row r="3" spans="1:534" ht="12.75" customHeight="1" x14ac:dyDescent="0.2">
      <c r="A3" s="16" t="s">
        <v>23</v>
      </c>
      <c r="B3" s="11" t="s">
        <v>13</v>
      </c>
      <c r="C3" s="12">
        <v>56</v>
      </c>
      <c r="D3" s="13" t="s">
        <v>12</v>
      </c>
      <c r="F3" s="2"/>
      <c r="G3" s="5" t="s">
        <v>12</v>
      </c>
      <c r="H3" s="2"/>
      <c r="I3" s="5" t="s">
        <v>12</v>
      </c>
      <c r="J3" s="4">
        <v>0</v>
      </c>
      <c r="K3" s="17">
        <v>1</v>
      </c>
      <c r="L3" s="18"/>
      <c r="M3" s="4"/>
      <c r="N3" s="8" t="str">
        <f t="shared" ref="N3:N10" si="0">IF(ISNUMBER(M3), M3-L3, "")</f>
        <v/>
      </c>
      <c r="P3" s="20"/>
      <c r="Q3" s="5" t="s">
        <v>12</v>
      </c>
      <c r="R3" s="20">
        <v>7</v>
      </c>
      <c r="S3" s="5" t="s">
        <v>12</v>
      </c>
      <c r="T3" s="4">
        <f t="shared" ref="T3:T10" si="1">IF(OR(ISNUMBER(P3), ISNUMBER(R3)), IF(ISNUMBER(P3), P3, 0) + IF(ISNUMBER(R3), R3, 0), "")</f>
        <v>7</v>
      </c>
      <c r="U3" s="21">
        <v>1</v>
      </c>
      <c r="V3" s="18">
        <f>IF(ISNUMBER(T3), (J3 + (K3 * 24)) - T3, "")</f>
        <v>17</v>
      </c>
      <c r="W3" s="4">
        <v>31</v>
      </c>
      <c r="X3" s="8">
        <f t="shared" ref="X3:X10" si="2">IF(ISNUMBER(W3), W3-V3, "")</f>
        <v>14</v>
      </c>
      <c r="Z3" s="20"/>
      <c r="AA3" s="5" t="s">
        <v>12</v>
      </c>
      <c r="AB3" s="20">
        <v>6</v>
      </c>
      <c r="AC3" s="5" t="s">
        <v>12</v>
      </c>
      <c r="AD3" s="4">
        <f t="shared" ref="AD3:AD10" si="3">IF(OR(ISNUMBER(Z3), ISNUMBER(AB3)), IF(ISNUMBER(Z3), Z3, 0) + IF(ISNUMBER(AB3), AB3, 0), "")</f>
        <v>6</v>
      </c>
      <c r="AE3" s="21">
        <v>2</v>
      </c>
      <c r="AF3" s="18">
        <f>IF(ISNUMBER(AD3), (T3 + (U3 * 24)) - AD3, "")</f>
        <v>25</v>
      </c>
      <c r="AG3" s="4">
        <v>23</v>
      </c>
      <c r="AH3" s="8">
        <f t="shared" ref="AH3:AH10" si="4">IF(ISNUMBER(AG3), AG3-AF3, "")</f>
        <v>-2</v>
      </c>
      <c r="AJ3" s="2">
        <v>48</v>
      </c>
      <c r="AK3" s="5" t="s">
        <v>12</v>
      </c>
      <c r="AL3" s="2">
        <v>0</v>
      </c>
      <c r="AM3" s="5" t="s">
        <v>12</v>
      </c>
      <c r="AN3" s="4">
        <f t="shared" ref="AN3:AN10" si="5">IF(OR(ISNUMBER(AJ3), ISNUMBER(AL3)), IF(ISNUMBER(AJ3), AJ3, 0) + IF(ISNUMBER(AL3), AL3, 0), "")</f>
        <v>48</v>
      </c>
      <c r="AO3" s="17"/>
      <c r="AP3" s="18">
        <f>IF(ISNUMBER(AN3), (AD3 + (AE3 * 24)) - AN3, "")</f>
        <v>6</v>
      </c>
      <c r="AQ3" s="4"/>
      <c r="AR3" s="8" t="str">
        <f t="shared" ref="AR3:AR10" si="6">IF(ISNUMBER(AQ3), AQ3-AP3, "")</f>
        <v/>
      </c>
      <c r="AT3" s="2">
        <v>24</v>
      </c>
      <c r="AU3" s="5" t="s">
        <v>12</v>
      </c>
      <c r="AV3" s="2">
        <v>16</v>
      </c>
      <c r="AW3" s="5" t="s">
        <v>12</v>
      </c>
      <c r="AX3" s="4">
        <f t="shared" ref="AX3:AX10" si="7">IF(OR(ISNUMBER(AT3), ISNUMBER(AV3)), IF(ISNUMBER(AT3), AT3, 0) + IF(ISNUMBER(AV3), AV3, 0), "")</f>
        <v>40</v>
      </c>
      <c r="AY3" s="17">
        <v>0</v>
      </c>
      <c r="AZ3" s="18">
        <f>IF(ISNUMBER(AX3), (AN3 + (AO3 * 24)) - AX3, "")</f>
        <v>8</v>
      </c>
      <c r="BA3" s="4">
        <v>8</v>
      </c>
      <c r="BB3" s="8">
        <f t="shared" ref="BB3:BB10" si="8">IF(ISNUMBER(BA3), BA3-AZ3, "")</f>
        <v>0</v>
      </c>
      <c r="BD3" s="2"/>
      <c r="BE3" s="5" t="s">
        <v>12</v>
      </c>
      <c r="BF3" s="2">
        <v>10</v>
      </c>
      <c r="BG3" s="5" t="s">
        <v>12</v>
      </c>
      <c r="BH3" s="4">
        <f t="shared" ref="BH3:BH10" si="9">IF(OR(ISNUMBER(BD3), ISNUMBER(BF3)), IF(ISNUMBER(BD3), BD3, 0) + IF(ISNUMBER(BF3), BF3, 0), "")</f>
        <v>10</v>
      </c>
      <c r="BI3" s="17">
        <v>2</v>
      </c>
      <c r="BJ3" s="18">
        <f>IF(ISNUMBER(BH3), (AX3 + (AY3 * 24)) - BH3, "")</f>
        <v>30</v>
      </c>
      <c r="BK3" s="4">
        <v>30</v>
      </c>
      <c r="BL3" s="8">
        <f t="shared" ref="BL3:BL10" si="10">IF(ISNUMBER(BK3), BK3-BJ3, "")</f>
        <v>0</v>
      </c>
      <c r="BN3" s="20"/>
      <c r="BO3" s="5" t="s">
        <v>12</v>
      </c>
      <c r="BP3" s="20">
        <v>32</v>
      </c>
      <c r="BQ3" s="5" t="s">
        <v>12</v>
      </c>
      <c r="BR3" s="4">
        <f t="shared" ref="BR3:BR10" si="11">IF(OR(ISNUMBER(BN3), ISNUMBER(BP3)), IF(ISNUMBER(BN3), BN3, 0) + IF(ISNUMBER(BP3), BP3, 0), "")</f>
        <v>32</v>
      </c>
      <c r="BS3" s="21">
        <v>1</v>
      </c>
      <c r="BT3" s="18">
        <f>IF(ISNUMBER(BR3), (BH3 + (BI3 * 24)) - BR3, "")</f>
        <v>26</v>
      </c>
      <c r="BU3" s="4">
        <v>24</v>
      </c>
      <c r="BV3" s="8">
        <f t="shared" ref="BV3:BV10" si="12">IF(ISNUMBER(BU3), BU3-BT3, "")</f>
        <v>-2</v>
      </c>
      <c r="BX3" s="20">
        <v>16</v>
      </c>
      <c r="BY3" s="5" t="s">
        <v>12</v>
      </c>
      <c r="BZ3" s="20">
        <v>21</v>
      </c>
      <c r="CA3" s="5" t="s">
        <v>12</v>
      </c>
      <c r="CB3" s="4">
        <f t="shared" ref="CB3:CB10" si="13">IF(OR(ISNUMBER(BX3), ISNUMBER(BZ3)), IF(ISNUMBER(BX3), BX3, 0) + IF(ISNUMBER(BZ3), BZ3, 0), "")</f>
        <v>37</v>
      </c>
      <c r="CC3" s="21">
        <v>1</v>
      </c>
      <c r="CD3" s="18">
        <f>IF(ISNUMBER(CB3), (BR3 + (BS3 * 24)) - CB3, "")</f>
        <v>19</v>
      </c>
      <c r="CE3" s="4">
        <v>13</v>
      </c>
      <c r="CF3" s="8">
        <f t="shared" ref="CF3:CF10" si="14">IF(ISNUMBER(CE3), CE3-CD3, "")</f>
        <v>-6</v>
      </c>
      <c r="CH3" s="20">
        <v>24</v>
      </c>
      <c r="CI3" s="5" t="s">
        <v>12</v>
      </c>
      <c r="CJ3" s="20">
        <v>9</v>
      </c>
      <c r="CK3" s="5" t="s">
        <v>12</v>
      </c>
      <c r="CL3" s="4">
        <f t="shared" ref="CL3:CL10" si="15">IF(OR(ISNUMBER(CH3), ISNUMBER(CJ3)), IF(ISNUMBER(CH3), CH3, 0) + IF(ISNUMBER(CJ3), CJ3, 0), "")</f>
        <v>33</v>
      </c>
      <c r="CM3" s="21">
        <v>2</v>
      </c>
      <c r="CN3" s="18">
        <f>IF(ISNUMBER(CL3), (CB3 + (CC3 * 24)) - CL3, "")</f>
        <v>28</v>
      </c>
      <c r="CO3" s="4">
        <v>28</v>
      </c>
      <c r="CP3" s="8">
        <f t="shared" ref="CP3:CP10" si="16">IF(ISNUMBER(CO3), CO3-CN3, "")</f>
        <v>0</v>
      </c>
      <c r="CR3" s="20">
        <v>40</v>
      </c>
      <c r="CS3" s="5" t="s">
        <v>12</v>
      </c>
      <c r="CT3" s="20">
        <v>17</v>
      </c>
      <c r="CU3" s="5" t="s">
        <v>12</v>
      </c>
      <c r="CV3" s="4">
        <f t="shared" ref="CV3:CV10" si="17">IF(OR(ISNUMBER(CR3), ISNUMBER(CT3)), IF(ISNUMBER(CR3), CR3, 0) + IF(ISNUMBER(CT3), CT3, 0), "")</f>
        <v>57</v>
      </c>
      <c r="CW3" s="21">
        <v>1</v>
      </c>
      <c r="CX3" s="18">
        <f>IF(ISNUMBER(CV3), (CL3 + (CM3 * 24)) - CV3, "")</f>
        <v>24</v>
      </c>
      <c r="CY3" s="4">
        <v>24</v>
      </c>
      <c r="CZ3" s="8">
        <f t="shared" ref="CZ3:CZ10" si="18">IF(ISNUMBER(CY3), CY3-CX3, "")</f>
        <v>0</v>
      </c>
      <c r="DB3" s="20">
        <v>24</v>
      </c>
      <c r="DC3" s="5" t="s">
        <v>12</v>
      </c>
      <c r="DD3" s="20">
        <v>34</v>
      </c>
      <c r="DE3" s="5" t="s">
        <v>12</v>
      </c>
      <c r="DF3" s="4">
        <f t="shared" ref="DF3:DF10" si="19">IF(OR(ISNUMBER(DB3), ISNUMBER(DD3)), IF(ISNUMBER(DB3), DB3, 0) + IF(ISNUMBER(DD3), DD3, 0), "")</f>
        <v>58</v>
      </c>
      <c r="DG3" s="21">
        <v>1</v>
      </c>
      <c r="DH3" s="18">
        <f>IF(ISNUMBER(DF3), (CV3 + (CW3 * 24)) - DF3, "")</f>
        <v>23</v>
      </c>
      <c r="DI3" s="4">
        <v>23</v>
      </c>
      <c r="DJ3" s="8">
        <f t="shared" ref="DJ3:DJ10" si="20">IF(ISNUMBER(DI3), DI3-DH3, "")</f>
        <v>0</v>
      </c>
      <c r="DL3" s="20">
        <v>36</v>
      </c>
      <c r="DM3" s="5" t="s">
        <v>12</v>
      </c>
      <c r="DN3" s="20">
        <v>21</v>
      </c>
      <c r="DO3" s="5" t="s">
        <v>12</v>
      </c>
      <c r="DP3" s="4">
        <f t="shared" ref="DP3:DP10" si="21">IF(OR(ISNUMBER(DL3), ISNUMBER(DN3)), IF(ISNUMBER(DL3), DL3, 0) + IF(ISNUMBER(DN3), DN3, 0), "")</f>
        <v>57</v>
      </c>
      <c r="DQ3" s="21"/>
      <c r="DR3" s="18">
        <f>IF(ISNUMBER(DP3), (DF3 + (DG3 * 24)) - DP3, "")</f>
        <v>25</v>
      </c>
      <c r="DS3" s="4">
        <v>25</v>
      </c>
      <c r="DT3" s="8">
        <f t="shared" ref="DT3:DT10" si="22">IF(ISNUMBER(DS3), DS3-DR3, "")</f>
        <v>0</v>
      </c>
      <c r="DV3" s="2">
        <v>24</v>
      </c>
      <c r="DW3" s="5" t="s">
        <v>12</v>
      </c>
      <c r="DX3" s="2">
        <v>17</v>
      </c>
      <c r="DY3" s="5" t="s">
        <v>12</v>
      </c>
      <c r="DZ3" s="4">
        <f t="shared" ref="DZ3:DZ10" si="23">IF(OR(ISNUMBER(DV3), ISNUMBER(DX3)), IF(ISNUMBER(DV3), DV3, 0) + IF(ISNUMBER(DX3), DX3, 0), "")</f>
        <v>41</v>
      </c>
      <c r="EA3" s="17">
        <v>1</v>
      </c>
      <c r="EB3" s="18">
        <f>IF(ISNUMBER(DZ3), (DP3 + (DQ3 * 24)) - DZ3, "")</f>
        <v>16</v>
      </c>
      <c r="EC3" s="4">
        <v>16</v>
      </c>
      <c r="ED3" s="8">
        <f t="shared" ref="ED3:ED10" si="24">IF(ISNUMBER(EC3), EC3-EB3, "")</f>
        <v>0</v>
      </c>
      <c r="EF3" s="20">
        <v>24</v>
      </c>
      <c r="EG3" s="5" t="s">
        <v>12</v>
      </c>
      <c r="EH3" s="20">
        <v>24</v>
      </c>
      <c r="EI3" s="5" t="s">
        <v>12</v>
      </c>
      <c r="EJ3" s="4">
        <f t="shared" ref="EJ3:EJ10" si="25">IF(OR(ISNUMBER(EF3), ISNUMBER(EH3)), IF(ISNUMBER(EF3), EF3, 0) + IF(ISNUMBER(EH3), EH3, 0), "")</f>
        <v>48</v>
      </c>
      <c r="EK3" s="21"/>
      <c r="EL3" s="18">
        <f>IF(ISNUMBER(EJ3), (DZ3 + (EA3 * 24)) - EJ3, "")</f>
        <v>17</v>
      </c>
      <c r="EM3" s="4">
        <v>17</v>
      </c>
      <c r="EN3" s="8">
        <f t="shared" ref="EN3:EN10" si="26">IF(ISNUMBER(EM3), EM3-EL3, "")</f>
        <v>0</v>
      </c>
      <c r="EP3" s="20">
        <v>24</v>
      </c>
      <c r="EQ3" s="5" t="s">
        <v>12</v>
      </c>
      <c r="ER3" s="20">
        <v>12</v>
      </c>
      <c r="ES3" s="5" t="s">
        <v>12</v>
      </c>
      <c r="ET3" s="4">
        <f t="shared" ref="ET3:ET10" si="27">IF(OR(ISNUMBER(EP3), ISNUMBER(ER3)), IF(ISNUMBER(EP3), EP3, 0) + IF(ISNUMBER(ER3), ER3, 0), "")</f>
        <v>36</v>
      </c>
      <c r="EU3" s="21">
        <v>1</v>
      </c>
      <c r="EV3" s="18">
        <f>IF(ISNUMBER(ET3), (EJ3 + (EK3 * 24)) - ET3, "")</f>
        <v>12</v>
      </c>
      <c r="EW3" s="4">
        <v>12</v>
      </c>
      <c r="EX3" s="8">
        <f t="shared" ref="EX3:EX10" si="28">IF(ISNUMBER(EW3), EW3-EV3, "")</f>
        <v>0</v>
      </c>
      <c r="EZ3" s="20">
        <v>24</v>
      </c>
      <c r="FA3" s="5" t="s">
        <v>12</v>
      </c>
      <c r="FB3" s="20">
        <v>18</v>
      </c>
      <c r="FC3" s="5" t="s">
        <v>12</v>
      </c>
      <c r="FD3" s="4">
        <f t="shared" ref="FD3:FD10" si="29">IF(OR(ISNUMBER(EZ3), ISNUMBER(FB3)), IF(ISNUMBER(EZ3), EZ3, 0) + IF(ISNUMBER(FB3), FB3, 0), "")</f>
        <v>42</v>
      </c>
      <c r="FE3" s="21">
        <v>1</v>
      </c>
      <c r="FF3" s="18">
        <f>IF(ISNUMBER(FD3), (ET3 + (EU3 * 24)) - FD3, "")</f>
        <v>18</v>
      </c>
      <c r="FG3" s="4">
        <v>18</v>
      </c>
      <c r="FH3" s="8">
        <f t="shared" ref="FH3:FH10" si="30">IF(ISNUMBER(FG3), FG3-FF3, "")</f>
        <v>0</v>
      </c>
      <c r="FJ3" s="2">
        <v>24</v>
      </c>
      <c r="FK3" s="5" t="s">
        <v>12</v>
      </c>
      <c r="FL3" s="2">
        <v>31</v>
      </c>
      <c r="FM3" s="5" t="s">
        <v>12</v>
      </c>
      <c r="FN3" s="4">
        <f t="shared" ref="FN3:FN10" si="31">IF(OR(ISNUMBER(FJ3), ISNUMBER(FL3)), IF(ISNUMBER(FJ3), FJ3, 0) + IF(ISNUMBER(FL3), FL3, 0), "")</f>
        <v>55</v>
      </c>
      <c r="FO3" s="17">
        <v>0</v>
      </c>
      <c r="FP3" s="18">
        <f>IF(ISNUMBER(FN3), (FD3 + (FE3 * 24)) - FN3, "")</f>
        <v>11</v>
      </c>
      <c r="FQ3" s="4">
        <v>15</v>
      </c>
      <c r="FR3" s="8">
        <f t="shared" ref="FR3:FR10" si="32">IF(ISNUMBER(FQ3), FQ3-FP3, "")</f>
        <v>4</v>
      </c>
      <c r="FT3" s="2">
        <v>0</v>
      </c>
      <c r="FU3" s="5" t="s">
        <v>12</v>
      </c>
      <c r="FV3" s="2">
        <v>16</v>
      </c>
      <c r="FW3" s="5" t="s">
        <v>12</v>
      </c>
      <c r="FX3" s="4">
        <f t="shared" ref="FX3:FX10" si="33">IF(OR(ISNUMBER(FT3), ISNUMBER(FV3)), IF(ISNUMBER(FT3), FT3, 0) + IF(ISNUMBER(FV3), FV3, 0), "")</f>
        <v>16</v>
      </c>
      <c r="FY3" s="17">
        <v>2</v>
      </c>
      <c r="FZ3" s="18">
        <f>IF(ISNUMBER(FX3), (FN3 + (FO3 * 24)) - FX3, "")</f>
        <v>39</v>
      </c>
      <c r="GA3" s="4">
        <v>32</v>
      </c>
      <c r="GB3" s="8">
        <f t="shared" ref="GB3:GB10" si="34">IF(ISNUMBER(GA3), GA3-FZ3, "")</f>
        <v>-7</v>
      </c>
      <c r="GD3" s="20">
        <v>32</v>
      </c>
      <c r="GE3" s="5" t="s">
        <v>12</v>
      </c>
      <c r="GF3" s="20">
        <v>24</v>
      </c>
      <c r="GG3" s="5" t="s">
        <v>12</v>
      </c>
      <c r="GH3" s="4">
        <f t="shared" ref="GH3:GH10" si="35">IF(OR(ISNUMBER(GD3), ISNUMBER(GF3)), IF(ISNUMBER(GD3), GD3, 0) + IF(ISNUMBER(GF3), GF3, 0), "")</f>
        <v>56</v>
      </c>
      <c r="GI3" s="21">
        <v>0</v>
      </c>
      <c r="GJ3" s="18">
        <f>IF(ISNUMBER(GH3), (FX3 + (FY3 * 24)) - GH3, "")</f>
        <v>8</v>
      </c>
      <c r="GK3" s="4">
        <v>11</v>
      </c>
      <c r="GL3" s="8">
        <f t="shared" ref="GL3:GL10" si="36">IF(ISNUMBER(GK3), GK3-GJ3, "")</f>
        <v>3</v>
      </c>
      <c r="GN3" s="20"/>
      <c r="GO3" s="5" t="s">
        <v>12</v>
      </c>
      <c r="GP3" s="20">
        <v>28</v>
      </c>
      <c r="GQ3" s="5" t="s">
        <v>12</v>
      </c>
      <c r="GR3" s="4">
        <f t="shared" ref="GR3:GR10" si="37">IF(OR(ISNUMBER(GN3), ISNUMBER(GP3)), IF(ISNUMBER(GN3), GN3, 0) + IF(ISNUMBER(GP3), GP3, 0), "")</f>
        <v>28</v>
      </c>
      <c r="GS3" s="21">
        <v>1</v>
      </c>
      <c r="GT3" s="18">
        <f>IF(ISNUMBER(GR3), (GH3 + (GI3 * 24)) - GR3, "")</f>
        <v>28</v>
      </c>
      <c r="GU3" s="4">
        <v>27</v>
      </c>
      <c r="GV3" s="8">
        <f t="shared" ref="GV3:GV10" si="38">IF(ISNUMBER(GU3), GU3-GT3, "")</f>
        <v>-1</v>
      </c>
      <c r="GX3" s="20">
        <v>24</v>
      </c>
      <c r="GY3" s="5" t="s">
        <v>12</v>
      </c>
      <c r="GZ3" s="20">
        <v>11</v>
      </c>
      <c r="HA3" s="5" t="s">
        <v>12</v>
      </c>
      <c r="HB3" s="4">
        <f t="shared" ref="HB3:HB10" si="39">IF(OR(ISNUMBER(GX3), ISNUMBER(GZ3)), IF(ISNUMBER(GX3), GX3, 0) + IF(ISNUMBER(GZ3), GZ3, 0), "")</f>
        <v>35</v>
      </c>
      <c r="HC3" s="21">
        <v>1</v>
      </c>
      <c r="HD3" s="18">
        <f>IF(ISNUMBER(HB3), (GR3 + (GS3 * 24)) - HB3, "")</f>
        <v>17</v>
      </c>
      <c r="HE3" s="4">
        <v>16</v>
      </c>
      <c r="HF3" s="8">
        <f t="shared" ref="HF3:HF10" si="40">IF(ISNUMBER(HE3), HE3-HD3, "")</f>
        <v>-1</v>
      </c>
      <c r="HH3" s="20">
        <v>24</v>
      </c>
      <c r="HI3" s="5" t="s">
        <v>12</v>
      </c>
      <c r="HJ3" s="20">
        <v>15</v>
      </c>
      <c r="HK3" s="5" t="s">
        <v>12</v>
      </c>
      <c r="HL3" s="4">
        <f t="shared" ref="HL3:HL10" si="41">IF(OR(ISNUMBER(HH3), ISNUMBER(HJ3)), IF(ISNUMBER(HH3), HH3, 0) + IF(ISNUMBER(HJ3), HJ3, 0), "")</f>
        <v>39</v>
      </c>
      <c r="HM3" s="21">
        <v>1</v>
      </c>
      <c r="HN3" s="18">
        <f>IF(ISNUMBER(HL3), (HB3 + (HC3 * 24)) - HL3, "")</f>
        <v>20</v>
      </c>
      <c r="HO3" s="4">
        <v>22</v>
      </c>
      <c r="HP3" s="8">
        <f t="shared" ref="HP3:HP10" si="42">IF(ISNUMBER(HO3), HO3-HN3, "")</f>
        <v>2</v>
      </c>
      <c r="HR3" s="2">
        <v>24</v>
      </c>
      <c r="HS3" s="5" t="s">
        <v>12</v>
      </c>
      <c r="HT3" s="2">
        <v>18</v>
      </c>
      <c r="HU3" s="5" t="s">
        <v>12</v>
      </c>
      <c r="HV3" s="4">
        <f t="shared" ref="HV3:HV10" si="43">IF(OR(ISNUMBER(HR3), ISNUMBER(HT3)), IF(ISNUMBER(HR3), HR3, 0) + IF(ISNUMBER(HT3), HT3, 0), "")</f>
        <v>42</v>
      </c>
      <c r="HW3" s="17">
        <v>1</v>
      </c>
      <c r="HX3" s="18">
        <f>IF(ISNUMBER(HV3), (HL3 + (HM3 * 24)) - HV3, "")</f>
        <v>21</v>
      </c>
      <c r="HY3" s="4">
        <v>23</v>
      </c>
      <c r="HZ3" s="8">
        <f t="shared" ref="HZ3:HZ10" si="44">IF(ISNUMBER(HY3), HY3-HX3, "")</f>
        <v>2</v>
      </c>
      <c r="IB3" s="2">
        <v>24</v>
      </c>
      <c r="IC3" s="5" t="s">
        <v>12</v>
      </c>
      <c r="ID3" s="2">
        <v>18</v>
      </c>
      <c r="IE3" s="5" t="s">
        <v>12</v>
      </c>
      <c r="IF3" s="4">
        <f t="shared" ref="IF3:IF10" si="45">IF(OR(ISNUMBER(IB3), ISNUMBER(ID3)), IF(ISNUMBER(IB3), IB3, 0) + IF(ISNUMBER(ID3), ID3, 0), "")</f>
        <v>42</v>
      </c>
      <c r="IG3" s="17">
        <v>1</v>
      </c>
      <c r="IH3" s="18">
        <f>IF(ISNUMBER(IF3), (HV3 + (HW3 * 24)) - IF3, "")</f>
        <v>24</v>
      </c>
      <c r="II3" s="4">
        <v>18</v>
      </c>
      <c r="IJ3" s="8">
        <f t="shared" ref="IJ3:IJ10" si="46">IF(ISNUMBER(II3), II3-IH3, "")</f>
        <v>-6</v>
      </c>
      <c r="IL3" s="2">
        <v>24</v>
      </c>
      <c r="IM3" s="5" t="s">
        <v>12</v>
      </c>
      <c r="IN3" s="2">
        <v>14</v>
      </c>
      <c r="IO3" s="5" t="s">
        <v>12</v>
      </c>
      <c r="IP3" s="4">
        <f t="shared" ref="IP3:IP10" si="47">IF(OR(ISNUMBER(IL3), ISNUMBER(IN3)), IF(ISNUMBER(IL3), IL3, 0) + IF(ISNUMBER(IN3), IN3, 0), "")</f>
        <v>38</v>
      </c>
      <c r="IQ3" s="17">
        <v>2</v>
      </c>
      <c r="IR3" s="18">
        <f t="shared" ref="IR3:IR10" si="48">IF(ISNUMBER(IP3), (IF3 + (IG3 * 24)) - IP3, "")</f>
        <v>28</v>
      </c>
      <c r="IS3" s="4">
        <v>27</v>
      </c>
      <c r="IT3" s="8">
        <f t="shared" ref="IT3:IT10" si="49">IF(ISNUMBER(IS3), IS3-IR3, "")</f>
        <v>-1</v>
      </c>
      <c r="IV3" s="2">
        <v>48</v>
      </c>
      <c r="IW3" s="5" t="s">
        <v>12</v>
      </c>
      <c r="IX3" s="2">
        <v>19</v>
      </c>
      <c r="IY3" s="5" t="s">
        <v>12</v>
      </c>
      <c r="IZ3" s="4">
        <f t="shared" ref="IZ3:IZ10" si="50">IF(OR(ISNUMBER(IV3), ISNUMBER(IX3)), IF(ISNUMBER(IV3), IV3, 0) + IF(ISNUMBER(IX3), IX3, 0), "")</f>
        <v>67</v>
      </c>
      <c r="JA3" s="17"/>
      <c r="JB3" s="18">
        <f>IF(ISNUMBER(IZ3), (IP3 + (IQ3 * 24)) - IZ3, "")</f>
        <v>19</v>
      </c>
      <c r="JC3" s="4">
        <v>19</v>
      </c>
      <c r="JD3" s="8">
        <f t="shared" ref="JD3:JD10" si="51">IF(ISNUMBER(JC3), JC3-JB3, "")</f>
        <v>0</v>
      </c>
      <c r="JF3" s="2">
        <v>24</v>
      </c>
      <c r="JG3" s="5" t="s">
        <v>12</v>
      </c>
      <c r="JH3" s="2">
        <v>27</v>
      </c>
      <c r="JI3" s="5" t="s">
        <v>12</v>
      </c>
      <c r="JJ3" s="4">
        <f t="shared" ref="JJ3:JJ10" si="52">IF(OR(ISNUMBER(JF3), ISNUMBER(JH3)), IF(ISNUMBER(JF3), JF3, 0) + IF(ISNUMBER(JH3), JH3, 0), "")</f>
        <v>51</v>
      </c>
      <c r="JK3" s="17">
        <v>2</v>
      </c>
      <c r="JL3" s="18">
        <f>IF(ISNUMBER(JJ3), (IZ3 + (JA3 * 24)) - JJ3, "")</f>
        <v>16</v>
      </c>
      <c r="JM3" s="4">
        <v>16</v>
      </c>
      <c r="JN3" s="8">
        <f t="shared" ref="JN3:JN10" si="53">IF(ISNUMBER(JM3), JM3-JL3, "")</f>
        <v>0</v>
      </c>
      <c r="JP3" s="20">
        <v>44</v>
      </c>
      <c r="JQ3" s="5" t="s">
        <v>12</v>
      </c>
      <c r="JR3" s="20">
        <v>23</v>
      </c>
      <c r="JS3" s="5" t="s">
        <v>12</v>
      </c>
      <c r="JT3" s="4">
        <f t="shared" ref="JT3:JT10" si="54">IF(OR(ISNUMBER(JP3), ISNUMBER(JR3)), IF(ISNUMBER(JP3), JP3, 0) + IF(ISNUMBER(JR3), JR3, 0), "")</f>
        <v>67</v>
      </c>
      <c r="JU3" s="21"/>
      <c r="JV3" s="18">
        <f>IF(ISNUMBER(JT3), (JJ3 + (JK3 * 24)) - JT3, "")</f>
        <v>32</v>
      </c>
      <c r="JW3" s="4">
        <v>32</v>
      </c>
      <c r="JX3" s="8">
        <f t="shared" ref="JX3:JX10" si="55">IF(ISNUMBER(JW3), JW3-JV3, "")</f>
        <v>0</v>
      </c>
      <c r="JZ3" s="20"/>
      <c r="KA3" s="5" t="s">
        <v>12</v>
      </c>
      <c r="KB3" s="20">
        <v>19</v>
      </c>
      <c r="KC3" s="5" t="s">
        <v>12</v>
      </c>
      <c r="KD3" s="4">
        <f t="shared" ref="KD3:KD10" si="56">IF(OR(ISNUMBER(JZ3), ISNUMBER(KB3)), IF(ISNUMBER(JZ3), JZ3, 0) + IF(ISNUMBER(KB3), KB3, 0), "")</f>
        <v>19</v>
      </c>
      <c r="KE3" s="21">
        <v>3</v>
      </c>
      <c r="KF3" s="18">
        <f>IF(ISNUMBER(KD3), (JT3 + (JU3 * 24)) - KD3, "")</f>
        <v>48</v>
      </c>
      <c r="KG3" s="4">
        <v>50</v>
      </c>
      <c r="KH3" s="8">
        <f t="shared" ref="KH3:KH10" si="57">IF(ISNUMBER(KG3), KG3-KF3, "")</f>
        <v>2</v>
      </c>
      <c r="KJ3" s="20">
        <v>69</v>
      </c>
      <c r="KK3" s="5" t="s">
        <v>12</v>
      </c>
      <c r="KL3" s="20"/>
      <c r="KM3" s="5" t="s">
        <v>12</v>
      </c>
      <c r="KN3" s="4">
        <f t="shared" ref="KN3:KN10" si="58">IF(OR(ISNUMBER(KJ3), ISNUMBER(KL3)), IF(ISNUMBER(KJ3), KJ3, 0) + IF(ISNUMBER(KL3), KL3, 0), "")</f>
        <v>69</v>
      </c>
      <c r="KO3" s="21"/>
      <c r="KP3" s="18">
        <f>IF(ISNUMBER(KN3), (KD3 + (KE3 * 24)) - KN3, "")</f>
        <v>22</v>
      </c>
      <c r="KQ3" s="4">
        <v>24</v>
      </c>
      <c r="KR3" s="8">
        <f t="shared" ref="KR3:KR10" si="59">IF(ISNUMBER(KQ3), KQ3-KP3, "")</f>
        <v>2</v>
      </c>
      <c r="KT3" s="20">
        <v>24</v>
      </c>
      <c r="KU3" s="5" t="s">
        <v>12</v>
      </c>
      <c r="KV3" s="20">
        <v>14</v>
      </c>
      <c r="KW3" s="5" t="s">
        <v>12</v>
      </c>
      <c r="KX3" s="4">
        <f t="shared" ref="KX3:KX10" si="60">IF(OR(ISNUMBER(KT3), ISNUMBER(KV3)), IF(ISNUMBER(KT3), KT3, 0) + IF(ISNUMBER(KV3), KV3, 0), "")</f>
        <v>38</v>
      </c>
      <c r="KY3" s="21">
        <v>3</v>
      </c>
      <c r="KZ3" s="18">
        <f t="shared" ref="KZ3:KZ10" si="61">IF(ISNUMBER(KX3), (KN3 + (KO3 * 24)) - KX3, "")</f>
        <v>31</v>
      </c>
      <c r="LA3" s="4">
        <v>25</v>
      </c>
      <c r="LB3" s="8">
        <f t="shared" ref="LB3:LB10" si="62">IF(ISNUMBER(LA3), LA3-KZ3, "")</f>
        <v>-6</v>
      </c>
      <c r="LD3" s="20">
        <v>72</v>
      </c>
      <c r="LE3" s="5" t="s">
        <v>12</v>
      </c>
      <c r="LF3" s="20">
        <v>21</v>
      </c>
      <c r="LG3" s="5" t="s">
        <v>12</v>
      </c>
      <c r="LH3" s="4">
        <f t="shared" ref="LH3:LH10" si="63">IF(OR(ISNUMBER(LD3), ISNUMBER(LF3)), IF(ISNUMBER(LD3), LD3, 0) + IF(ISNUMBER(LF3), LF3, 0), "")</f>
        <v>93</v>
      </c>
      <c r="LI3" s="21"/>
      <c r="LJ3" s="18">
        <f t="shared" ref="LJ3:LJ10" si="64">IF(ISNUMBER(LH3), (KX3 + (KY3 * 24)) - LH3, "")</f>
        <v>17</v>
      </c>
      <c r="LK3" s="4">
        <v>17</v>
      </c>
      <c r="LL3" s="8">
        <f t="shared" ref="LL3:LL10" si="65">IF(ISNUMBER(LK3), LK3-LJ3, "")</f>
        <v>0</v>
      </c>
      <c r="LN3" s="20">
        <v>24</v>
      </c>
      <c r="LO3" s="5" t="s">
        <v>12</v>
      </c>
      <c r="LP3" s="20">
        <v>33</v>
      </c>
      <c r="LQ3" s="5" t="s">
        <v>12</v>
      </c>
      <c r="LR3" s="4">
        <v>56</v>
      </c>
      <c r="LS3" s="21">
        <v>2</v>
      </c>
      <c r="LT3" s="18">
        <f t="shared" ref="LT3:LT10" si="66">IF(ISNUMBER(LR3), (LH3 + (LI3 * 24)) - LR3, "")</f>
        <v>37</v>
      </c>
      <c r="LU3" s="4">
        <v>37</v>
      </c>
      <c r="LV3" s="8">
        <f t="shared" ref="LV3:LV10" si="67">IF(ISNUMBER(LU3), LU3-LT3, "")</f>
        <v>0</v>
      </c>
      <c r="LX3" s="20">
        <v>72</v>
      </c>
      <c r="LY3" s="5" t="s">
        <v>12</v>
      </c>
      <c r="LZ3" s="20">
        <v>22</v>
      </c>
      <c r="MA3" s="5" t="s">
        <v>12</v>
      </c>
      <c r="MB3" s="4">
        <f t="shared" ref="MB3:MB10" si="68">IF(OR(ISNUMBER(LX3), ISNUMBER(LZ3)), IF(ISNUMBER(LX3), LX3, 0) + IF(ISNUMBER(LZ3), LZ3, 0), "")</f>
        <v>94</v>
      </c>
      <c r="MC3" s="21"/>
      <c r="MD3" s="18">
        <f t="shared" ref="MD3:MD10" si="69">IF(ISNUMBER(MB3), (LR3 + (LS3 * 24)) - MB3, "")</f>
        <v>10</v>
      </c>
      <c r="ME3" s="4">
        <v>13</v>
      </c>
      <c r="MF3" s="8">
        <f t="shared" ref="MF3:MF10" si="70">IF(ISNUMBER(ME3), ME3-MD3, "")</f>
        <v>3</v>
      </c>
      <c r="MH3" s="20">
        <v>48</v>
      </c>
      <c r="MI3" s="5" t="s">
        <v>12</v>
      </c>
      <c r="MJ3" s="20">
        <v>28</v>
      </c>
      <c r="MK3" s="5" t="s">
        <v>12</v>
      </c>
      <c r="ML3" s="4">
        <f t="shared" ref="ML3:ML10" si="71">IF(OR(ISNUMBER(MH3), ISNUMBER(MJ3)), IF(ISNUMBER(MH3), MH3, 0) + IF(ISNUMBER(MJ3), MJ3, 0), "")</f>
        <v>76</v>
      </c>
      <c r="MM3" s="21">
        <v>0</v>
      </c>
      <c r="MN3" s="18">
        <f t="shared" ref="MN3:MN10" si="72">IF(ISNUMBER(ML3), (MB3 + (MC3 * 24)) - ML3, "")</f>
        <v>18</v>
      </c>
      <c r="MO3" s="4">
        <v>18</v>
      </c>
      <c r="MP3" s="8">
        <f t="shared" ref="MP3:MP10" si="73">IF(ISNUMBER(MO3), MO3-MN3, "")</f>
        <v>0</v>
      </c>
      <c r="MR3" s="20">
        <v>24</v>
      </c>
      <c r="MS3" s="5" t="s">
        <v>12</v>
      </c>
      <c r="MT3" s="20">
        <v>37</v>
      </c>
      <c r="MU3" s="5" t="s">
        <v>12</v>
      </c>
      <c r="MV3" s="4">
        <f t="shared" ref="MV3:MV10" si="74">IF(OR(ISNUMBER(MR3), ISNUMBER(MT3)), IF(ISNUMBER(MR3), MR3, 0) + IF(ISNUMBER(MT3), MT3, 0), "")</f>
        <v>61</v>
      </c>
      <c r="MW3" s="21"/>
      <c r="MX3" s="18">
        <f t="shared" ref="MX3:MX10" si="75">IF(ISNUMBER(MV3), (ML3 + (MM3 * 24)) - MV3, "")</f>
        <v>15</v>
      </c>
      <c r="MY3" s="4">
        <v>15</v>
      </c>
      <c r="MZ3" s="18">
        <f t="shared" ref="MZ3:MZ10" si="76">IF(ISNUMBER(MY3), MY3-MX3, "")</f>
        <v>0</v>
      </c>
      <c r="NB3" s="20"/>
      <c r="NC3" s="5" t="s">
        <v>12</v>
      </c>
      <c r="ND3" s="20">
        <v>37</v>
      </c>
      <c r="NE3" s="5" t="s">
        <v>12</v>
      </c>
      <c r="NF3" s="4">
        <f t="shared" ref="NF3:NF10" si="77">IF(OR(ISNUMBER(NB3), ISNUMBER(ND3)), IF(ISNUMBER(NB3), NB3, 0) + IF(ISNUMBER(ND3), ND3, 0), "")</f>
        <v>37</v>
      </c>
      <c r="NG3" s="21">
        <v>1</v>
      </c>
      <c r="NH3" s="18">
        <f t="shared" ref="NH3:NH10" si="78">IF(ISNUMBER(NF3), (MV3 + (MW3 * 24)) - NF3, "")</f>
        <v>24</v>
      </c>
      <c r="NI3" s="4">
        <v>21</v>
      </c>
      <c r="NJ3" s="8">
        <f t="shared" ref="NJ3:NJ10" si="79">IF(ISNUMBER(NI3), NI3-NH3, "")</f>
        <v>-3</v>
      </c>
      <c r="NL3" s="20"/>
      <c r="NM3" s="5" t="s">
        <v>12</v>
      </c>
      <c r="NN3" s="20">
        <v>38</v>
      </c>
      <c r="NO3" s="5" t="s">
        <v>12</v>
      </c>
      <c r="NP3" s="4">
        <f t="shared" ref="NP3:NP10" si="80">IF(OR(ISNUMBER(NL3), ISNUMBER(NN3)), IF(ISNUMBER(NL3), NL3, 0) + IF(ISNUMBER(NN3), NN3, 0), "")</f>
        <v>38</v>
      </c>
      <c r="NQ3" s="21"/>
      <c r="NR3" s="18">
        <f t="shared" ref="NR3:NR10" si="81">IF(ISNUMBER(NP3), (NF3 + (NG3 * 24)) - NP3, "")</f>
        <v>23</v>
      </c>
      <c r="NS3" s="4">
        <v>23</v>
      </c>
      <c r="NT3" s="8">
        <f t="shared" ref="NT3:NT10" si="82">IF(ISNUMBER(NS3), NS3-NR3, "")</f>
        <v>0</v>
      </c>
      <c r="NV3" s="20"/>
      <c r="NW3" s="5" t="s">
        <v>12</v>
      </c>
      <c r="NX3" s="20">
        <v>22</v>
      </c>
      <c r="NY3" s="5" t="s">
        <v>12</v>
      </c>
      <c r="NZ3" s="4">
        <f t="shared" ref="NZ3:NZ10" si="83">IF(OR(ISNUMBER(NV3), ISNUMBER(NX3)), IF(ISNUMBER(NV3), NV3, 0) + IF(ISNUMBER(NX3), NX3, 0), "")</f>
        <v>22</v>
      </c>
      <c r="OA3" s="21">
        <v>2</v>
      </c>
      <c r="OB3" s="18">
        <f t="shared" ref="OB3:OB10" si="84">IF(ISNUMBER(NZ3), (NP3 + (NQ3 * 24)) - NZ3, "")</f>
        <v>16</v>
      </c>
      <c r="OC3" s="4">
        <v>16</v>
      </c>
      <c r="OD3" s="8">
        <f t="shared" ref="OD3:OD10" si="85">IF(ISNUMBER(OC3), OC3-OB3, "")</f>
        <v>0</v>
      </c>
      <c r="OF3" s="20">
        <v>24</v>
      </c>
      <c r="OG3" s="5" t="s">
        <v>12</v>
      </c>
      <c r="OH3" s="20">
        <v>27</v>
      </c>
      <c r="OI3" s="5" t="s">
        <v>12</v>
      </c>
      <c r="OJ3" s="4">
        <f t="shared" ref="OJ3:OJ10" si="86">IF(OR(ISNUMBER(OF3), ISNUMBER(OH3)), IF(ISNUMBER(OF3), OF3, 0) + IF(ISNUMBER(OH3), OH3, 0), "")</f>
        <v>51</v>
      </c>
      <c r="OK3" s="21"/>
      <c r="OL3" s="18">
        <f t="shared" ref="OL3:OL10" si="87">IF(ISNUMBER(OJ3), (NZ3 + (OA3 * 24)) - OJ3, "")</f>
        <v>19</v>
      </c>
      <c r="OM3" s="4">
        <v>19</v>
      </c>
      <c r="ON3" s="8">
        <f t="shared" ref="ON3:ON10" si="88">IF(ISNUMBER(OM3), OM3-OL3, "")</f>
        <v>0</v>
      </c>
      <c r="OP3" s="20"/>
      <c r="OQ3" s="5" t="s">
        <v>12</v>
      </c>
      <c r="OR3" s="20">
        <v>15</v>
      </c>
      <c r="OS3" s="5" t="s">
        <v>12</v>
      </c>
      <c r="OT3" s="4">
        <f t="shared" ref="OT3:OT10" si="89">IF(OR(ISNUMBER(OP3), ISNUMBER(OR3)), IF(ISNUMBER(OP3), OP3, 0) + IF(ISNUMBER(OR3), OR3, 0), "")</f>
        <v>15</v>
      </c>
      <c r="OU3" s="21"/>
      <c r="OV3" s="18">
        <f t="shared" ref="OV3:OV10" si="90">IF(ISNUMBER(OT3), (OJ3 + (OK3 * 24)) - OT3, "")</f>
        <v>36</v>
      </c>
      <c r="OW3" s="4">
        <v>36</v>
      </c>
      <c r="OX3" s="8">
        <f t="shared" ref="OX3:OX10" si="91">IF(ISNUMBER(OW3), OW3-OV3, "")</f>
        <v>0</v>
      </c>
      <c r="OZ3" s="2">
        <v>0</v>
      </c>
      <c r="PA3" s="5" t="s">
        <v>12</v>
      </c>
      <c r="PB3" s="2">
        <v>0</v>
      </c>
      <c r="PC3" s="5" t="s">
        <v>12</v>
      </c>
      <c r="PD3" s="4">
        <f t="shared" ref="PD3:PD10" si="92">IF(OR(ISNUMBER(OZ3), ISNUMBER(PB3)), IF(ISNUMBER(OZ3), OZ3, 0) + IF(ISNUMBER(PB3), PB3, 0), "")</f>
        <v>0</v>
      </c>
      <c r="PE3" s="17">
        <v>3</v>
      </c>
      <c r="PF3" s="18">
        <f t="shared" ref="PF3:PF10" si="93">IF(ISNUMBER(PD3), (OT3 + (OU3 * 24)) - PD3, "")</f>
        <v>15</v>
      </c>
      <c r="PG3" s="4">
        <v>17</v>
      </c>
      <c r="PH3" s="8">
        <f t="shared" ref="PH3:PH10" si="94">IF(ISNUMBER(PG3), PG3-PF3, "")</f>
        <v>2</v>
      </c>
      <c r="PJ3" s="2">
        <v>48</v>
      </c>
      <c r="PK3" s="5" t="s">
        <v>12</v>
      </c>
      <c r="PL3" s="2">
        <v>16</v>
      </c>
      <c r="PM3" s="5" t="s">
        <v>12</v>
      </c>
      <c r="PN3" s="4">
        <f t="shared" ref="PN3:PN10" si="95">IF(OR(ISNUMBER(PJ3), ISNUMBER(PL3)), IF(ISNUMBER(PJ3), PJ3, 0) + IF(ISNUMBER(PL3), PL3, 0), "")</f>
        <v>64</v>
      </c>
      <c r="PO3" s="17"/>
      <c r="PP3" s="18">
        <f t="shared" ref="PP3:PP10" si="96">IF(ISNUMBER(PN3), (PD3 + (PE3 * 24)) - PN3, "")</f>
        <v>8</v>
      </c>
      <c r="PQ3" s="4">
        <v>8</v>
      </c>
      <c r="PR3" s="8">
        <f t="shared" ref="PR3:PR10" si="97">IF(ISNUMBER(PQ3), PQ3-PP3, "")</f>
        <v>0</v>
      </c>
      <c r="PT3" s="20">
        <v>24</v>
      </c>
      <c r="PU3" s="5" t="s">
        <v>12</v>
      </c>
      <c r="PV3" s="20">
        <v>21</v>
      </c>
      <c r="PW3" s="5" t="s">
        <v>12</v>
      </c>
      <c r="PX3" s="4">
        <f t="shared" ref="PX3:PX10" si="98">IF(OR(ISNUMBER(PT3), ISNUMBER(PV3)), IF(ISNUMBER(PT3), PT3, 0) + IF(ISNUMBER(PV3), PV3, 0), "")</f>
        <v>45</v>
      </c>
      <c r="PY3" s="21">
        <v>1</v>
      </c>
      <c r="PZ3" s="18">
        <f t="shared" ref="PZ3:PZ10" si="99">IF(ISNUMBER(PX3), (PN3 + (PO3 * 24)) - PX3, "")</f>
        <v>19</v>
      </c>
      <c r="QA3" s="4">
        <v>19</v>
      </c>
      <c r="QB3" s="8">
        <f t="shared" ref="QB3:QB10" si="100">IF(ISNUMBER(QA3), QA3-PZ3, "")</f>
        <v>0</v>
      </c>
      <c r="QD3" s="20">
        <v>24</v>
      </c>
      <c r="QE3" s="5" t="s">
        <v>12</v>
      </c>
      <c r="QF3" s="20">
        <v>23</v>
      </c>
      <c r="QG3" s="5" t="s">
        <v>12</v>
      </c>
      <c r="QH3" s="4">
        <f t="shared" ref="QH3:QH10" si="101">IF(OR(ISNUMBER(QD3), ISNUMBER(QF3)), IF(ISNUMBER(QD3), QD3, 0) + IF(ISNUMBER(QF3), QF3, 0), "")</f>
        <v>47</v>
      </c>
      <c r="QI3" s="21"/>
      <c r="QJ3" s="18">
        <f t="shared" ref="QJ3:QJ10" si="102">IF(ISNUMBER(QH3), (PX3 + (PY3 * 24)) - QH3, "")</f>
        <v>22</v>
      </c>
      <c r="QK3" s="4">
        <v>22</v>
      </c>
      <c r="QL3" s="8">
        <f t="shared" ref="QL3:QL10" si="103">IF(ISNUMBER(QK3), QK3-QJ3, "")</f>
        <v>0</v>
      </c>
      <c r="QN3" s="20">
        <v>0</v>
      </c>
      <c r="QO3" s="5" t="s">
        <v>12</v>
      </c>
      <c r="QP3" s="20">
        <v>28</v>
      </c>
      <c r="QQ3" s="5" t="s">
        <v>12</v>
      </c>
      <c r="QR3" s="4">
        <f t="shared" ref="QR3:QR10" si="104">IF(OR(ISNUMBER(QN3), ISNUMBER(QP3)), IF(ISNUMBER(QN3), QN3, 0) + IF(ISNUMBER(QP3), QP3, 0), "")</f>
        <v>28</v>
      </c>
      <c r="QS3" s="21">
        <v>2</v>
      </c>
      <c r="QT3" s="18">
        <f t="shared" ref="QT3:QT10" si="105">IF(ISNUMBER(QR3), (QH3 + (QI3 * 24)) - QR3, "")</f>
        <v>19</v>
      </c>
      <c r="QU3" s="4">
        <v>19</v>
      </c>
      <c r="QV3" s="8">
        <f t="shared" ref="QV3:QV10" si="106">IF(ISNUMBER(QU3), QU3-QT3, "")</f>
        <v>0</v>
      </c>
      <c r="QX3" s="20">
        <v>48</v>
      </c>
      <c r="QY3" s="5" t="s">
        <v>12</v>
      </c>
      <c r="QZ3" s="20">
        <v>17</v>
      </c>
      <c r="RA3" s="5" t="s">
        <v>12</v>
      </c>
      <c r="RB3" s="4">
        <f t="shared" ref="RB3:RB10" si="107">IF(OR(ISNUMBER(QX3), ISNUMBER(QZ3)), IF(ISNUMBER(QX3), QX3, 0) + IF(ISNUMBER(QZ3), QZ3, 0), "")</f>
        <v>65</v>
      </c>
      <c r="RC3" s="21"/>
      <c r="RD3" s="18">
        <f t="shared" ref="RD3:RD10" si="108">IF(ISNUMBER(RB3), (QR3 + (QS3 * 24)) - RB3, "")</f>
        <v>11</v>
      </c>
      <c r="RE3" s="4">
        <v>11</v>
      </c>
      <c r="RF3" s="8">
        <f t="shared" ref="RF3:RF10" si="109">IF(ISNUMBER(RE3), RE3-RD3, "")</f>
        <v>0</v>
      </c>
      <c r="RH3" s="20">
        <v>24</v>
      </c>
      <c r="RI3" s="5" t="s">
        <v>12</v>
      </c>
      <c r="RJ3" s="20">
        <v>23</v>
      </c>
      <c r="RK3" s="5" t="s">
        <v>12</v>
      </c>
      <c r="RL3" s="4">
        <f t="shared" ref="RL3:RL10" si="110">IF(OR(ISNUMBER(RH3), ISNUMBER(RJ3)), IF(ISNUMBER(RH3), RH3, 0) + IF(ISNUMBER(RJ3), RJ3, 0), "")</f>
        <v>47</v>
      </c>
      <c r="RM3" s="21">
        <v>0</v>
      </c>
      <c r="RN3" s="18">
        <f t="shared" ref="RN3:RN10" si="111">IF(ISNUMBER(RL3), (RB3 + (RC3 * 24)) - RL3, "")</f>
        <v>18</v>
      </c>
      <c r="RO3" s="4">
        <v>18</v>
      </c>
      <c r="RP3" s="8">
        <f t="shared" ref="RP3:RP10" si="112">IF(ISNUMBER(RO3), RO3-RN3, "")</f>
        <v>0</v>
      </c>
      <c r="RR3" s="2">
        <v>0</v>
      </c>
      <c r="RS3" s="5" t="s">
        <v>12</v>
      </c>
      <c r="RT3" s="2">
        <v>28</v>
      </c>
      <c r="RU3" s="5" t="s">
        <v>12</v>
      </c>
      <c r="RV3" s="4">
        <f t="shared" ref="RV3:RV10" si="113">IF(OR(ISNUMBER(RR3), ISNUMBER(RT3)), IF(ISNUMBER(RR3), RR3, 0) + IF(ISNUMBER(RT3), RT3, 0), "")</f>
        <v>28</v>
      </c>
      <c r="RW3" s="17"/>
      <c r="RX3" s="18">
        <f t="shared" ref="RX3:RX10" si="114">IF(ISNUMBER(RV3), (RL3 + (RM3 * 24)) - RV3, "")</f>
        <v>19</v>
      </c>
      <c r="RY3" s="4">
        <v>19</v>
      </c>
      <c r="RZ3" s="8">
        <f t="shared" ref="RZ3:RZ10" si="115">IF(ISNUMBER(RY3), RY3-RX3, "")</f>
        <v>0</v>
      </c>
      <c r="SB3" s="20"/>
      <c r="SC3" s="5" t="s">
        <v>12</v>
      </c>
      <c r="SD3" s="20">
        <v>7</v>
      </c>
      <c r="SE3" s="5" t="s">
        <v>12</v>
      </c>
      <c r="SF3" s="4">
        <f t="shared" ref="SF3:SF10" si="116">IF(OR(ISNUMBER(SB3), ISNUMBER(SD3)), IF(ISNUMBER(SB3), SB3, 0) + IF(ISNUMBER(SD3), SD3, 0), "")</f>
        <v>7</v>
      </c>
      <c r="SG3" s="21">
        <v>2</v>
      </c>
      <c r="SH3" s="18">
        <f t="shared" ref="SH3:SH10" si="117">IF(ISNUMBER(SF3), (RV3 + (RW3 * 24)) - SF3, "")</f>
        <v>21</v>
      </c>
      <c r="SI3" s="4">
        <v>21</v>
      </c>
      <c r="SJ3" s="8">
        <f t="shared" ref="SJ3:SJ10" si="118">IF(ISNUMBER(SI3), SI3-SH3, "")</f>
        <v>0</v>
      </c>
      <c r="SL3" s="20">
        <v>24</v>
      </c>
      <c r="SM3" s="5" t="s">
        <v>12</v>
      </c>
      <c r="SN3" s="20">
        <v>19</v>
      </c>
      <c r="SO3" s="5" t="s">
        <v>12</v>
      </c>
      <c r="SP3" s="4">
        <f t="shared" ref="SP3:SP10" si="119">IF(OR(ISNUMBER(SL3), ISNUMBER(SN3)), IF(ISNUMBER(SL3), SL3, 0) + IF(ISNUMBER(SN3), SN3, 0), "")</f>
        <v>43</v>
      </c>
      <c r="SQ3" s="21"/>
      <c r="SR3" s="18">
        <f t="shared" ref="SR3:SR10" si="120">IF(ISNUMBER(SP3), (SF3 + (SG3 * 24)) - SP3, "")</f>
        <v>12</v>
      </c>
      <c r="SS3" s="4">
        <v>11</v>
      </c>
      <c r="ST3" s="8">
        <f t="shared" ref="ST3:ST10" si="121">IF(ISNUMBER(SS3), SS3-SR3, "")</f>
        <v>-1</v>
      </c>
      <c r="SV3" s="74">
        <v>0</v>
      </c>
      <c r="SW3" s="75" t="s">
        <v>12</v>
      </c>
      <c r="SX3" s="74">
        <v>25</v>
      </c>
      <c r="SY3" s="75" t="s">
        <v>12</v>
      </c>
      <c r="SZ3" s="76">
        <f t="shared" ref="SZ3:SZ10" si="122">IF(OR(ISNUMBER(SV3), ISNUMBER(SX3)), IF(ISNUMBER(SV3), SV3, 0) + IF(ISNUMBER(SX3), SX3, 0), "")</f>
        <v>25</v>
      </c>
      <c r="TA3" s="77">
        <v>1</v>
      </c>
      <c r="TB3" s="78">
        <f t="shared" ref="TB3:TB10" si="123">IF(ISNUMBER(SZ3), (SP3 + (SQ3 * 24)) - SZ3, "")</f>
        <v>18</v>
      </c>
      <c r="TC3" s="76">
        <v>18</v>
      </c>
      <c r="TD3" s="79">
        <f t="shared" ref="TD3:TD10" si="124">IF(ISNUMBER(TC3), TC3-TB3, "")</f>
        <v>0</v>
      </c>
      <c r="TF3" s="91"/>
      <c r="TG3" s="92" t="s">
        <v>12</v>
      </c>
      <c r="TH3" s="91">
        <v>32</v>
      </c>
      <c r="TI3" s="92" t="s">
        <v>12</v>
      </c>
      <c r="TJ3" s="93">
        <f t="shared" ref="TJ3:TJ10" si="125">IF(OR(ISNUMBER(TF3), ISNUMBER(TH3)), IF(ISNUMBER(TF3), TF3, 0) + IF(ISNUMBER(TH3), TH3, 0), "")</f>
        <v>32</v>
      </c>
      <c r="TK3" s="94"/>
      <c r="TL3" s="95">
        <f t="shared" ref="TL3:TL10" si="126">IF(ISNUMBER(TJ3), (SZ3 + (TA3 * 24)) - TJ3, "")</f>
        <v>17</v>
      </c>
      <c r="TM3" s="93">
        <v>17</v>
      </c>
      <c r="TN3" s="96">
        <f t="shared" ref="TN3:TN10" si="127">IF(ISNUMBER(TM3), TM3-TL3, "")</f>
        <v>0</v>
      </c>
    </row>
    <row r="4" spans="1:534" ht="12.75" customHeight="1" x14ac:dyDescent="0.2">
      <c r="A4" s="16" t="s">
        <v>18</v>
      </c>
      <c r="B4" s="11" t="s">
        <v>13</v>
      </c>
      <c r="C4" s="12">
        <v>115</v>
      </c>
      <c r="D4" s="13" t="s">
        <v>12</v>
      </c>
      <c r="F4" s="2"/>
      <c r="G4" s="5" t="s">
        <v>12</v>
      </c>
      <c r="H4" s="2"/>
      <c r="I4" s="5" t="s">
        <v>12</v>
      </c>
      <c r="J4" s="4">
        <v>0</v>
      </c>
      <c r="K4" s="17">
        <v>2</v>
      </c>
      <c r="L4" s="18"/>
      <c r="M4" s="4"/>
      <c r="N4" s="8" t="str">
        <f t="shared" si="0"/>
        <v/>
      </c>
      <c r="P4" s="20">
        <v>18</v>
      </c>
      <c r="Q4" s="5" t="s">
        <v>12</v>
      </c>
      <c r="R4" s="20">
        <v>7</v>
      </c>
      <c r="S4" s="5" t="s">
        <v>12</v>
      </c>
      <c r="T4" s="4">
        <f t="shared" si="1"/>
        <v>25</v>
      </c>
      <c r="U4" s="21">
        <v>2</v>
      </c>
      <c r="V4" s="18">
        <f>IF(ISNUMBER(T4), (J4 + (K4 * 24)) - T4, "")</f>
        <v>23</v>
      </c>
      <c r="W4" s="4">
        <v>20</v>
      </c>
      <c r="X4" s="8">
        <f t="shared" si="2"/>
        <v>-3</v>
      </c>
      <c r="Z4" s="20"/>
      <c r="AA4" s="5" t="s">
        <v>12</v>
      </c>
      <c r="AB4" s="20">
        <v>24</v>
      </c>
      <c r="AC4" s="5" t="s">
        <v>12</v>
      </c>
      <c r="AD4" s="4">
        <f t="shared" si="3"/>
        <v>24</v>
      </c>
      <c r="AE4" s="21">
        <v>1</v>
      </c>
      <c r="AF4" s="18">
        <f>IF(ISNUMBER(AD4), (T4 + (U4 * 24)) - AD4, "")</f>
        <v>49</v>
      </c>
      <c r="AG4" s="4">
        <v>42</v>
      </c>
      <c r="AH4" s="8">
        <f t="shared" si="4"/>
        <v>-7</v>
      </c>
      <c r="AJ4" s="2">
        <v>24</v>
      </c>
      <c r="AK4" s="5" t="s">
        <v>12</v>
      </c>
      <c r="AL4" s="2">
        <v>9</v>
      </c>
      <c r="AM4" s="5" t="s">
        <v>12</v>
      </c>
      <c r="AN4" s="4">
        <f t="shared" si="5"/>
        <v>33</v>
      </c>
      <c r="AO4" s="17">
        <v>1</v>
      </c>
      <c r="AP4" s="18">
        <f>IF(ISNUMBER(AN4), (AD4 + (AE4 * 24)) - AN4, "")</f>
        <v>15</v>
      </c>
      <c r="AQ4" s="4">
        <v>15</v>
      </c>
      <c r="AR4" s="8">
        <f t="shared" si="6"/>
        <v>0</v>
      </c>
      <c r="AT4" s="2"/>
      <c r="AU4" s="5" t="s">
        <v>12</v>
      </c>
      <c r="AV4" s="2">
        <v>30</v>
      </c>
      <c r="AW4" s="5" t="s">
        <v>12</v>
      </c>
      <c r="AX4" s="4">
        <f t="shared" si="7"/>
        <v>30</v>
      </c>
      <c r="AY4" s="17">
        <v>1</v>
      </c>
      <c r="AZ4" s="18">
        <f>IF(ISNUMBER(AX4), (AN4 + (AO4 * 24)) - AX4, "")</f>
        <v>27</v>
      </c>
      <c r="BA4" s="4">
        <v>20</v>
      </c>
      <c r="BB4" s="8">
        <f t="shared" si="8"/>
        <v>-7</v>
      </c>
      <c r="BD4" s="2"/>
      <c r="BE4" s="5" t="s">
        <v>12</v>
      </c>
      <c r="BF4" s="2">
        <v>8</v>
      </c>
      <c r="BG4" s="5" t="s">
        <v>12</v>
      </c>
      <c r="BH4" s="4">
        <f t="shared" si="9"/>
        <v>8</v>
      </c>
      <c r="BI4" s="17">
        <v>3</v>
      </c>
      <c r="BJ4" s="18">
        <f>IF(ISNUMBER(BH4), (AX4 + (AY4 * 24)) - BH4, "")</f>
        <v>46</v>
      </c>
      <c r="BK4" s="4">
        <v>46</v>
      </c>
      <c r="BL4" s="8">
        <f t="shared" si="10"/>
        <v>0</v>
      </c>
      <c r="BN4" s="20">
        <v>24</v>
      </c>
      <c r="BO4" s="5" t="s">
        <v>12</v>
      </c>
      <c r="BP4" s="20">
        <v>27</v>
      </c>
      <c r="BQ4" s="5" t="s">
        <v>12</v>
      </c>
      <c r="BR4" s="4">
        <f t="shared" si="11"/>
        <v>51</v>
      </c>
      <c r="BS4" s="21">
        <v>1</v>
      </c>
      <c r="BT4" s="18">
        <f>IF(ISNUMBER(BR4), (BH4 + (BI4 * 24)) - BR4, "")</f>
        <v>29</v>
      </c>
      <c r="BU4" s="4">
        <v>29</v>
      </c>
      <c r="BV4" s="8">
        <f t="shared" si="12"/>
        <v>0</v>
      </c>
      <c r="BX4" s="20"/>
      <c r="BY4" s="5" t="s">
        <v>12</v>
      </c>
      <c r="BZ4" s="20">
        <v>40</v>
      </c>
      <c r="CA4" s="5" t="s">
        <v>12</v>
      </c>
      <c r="CB4" s="4">
        <f t="shared" si="13"/>
        <v>40</v>
      </c>
      <c r="CC4" s="21">
        <v>2</v>
      </c>
      <c r="CD4" s="18">
        <f>IF(ISNUMBER(CB4), (BR4 + (BS4 * 24)) - CB4, "")</f>
        <v>35</v>
      </c>
      <c r="CE4" s="4">
        <v>35</v>
      </c>
      <c r="CF4" s="8">
        <f t="shared" si="14"/>
        <v>0</v>
      </c>
      <c r="CH4" s="20"/>
      <c r="CI4" s="5" t="s">
        <v>12</v>
      </c>
      <c r="CJ4" s="20">
        <v>40</v>
      </c>
      <c r="CK4" s="5" t="s">
        <v>12</v>
      </c>
      <c r="CL4" s="4">
        <f t="shared" si="15"/>
        <v>40</v>
      </c>
      <c r="CM4" s="21">
        <v>2</v>
      </c>
      <c r="CN4" s="18">
        <f>IF(ISNUMBER(CL4), (CB4 + (CC4 * 24)) - CL4, "")</f>
        <v>48</v>
      </c>
      <c r="CO4" s="4">
        <v>48</v>
      </c>
      <c r="CP4" s="8">
        <f t="shared" si="16"/>
        <v>0</v>
      </c>
      <c r="CR4" s="20">
        <v>24</v>
      </c>
      <c r="CS4" s="5" t="s">
        <v>12</v>
      </c>
      <c r="CT4" s="20">
        <v>25</v>
      </c>
      <c r="CU4" s="5" t="s">
        <v>12</v>
      </c>
      <c r="CV4" s="4">
        <f t="shared" si="17"/>
        <v>49</v>
      </c>
      <c r="CW4" s="21">
        <v>2</v>
      </c>
      <c r="CX4" s="18">
        <f>IF(ISNUMBER(CV4), (CL4 + (CM4 * 24)) - CV4, "")</f>
        <v>39</v>
      </c>
      <c r="CY4" s="4">
        <v>39</v>
      </c>
      <c r="CZ4" s="8">
        <f t="shared" si="18"/>
        <v>0</v>
      </c>
      <c r="DB4" s="20">
        <v>6</v>
      </c>
      <c r="DC4" s="5" t="s">
        <v>12</v>
      </c>
      <c r="DD4" s="20">
        <v>48</v>
      </c>
      <c r="DE4" s="5" t="s">
        <v>12</v>
      </c>
      <c r="DF4" s="4">
        <f t="shared" si="19"/>
        <v>54</v>
      </c>
      <c r="DG4" s="21">
        <v>1</v>
      </c>
      <c r="DH4" s="18">
        <f>IF(ISNUMBER(DF4), (CV4 + (CW4 * 24)) - DF4, "")</f>
        <v>43</v>
      </c>
      <c r="DI4" s="4">
        <v>29</v>
      </c>
      <c r="DJ4" s="8">
        <f t="shared" si="20"/>
        <v>-14</v>
      </c>
      <c r="DL4" s="20">
        <v>6</v>
      </c>
      <c r="DM4" s="5" t="s">
        <v>12</v>
      </c>
      <c r="DN4" s="20">
        <v>30</v>
      </c>
      <c r="DO4" s="5" t="s">
        <v>12</v>
      </c>
      <c r="DP4" s="4">
        <f t="shared" si="21"/>
        <v>36</v>
      </c>
      <c r="DQ4" s="21">
        <v>2</v>
      </c>
      <c r="DR4" s="18">
        <f>IF(ISNUMBER(DP4), (DF4 + (DG4 * 24)) - DP4, "")</f>
        <v>42</v>
      </c>
      <c r="DS4" s="4">
        <v>42</v>
      </c>
      <c r="DT4" s="8">
        <f t="shared" si="22"/>
        <v>0</v>
      </c>
      <c r="DV4" s="2">
        <v>3</v>
      </c>
      <c r="DW4" s="5" t="s">
        <v>12</v>
      </c>
      <c r="DX4" s="2">
        <v>35</v>
      </c>
      <c r="DY4" s="5" t="s">
        <v>12</v>
      </c>
      <c r="DZ4" s="4">
        <f t="shared" si="23"/>
        <v>38</v>
      </c>
      <c r="EA4" s="17">
        <v>1</v>
      </c>
      <c r="EB4" s="18">
        <f>IF(ISNUMBER(DZ4), (DP4 + (DQ4 * 24)) - DZ4, "")</f>
        <v>46</v>
      </c>
      <c r="EC4" s="4">
        <v>46</v>
      </c>
      <c r="ED4" s="8">
        <f t="shared" si="24"/>
        <v>0</v>
      </c>
      <c r="EF4" s="20"/>
      <c r="EG4" s="5" t="s">
        <v>12</v>
      </c>
      <c r="EH4" s="20">
        <v>33</v>
      </c>
      <c r="EI4" s="5" t="s">
        <v>12</v>
      </c>
      <c r="EJ4" s="4">
        <f t="shared" si="25"/>
        <v>33</v>
      </c>
      <c r="EK4" s="21">
        <v>2</v>
      </c>
      <c r="EL4" s="18">
        <f>IF(ISNUMBER(EJ4), (DZ4 + (EA4 * 24)) - EJ4, "")</f>
        <v>29</v>
      </c>
      <c r="EM4" s="4">
        <v>29</v>
      </c>
      <c r="EN4" s="8">
        <f t="shared" si="26"/>
        <v>0</v>
      </c>
      <c r="EP4" s="20">
        <v>24</v>
      </c>
      <c r="EQ4" s="5" t="s">
        <v>12</v>
      </c>
      <c r="ER4" s="20">
        <v>30</v>
      </c>
      <c r="ES4" s="5" t="s">
        <v>12</v>
      </c>
      <c r="ET4" s="4">
        <f t="shared" si="27"/>
        <v>54</v>
      </c>
      <c r="EU4" s="21">
        <v>1</v>
      </c>
      <c r="EV4" s="18">
        <f>IF(ISNUMBER(ET4), (EJ4 + (EK4 * 24)) - ET4, "")</f>
        <v>27</v>
      </c>
      <c r="EW4" s="4">
        <v>31</v>
      </c>
      <c r="EX4" s="8">
        <f t="shared" si="28"/>
        <v>4</v>
      </c>
      <c r="EZ4" s="20"/>
      <c r="FA4" s="5" t="s">
        <v>12</v>
      </c>
      <c r="FB4" s="20">
        <v>32</v>
      </c>
      <c r="FC4" s="5" t="s">
        <v>12</v>
      </c>
      <c r="FD4" s="4">
        <f t="shared" si="29"/>
        <v>32</v>
      </c>
      <c r="FE4" s="21">
        <v>2</v>
      </c>
      <c r="FF4" s="18">
        <f>IF(ISNUMBER(FD4), (ET4 + (EU4 * 24)) - FD4, "")</f>
        <v>46</v>
      </c>
      <c r="FG4" s="4">
        <v>43</v>
      </c>
      <c r="FH4" s="8">
        <f t="shared" si="30"/>
        <v>-3</v>
      </c>
      <c r="FJ4" s="2"/>
      <c r="FK4" s="5" t="s">
        <v>12</v>
      </c>
      <c r="FL4" s="2">
        <v>37</v>
      </c>
      <c r="FM4" s="5" t="s">
        <v>12</v>
      </c>
      <c r="FN4" s="4">
        <f t="shared" si="31"/>
        <v>37</v>
      </c>
      <c r="FO4" s="17">
        <v>2</v>
      </c>
      <c r="FP4" s="18">
        <f>IF(ISNUMBER(FN4), (FD4 + (FE4 * 24)) - FN4, "")</f>
        <v>43</v>
      </c>
      <c r="FQ4" s="4">
        <v>43</v>
      </c>
      <c r="FR4" s="8">
        <f t="shared" si="32"/>
        <v>0</v>
      </c>
      <c r="FT4" s="2"/>
      <c r="FU4" s="5" t="s">
        <v>12</v>
      </c>
      <c r="FV4" s="2">
        <v>28</v>
      </c>
      <c r="FW4" s="5" t="s">
        <v>12</v>
      </c>
      <c r="FX4" s="4">
        <f t="shared" si="33"/>
        <v>28</v>
      </c>
      <c r="FY4" s="17">
        <f>+GP40</f>
        <v>0</v>
      </c>
      <c r="FZ4" s="18">
        <f>IF(ISNUMBER(FX4), (FN4 + (FO4 * 24)) - FX4, "")</f>
        <v>57</v>
      </c>
      <c r="GA4" s="4">
        <v>64</v>
      </c>
      <c r="GB4" s="8">
        <f t="shared" si="34"/>
        <v>7</v>
      </c>
      <c r="GD4" s="20">
        <v>0</v>
      </c>
      <c r="GE4" s="5" t="s">
        <v>12</v>
      </c>
      <c r="GF4" s="20">
        <v>47</v>
      </c>
      <c r="GG4" s="5" t="s">
        <v>12</v>
      </c>
      <c r="GH4" s="4">
        <f t="shared" si="35"/>
        <v>47</v>
      </c>
      <c r="GI4" s="21">
        <v>1</v>
      </c>
      <c r="GJ4" s="18">
        <f>IF(ISNUMBER(GH4), (FX4 + (FY4 * 24)) - GH4, "")</f>
        <v>-19</v>
      </c>
      <c r="GK4" s="4">
        <v>27</v>
      </c>
      <c r="GL4" s="8">
        <f t="shared" si="36"/>
        <v>46</v>
      </c>
      <c r="GN4" s="20"/>
      <c r="GO4" s="5" t="s">
        <v>12</v>
      </c>
      <c r="GP4" s="20">
        <v>33</v>
      </c>
      <c r="GQ4" s="5" t="s">
        <v>12</v>
      </c>
      <c r="GR4" s="4">
        <f t="shared" si="37"/>
        <v>33</v>
      </c>
      <c r="GS4" s="21">
        <v>2</v>
      </c>
      <c r="GT4" s="18">
        <f>IF(ISNUMBER(GR4), (GH4 + (GI4 * 24)) - GR4, "")</f>
        <v>38</v>
      </c>
      <c r="GU4" s="4">
        <v>40</v>
      </c>
      <c r="GV4" s="8">
        <f t="shared" si="38"/>
        <v>2</v>
      </c>
      <c r="GX4" s="20"/>
      <c r="GY4" s="5" t="s">
        <v>12</v>
      </c>
      <c r="GZ4" s="20">
        <v>56</v>
      </c>
      <c r="HA4" s="5" t="s">
        <v>12</v>
      </c>
      <c r="HB4" s="4">
        <f t="shared" si="39"/>
        <v>56</v>
      </c>
      <c r="HC4" s="21">
        <v>1</v>
      </c>
      <c r="HD4" s="18">
        <f>IF(ISNUMBER(HB4), (GR4 + (GS4 * 24)) - HB4, "")</f>
        <v>25</v>
      </c>
      <c r="HE4" s="4">
        <v>36</v>
      </c>
      <c r="HF4" s="8">
        <f t="shared" si="40"/>
        <v>11</v>
      </c>
      <c r="HH4" s="20"/>
      <c r="HI4" s="5" t="s">
        <v>12</v>
      </c>
      <c r="HJ4" s="20">
        <v>8</v>
      </c>
      <c r="HK4" s="5" t="s">
        <v>12</v>
      </c>
      <c r="HL4" s="4">
        <f t="shared" si="41"/>
        <v>8</v>
      </c>
      <c r="HM4" s="21">
        <v>3</v>
      </c>
      <c r="HN4" s="18">
        <f>IF(ISNUMBER(HL4), (HB4 + (HC4 * 24)) - HL4, "")</f>
        <v>72</v>
      </c>
      <c r="HO4" s="4">
        <v>65</v>
      </c>
      <c r="HP4" s="8">
        <f t="shared" si="42"/>
        <v>-7</v>
      </c>
      <c r="HR4" s="2"/>
      <c r="HS4" s="5" t="s">
        <v>12</v>
      </c>
      <c r="HT4" s="2">
        <v>50</v>
      </c>
      <c r="HU4" s="5" t="s">
        <v>12</v>
      </c>
      <c r="HV4" s="4">
        <f t="shared" si="43"/>
        <v>50</v>
      </c>
      <c r="HW4" s="17">
        <v>1</v>
      </c>
      <c r="HX4" s="18">
        <f>IF(ISNUMBER(HV4), (HL4 + (HM4 * 24)) - HV4, "")</f>
        <v>30</v>
      </c>
      <c r="HY4" s="4">
        <v>30</v>
      </c>
      <c r="HZ4" s="8">
        <f t="shared" si="44"/>
        <v>0</v>
      </c>
      <c r="IB4" s="2"/>
      <c r="IC4" s="5" t="s">
        <v>12</v>
      </c>
      <c r="ID4" s="2">
        <v>21</v>
      </c>
      <c r="IE4" s="5" t="s">
        <v>12</v>
      </c>
      <c r="IF4" s="4">
        <f t="shared" si="45"/>
        <v>21</v>
      </c>
      <c r="IG4" s="17">
        <v>2</v>
      </c>
      <c r="IH4" s="18">
        <f>IF(ISNUMBER(IF4), (HV4 + (HW4 * 24)) - IF4, "")</f>
        <v>53</v>
      </c>
      <c r="II4" s="4">
        <v>53</v>
      </c>
      <c r="IJ4" s="8">
        <f t="shared" si="46"/>
        <v>0</v>
      </c>
      <c r="IL4" s="2"/>
      <c r="IM4" s="5" t="s">
        <v>12</v>
      </c>
      <c r="IN4" s="2">
        <v>15</v>
      </c>
      <c r="IO4" s="5" t="s">
        <v>12</v>
      </c>
      <c r="IP4" s="4">
        <f t="shared" si="47"/>
        <v>15</v>
      </c>
      <c r="IQ4" s="17">
        <v>4</v>
      </c>
      <c r="IR4" s="18">
        <f t="shared" si="48"/>
        <v>54</v>
      </c>
      <c r="IS4" s="4">
        <v>55</v>
      </c>
      <c r="IT4" s="8">
        <f t="shared" si="49"/>
        <v>1</v>
      </c>
      <c r="IV4" s="2">
        <v>30</v>
      </c>
      <c r="IW4" s="5" t="s">
        <v>12</v>
      </c>
      <c r="IX4" s="2">
        <v>45</v>
      </c>
      <c r="IY4" s="5" t="s">
        <v>12</v>
      </c>
      <c r="IZ4" s="4">
        <f t="shared" si="50"/>
        <v>75</v>
      </c>
      <c r="JA4" s="17"/>
      <c r="JB4" s="18">
        <f>IF(ISNUMBER(IZ4), (IP4 + (IQ4 * 24)) - IZ4, "")</f>
        <v>36</v>
      </c>
      <c r="JC4" s="4">
        <v>36</v>
      </c>
      <c r="JD4" s="8">
        <f t="shared" si="51"/>
        <v>0</v>
      </c>
      <c r="JF4" s="2"/>
      <c r="JG4" s="5" t="s">
        <v>12</v>
      </c>
      <c r="JH4" s="2">
        <v>9</v>
      </c>
      <c r="JI4" s="5" t="s">
        <v>12</v>
      </c>
      <c r="JJ4" s="4">
        <f t="shared" si="52"/>
        <v>9</v>
      </c>
      <c r="JK4" s="17">
        <v>5</v>
      </c>
      <c r="JL4" s="18">
        <f>IF(ISNUMBER(JJ4), (IZ4 + (JA4 * 24)) - JJ4, "")</f>
        <v>66</v>
      </c>
      <c r="JM4" s="4">
        <v>66</v>
      </c>
      <c r="JN4" s="8">
        <f t="shared" si="53"/>
        <v>0</v>
      </c>
      <c r="JP4" s="20">
        <v>48</v>
      </c>
      <c r="JQ4" s="5" t="s">
        <v>12</v>
      </c>
      <c r="JR4" s="20">
        <v>45</v>
      </c>
      <c r="JS4" s="5" t="s">
        <v>12</v>
      </c>
      <c r="JT4" s="4">
        <f t="shared" si="54"/>
        <v>93</v>
      </c>
      <c r="JU4" s="21"/>
      <c r="JV4" s="18">
        <f>IF(ISNUMBER(JT4), (JJ4 + (JK4 * 24)) - JT4, "")</f>
        <v>36</v>
      </c>
      <c r="JW4" s="4">
        <v>39</v>
      </c>
      <c r="JX4" s="8">
        <f t="shared" si="55"/>
        <v>3</v>
      </c>
      <c r="JZ4" s="20">
        <v>24</v>
      </c>
      <c r="KA4" s="5" t="s">
        <v>12</v>
      </c>
      <c r="KB4" s="20">
        <v>25</v>
      </c>
      <c r="KC4" s="5" t="s">
        <v>12</v>
      </c>
      <c r="KD4" s="4">
        <f t="shared" si="56"/>
        <v>49</v>
      </c>
      <c r="KE4" s="21">
        <v>4</v>
      </c>
      <c r="KF4" s="18">
        <f>IF(ISNUMBER(KD4), (JT4 + (JU4 * 24)) - KD4, "")</f>
        <v>44</v>
      </c>
      <c r="KG4" s="4">
        <v>44</v>
      </c>
      <c r="KH4" s="8">
        <f t="shared" si="57"/>
        <v>0</v>
      </c>
      <c r="KJ4" s="20">
        <v>48</v>
      </c>
      <c r="KK4" s="5" t="s">
        <v>12</v>
      </c>
      <c r="KL4" s="20">
        <v>38</v>
      </c>
      <c r="KM4" s="5" t="s">
        <v>12</v>
      </c>
      <c r="KN4" s="4">
        <f t="shared" si="58"/>
        <v>86</v>
      </c>
      <c r="KO4" s="21"/>
      <c r="KP4" s="18">
        <f>IF(ISNUMBER(KN4), (KD4 + (KE4 * 24)) - KN4, "")</f>
        <v>59</v>
      </c>
      <c r="KQ4" s="4">
        <v>59</v>
      </c>
      <c r="KR4" s="8">
        <f t="shared" si="59"/>
        <v>0</v>
      </c>
      <c r="KT4" s="20"/>
      <c r="KU4" s="5" t="s">
        <v>12</v>
      </c>
      <c r="KV4" s="20">
        <v>32</v>
      </c>
      <c r="KW4" s="5" t="s">
        <v>12</v>
      </c>
      <c r="KX4" s="4">
        <f t="shared" si="60"/>
        <v>32</v>
      </c>
      <c r="KY4" s="21">
        <v>6</v>
      </c>
      <c r="KZ4" s="18">
        <f t="shared" si="61"/>
        <v>54</v>
      </c>
      <c r="LA4" s="4">
        <v>59</v>
      </c>
      <c r="LB4" s="8">
        <f t="shared" si="62"/>
        <v>5</v>
      </c>
      <c r="LD4" s="20">
        <v>120</v>
      </c>
      <c r="LE4" s="5" t="s">
        <v>12</v>
      </c>
      <c r="LF4" s="20">
        <v>18</v>
      </c>
      <c r="LG4" s="5" t="s">
        <v>12</v>
      </c>
      <c r="LH4" s="4">
        <f t="shared" si="63"/>
        <v>138</v>
      </c>
      <c r="LI4" s="21"/>
      <c r="LJ4" s="18">
        <f t="shared" si="64"/>
        <v>38</v>
      </c>
      <c r="LK4" s="4">
        <v>38</v>
      </c>
      <c r="LL4" s="8">
        <f t="shared" si="65"/>
        <v>0</v>
      </c>
      <c r="LN4" s="20">
        <v>48</v>
      </c>
      <c r="LO4" s="5" t="s">
        <v>12</v>
      </c>
      <c r="LP4" s="20">
        <v>31</v>
      </c>
      <c r="LQ4" s="5" t="s">
        <v>12</v>
      </c>
      <c r="LR4" s="4">
        <v>77</v>
      </c>
      <c r="LS4" s="21">
        <v>3</v>
      </c>
      <c r="LT4" s="18">
        <f t="shared" si="66"/>
        <v>61</v>
      </c>
      <c r="LU4" s="4">
        <v>61</v>
      </c>
      <c r="LV4" s="8">
        <f t="shared" si="67"/>
        <v>0</v>
      </c>
      <c r="LX4" s="20">
        <v>72</v>
      </c>
      <c r="LY4" s="5" t="s">
        <v>12</v>
      </c>
      <c r="LZ4" s="20">
        <v>34</v>
      </c>
      <c r="MA4" s="5" t="s">
        <v>12</v>
      </c>
      <c r="MB4" s="4">
        <f t="shared" si="68"/>
        <v>106</v>
      </c>
      <c r="MC4" s="21"/>
      <c r="MD4" s="18">
        <f t="shared" si="69"/>
        <v>43</v>
      </c>
      <c r="ME4" s="4">
        <v>46</v>
      </c>
      <c r="MF4" s="8">
        <f t="shared" si="70"/>
        <v>3</v>
      </c>
      <c r="MH4" s="20">
        <v>24</v>
      </c>
      <c r="MI4" s="5" t="s">
        <v>12</v>
      </c>
      <c r="MJ4" s="20">
        <v>41</v>
      </c>
      <c r="MK4" s="5" t="s">
        <v>12</v>
      </c>
      <c r="ML4" s="4">
        <f t="shared" si="71"/>
        <v>65</v>
      </c>
      <c r="MM4" s="21">
        <v>3</v>
      </c>
      <c r="MN4" s="18">
        <f t="shared" si="72"/>
        <v>41</v>
      </c>
      <c r="MO4" s="4">
        <v>41</v>
      </c>
      <c r="MP4" s="8">
        <f t="shared" si="73"/>
        <v>0</v>
      </c>
      <c r="MR4" s="20">
        <v>48</v>
      </c>
      <c r="MS4" s="5" t="s">
        <v>12</v>
      </c>
      <c r="MT4" s="20">
        <v>45</v>
      </c>
      <c r="MU4" s="5" t="s">
        <v>12</v>
      </c>
      <c r="MV4" s="4">
        <f t="shared" si="74"/>
        <v>93</v>
      </c>
      <c r="MW4" s="21"/>
      <c r="MX4" s="18">
        <f t="shared" si="75"/>
        <v>44</v>
      </c>
      <c r="MY4" s="4">
        <v>39</v>
      </c>
      <c r="MZ4" s="18">
        <f t="shared" si="76"/>
        <v>-5</v>
      </c>
      <c r="NB4" s="20"/>
      <c r="NC4" s="5" t="s">
        <v>12</v>
      </c>
      <c r="ND4" s="20">
        <v>49</v>
      </c>
      <c r="NE4" s="5" t="s">
        <v>12</v>
      </c>
      <c r="NF4" s="4">
        <f t="shared" si="77"/>
        <v>49</v>
      </c>
      <c r="NG4" s="21">
        <v>3</v>
      </c>
      <c r="NH4" s="18">
        <f t="shared" si="78"/>
        <v>44</v>
      </c>
      <c r="NI4" s="4">
        <v>39</v>
      </c>
      <c r="NJ4" s="8">
        <f t="shared" si="79"/>
        <v>-5</v>
      </c>
      <c r="NL4" s="20">
        <v>24</v>
      </c>
      <c r="NM4" s="5" t="s">
        <v>12</v>
      </c>
      <c r="NN4" s="20">
        <v>33</v>
      </c>
      <c r="NO4" s="5" t="s">
        <v>12</v>
      </c>
      <c r="NP4" s="4">
        <f t="shared" si="80"/>
        <v>57</v>
      </c>
      <c r="NQ4" s="21"/>
      <c r="NR4" s="18">
        <f t="shared" si="81"/>
        <v>64</v>
      </c>
      <c r="NS4" s="4">
        <v>64</v>
      </c>
      <c r="NT4" s="8">
        <f t="shared" si="82"/>
        <v>0</v>
      </c>
      <c r="NV4" s="20"/>
      <c r="NW4" s="5" t="s">
        <v>12</v>
      </c>
      <c r="NX4" s="20">
        <v>16</v>
      </c>
      <c r="NY4" s="5" t="s">
        <v>12</v>
      </c>
      <c r="NZ4" s="4">
        <f t="shared" si="83"/>
        <v>16</v>
      </c>
      <c r="OA4" s="21">
        <v>5</v>
      </c>
      <c r="OB4" s="18">
        <f t="shared" si="84"/>
        <v>41</v>
      </c>
      <c r="OC4" s="4">
        <v>41</v>
      </c>
      <c r="OD4" s="8">
        <f t="shared" si="85"/>
        <v>0</v>
      </c>
      <c r="OF4" s="20">
        <v>72</v>
      </c>
      <c r="OG4" s="5" t="s">
        <v>12</v>
      </c>
      <c r="OH4" s="20">
        <v>38</v>
      </c>
      <c r="OI4" s="5" t="s">
        <v>12</v>
      </c>
      <c r="OJ4" s="4">
        <f t="shared" si="86"/>
        <v>110</v>
      </c>
      <c r="OK4" s="21"/>
      <c r="OL4" s="18">
        <f t="shared" si="87"/>
        <v>26</v>
      </c>
      <c r="OM4" s="4">
        <v>26</v>
      </c>
      <c r="ON4" s="8">
        <f t="shared" si="88"/>
        <v>0</v>
      </c>
      <c r="OP4" s="20">
        <v>24</v>
      </c>
      <c r="OQ4" s="5" t="s">
        <v>12</v>
      </c>
      <c r="OR4" s="20">
        <v>18</v>
      </c>
      <c r="OS4" s="5" t="s">
        <v>12</v>
      </c>
      <c r="OT4" s="4">
        <f t="shared" si="89"/>
        <v>42</v>
      </c>
      <c r="OU4" s="21"/>
      <c r="OV4" s="18">
        <f t="shared" si="90"/>
        <v>68</v>
      </c>
      <c r="OW4" s="4">
        <v>70</v>
      </c>
      <c r="OX4" s="8">
        <f t="shared" si="91"/>
        <v>2</v>
      </c>
      <c r="OZ4" s="2">
        <v>0</v>
      </c>
      <c r="PA4" s="5" t="s">
        <v>12</v>
      </c>
      <c r="PB4" s="2">
        <v>4</v>
      </c>
      <c r="PC4" s="5" t="s">
        <v>12</v>
      </c>
      <c r="PD4" s="4">
        <f t="shared" si="92"/>
        <v>4</v>
      </c>
      <c r="PE4" s="17">
        <v>5</v>
      </c>
      <c r="PF4" s="18">
        <f t="shared" si="93"/>
        <v>38</v>
      </c>
      <c r="PG4" s="4">
        <v>42</v>
      </c>
      <c r="PH4" s="8">
        <f t="shared" si="94"/>
        <v>4</v>
      </c>
      <c r="PJ4" s="2">
        <v>72</v>
      </c>
      <c r="PK4" s="5" t="s">
        <v>12</v>
      </c>
      <c r="PL4" s="2">
        <v>32</v>
      </c>
      <c r="PM4" s="5" t="s">
        <v>12</v>
      </c>
      <c r="PN4" s="4">
        <f t="shared" si="95"/>
        <v>104</v>
      </c>
      <c r="PO4" s="17"/>
      <c r="PP4" s="18">
        <f t="shared" si="96"/>
        <v>20</v>
      </c>
      <c r="PQ4" s="4">
        <v>19</v>
      </c>
      <c r="PR4" s="8">
        <f t="shared" si="97"/>
        <v>-1</v>
      </c>
      <c r="PT4" s="20">
        <v>24</v>
      </c>
      <c r="PU4" s="5" t="s">
        <v>12</v>
      </c>
      <c r="PV4" s="20">
        <v>33</v>
      </c>
      <c r="PW4" s="5" t="s">
        <v>12</v>
      </c>
      <c r="PX4" s="4">
        <f t="shared" si="98"/>
        <v>57</v>
      </c>
      <c r="PY4" s="21">
        <v>3</v>
      </c>
      <c r="PZ4" s="18">
        <f t="shared" si="99"/>
        <v>47</v>
      </c>
      <c r="QA4" s="4">
        <v>47</v>
      </c>
      <c r="QB4" s="8">
        <f t="shared" si="100"/>
        <v>0</v>
      </c>
      <c r="QD4" s="20">
        <v>24</v>
      </c>
      <c r="QE4" s="5" t="s">
        <v>12</v>
      </c>
      <c r="QF4" s="20">
        <v>55</v>
      </c>
      <c r="QG4" s="5" t="s">
        <v>12</v>
      </c>
      <c r="QH4" s="4">
        <f t="shared" si="101"/>
        <v>79</v>
      </c>
      <c r="QI4" s="21"/>
      <c r="QJ4" s="18">
        <f t="shared" si="102"/>
        <v>50</v>
      </c>
      <c r="QK4" s="4">
        <v>49</v>
      </c>
      <c r="QL4" s="8">
        <f t="shared" si="103"/>
        <v>-1</v>
      </c>
      <c r="QN4" s="20">
        <v>0</v>
      </c>
      <c r="QO4" s="5" t="s">
        <v>12</v>
      </c>
      <c r="QP4" s="20">
        <v>35</v>
      </c>
      <c r="QQ4" s="5" t="s">
        <v>12</v>
      </c>
      <c r="QR4" s="4">
        <f t="shared" si="104"/>
        <v>35</v>
      </c>
      <c r="QS4" s="21">
        <v>4</v>
      </c>
      <c r="QT4" s="18">
        <f t="shared" si="105"/>
        <v>44</v>
      </c>
      <c r="QU4" s="4">
        <v>44</v>
      </c>
      <c r="QV4" s="8">
        <f t="shared" si="106"/>
        <v>0</v>
      </c>
      <c r="QX4" s="20">
        <v>48</v>
      </c>
      <c r="QY4" s="5" t="s">
        <v>12</v>
      </c>
      <c r="QZ4" s="20">
        <v>29</v>
      </c>
      <c r="RA4" s="5" t="s">
        <v>12</v>
      </c>
      <c r="RB4" s="4">
        <f t="shared" si="107"/>
        <v>77</v>
      </c>
      <c r="RC4" s="21"/>
      <c r="RD4" s="18">
        <f t="shared" si="108"/>
        <v>54</v>
      </c>
      <c r="RE4" s="4">
        <v>54</v>
      </c>
      <c r="RF4" s="8">
        <f t="shared" si="109"/>
        <v>0</v>
      </c>
      <c r="RH4" s="20">
        <v>24</v>
      </c>
      <c r="RI4" s="5" t="s">
        <v>12</v>
      </c>
      <c r="RJ4" s="20">
        <v>25</v>
      </c>
      <c r="RK4" s="5" t="s">
        <v>12</v>
      </c>
      <c r="RL4" s="4">
        <f t="shared" si="110"/>
        <v>49</v>
      </c>
      <c r="RM4" s="21">
        <v>4</v>
      </c>
      <c r="RN4" s="18">
        <f t="shared" si="111"/>
        <v>28</v>
      </c>
      <c r="RO4" s="4">
        <v>28</v>
      </c>
      <c r="RP4" s="8">
        <f t="shared" si="112"/>
        <v>0</v>
      </c>
      <c r="RR4" s="2">
        <v>72</v>
      </c>
      <c r="RS4" s="5" t="s">
        <v>12</v>
      </c>
      <c r="RT4" s="2">
        <v>31</v>
      </c>
      <c r="RU4" s="5" t="s">
        <v>12</v>
      </c>
      <c r="RV4" s="4">
        <f t="shared" si="113"/>
        <v>103</v>
      </c>
      <c r="RW4" s="17"/>
      <c r="RX4" s="18">
        <f t="shared" si="114"/>
        <v>42</v>
      </c>
      <c r="RY4" s="4">
        <v>42</v>
      </c>
      <c r="RZ4" s="8">
        <f t="shared" si="115"/>
        <v>0</v>
      </c>
      <c r="SB4" s="20">
        <v>24</v>
      </c>
      <c r="SC4" s="5" t="s">
        <v>12</v>
      </c>
      <c r="SD4" s="20">
        <v>39</v>
      </c>
      <c r="SE4" s="5" t="s">
        <v>12</v>
      </c>
      <c r="SF4" s="4">
        <f t="shared" si="116"/>
        <v>63</v>
      </c>
      <c r="SG4" s="21">
        <v>4</v>
      </c>
      <c r="SH4" s="18">
        <f t="shared" si="117"/>
        <v>40</v>
      </c>
      <c r="SI4" s="4">
        <v>40</v>
      </c>
      <c r="SJ4" s="8">
        <f t="shared" si="118"/>
        <v>0</v>
      </c>
      <c r="SL4" s="20">
        <v>72</v>
      </c>
      <c r="SM4" s="5" t="s">
        <v>12</v>
      </c>
      <c r="SN4" s="20">
        <v>52</v>
      </c>
      <c r="SO4" s="5" t="s">
        <v>12</v>
      </c>
      <c r="SP4" s="4">
        <f t="shared" si="119"/>
        <v>124</v>
      </c>
      <c r="SQ4" s="21"/>
      <c r="SR4" s="18">
        <f t="shared" si="120"/>
        <v>35</v>
      </c>
      <c r="SS4" s="4">
        <v>35</v>
      </c>
      <c r="ST4" s="8">
        <f t="shared" si="121"/>
        <v>0</v>
      </c>
      <c r="SV4" s="74">
        <v>72</v>
      </c>
      <c r="SW4" s="75" t="s">
        <v>12</v>
      </c>
      <c r="SX4" s="74">
        <v>23</v>
      </c>
      <c r="SY4" s="75" t="s">
        <v>12</v>
      </c>
      <c r="SZ4" s="76">
        <f t="shared" si="122"/>
        <v>95</v>
      </c>
      <c r="TA4" s="77">
        <v>1</v>
      </c>
      <c r="TB4" s="78">
        <f t="shared" si="123"/>
        <v>29</v>
      </c>
      <c r="TC4" s="76">
        <v>31</v>
      </c>
      <c r="TD4" s="79"/>
      <c r="TF4" s="91">
        <v>24</v>
      </c>
      <c r="TG4" s="92" t="s">
        <v>12</v>
      </c>
      <c r="TH4" s="91">
        <v>63</v>
      </c>
      <c r="TI4" s="92" t="s">
        <v>12</v>
      </c>
      <c r="TJ4" s="93">
        <f t="shared" si="125"/>
        <v>87</v>
      </c>
      <c r="TK4" s="94"/>
      <c r="TL4" s="95">
        <f t="shared" si="126"/>
        <v>32</v>
      </c>
      <c r="TM4" s="93">
        <v>32</v>
      </c>
      <c r="TN4" s="96">
        <f t="shared" si="127"/>
        <v>0</v>
      </c>
    </row>
    <row r="5" spans="1:534" ht="12.75" customHeight="1" x14ac:dyDescent="0.2">
      <c r="A5" s="16" t="s">
        <v>19</v>
      </c>
      <c r="B5" s="11" t="s">
        <v>13</v>
      </c>
      <c r="C5" s="12">
        <v>42</v>
      </c>
      <c r="D5" s="13" t="s">
        <v>12</v>
      </c>
      <c r="F5" s="2"/>
      <c r="G5" s="5" t="s">
        <v>12</v>
      </c>
      <c r="H5" s="2"/>
      <c r="I5" s="5" t="s">
        <v>12</v>
      </c>
      <c r="J5" s="4">
        <v>0</v>
      </c>
      <c r="K5" s="17">
        <v>2</v>
      </c>
      <c r="L5" s="18"/>
      <c r="M5" s="4"/>
      <c r="N5" s="8" t="str">
        <f t="shared" si="0"/>
        <v/>
      </c>
      <c r="P5" s="20">
        <v>24</v>
      </c>
      <c r="Q5" s="5" t="s">
        <v>12</v>
      </c>
      <c r="R5" s="20">
        <v>10</v>
      </c>
      <c r="S5" s="5" t="s">
        <v>12</v>
      </c>
      <c r="T5" s="4">
        <f t="shared" si="1"/>
        <v>34</v>
      </c>
      <c r="U5" s="21"/>
      <c r="V5" s="18">
        <f t="shared" ref="V5:V10" si="128">IF(ISNUMBER(T5), (J5 + (K5 * 24)) - T5, "")</f>
        <v>14</v>
      </c>
      <c r="W5" s="4">
        <v>8</v>
      </c>
      <c r="X5" s="8">
        <f t="shared" si="2"/>
        <v>-6</v>
      </c>
      <c r="Z5" s="20"/>
      <c r="AA5" s="5" t="s">
        <v>12</v>
      </c>
      <c r="AB5" s="20">
        <v>17</v>
      </c>
      <c r="AC5" s="5" t="s">
        <v>12</v>
      </c>
      <c r="AD5" s="4">
        <f t="shared" si="3"/>
        <v>17</v>
      </c>
      <c r="AE5" s="21">
        <v>1</v>
      </c>
      <c r="AF5" s="18">
        <f t="shared" ref="AF5:AF10" si="129">IF(ISNUMBER(AD5), (T5 + (U5 * 24)) - AD5, "")</f>
        <v>17</v>
      </c>
      <c r="AG5" s="4">
        <v>10</v>
      </c>
      <c r="AH5" s="8">
        <f t="shared" si="4"/>
        <v>-7</v>
      </c>
      <c r="AJ5" s="2">
        <v>24</v>
      </c>
      <c r="AK5" s="5" t="s">
        <v>12</v>
      </c>
      <c r="AL5" s="2">
        <v>13</v>
      </c>
      <c r="AM5" s="5" t="s">
        <v>12</v>
      </c>
      <c r="AN5" s="4">
        <f t="shared" si="5"/>
        <v>37</v>
      </c>
      <c r="AO5" s="17"/>
      <c r="AP5" s="18">
        <f t="shared" ref="AP5:AP10" si="130">IF(ISNUMBER(AN5), (AD5 + (AE5 * 24)) - AN5, "")</f>
        <v>4</v>
      </c>
      <c r="AQ5" s="4">
        <v>4</v>
      </c>
      <c r="AR5" s="8">
        <f t="shared" si="6"/>
        <v>0</v>
      </c>
      <c r="AT5" s="2"/>
      <c r="AU5" s="5" t="s">
        <v>12</v>
      </c>
      <c r="AV5" s="2">
        <v>13</v>
      </c>
      <c r="AW5" s="5" t="s">
        <v>12</v>
      </c>
      <c r="AX5" s="4">
        <f t="shared" si="7"/>
        <v>13</v>
      </c>
      <c r="AY5" s="17">
        <v>1</v>
      </c>
      <c r="AZ5" s="18">
        <f t="shared" ref="AZ5:AZ10" si="131">IF(ISNUMBER(AX5), (AN5 + (AO5 * 24)) - AX5, "")</f>
        <v>24</v>
      </c>
      <c r="BA5" s="4">
        <v>22</v>
      </c>
      <c r="BB5" s="8">
        <f t="shared" si="8"/>
        <v>-2</v>
      </c>
      <c r="BD5" s="2"/>
      <c r="BE5" s="5" t="s">
        <v>12</v>
      </c>
      <c r="BF5" s="2">
        <v>27</v>
      </c>
      <c r="BG5" s="5" t="s">
        <v>12</v>
      </c>
      <c r="BH5" s="4">
        <f t="shared" si="9"/>
        <v>27</v>
      </c>
      <c r="BI5" s="17">
        <v>1</v>
      </c>
      <c r="BJ5" s="18">
        <f t="shared" ref="BJ5:BJ10" si="132">IF(ISNUMBER(BH5), (AX5 + (AY5 * 24)) - BH5, "")</f>
        <v>10</v>
      </c>
      <c r="BK5" s="4">
        <v>11</v>
      </c>
      <c r="BL5" s="8">
        <f t="shared" si="10"/>
        <v>1</v>
      </c>
      <c r="BN5" s="20"/>
      <c r="BO5" s="5" t="s">
        <v>12</v>
      </c>
      <c r="BP5" s="20">
        <v>37</v>
      </c>
      <c r="BQ5" s="5" t="s">
        <v>12</v>
      </c>
      <c r="BR5" s="4">
        <f t="shared" si="11"/>
        <v>37</v>
      </c>
      <c r="BS5" s="21">
        <v>1</v>
      </c>
      <c r="BT5" s="18">
        <f t="shared" ref="BT5:BT10" si="133">IF(ISNUMBER(BR5), (BH5 + (BI5 * 24)) - BR5, "")</f>
        <v>14</v>
      </c>
      <c r="BU5" s="4">
        <v>14</v>
      </c>
      <c r="BV5" s="8">
        <f t="shared" si="12"/>
        <v>0</v>
      </c>
      <c r="BX5" s="20"/>
      <c r="BY5" s="5" t="s">
        <v>12</v>
      </c>
      <c r="BZ5" s="20">
        <v>43</v>
      </c>
      <c r="CA5" s="5" t="s">
        <v>12</v>
      </c>
      <c r="CB5" s="4">
        <f t="shared" si="13"/>
        <v>43</v>
      </c>
      <c r="CC5" s="21">
        <v>1</v>
      </c>
      <c r="CD5" s="18">
        <f t="shared" ref="CD5:CD10" si="134">IF(ISNUMBER(CB5), (BR5 + (BS5 * 24)) - CB5, "")</f>
        <v>18</v>
      </c>
      <c r="CE5" s="4">
        <v>11</v>
      </c>
      <c r="CF5" s="8">
        <f t="shared" si="14"/>
        <v>-7</v>
      </c>
      <c r="CH5" s="20">
        <v>24</v>
      </c>
      <c r="CI5" s="5" t="s">
        <v>12</v>
      </c>
      <c r="CJ5" s="20">
        <v>36</v>
      </c>
      <c r="CK5" s="5" t="s">
        <v>12</v>
      </c>
      <c r="CL5" s="4">
        <f t="shared" si="15"/>
        <v>60</v>
      </c>
      <c r="CM5" s="21">
        <v>0</v>
      </c>
      <c r="CN5" s="18">
        <f t="shared" ref="CN5:CN10" si="135">IF(ISNUMBER(CL5), (CB5 + (CC5 * 24)) - CL5, "")</f>
        <v>7</v>
      </c>
      <c r="CO5" s="4">
        <v>7</v>
      </c>
      <c r="CP5" s="8">
        <f t="shared" si="16"/>
        <v>0</v>
      </c>
      <c r="CR5" s="20">
        <v>24</v>
      </c>
      <c r="CS5" s="5" t="s">
        <v>12</v>
      </c>
      <c r="CT5" s="20">
        <v>24</v>
      </c>
      <c r="CU5" s="5" t="s">
        <v>12</v>
      </c>
      <c r="CV5" s="4">
        <f t="shared" si="17"/>
        <v>48</v>
      </c>
      <c r="CW5" s="21">
        <v>1</v>
      </c>
      <c r="CX5" s="18">
        <f t="shared" ref="CX5:CX10" si="136">IF(ISNUMBER(CV5), (CL5 + (CM5 * 24)) - CV5, "")</f>
        <v>12</v>
      </c>
      <c r="CY5" s="4">
        <v>11</v>
      </c>
      <c r="CZ5" s="8">
        <f t="shared" si="18"/>
        <v>-1</v>
      </c>
      <c r="DB5" s="20"/>
      <c r="DC5" s="5" t="s">
        <v>12</v>
      </c>
      <c r="DD5" s="20">
        <v>59</v>
      </c>
      <c r="DE5" s="5" t="s">
        <v>12</v>
      </c>
      <c r="DF5" s="4">
        <f t="shared" si="19"/>
        <v>59</v>
      </c>
      <c r="DG5" s="21">
        <v>0</v>
      </c>
      <c r="DH5" s="18">
        <f t="shared" ref="DH5:DH10" si="137">IF(ISNUMBER(DF5), (CV5 + (CW5 * 24)) - DF5, "")</f>
        <v>13</v>
      </c>
      <c r="DI5" s="4">
        <v>11</v>
      </c>
      <c r="DJ5" s="8">
        <f t="shared" si="20"/>
        <v>-2</v>
      </c>
      <c r="DL5" s="20"/>
      <c r="DM5" s="5" t="s">
        <v>12</v>
      </c>
      <c r="DN5" s="20">
        <v>47</v>
      </c>
      <c r="DO5" s="5" t="s">
        <v>12</v>
      </c>
      <c r="DP5" s="4">
        <f t="shared" si="21"/>
        <v>47</v>
      </c>
      <c r="DQ5" s="21"/>
      <c r="DR5" s="18">
        <f t="shared" ref="DR5:DR10" si="138">IF(ISNUMBER(DP5), (DF5 + (DG5 * 24)) - DP5, "")</f>
        <v>12</v>
      </c>
      <c r="DS5" s="4">
        <v>12</v>
      </c>
      <c r="DT5" s="8">
        <f t="shared" si="22"/>
        <v>0</v>
      </c>
      <c r="DV5" s="2"/>
      <c r="DW5" s="5" t="s">
        <v>12</v>
      </c>
      <c r="DX5" s="2">
        <v>28</v>
      </c>
      <c r="DY5" s="5" t="s">
        <v>12</v>
      </c>
      <c r="DZ5" s="4">
        <f t="shared" si="23"/>
        <v>28</v>
      </c>
      <c r="EA5" s="17">
        <v>1</v>
      </c>
      <c r="EB5" s="18">
        <f t="shared" ref="EB5:EB10" si="139">IF(ISNUMBER(DZ5), (DP5 + (DQ5 * 24)) - DZ5, "")</f>
        <v>19</v>
      </c>
      <c r="EC5" s="4">
        <v>17</v>
      </c>
      <c r="ED5" s="8">
        <f t="shared" si="24"/>
        <v>-2</v>
      </c>
      <c r="EF5" s="20"/>
      <c r="EG5" s="5" t="s">
        <v>12</v>
      </c>
      <c r="EH5" s="20">
        <v>41</v>
      </c>
      <c r="EI5" s="5" t="s">
        <v>12</v>
      </c>
      <c r="EJ5" s="4">
        <f t="shared" si="25"/>
        <v>41</v>
      </c>
      <c r="EK5" s="21">
        <v>1</v>
      </c>
      <c r="EL5" s="18">
        <f t="shared" ref="EL5:EL10" si="140">IF(ISNUMBER(EJ5), (DZ5 + (EA5 * 24)) - EJ5, "")</f>
        <v>11</v>
      </c>
      <c r="EM5" s="4">
        <v>11</v>
      </c>
      <c r="EN5" s="8">
        <f t="shared" si="26"/>
        <v>0</v>
      </c>
      <c r="EP5" s="20">
        <v>0</v>
      </c>
      <c r="EQ5" s="5" t="s">
        <v>12</v>
      </c>
      <c r="ER5" s="20">
        <v>49</v>
      </c>
      <c r="ES5" s="5" t="s">
        <v>12</v>
      </c>
      <c r="ET5" s="4">
        <f t="shared" si="27"/>
        <v>49</v>
      </c>
      <c r="EU5" s="21"/>
      <c r="EV5" s="18">
        <f t="shared" ref="EV5:EV10" si="141">IF(ISNUMBER(ET5), (EJ5 + (EK5 * 24)) - ET5, "")</f>
        <v>16</v>
      </c>
      <c r="EW5" s="4">
        <v>16</v>
      </c>
      <c r="EX5" s="8">
        <f t="shared" si="28"/>
        <v>0</v>
      </c>
      <c r="EZ5" s="20"/>
      <c r="FA5" s="5" t="s">
        <v>12</v>
      </c>
      <c r="FB5" s="20">
        <v>41</v>
      </c>
      <c r="FC5" s="5" t="s">
        <v>12</v>
      </c>
      <c r="FD5" s="4">
        <f t="shared" si="29"/>
        <v>41</v>
      </c>
      <c r="FE5" s="21">
        <v>1</v>
      </c>
      <c r="FF5" s="18">
        <f t="shared" ref="FF5:FF10" si="142">IF(ISNUMBER(FD5), (ET5 + (EU5 * 24)) - FD5, "")</f>
        <v>8</v>
      </c>
      <c r="FG5" s="4">
        <v>12</v>
      </c>
      <c r="FH5" s="8">
        <f t="shared" si="30"/>
        <v>4</v>
      </c>
      <c r="FJ5" s="2"/>
      <c r="FK5" s="5" t="s">
        <v>12</v>
      </c>
      <c r="FL5" s="2">
        <v>50</v>
      </c>
      <c r="FM5" s="5" t="s">
        <v>12</v>
      </c>
      <c r="FN5" s="4">
        <f t="shared" si="31"/>
        <v>50</v>
      </c>
      <c r="FO5" s="17">
        <v>0</v>
      </c>
      <c r="FP5" s="18">
        <f t="shared" ref="FP5:FP10" si="143">IF(ISNUMBER(FN5), (FD5 + (FE5 * 24)) - FN5, "")</f>
        <v>15</v>
      </c>
      <c r="FQ5" s="4">
        <v>15</v>
      </c>
      <c r="FR5" s="8">
        <f t="shared" si="32"/>
        <v>0</v>
      </c>
      <c r="FT5" s="2"/>
      <c r="FU5" s="5" t="s">
        <v>12</v>
      </c>
      <c r="FV5" s="2">
        <v>35</v>
      </c>
      <c r="FW5" s="5" t="s">
        <v>12</v>
      </c>
      <c r="FX5" s="4">
        <f t="shared" si="33"/>
        <v>35</v>
      </c>
      <c r="FY5" s="17">
        <v>1</v>
      </c>
      <c r="FZ5" s="18">
        <f t="shared" ref="FZ5:FZ10" si="144">IF(ISNUMBER(FX5), (FN5 + (FO5 * 24)) - FX5, "")</f>
        <v>15</v>
      </c>
      <c r="GA5" s="4">
        <v>11</v>
      </c>
      <c r="GB5" s="8">
        <f t="shared" si="34"/>
        <v>-4</v>
      </c>
      <c r="GD5" s="20">
        <v>0</v>
      </c>
      <c r="GE5" s="5" t="s">
        <v>12</v>
      </c>
      <c r="GF5" s="20">
        <v>44</v>
      </c>
      <c r="GG5" s="5" t="s">
        <v>12</v>
      </c>
      <c r="GH5" s="4">
        <f t="shared" si="35"/>
        <v>44</v>
      </c>
      <c r="GI5" s="21">
        <v>1</v>
      </c>
      <c r="GJ5" s="18">
        <f t="shared" ref="GJ5:GJ10" si="145">IF(ISNUMBER(GH5), (FX5 + (FY5 * 24)) - GH5, "")</f>
        <v>15</v>
      </c>
      <c r="GK5" s="4">
        <v>15</v>
      </c>
      <c r="GL5" s="8">
        <f t="shared" si="36"/>
        <v>0</v>
      </c>
      <c r="GN5" s="20">
        <v>8</v>
      </c>
      <c r="GO5" s="5" t="s">
        <v>12</v>
      </c>
      <c r="GP5" s="20">
        <v>48</v>
      </c>
      <c r="GQ5" s="5" t="s">
        <v>12</v>
      </c>
      <c r="GR5" s="4">
        <f t="shared" si="37"/>
        <v>56</v>
      </c>
      <c r="GS5" s="21">
        <v>0</v>
      </c>
      <c r="GT5" s="18">
        <f t="shared" ref="GT5:GT10" si="146">IF(ISNUMBER(GR5), (GH5 + (GI5 * 24)) - GR5, "")</f>
        <v>12</v>
      </c>
      <c r="GU5" s="4">
        <v>10</v>
      </c>
      <c r="GV5" s="8">
        <f t="shared" si="38"/>
        <v>-2</v>
      </c>
      <c r="GX5" s="20"/>
      <c r="GY5" s="5" t="s">
        <v>12</v>
      </c>
      <c r="GZ5" s="20">
        <v>34</v>
      </c>
      <c r="HA5" s="5" t="s">
        <v>12</v>
      </c>
      <c r="HB5" s="4">
        <f t="shared" si="39"/>
        <v>34</v>
      </c>
      <c r="HC5" s="21">
        <v>1</v>
      </c>
      <c r="HD5" s="18">
        <f t="shared" ref="HD5:HD10" si="147">IF(ISNUMBER(HB5), (GR5 + (GS5 * 24)) - HB5, "")</f>
        <v>22</v>
      </c>
      <c r="HE5" s="4">
        <v>22</v>
      </c>
      <c r="HF5" s="8">
        <f t="shared" si="40"/>
        <v>0</v>
      </c>
      <c r="HH5" s="20"/>
      <c r="HI5" s="5" t="s">
        <v>12</v>
      </c>
      <c r="HJ5" s="20">
        <v>42</v>
      </c>
      <c r="HK5" s="5" t="s">
        <v>12</v>
      </c>
      <c r="HL5" s="4">
        <f t="shared" si="41"/>
        <v>42</v>
      </c>
      <c r="HM5" s="21">
        <v>1</v>
      </c>
      <c r="HN5" s="18">
        <f t="shared" ref="HN5:HN10" si="148">IF(ISNUMBER(HL5), (HB5 + (HC5 * 24)) - HL5, "")</f>
        <v>16</v>
      </c>
      <c r="HO5" s="4">
        <v>17</v>
      </c>
      <c r="HP5" s="8">
        <f t="shared" si="42"/>
        <v>1</v>
      </c>
      <c r="HR5" s="2"/>
      <c r="HS5" s="5" t="s">
        <v>12</v>
      </c>
      <c r="HT5" s="2">
        <v>43</v>
      </c>
      <c r="HU5" s="5" t="s">
        <v>12</v>
      </c>
      <c r="HV5" s="4">
        <f t="shared" si="43"/>
        <v>43</v>
      </c>
      <c r="HW5" s="17">
        <v>1</v>
      </c>
      <c r="HX5" s="18">
        <f t="shared" ref="HX5:HX10" si="149">IF(ISNUMBER(HV5), (HL5 + (HM5 * 24)) - HV5, "")</f>
        <v>23</v>
      </c>
      <c r="HY5" s="4">
        <v>23</v>
      </c>
      <c r="HZ5" s="8">
        <f t="shared" si="44"/>
        <v>0</v>
      </c>
      <c r="IB5" s="2">
        <v>24</v>
      </c>
      <c r="IC5" s="5" t="s">
        <v>12</v>
      </c>
      <c r="ID5" s="2">
        <v>21</v>
      </c>
      <c r="IE5" s="5" t="s">
        <v>12</v>
      </c>
      <c r="IF5" s="4">
        <f t="shared" si="45"/>
        <v>45</v>
      </c>
      <c r="IG5" s="17">
        <v>0</v>
      </c>
      <c r="IH5" s="18">
        <f t="shared" ref="IH5:IH10" si="150">IF(ISNUMBER(IF5), (HV5 + (HW5 * 24)) - IF5, "")</f>
        <v>22</v>
      </c>
      <c r="II5" s="4">
        <v>22</v>
      </c>
      <c r="IJ5" s="8">
        <f t="shared" si="46"/>
        <v>0</v>
      </c>
      <c r="IL5" s="2"/>
      <c r="IM5" s="5" t="s">
        <v>12</v>
      </c>
      <c r="IN5" s="2">
        <v>26</v>
      </c>
      <c r="IO5" s="5" t="s">
        <v>12</v>
      </c>
      <c r="IP5" s="4">
        <f t="shared" si="47"/>
        <v>26</v>
      </c>
      <c r="IQ5" s="17">
        <v>2</v>
      </c>
      <c r="IR5" s="18">
        <f t="shared" si="48"/>
        <v>19</v>
      </c>
      <c r="IS5" s="4">
        <v>19</v>
      </c>
      <c r="IT5" s="8">
        <f t="shared" si="49"/>
        <v>0</v>
      </c>
      <c r="IV5" s="2">
        <v>24</v>
      </c>
      <c r="IW5" s="5" t="s">
        <v>12</v>
      </c>
      <c r="IX5" s="2">
        <v>36</v>
      </c>
      <c r="IY5" s="5" t="s">
        <v>12</v>
      </c>
      <c r="IZ5" s="4">
        <f t="shared" si="50"/>
        <v>60</v>
      </c>
      <c r="JA5" s="17"/>
      <c r="JB5" s="18">
        <f t="shared" ref="JB5:JB10" si="151">IF(ISNUMBER(IZ5), (IP5 + (IQ5 * 24)) - IZ5, "")</f>
        <v>14</v>
      </c>
      <c r="JC5" s="4">
        <v>14</v>
      </c>
      <c r="JD5" s="8">
        <f t="shared" si="51"/>
        <v>0</v>
      </c>
      <c r="JF5" s="2"/>
      <c r="JG5" s="5" t="s">
        <v>12</v>
      </c>
      <c r="JH5" s="2">
        <v>40</v>
      </c>
      <c r="JI5" s="5" t="s">
        <v>12</v>
      </c>
      <c r="JJ5" s="4">
        <f t="shared" si="52"/>
        <v>40</v>
      </c>
      <c r="JK5" s="17">
        <v>2</v>
      </c>
      <c r="JL5" s="18">
        <f t="shared" ref="JL5:JL10" si="152">IF(ISNUMBER(JJ5), (IZ5 + (JA5 * 24)) - JJ5, "")</f>
        <v>20</v>
      </c>
      <c r="JM5" s="4">
        <v>20</v>
      </c>
      <c r="JN5" s="8">
        <f t="shared" si="53"/>
        <v>0</v>
      </c>
      <c r="JP5" s="20">
        <v>24</v>
      </c>
      <c r="JQ5" s="5" t="s">
        <v>12</v>
      </c>
      <c r="JR5" s="20">
        <v>44</v>
      </c>
      <c r="JS5" s="5" t="s">
        <v>12</v>
      </c>
      <c r="JT5" s="4">
        <f t="shared" si="54"/>
        <v>68</v>
      </c>
      <c r="JU5" s="21"/>
      <c r="JV5" s="18">
        <f t="shared" ref="JV5:JV10" si="153">IF(ISNUMBER(JT5), (JJ5 + (JK5 * 24)) - JT5, "")</f>
        <v>20</v>
      </c>
      <c r="JW5" s="4">
        <v>21</v>
      </c>
      <c r="JX5" s="8">
        <f t="shared" si="55"/>
        <v>1</v>
      </c>
      <c r="JZ5" s="20"/>
      <c r="KA5" s="5" t="s">
        <v>12</v>
      </c>
      <c r="KB5" s="20">
        <v>46</v>
      </c>
      <c r="KC5" s="5" t="s">
        <v>12</v>
      </c>
      <c r="KD5" s="4">
        <f t="shared" si="56"/>
        <v>46</v>
      </c>
      <c r="KE5" s="21">
        <v>1</v>
      </c>
      <c r="KF5" s="18">
        <f t="shared" ref="KF5:KF10" si="154">IF(ISNUMBER(KD5), (JT5 + (JU5 * 24)) - KD5, "")</f>
        <v>22</v>
      </c>
      <c r="KG5" s="4">
        <v>21</v>
      </c>
      <c r="KH5" s="8">
        <f t="shared" si="57"/>
        <v>-1</v>
      </c>
      <c r="KJ5" s="20">
        <v>24</v>
      </c>
      <c r="KK5" s="5" t="s">
        <v>12</v>
      </c>
      <c r="KL5" s="20">
        <v>34</v>
      </c>
      <c r="KM5" s="5" t="s">
        <v>12</v>
      </c>
      <c r="KN5" s="4">
        <f t="shared" si="58"/>
        <v>58</v>
      </c>
      <c r="KO5" s="21"/>
      <c r="KP5" s="18">
        <f t="shared" ref="KP5:KP10" si="155">IF(ISNUMBER(KN5), (KD5 + (KE5 * 24)) - KN5, "")</f>
        <v>12</v>
      </c>
      <c r="KQ5" s="4">
        <v>11</v>
      </c>
      <c r="KR5" s="8">
        <f t="shared" si="59"/>
        <v>-1</v>
      </c>
      <c r="KT5" s="20"/>
      <c r="KU5" s="5" t="s">
        <v>12</v>
      </c>
      <c r="KV5" s="20">
        <v>45</v>
      </c>
      <c r="KW5" s="5" t="s">
        <v>12</v>
      </c>
      <c r="KX5" s="4">
        <f t="shared" si="60"/>
        <v>45</v>
      </c>
      <c r="KY5" s="21">
        <v>2</v>
      </c>
      <c r="KZ5" s="18">
        <f t="shared" si="61"/>
        <v>13</v>
      </c>
      <c r="LA5" s="4">
        <v>12</v>
      </c>
      <c r="LB5" s="8">
        <f t="shared" si="62"/>
        <v>-1</v>
      </c>
      <c r="LD5" s="20">
        <v>48</v>
      </c>
      <c r="LE5" s="5" t="s">
        <v>12</v>
      </c>
      <c r="LF5" s="20">
        <v>32</v>
      </c>
      <c r="LG5" s="5" t="s">
        <v>12</v>
      </c>
      <c r="LH5" s="4">
        <f t="shared" si="63"/>
        <v>80</v>
      </c>
      <c r="LI5" s="21"/>
      <c r="LJ5" s="18">
        <f t="shared" si="64"/>
        <v>13</v>
      </c>
      <c r="LK5" s="4">
        <v>13</v>
      </c>
      <c r="LL5" s="8">
        <f t="shared" si="65"/>
        <v>0</v>
      </c>
      <c r="LN5" s="20">
        <v>24</v>
      </c>
      <c r="LO5" s="5" t="s">
        <v>12</v>
      </c>
      <c r="LP5" s="20">
        <v>46</v>
      </c>
      <c r="LQ5" s="5" t="s">
        <v>12</v>
      </c>
      <c r="LR5" s="4">
        <f t="shared" ref="LR5:LR8" si="156">IF(OR(ISNUMBER(LN5), ISNUMBER(LP5)), IF(ISNUMBER(LN5), LN5, 0) + IF(ISNUMBER(LP5), LP5, 0), "")</f>
        <v>70</v>
      </c>
      <c r="LS5" s="21">
        <v>0</v>
      </c>
      <c r="LT5" s="18">
        <f t="shared" si="66"/>
        <v>10</v>
      </c>
      <c r="LU5" s="4">
        <v>11</v>
      </c>
      <c r="LV5" s="8">
        <f t="shared" si="67"/>
        <v>1</v>
      </c>
      <c r="LX5" s="20">
        <v>24</v>
      </c>
      <c r="LY5" s="5" t="s">
        <v>12</v>
      </c>
      <c r="LZ5" s="20">
        <v>38</v>
      </c>
      <c r="MA5" s="5" t="s">
        <v>12</v>
      </c>
      <c r="MB5" s="4">
        <f t="shared" si="68"/>
        <v>62</v>
      </c>
      <c r="MC5" s="21"/>
      <c r="MD5" s="18">
        <f t="shared" si="69"/>
        <v>8</v>
      </c>
      <c r="ME5" s="4">
        <v>8</v>
      </c>
      <c r="MF5" s="8">
        <f t="shared" si="70"/>
        <v>0</v>
      </c>
      <c r="MH5" s="20"/>
      <c r="MI5" s="5" t="s">
        <v>12</v>
      </c>
      <c r="MJ5" s="20">
        <v>47</v>
      </c>
      <c r="MK5" s="5" t="s">
        <v>12</v>
      </c>
      <c r="ML5" s="4">
        <f t="shared" si="71"/>
        <v>47</v>
      </c>
      <c r="MM5" s="21">
        <v>1</v>
      </c>
      <c r="MN5" s="18">
        <f t="shared" si="72"/>
        <v>15</v>
      </c>
      <c r="MO5" s="4">
        <v>15</v>
      </c>
      <c r="MP5" s="8">
        <f t="shared" si="73"/>
        <v>0</v>
      </c>
      <c r="MR5" s="20">
        <v>13</v>
      </c>
      <c r="MS5" s="5" t="s">
        <v>12</v>
      </c>
      <c r="MT5" s="20">
        <v>44</v>
      </c>
      <c r="MU5" s="5" t="s">
        <v>12</v>
      </c>
      <c r="MV5" s="4">
        <f t="shared" si="74"/>
        <v>57</v>
      </c>
      <c r="MW5" s="21"/>
      <c r="MX5" s="18">
        <f t="shared" si="75"/>
        <v>14</v>
      </c>
      <c r="MY5" s="4">
        <v>11</v>
      </c>
      <c r="MZ5" s="18">
        <f t="shared" si="76"/>
        <v>-3</v>
      </c>
      <c r="NB5" s="20"/>
      <c r="NC5" s="5" t="s">
        <v>12</v>
      </c>
      <c r="ND5" s="20">
        <v>40</v>
      </c>
      <c r="NE5" s="5" t="s">
        <v>12</v>
      </c>
      <c r="NF5" s="4">
        <f t="shared" si="77"/>
        <v>40</v>
      </c>
      <c r="NG5" s="21">
        <v>1</v>
      </c>
      <c r="NH5" s="18">
        <f t="shared" si="78"/>
        <v>17</v>
      </c>
      <c r="NI5" s="4">
        <v>17</v>
      </c>
      <c r="NJ5" s="8">
        <f t="shared" si="79"/>
        <v>0</v>
      </c>
      <c r="NL5" s="20"/>
      <c r="NM5" s="5" t="s">
        <v>12</v>
      </c>
      <c r="NN5" s="20">
        <v>48</v>
      </c>
      <c r="NO5" s="5" t="s">
        <v>12</v>
      </c>
      <c r="NP5" s="4">
        <f t="shared" si="80"/>
        <v>48</v>
      </c>
      <c r="NQ5" s="21"/>
      <c r="NR5" s="18">
        <f t="shared" si="81"/>
        <v>16</v>
      </c>
      <c r="NS5" s="4">
        <v>16</v>
      </c>
      <c r="NT5" s="18">
        <f t="shared" si="82"/>
        <v>0</v>
      </c>
      <c r="NV5" s="20"/>
      <c r="NW5" s="5" t="s">
        <v>12</v>
      </c>
      <c r="NX5" s="20">
        <v>28</v>
      </c>
      <c r="NY5" s="5" t="s">
        <v>12</v>
      </c>
      <c r="NZ5" s="4">
        <f t="shared" si="83"/>
        <v>28</v>
      </c>
      <c r="OA5" s="21">
        <v>1</v>
      </c>
      <c r="OB5" s="18">
        <f t="shared" si="84"/>
        <v>20</v>
      </c>
      <c r="OC5" s="4">
        <v>20</v>
      </c>
      <c r="OD5" s="8">
        <f t="shared" si="85"/>
        <v>0</v>
      </c>
      <c r="OF5" s="20"/>
      <c r="OG5" s="5" t="s">
        <v>12</v>
      </c>
      <c r="OH5" s="20">
        <v>34</v>
      </c>
      <c r="OI5" s="5" t="s">
        <v>12</v>
      </c>
      <c r="OJ5" s="4">
        <f t="shared" si="86"/>
        <v>34</v>
      </c>
      <c r="OK5" s="21"/>
      <c r="OL5" s="18">
        <f t="shared" si="87"/>
        <v>18</v>
      </c>
      <c r="OM5" s="4">
        <v>18</v>
      </c>
      <c r="ON5" s="8">
        <f t="shared" si="88"/>
        <v>0</v>
      </c>
      <c r="OP5" s="20"/>
      <c r="OQ5" s="5" t="s">
        <v>12</v>
      </c>
      <c r="OR5" s="20">
        <v>32</v>
      </c>
      <c r="OS5" s="5" t="s">
        <v>12</v>
      </c>
      <c r="OT5" s="4">
        <f t="shared" si="89"/>
        <v>32</v>
      </c>
      <c r="OU5" s="21"/>
      <c r="OV5" s="18">
        <f t="shared" si="90"/>
        <v>2</v>
      </c>
      <c r="OW5" s="4">
        <v>2</v>
      </c>
      <c r="OX5" s="8">
        <f t="shared" si="91"/>
        <v>0</v>
      </c>
      <c r="OZ5" s="2">
        <v>0</v>
      </c>
      <c r="PA5" s="5" t="s">
        <v>12</v>
      </c>
      <c r="PB5" s="2">
        <v>28</v>
      </c>
      <c r="PC5" s="5" t="s">
        <v>12</v>
      </c>
      <c r="PD5" s="4">
        <f t="shared" si="92"/>
        <v>28</v>
      </c>
      <c r="PE5" s="17">
        <v>1</v>
      </c>
      <c r="PF5" s="18">
        <f t="shared" si="93"/>
        <v>4</v>
      </c>
      <c r="PG5" s="4">
        <v>4</v>
      </c>
      <c r="PH5" s="8">
        <f t="shared" si="94"/>
        <v>0</v>
      </c>
      <c r="PJ5" s="2"/>
      <c r="PK5" s="5" t="s">
        <v>12</v>
      </c>
      <c r="PL5" s="2">
        <v>32</v>
      </c>
      <c r="PM5" s="5" t="s">
        <v>12</v>
      </c>
      <c r="PN5" s="4">
        <f t="shared" si="95"/>
        <v>32</v>
      </c>
      <c r="PO5" s="17"/>
      <c r="PP5" s="18">
        <f t="shared" si="96"/>
        <v>20</v>
      </c>
      <c r="PQ5" s="4">
        <v>20</v>
      </c>
      <c r="PR5" s="8">
        <f t="shared" si="97"/>
        <v>0</v>
      </c>
      <c r="PT5" s="20"/>
      <c r="PU5" s="5" t="s">
        <v>12</v>
      </c>
      <c r="PV5" s="20">
        <v>23</v>
      </c>
      <c r="PW5" s="5" t="s">
        <v>12</v>
      </c>
      <c r="PX5" s="4">
        <f t="shared" si="98"/>
        <v>23</v>
      </c>
      <c r="PY5" s="21">
        <v>1</v>
      </c>
      <c r="PZ5" s="18">
        <f t="shared" si="99"/>
        <v>9</v>
      </c>
      <c r="QA5" s="4">
        <v>9</v>
      </c>
      <c r="QB5" s="8">
        <f t="shared" si="100"/>
        <v>0</v>
      </c>
      <c r="QD5" s="20">
        <v>0</v>
      </c>
      <c r="QE5" s="5" t="s">
        <v>12</v>
      </c>
      <c r="QF5" s="20">
        <v>30</v>
      </c>
      <c r="QG5" s="5" t="s">
        <v>12</v>
      </c>
      <c r="QH5" s="4">
        <f t="shared" si="101"/>
        <v>30</v>
      </c>
      <c r="QI5" s="21"/>
      <c r="QJ5" s="18">
        <f t="shared" si="102"/>
        <v>17</v>
      </c>
      <c r="QK5" s="4">
        <v>17</v>
      </c>
      <c r="QL5" s="8">
        <f t="shared" si="103"/>
        <v>0</v>
      </c>
      <c r="QN5" s="20">
        <v>0</v>
      </c>
      <c r="QO5" s="5" t="s">
        <v>12</v>
      </c>
      <c r="QP5" s="20">
        <v>18</v>
      </c>
      <c r="QQ5" s="5" t="s">
        <v>12</v>
      </c>
      <c r="QR5" s="4">
        <f t="shared" si="104"/>
        <v>18</v>
      </c>
      <c r="QS5" s="21">
        <v>2</v>
      </c>
      <c r="QT5" s="18">
        <f t="shared" si="105"/>
        <v>12</v>
      </c>
      <c r="QU5" s="4">
        <v>12</v>
      </c>
      <c r="QV5" s="8">
        <f t="shared" si="106"/>
        <v>0</v>
      </c>
      <c r="QX5" s="20">
        <v>24</v>
      </c>
      <c r="QY5" s="5" t="s">
        <v>12</v>
      </c>
      <c r="QZ5" s="20">
        <v>26</v>
      </c>
      <c r="RA5" s="5" t="s">
        <v>12</v>
      </c>
      <c r="RB5" s="4">
        <f t="shared" si="107"/>
        <v>50</v>
      </c>
      <c r="RC5" s="21"/>
      <c r="RD5" s="18">
        <f t="shared" si="108"/>
        <v>16</v>
      </c>
      <c r="RE5" s="4">
        <v>16</v>
      </c>
      <c r="RF5" s="8">
        <f t="shared" si="109"/>
        <v>0</v>
      </c>
      <c r="RH5" s="20">
        <v>0</v>
      </c>
      <c r="RI5" s="5" t="s">
        <v>12</v>
      </c>
      <c r="RJ5" s="20">
        <v>48</v>
      </c>
      <c r="RK5" s="5" t="s">
        <v>12</v>
      </c>
      <c r="RL5" s="4">
        <f t="shared" si="110"/>
        <v>48</v>
      </c>
      <c r="RM5" s="21">
        <v>0</v>
      </c>
      <c r="RN5" s="18">
        <f t="shared" si="111"/>
        <v>2</v>
      </c>
      <c r="RO5" s="4">
        <v>2</v>
      </c>
      <c r="RP5" s="8">
        <f t="shared" si="112"/>
        <v>0</v>
      </c>
      <c r="RR5" s="2">
        <v>0</v>
      </c>
      <c r="RS5" s="5" t="s">
        <v>12</v>
      </c>
      <c r="RT5" s="2">
        <v>34</v>
      </c>
      <c r="RU5" s="5" t="s">
        <v>12</v>
      </c>
      <c r="RV5" s="4">
        <f t="shared" si="113"/>
        <v>34</v>
      </c>
      <c r="RW5" s="17"/>
      <c r="RX5" s="18">
        <f t="shared" si="114"/>
        <v>14</v>
      </c>
      <c r="RY5" s="4">
        <v>14</v>
      </c>
      <c r="RZ5" s="8">
        <f t="shared" si="115"/>
        <v>0</v>
      </c>
      <c r="SB5" s="20"/>
      <c r="SC5" s="5" t="s">
        <v>12</v>
      </c>
      <c r="SD5" s="20">
        <v>27</v>
      </c>
      <c r="SE5" s="5" t="s">
        <v>12</v>
      </c>
      <c r="SF5" s="4">
        <f t="shared" si="116"/>
        <v>27</v>
      </c>
      <c r="SG5" s="21">
        <v>1</v>
      </c>
      <c r="SH5" s="18">
        <f t="shared" si="117"/>
        <v>7</v>
      </c>
      <c r="SI5" s="4">
        <v>7</v>
      </c>
      <c r="SJ5" s="8">
        <f t="shared" si="118"/>
        <v>0</v>
      </c>
      <c r="SL5" s="20">
        <v>0</v>
      </c>
      <c r="SM5" s="5" t="s">
        <v>12</v>
      </c>
      <c r="SN5" s="20">
        <v>35</v>
      </c>
      <c r="SO5" s="5" t="s">
        <v>12</v>
      </c>
      <c r="SP5" s="4">
        <f t="shared" si="119"/>
        <v>35</v>
      </c>
      <c r="SQ5" s="21"/>
      <c r="SR5" s="18">
        <f t="shared" si="120"/>
        <v>16</v>
      </c>
      <c r="SS5" s="4">
        <v>16</v>
      </c>
      <c r="ST5" s="8">
        <f t="shared" si="121"/>
        <v>0</v>
      </c>
      <c r="SV5" s="74">
        <v>0</v>
      </c>
      <c r="SW5" s="75" t="s">
        <v>12</v>
      </c>
      <c r="SX5" s="74">
        <v>17</v>
      </c>
      <c r="SY5" s="75" t="s">
        <v>12</v>
      </c>
      <c r="SZ5" s="76">
        <f t="shared" si="122"/>
        <v>17</v>
      </c>
      <c r="TA5" s="77">
        <v>1</v>
      </c>
      <c r="TB5" s="78">
        <f t="shared" si="123"/>
        <v>18</v>
      </c>
      <c r="TC5" s="76">
        <v>18</v>
      </c>
      <c r="TD5" s="79">
        <f t="shared" si="124"/>
        <v>0</v>
      </c>
      <c r="TF5" s="91"/>
      <c r="TG5" s="92" t="s">
        <v>12</v>
      </c>
      <c r="TH5" s="91">
        <v>27</v>
      </c>
      <c r="TI5" s="92" t="s">
        <v>12</v>
      </c>
      <c r="TJ5" s="93">
        <f t="shared" si="125"/>
        <v>27</v>
      </c>
      <c r="TK5" s="94"/>
      <c r="TL5" s="95">
        <f t="shared" si="126"/>
        <v>14</v>
      </c>
      <c r="TM5" s="93">
        <v>14</v>
      </c>
      <c r="TN5" s="96">
        <f t="shared" si="127"/>
        <v>0</v>
      </c>
    </row>
    <row r="6" spans="1:534" ht="12.75" customHeight="1" x14ac:dyDescent="0.2">
      <c r="A6" s="16" t="s">
        <v>20</v>
      </c>
      <c r="B6" s="11" t="s">
        <v>13</v>
      </c>
      <c r="C6" s="12">
        <v>66</v>
      </c>
      <c r="D6" s="13" t="s">
        <v>12</v>
      </c>
      <c r="F6" s="2"/>
      <c r="G6" s="5" t="s">
        <v>12</v>
      </c>
      <c r="H6" s="2"/>
      <c r="I6" s="5" t="s">
        <v>12</v>
      </c>
      <c r="J6" s="4">
        <v>0</v>
      </c>
      <c r="K6" s="17">
        <v>1</v>
      </c>
      <c r="L6" s="18"/>
      <c r="M6" s="4"/>
      <c r="N6" s="8" t="str">
        <f t="shared" si="0"/>
        <v/>
      </c>
      <c r="P6" s="20">
        <v>6</v>
      </c>
      <c r="Q6" s="5" t="s">
        <v>12</v>
      </c>
      <c r="R6" s="20">
        <v>8</v>
      </c>
      <c r="S6" s="5" t="s">
        <v>12</v>
      </c>
      <c r="T6" s="4">
        <f t="shared" si="1"/>
        <v>14</v>
      </c>
      <c r="U6" s="21">
        <v>1</v>
      </c>
      <c r="V6" s="18">
        <f t="shared" si="128"/>
        <v>10</v>
      </c>
      <c r="W6" s="4">
        <v>10</v>
      </c>
      <c r="X6" s="8">
        <f t="shared" si="2"/>
        <v>0</v>
      </c>
      <c r="Z6" s="20"/>
      <c r="AA6" s="5" t="s">
        <v>12</v>
      </c>
      <c r="AB6" s="20">
        <v>22</v>
      </c>
      <c r="AC6" s="5" t="s">
        <v>12</v>
      </c>
      <c r="AD6" s="4">
        <f t="shared" si="3"/>
        <v>22</v>
      </c>
      <c r="AE6" s="21"/>
      <c r="AF6" s="18">
        <f t="shared" si="129"/>
        <v>16</v>
      </c>
      <c r="AG6" s="4">
        <v>6</v>
      </c>
      <c r="AH6" s="8">
        <f t="shared" si="4"/>
        <v>-10</v>
      </c>
      <c r="AJ6" s="2"/>
      <c r="AK6" s="5" t="s">
        <v>12</v>
      </c>
      <c r="AL6" s="2">
        <v>11</v>
      </c>
      <c r="AM6" s="5" t="s">
        <v>12</v>
      </c>
      <c r="AN6" s="4">
        <f t="shared" si="5"/>
        <v>11</v>
      </c>
      <c r="AO6" s="17">
        <v>1</v>
      </c>
      <c r="AP6" s="18">
        <f t="shared" si="130"/>
        <v>11</v>
      </c>
      <c r="AQ6" s="4">
        <v>2</v>
      </c>
      <c r="AR6" s="8">
        <f t="shared" si="6"/>
        <v>-9</v>
      </c>
      <c r="AT6" s="2"/>
      <c r="AU6" s="5" t="s">
        <v>12</v>
      </c>
      <c r="AV6" s="2">
        <v>23</v>
      </c>
      <c r="AW6" s="5" t="s">
        <v>12</v>
      </c>
      <c r="AX6" s="4">
        <f t="shared" si="7"/>
        <v>23</v>
      </c>
      <c r="AY6" s="17">
        <v>0</v>
      </c>
      <c r="AZ6" s="18">
        <f t="shared" si="131"/>
        <v>12</v>
      </c>
      <c r="BA6" s="4">
        <v>11</v>
      </c>
      <c r="BB6" s="8">
        <f t="shared" si="8"/>
        <v>-1</v>
      </c>
      <c r="BD6" s="2"/>
      <c r="BE6" s="5" t="s">
        <v>12</v>
      </c>
      <c r="BF6" s="2">
        <v>7</v>
      </c>
      <c r="BG6" s="5" t="s">
        <v>12</v>
      </c>
      <c r="BH6" s="4">
        <f t="shared" si="9"/>
        <v>7</v>
      </c>
      <c r="BI6" s="17">
        <v>1</v>
      </c>
      <c r="BJ6" s="18">
        <f t="shared" si="132"/>
        <v>16</v>
      </c>
      <c r="BK6" s="4">
        <v>13</v>
      </c>
      <c r="BL6" s="8">
        <f t="shared" si="10"/>
        <v>-3</v>
      </c>
      <c r="BN6" s="20"/>
      <c r="BO6" s="5" t="s">
        <v>12</v>
      </c>
      <c r="BP6" s="20">
        <v>21</v>
      </c>
      <c r="BQ6" s="5" t="s">
        <v>12</v>
      </c>
      <c r="BR6" s="4">
        <f t="shared" si="11"/>
        <v>21</v>
      </c>
      <c r="BS6" s="21">
        <v>1</v>
      </c>
      <c r="BT6" s="18">
        <f t="shared" si="133"/>
        <v>10</v>
      </c>
      <c r="BU6" s="4">
        <v>10</v>
      </c>
      <c r="BV6" s="8">
        <f t="shared" si="12"/>
        <v>0</v>
      </c>
      <c r="BX6" s="20"/>
      <c r="BY6" s="5" t="s">
        <v>12</v>
      </c>
      <c r="BZ6" s="20">
        <v>34</v>
      </c>
      <c r="CA6" s="5" t="s">
        <v>12</v>
      </c>
      <c r="CB6" s="4">
        <f t="shared" si="13"/>
        <v>34</v>
      </c>
      <c r="CC6" s="21">
        <v>1</v>
      </c>
      <c r="CD6" s="18">
        <f t="shared" si="134"/>
        <v>11</v>
      </c>
      <c r="CE6" s="4">
        <v>9</v>
      </c>
      <c r="CF6" s="8">
        <f t="shared" si="14"/>
        <v>-2</v>
      </c>
      <c r="CH6" s="20"/>
      <c r="CI6" s="5" t="s">
        <v>12</v>
      </c>
      <c r="CJ6" s="20">
        <v>40</v>
      </c>
      <c r="CK6" s="5" t="s">
        <v>12</v>
      </c>
      <c r="CL6" s="4">
        <f t="shared" si="15"/>
        <v>40</v>
      </c>
      <c r="CM6" s="21">
        <v>1</v>
      </c>
      <c r="CN6" s="18">
        <f t="shared" si="135"/>
        <v>18</v>
      </c>
      <c r="CO6" s="4">
        <v>13</v>
      </c>
      <c r="CP6" s="8">
        <f t="shared" si="16"/>
        <v>-5</v>
      </c>
      <c r="CR6" s="20">
        <v>24</v>
      </c>
      <c r="CS6" s="5" t="s">
        <v>12</v>
      </c>
      <c r="CT6" s="20">
        <v>34</v>
      </c>
      <c r="CU6" s="5" t="s">
        <v>12</v>
      </c>
      <c r="CV6" s="4">
        <f t="shared" si="17"/>
        <v>58</v>
      </c>
      <c r="CW6" s="21">
        <v>0</v>
      </c>
      <c r="CX6" s="18">
        <f t="shared" si="136"/>
        <v>6</v>
      </c>
      <c r="CY6" s="4">
        <v>6</v>
      </c>
      <c r="CZ6" s="8">
        <f t="shared" si="18"/>
        <v>0</v>
      </c>
      <c r="DB6" s="20"/>
      <c r="DC6" s="5" t="s">
        <v>12</v>
      </c>
      <c r="DD6" s="20">
        <v>50</v>
      </c>
      <c r="DE6" s="5" t="s">
        <v>12</v>
      </c>
      <c r="DF6" s="4">
        <f t="shared" si="19"/>
        <v>50</v>
      </c>
      <c r="DG6" s="21">
        <v>0</v>
      </c>
      <c r="DH6" s="18">
        <f t="shared" si="137"/>
        <v>8</v>
      </c>
      <c r="DI6" s="4">
        <v>8</v>
      </c>
      <c r="DJ6" s="8">
        <f t="shared" si="20"/>
        <v>0</v>
      </c>
      <c r="DL6" s="20"/>
      <c r="DM6" s="5" t="s">
        <v>12</v>
      </c>
      <c r="DN6" s="20">
        <v>42</v>
      </c>
      <c r="DO6" s="5" t="s">
        <v>12</v>
      </c>
      <c r="DP6" s="4">
        <f t="shared" si="21"/>
        <v>42</v>
      </c>
      <c r="DQ6" s="21"/>
      <c r="DR6" s="18">
        <f t="shared" si="138"/>
        <v>8</v>
      </c>
      <c r="DS6" s="4">
        <v>8</v>
      </c>
      <c r="DT6" s="8">
        <f t="shared" si="22"/>
        <v>0</v>
      </c>
      <c r="DV6" s="2">
        <v>1</v>
      </c>
      <c r="DW6" s="5" t="s">
        <v>12</v>
      </c>
      <c r="DX6" s="2">
        <v>35</v>
      </c>
      <c r="DY6" s="5" t="s">
        <v>12</v>
      </c>
      <c r="DZ6" s="4">
        <f t="shared" si="23"/>
        <v>36</v>
      </c>
      <c r="EA6" s="17"/>
      <c r="EB6" s="18">
        <f t="shared" si="139"/>
        <v>6</v>
      </c>
      <c r="EC6" s="4">
        <v>7</v>
      </c>
      <c r="ED6" s="8">
        <f t="shared" si="24"/>
        <v>1</v>
      </c>
      <c r="EF6" s="20"/>
      <c r="EG6" s="5" t="s">
        <v>12</v>
      </c>
      <c r="EH6" s="20">
        <v>24</v>
      </c>
      <c r="EI6" s="5" t="s">
        <v>12</v>
      </c>
      <c r="EJ6" s="4">
        <f t="shared" si="25"/>
        <v>24</v>
      </c>
      <c r="EK6" s="21"/>
      <c r="EL6" s="18">
        <f t="shared" si="140"/>
        <v>12</v>
      </c>
      <c r="EM6" s="4">
        <v>12</v>
      </c>
      <c r="EN6" s="8">
        <f t="shared" si="26"/>
        <v>0</v>
      </c>
      <c r="EP6" s="20">
        <v>0</v>
      </c>
      <c r="EQ6" s="5" t="s">
        <v>12</v>
      </c>
      <c r="ER6" s="20">
        <v>15</v>
      </c>
      <c r="ES6" s="5" t="s">
        <v>12</v>
      </c>
      <c r="ET6" s="4">
        <f t="shared" si="27"/>
        <v>15</v>
      </c>
      <c r="EU6" s="21">
        <v>1</v>
      </c>
      <c r="EV6" s="18">
        <f t="shared" si="141"/>
        <v>9</v>
      </c>
      <c r="EW6" s="4">
        <v>7</v>
      </c>
      <c r="EX6" s="8">
        <f t="shared" si="28"/>
        <v>-2</v>
      </c>
      <c r="EZ6" s="20"/>
      <c r="FA6" s="5" t="s">
        <v>12</v>
      </c>
      <c r="FB6" s="20">
        <v>30</v>
      </c>
      <c r="FC6" s="5" t="s">
        <v>12</v>
      </c>
      <c r="FD6" s="4">
        <f t="shared" si="29"/>
        <v>30</v>
      </c>
      <c r="FE6" s="21"/>
      <c r="FF6" s="18">
        <f t="shared" si="142"/>
        <v>9</v>
      </c>
      <c r="FG6" s="4">
        <v>9</v>
      </c>
      <c r="FH6" s="8">
        <f t="shared" si="30"/>
        <v>0</v>
      </c>
      <c r="FJ6" s="2"/>
      <c r="FK6" s="5" t="s">
        <v>12</v>
      </c>
      <c r="FL6" s="2">
        <v>16</v>
      </c>
      <c r="FM6" s="5" t="s">
        <v>12</v>
      </c>
      <c r="FN6" s="4">
        <f t="shared" si="31"/>
        <v>16</v>
      </c>
      <c r="FO6" s="17">
        <v>1</v>
      </c>
      <c r="FP6" s="18">
        <f t="shared" si="143"/>
        <v>14</v>
      </c>
      <c r="FQ6" s="4">
        <v>12</v>
      </c>
      <c r="FR6" s="8">
        <f t="shared" si="32"/>
        <v>-2</v>
      </c>
      <c r="FT6" s="2"/>
      <c r="FU6" s="5" t="s">
        <v>12</v>
      </c>
      <c r="FV6" s="2">
        <v>27</v>
      </c>
      <c r="FW6" s="5" t="s">
        <v>12</v>
      </c>
      <c r="FX6" s="4">
        <f t="shared" si="33"/>
        <v>27</v>
      </c>
      <c r="FY6" s="17">
        <v>0</v>
      </c>
      <c r="FZ6" s="18">
        <f t="shared" si="144"/>
        <v>13</v>
      </c>
      <c r="GA6" s="4">
        <v>11</v>
      </c>
      <c r="GB6" s="8">
        <f t="shared" si="34"/>
        <v>-2</v>
      </c>
      <c r="GD6" s="20">
        <v>0</v>
      </c>
      <c r="GE6" s="5" t="s">
        <v>12</v>
      </c>
      <c r="GF6" s="20">
        <v>21</v>
      </c>
      <c r="GG6" s="5" t="s">
        <v>12</v>
      </c>
      <c r="GH6" s="4">
        <f t="shared" si="35"/>
        <v>21</v>
      </c>
      <c r="GI6" s="21">
        <v>1</v>
      </c>
      <c r="GJ6" s="18">
        <f t="shared" si="145"/>
        <v>6</v>
      </c>
      <c r="GK6" s="4">
        <v>6</v>
      </c>
      <c r="GL6" s="8">
        <f t="shared" si="36"/>
        <v>0</v>
      </c>
      <c r="GN6" s="20"/>
      <c r="GO6" s="5" t="s">
        <v>12</v>
      </c>
      <c r="GP6" s="20">
        <v>36</v>
      </c>
      <c r="GQ6" s="5" t="s">
        <v>12</v>
      </c>
      <c r="GR6" s="4">
        <f t="shared" si="37"/>
        <v>36</v>
      </c>
      <c r="GS6" s="21">
        <v>0</v>
      </c>
      <c r="GT6" s="18">
        <f t="shared" si="146"/>
        <v>9</v>
      </c>
      <c r="GU6" s="4">
        <v>9</v>
      </c>
      <c r="GV6" s="8">
        <f t="shared" si="38"/>
        <v>0</v>
      </c>
      <c r="GX6" s="20"/>
      <c r="GY6" s="5" t="s">
        <v>12</v>
      </c>
      <c r="GZ6" s="20">
        <v>29</v>
      </c>
      <c r="HA6" s="5" t="s">
        <v>12</v>
      </c>
      <c r="HB6" s="4">
        <f t="shared" si="39"/>
        <v>29</v>
      </c>
      <c r="HC6" s="21">
        <v>0</v>
      </c>
      <c r="HD6" s="18">
        <f t="shared" si="147"/>
        <v>7</v>
      </c>
      <c r="HE6" s="4">
        <v>7</v>
      </c>
      <c r="HF6" s="8">
        <f t="shared" si="40"/>
        <v>0</v>
      </c>
      <c r="HH6" s="20"/>
      <c r="HI6" s="5" t="s">
        <v>12</v>
      </c>
      <c r="HJ6" s="20">
        <v>11</v>
      </c>
      <c r="HK6" s="5" t="s">
        <v>12</v>
      </c>
      <c r="HL6" s="4">
        <f t="shared" si="41"/>
        <v>11</v>
      </c>
      <c r="HM6" s="21">
        <v>1</v>
      </c>
      <c r="HN6" s="18">
        <f t="shared" si="148"/>
        <v>18</v>
      </c>
      <c r="HO6" s="4">
        <v>15</v>
      </c>
      <c r="HP6" s="8">
        <f t="shared" si="42"/>
        <v>-3</v>
      </c>
      <c r="HR6" s="2"/>
      <c r="HS6" s="5" t="s">
        <v>12</v>
      </c>
      <c r="HT6" s="2">
        <v>19</v>
      </c>
      <c r="HU6" s="5" t="s">
        <v>12</v>
      </c>
      <c r="HV6" s="4">
        <f t="shared" si="43"/>
        <v>19</v>
      </c>
      <c r="HW6" s="17">
        <v>1</v>
      </c>
      <c r="HX6" s="18">
        <f t="shared" si="149"/>
        <v>16</v>
      </c>
      <c r="HY6" s="4">
        <v>16</v>
      </c>
      <c r="HZ6" s="8">
        <f t="shared" si="44"/>
        <v>0</v>
      </c>
      <c r="IB6" s="2"/>
      <c r="IC6" s="5" t="s">
        <v>12</v>
      </c>
      <c r="ID6" s="2">
        <v>33</v>
      </c>
      <c r="IE6" s="5" t="s">
        <v>12</v>
      </c>
      <c r="IF6" s="4">
        <f t="shared" si="45"/>
        <v>33</v>
      </c>
      <c r="IG6" s="17">
        <v>1</v>
      </c>
      <c r="IH6" s="18">
        <f t="shared" si="150"/>
        <v>10</v>
      </c>
      <c r="II6" s="4">
        <v>10</v>
      </c>
      <c r="IJ6" s="8">
        <f t="shared" si="46"/>
        <v>0</v>
      </c>
      <c r="IL6" s="2">
        <v>24</v>
      </c>
      <c r="IM6" s="5" t="s">
        <v>12</v>
      </c>
      <c r="IN6" s="2">
        <v>23</v>
      </c>
      <c r="IO6" s="5" t="s">
        <v>12</v>
      </c>
      <c r="IP6" s="4">
        <f t="shared" si="47"/>
        <v>47</v>
      </c>
      <c r="IQ6" s="17"/>
      <c r="IR6" s="18">
        <f t="shared" si="48"/>
        <v>10</v>
      </c>
      <c r="IS6" s="4">
        <v>10</v>
      </c>
      <c r="IT6" s="8">
        <f t="shared" si="49"/>
        <v>0</v>
      </c>
      <c r="IV6" s="2">
        <v>0</v>
      </c>
      <c r="IW6" s="5" t="s">
        <v>12</v>
      </c>
      <c r="IX6" s="2">
        <v>33</v>
      </c>
      <c r="IY6" s="5" t="s">
        <v>12</v>
      </c>
      <c r="IZ6" s="4">
        <f t="shared" si="50"/>
        <v>33</v>
      </c>
      <c r="JA6" s="17"/>
      <c r="JB6" s="18">
        <f t="shared" si="151"/>
        <v>14</v>
      </c>
      <c r="JC6" s="4">
        <v>14</v>
      </c>
      <c r="JD6" s="8">
        <f t="shared" si="51"/>
        <v>0</v>
      </c>
      <c r="JF6" s="2"/>
      <c r="JG6" s="5" t="s">
        <v>12</v>
      </c>
      <c r="JH6" s="2">
        <v>16</v>
      </c>
      <c r="JI6" s="5" t="s">
        <v>12</v>
      </c>
      <c r="JJ6" s="4">
        <f t="shared" si="52"/>
        <v>16</v>
      </c>
      <c r="JK6" s="17">
        <v>1</v>
      </c>
      <c r="JL6" s="18">
        <f t="shared" si="152"/>
        <v>17</v>
      </c>
      <c r="JM6" s="4">
        <v>17</v>
      </c>
      <c r="JN6" s="8">
        <f t="shared" si="53"/>
        <v>0</v>
      </c>
      <c r="JP6" s="20">
        <v>0</v>
      </c>
      <c r="JQ6" s="5" t="s">
        <v>12</v>
      </c>
      <c r="JR6" s="20">
        <v>18</v>
      </c>
      <c r="JS6" s="5" t="s">
        <v>12</v>
      </c>
      <c r="JT6" s="4">
        <f t="shared" si="54"/>
        <v>18</v>
      </c>
      <c r="JU6" s="21"/>
      <c r="JV6" s="18">
        <f t="shared" si="153"/>
        <v>22</v>
      </c>
      <c r="JW6" s="4">
        <v>23</v>
      </c>
      <c r="JX6" s="8">
        <f t="shared" si="55"/>
        <v>1</v>
      </c>
      <c r="JZ6" s="20"/>
      <c r="KA6" s="5" t="s">
        <v>12</v>
      </c>
      <c r="KB6" s="20">
        <v>7</v>
      </c>
      <c r="KC6" s="5" t="s">
        <v>12</v>
      </c>
      <c r="KD6" s="4">
        <f t="shared" si="56"/>
        <v>7</v>
      </c>
      <c r="KE6" s="21">
        <v>2</v>
      </c>
      <c r="KF6" s="18">
        <f t="shared" si="154"/>
        <v>11</v>
      </c>
      <c r="KG6" s="4">
        <v>11</v>
      </c>
      <c r="KH6" s="8">
        <f t="shared" si="57"/>
        <v>0</v>
      </c>
      <c r="KJ6" s="20"/>
      <c r="KK6" s="5" t="s">
        <v>12</v>
      </c>
      <c r="KL6" s="20">
        <v>42</v>
      </c>
      <c r="KM6" s="5" t="s">
        <v>12</v>
      </c>
      <c r="KN6" s="4">
        <f t="shared" si="58"/>
        <v>42</v>
      </c>
      <c r="KO6" s="21"/>
      <c r="KP6" s="18">
        <f t="shared" si="155"/>
        <v>13</v>
      </c>
      <c r="KQ6" s="4">
        <v>13</v>
      </c>
      <c r="KR6" s="8">
        <f t="shared" si="59"/>
        <v>0</v>
      </c>
      <c r="KT6" s="20"/>
      <c r="KU6" s="5" t="s">
        <v>12</v>
      </c>
      <c r="KV6" s="20">
        <v>21</v>
      </c>
      <c r="KW6" s="5" t="s">
        <v>12</v>
      </c>
      <c r="KX6" s="4">
        <f t="shared" si="60"/>
        <v>21</v>
      </c>
      <c r="KY6" s="21">
        <v>2</v>
      </c>
      <c r="KZ6" s="18">
        <f t="shared" si="61"/>
        <v>21</v>
      </c>
      <c r="LA6" s="4">
        <v>17</v>
      </c>
      <c r="LB6" s="8">
        <f t="shared" si="62"/>
        <v>-4</v>
      </c>
      <c r="LD6" s="20">
        <v>24</v>
      </c>
      <c r="LE6" s="5" t="s">
        <v>12</v>
      </c>
      <c r="LF6" s="20">
        <v>24</v>
      </c>
      <c r="LG6" s="5" t="s">
        <v>12</v>
      </c>
      <c r="LH6" s="4">
        <f t="shared" si="63"/>
        <v>48</v>
      </c>
      <c r="LI6" s="21"/>
      <c r="LJ6" s="18">
        <f t="shared" si="64"/>
        <v>21</v>
      </c>
      <c r="LK6" s="4">
        <v>21</v>
      </c>
      <c r="LL6" s="8">
        <f t="shared" si="65"/>
        <v>0</v>
      </c>
      <c r="LN6" s="20"/>
      <c r="LO6" s="5" t="s">
        <v>12</v>
      </c>
      <c r="LP6" s="20">
        <v>32</v>
      </c>
      <c r="LQ6" s="5" t="s">
        <v>12</v>
      </c>
      <c r="LR6" s="4">
        <v>34</v>
      </c>
      <c r="LS6" s="21">
        <v>1</v>
      </c>
      <c r="LT6" s="18">
        <f t="shared" si="66"/>
        <v>14</v>
      </c>
      <c r="LU6" s="4">
        <v>11</v>
      </c>
      <c r="LV6" s="8">
        <f t="shared" si="67"/>
        <v>-3</v>
      </c>
      <c r="LX6" s="20"/>
      <c r="LY6" s="5" t="s">
        <v>12</v>
      </c>
      <c r="LZ6" s="20">
        <v>30</v>
      </c>
      <c r="MA6" s="5" t="s">
        <v>12</v>
      </c>
      <c r="MB6" s="4">
        <f t="shared" si="68"/>
        <v>30</v>
      </c>
      <c r="MC6" s="21"/>
      <c r="MD6" s="18">
        <f t="shared" si="69"/>
        <v>28</v>
      </c>
      <c r="ME6" s="4">
        <v>22</v>
      </c>
      <c r="MF6" s="8">
        <f t="shared" si="70"/>
        <v>-6</v>
      </c>
      <c r="MH6" s="20"/>
      <c r="MI6" s="5" t="s">
        <v>12</v>
      </c>
      <c r="MJ6" s="20">
        <v>14</v>
      </c>
      <c r="MK6" s="5" t="s">
        <v>12</v>
      </c>
      <c r="ML6" s="4">
        <f t="shared" si="71"/>
        <v>14</v>
      </c>
      <c r="MM6" s="21">
        <v>1</v>
      </c>
      <c r="MN6" s="18">
        <f t="shared" si="72"/>
        <v>16</v>
      </c>
      <c r="MO6" s="4">
        <v>16</v>
      </c>
      <c r="MP6" s="8">
        <f t="shared" si="73"/>
        <v>0</v>
      </c>
      <c r="MR6" s="20"/>
      <c r="MS6" s="5" t="s">
        <v>12</v>
      </c>
      <c r="MT6" s="20">
        <v>26</v>
      </c>
      <c r="MU6" s="5" t="s">
        <v>12</v>
      </c>
      <c r="MV6" s="4">
        <f t="shared" si="74"/>
        <v>26</v>
      </c>
      <c r="MW6" s="21"/>
      <c r="MX6" s="18">
        <f t="shared" si="75"/>
        <v>12</v>
      </c>
      <c r="MY6" s="4">
        <v>7</v>
      </c>
      <c r="MZ6" s="18">
        <f t="shared" si="76"/>
        <v>-5</v>
      </c>
      <c r="NB6" s="20"/>
      <c r="NC6" s="5" t="s">
        <v>12</v>
      </c>
      <c r="ND6" s="20">
        <v>10</v>
      </c>
      <c r="NE6" s="5" t="s">
        <v>12</v>
      </c>
      <c r="NF6" s="4">
        <f t="shared" si="77"/>
        <v>10</v>
      </c>
      <c r="NG6" s="21">
        <v>2</v>
      </c>
      <c r="NH6" s="18">
        <f t="shared" si="78"/>
        <v>16</v>
      </c>
      <c r="NI6" s="4">
        <v>9</v>
      </c>
      <c r="NJ6" s="8">
        <f t="shared" si="79"/>
        <v>-7</v>
      </c>
      <c r="NL6" s="20"/>
      <c r="NM6" s="5" t="s">
        <v>12</v>
      </c>
      <c r="NN6" s="20">
        <v>47</v>
      </c>
      <c r="NO6" s="5" t="s">
        <v>12</v>
      </c>
      <c r="NP6" s="4">
        <f t="shared" si="80"/>
        <v>47</v>
      </c>
      <c r="NQ6" s="21"/>
      <c r="NR6" s="18">
        <f t="shared" si="81"/>
        <v>11</v>
      </c>
      <c r="NS6" s="4">
        <v>9</v>
      </c>
      <c r="NT6" s="8">
        <f t="shared" si="82"/>
        <v>-2</v>
      </c>
      <c r="NV6" s="20"/>
      <c r="NW6" s="5" t="s">
        <v>12</v>
      </c>
      <c r="NX6" s="20">
        <v>34</v>
      </c>
      <c r="NY6" s="5" t="s">
        <v>12</v>
      </c>
      <c r="NZ6" s="4">
        <f t="shared" si="83"/>
        <v>34</v>
      </c>
      <c r="OA6" s="21">
        <v>1</v>
      </c>
      <c r="OB6" s="18">
        <f t="shared" si="84"/>
        <v>13</v>
      </c>
      <c r="OC6" s="4">
        <v>13</v>
      </c>
      <c r="OD6" s="8">
        <f t="shared" si="85"/>
        <v>0</v>
      </c>
      <c r="OF6" s="20"/>
      <c r="OG6" s="5" t="s">
        <v>12</v>
      </c>
      <c r="OH6" s="20">
        <v>42</v>
      </c>
      <c r="OI6" s="5" t="s">
        <v>12</v>
      </c>
      <c r="OJ6" s="4">
        <f t="shared" si="86"/>
        <v>42</v>
      </c>
      <c r="OK6" s="21"/>
      <c r="OL6" s="18">
        <f t="shared" si="87"/>
        <v>16</v>
      </c>
      <c r="OM6" s="4">
        <v>8</v>
      </c>
      <c r="ON6" s="8">
        <f t="shared" si="88"/>
        <v>-8</v>
      </c>
      <c r="OP6" s="20"/>
      <c r="OQ6" s="5" t="s">
        <v>12</v>
      </c>
      <c r="OR6" s="20">
        <v>29</v>
      </c>
      <c r="OS6" s="5" t="s">
        <v>12</v>
      </c>
      <c r="OT6" s="4">
        <f t="shared" si="89"/>
        <v>29</v>
      </c>
      <c r="OU6" s="21"/>
      <c r="OV6" s="18">
        <f t="shared" si="90"/>
        <v>13</v>
      </c>
      <c r="OW6" s="4">
        <v>13</v>
      </c>
      <c r="OX6" s="8">
        <f t="shared" si="91"/>
        <v>0</v>
      </c>
      <c r="OZ6" s="2">
        <v>0</v>
      </c>
      <c r="PA6" s="5" t="s">
        <v>12</v>
      </c>
      <c r="PB6" s="2">
        <v>22</v>
      </c>
      <c r="PC6" s="5" t="s">
        <v>12</v>
      </c>
      <c r="PD6" s="4">
        <f t="shared" si="92"/>
        <v>22</v>
      </c>
      <c r="PE6" s="17">
        <v>1</v>
      </c>
      <c r="PF6" s="18">
        <f t="shared" si="93"/>
        <v>7</v>
      </c>
      <c r="PG6" s="4">
        <v>6</v>
      </c>
      <c r="PH6" s="8">
        <f t="shared" si="94"/>
        <v>-1</v>
      </c>
      <c r="PJ6" s="2"/>
      <c r="PK6" s="5" t="s">
        <v>12</v>
      </c>
      <c r="PL6" s="2">
        <v>26</v>
      </c>
      <c r="PM6" s="5" t="s">
        <v>12</v>
      </c>
      <c r="PN6" s="4">
        <f t="shared" si="95"/>
        <v>26</v>
      </c>
      <c r="PO6" s="17"/>
      <c r="PP6" s="18">
        <f t="shared" si="96"/>
        <v>20</v>
      </c>
      <c r="PQ6" s="4">
        <v>19</v>
      </c>
      <c r="PR6" s="8">
        <f t="shared" si="97"/>
        <v>-1</v>
      </c>
      <c r="PT6" s="20"/>
      <c r="PU6" s="5" t="s">
        <v>12</v>
      </c>
      <c r="PV6" s="20">
        <v>6</v>
      </c>
      <c r="PW6" s="5" t="s">
        <v>12</v>
      </c>
      <c r="PX6" s="4">
        <f t="shared" si="98"/>
        <v>6</v>
      </c>
      <c r="PY6" s="21">
        <v>2</v>
      </c>
      <c r="PZ6" s="18">
        <f t="shared" si="99"/>
        <v>20</v>
      </c>
      <c r="QA6" s="4">
        <v>20</v>
      </c>
      <c r="QB6" s="8">
        <f t="shared" si="100"/>
        <v>0</v>
      </c>
      <c r="QD6" s="20">
        <v>0</v>
      </c>
      <c r="QE6" s="5" t="s">
        <v>12</v>
      </c>
      <c r="QF6" s="20">
        <v>40</v>
      </c>
      <c r="QG6" s="5" t="s">
        <v>12</v>
      </c>
      <c r="QH6" s="4">
        <f t="shared" si="101"/>
        <v>40</v>
      </c>
      <c r="QI6" s="21"/>
      <c r="QJ6" s="18">
        <f t="shared" si="102"/>
        <v>14</v>
      </c>
      <c r="QK6" s="4">
        <v>14</v>
      </c>
      <c r="QL6" s="8">
        <f t="shared" si="103"/>
        <v>0</v>
      </c>
      <c r="QN6" s="20">
        <v>0</v>
      </c>
      <c r="QO6" s="5" t="s">
        <v>12</v>
      </c>
      <c r="QP6" s="20">
        <v>28</v>
      </c>
      <c r="QQ6" s="5" t="s">
        <v>12</v>
      </c>
      <c r="QR6" s="4">
        <f t="shared" si="104"/>
        <v>28</v>
      </c>
      <c r="QS6" s="21">
        <v>1</v>
      </c>
      <c r="QT6" s="18">
        <f t="shared" si="105"/>
        <v>12</v>
      </c>
      <c r="QU6" s="4">
        <v>12</v>
      </c>
      <c r="QV6" s="8">
        <f t="shared" si="106"/>
        <v>0</v>
      </c>
      <c r="QX6" s="20">
        <v>0</v>
      </c>
      <c r="QY6" s="5" t="s">
        <v>12</v>
      </c>
      <c r="QZ6" s="20">
        <v>30</v>
      </c>
      <c r="RA6" s="5" t="s">
        <v>12</v>
      </c>
      <c r="RB6" s="4">
        <f t="shared" si="107"/>
        <v>30</v>
      </c>
      <c r="RC6" s="21"/>
      <c r="RD6" s="18">
        <f t="shared" si="108"/>
        <v>22</v>
      </c>
      <c r="RE6" s="4">
        <v>22</v>
      </c>
      <c r="RF6" s="8">
        <f t="shared" si="109"/>
        <v>0</v>
      </c>
      <c r="RH6" s="20">
        <v>0</v>
      </c>
      <c r="RI6" s="5" t="s">
        <v>12</v>
      </c>
      <c r="RJ6" s="20">
        <v>10</v>
      </c>
      <c r="RK6" s="5" t="s">
        <v>12</v>
      </c>
      <c r="RL6" s="4">
        <f t="shared" si="110"/>
        <v>10</v>
      </c>
      <c r="RM6" s="21">
        <v>2</v>
      </c>
      <c r="RN6" s="18">
        <f t="shared" si="111"/>
        <v>20</v>
      </c>
      <c r="RO6" s="4">
        <v>19</v>
      </c>
      <c r="RP6" s="8">
        <f t="shared" si="112"/>
        <v>-1</v>
      </c>
      <c r="RR6" s="2">
        <v>0</v>
      </c>
      <c r="RS6" s="5" t="s">
        <v>12</v>
      </c>
      <c r="RT6" s="2">
        <v>43</v>
      </c>
      <c r="RU6" s="5" t="s">
        <v>12</v>
      </c>
      <c r="RV6" s="4">
        <f t="shared" si="113"/>
        <v>43</v>
      </c>
      <c r="RW6" s="17"/>
      <c r="RX6" s="18">
        <f t="shared" si="114"/>
        <v>15</v>
      </c>
      <c r="RY6" s="4">
        <v>15</v>
      </c>
      <c r="RZ6" s="8">
        <f t="shared" si="115"/>
        <v>0</v>
      </c>
      <c r="SB6" s="20"/>
      <c r="SC6" s="5" t="s">
        <v>12</v>
      </c>
      <c r="SD6" s="20">
        <v>5</v>
      </c>
      <c r="SE6" s="5" t="s">
        <v>12</v>
      </c>
      <c r="SF6" s="4">
        <f t="shared" si="116"/>
        <v>5</v>
      </c>
      <c r="SG6" s="21">
        <v>2</v>
      </c>
      <c r="SH6" s="18">
        <f t="shared" si="117"/>
        <v>38</v>
      </c>
      <c r="SI6" s="4">
        <v>35</v>
      </c>
      <c r="SJ6" s="8">
        <f t="shared" si="118"/>
        <v>-3</v>
      </c>
      <c r="SL6" s="20">
        <v>0</v>
      </c>
      <c r="SM6" s="5" t="s">
        <v>12</v>
      </c>
      <c r="SN6" s="20">
        <v>42</v>
      </c>
      <c r="SO6" s="5" t="s">
        <v>12</v>
      </c>
      <c r="SP6" s="4">
        <f t="shared" si="119"/>
        <v>42</v>
      </c>
      <c r="SQ6" s="21"/>
      <c r="SR6" s="18">
        <f t="shared" si="120"/>
        <v>11</v>
      </c>
      <c r="SS6" s="4">
        <v>11</v>
      </c>
      <c r="ST6" s="8">
        <f t="shared" si="121"/>
        <v>0</v>
      </c>
      <c r="SV6" s="74">
        <v>0</v>
      </c>
      <c r="SW6" s="75" t="s">
        <v>12</v>
      </c>
      <c r="SX6" s="74">
        <v>28</v>
      </c>
      <c r="SY6" s="75" t="s">
        <v>12</v>
      </c>
      <c r="SZ6" s="76">
        <f t="shared" si="122"/>
        <v>28</v>
      </c>
      <c r="TA6" s="77">
        <v>1</v>
      </c>
      <c r="TB6" s="78">
        <f t="shared" si="123"/>
        <v>14</v>
      </c>
      <c r="TC6" s="76">
        <v>14</v>
      </c>
      <c r="TD6" s="79">
        <f t="shared" si="124"/>
        <v>0</v>
      </c>
      <c r="TF6" s="91"/>
      <c r="TG6" s="92" t="s">
        <v>12</v>
      </c>
      <c r="TH6" s="91">
        <v>31</v>
      </c>
      <c r="TI6" s="92" t="s">
        <v>12</v>
      </c>
      <c r="TJ6" s="93">
        <f t="shared" si="125"/>
        <v>31</v>
      </c>
      <c r="TK6" s="94"/>
      <c r="TL6" s="95">
        <f t="shared" si="126"/>
        <v>21</v>
      </c>
      <c r="TM6" s="93">
        <v>21</v>
      </c>
      <c r="TN6" s="96">
        <f t="shared" si="127"/>
        <v>0</v>
      </c>
    </row>
    <row r="7" spans="1:534" ht="12.75" customHeight="1" x14ac:dyDescent="0.2">
      <c r="A7" s="16" t="s">
        <v>21</v>
      </c>
      <c r="B7" s="11" t="s">
        <v>13</v>
      </c>
      <c r="C7" s="12">
        <v>18</v>
      </c>
      <c r="D7" s="13" t="s">
        <v>12</v>
      </c>
      <c r="F7" s="2"/>
      <c r="G7" s="5" t="s">
        <v>12</v>
      </c>
      <c r="H7" s="2"/>
      <c r="I7" s="5" t="s">
        <v>12</v>
      </c>
      <c r="J7" s="4">
        <v>0</v>
      </c>
      <c r="K7" s="17">
        <v>2</v>
      </c>
      <c r="L7" s="18"/>
      <c r="M7" s="4"/>
      <c r="N7" s="8" t="str">
        <f t="shared" si="0"/>
        <v/>
      </c>
      <c r="P7" s="20">
        <v>36</v>
      </c>
      <c r="Q7" s="5" t="s">
        <v>12</v>
      </c>
      <c r="R7" s="20">
        <v>7</v>
      </c>
      <c r="S7" s="5" t="s">
        <v>12</v>
      </c>
      <c r="T7" s="4">
        <f t="shared" si="1"/>
        <v>43</v>
      </c>
      <c r="U7" s="21"/>
      <c r="V7" s="18">
        <f t="shared" si="128"/>
        <v>5</v>
      </c>
      <c r="W7" s="4">
        <v>6</v>
      </c>
      <c r="X7" s="8">
        <f t="shared" si="2"/>
        <v>1</v>
      </c>
      <c r="Z7" s="20"/>
      <c r="AA7" s="5" t="s">
        <v>12</v>
      </c>
      <c r="AB7" s="20">
        <v>33</v>
      </c>
      <c r="AC7" s="5" t="s">
        <v>12</v>
      </c>
      <c r="AD7" s="4">
        <f t="shared" si="3"/>
        <v>33</v>
      </c>
      <c r="AE7" s="21"/>
      <c r="AF7" s="18">
        <f t="shared" si="129"/>
        <v>10</v>
      </c>
      <c r="AG7" s="4">
        <v>7</v>
      </c>
      <c r="AH7" s="8">
        <f t="shared" si="4"/>
        <v>-3</v>
      </c>
      <c r="AJ7" s="2"/>
      <c r="AK7" s="5" t="s">
        <v>12</v>
      </c>
      <c r="AL7" s="2">
        <v>32</v>
      </c>
      <c r="AM7" s="5" t="s">
        <v>12</v>
      </c>
      <c r="AN7" s="4">
        <f t="shared" si="5"/>
        <v>32</v>
      </c>
      <c r="AO7" s="17"/>
      <c r="AP7" s="18">
        <f t="shared" si="130"/>
        <v>1</v>
      </c>
      <c r="AQ7" s="4">
        <v>1</v>
      </c>
      <c r="AR7" s="8">
        <f t="shared" si="6"/>
        <v>0</v>
      </c>
      <c r="AT7" s="2"/>
      <c r="AU7" s="5" t="s">
        <v>12</v>
      </c>
      <c r="AV7" s="2">
        <v>23</v>
      </c>
      <c r="AW7" s="5" t="s">
        <v>12</v>
      </c>
      <c r="AX7" s="4">
        <f t="shared" si="7"/>
        <v>23</v>
      </c>
      <c r="AY7" s="17">
        <v>0</v>
      </c>
      <c r="AZ7" s="18">
        <f t="shared" si="131"/>
        <v>9</v>
      </c>
      <c r="BA7" s="4">
        <v>9</v>
      </c>
      <c r="BB7" s="8">
        <f t="shared" si="8"/>
        <v>0</v>
      </c>
      <c r="BD7" s="2"/>
      <c r="BE7" s="5" t="s">
        <v>12</v>
      </c>
      <c r="BF7" s="2">
        <v>9</v>
      </c>
      <c r="BG7" s="5" t="s">
        <v>12</v>
      </c>
      <c r="BH7" s="4">
        <f t="shared" si="9"/>
        <v>9</v>
      </c>
      <c r="BI7" s="17">
        <v>1</v>
      </c>
      <c r="BJ7" s="18">
        <f t="shared" si="132"/>
        <v>14</v>
      </c>
      <c r="BK7" s="4">
        <v>10</v>
      </c>
      <c r="BL7" s="8">
        <f t="shared" si="10"/>
        <v>-4</v>
      </c>
      <c r="BN7" s="20"/>
      <c r="BO7" s="5" t="s">
        <v>12</v>
      </c>
      <c r="BP7" s="20">
        <v>27</v>
      </c>
      <c r="BQ7" s="5" t="s">
        <v>12</v>
      </c>
      <c r="BR7" s="4">
        <f t="shared" si="11"/>
        <v>27</v>
      </c>
      <c r="BS7" s="21">
        <v>2</v>
      </c>
      <c r="BT7" s="18">
        <f t="shared" si="133"/>
        <v>6</v>
      </c>
      <c r="BU7" s="4">
        <v>6</v>
      </c>
      <c r="BV7" s="8">
        <f t="shared" si="12"/>
        <v>0</v>
      </c>
      <c r="BX7" s="20">
        <v>48</v>
      </c>
      <c r="BY7" s="5" t="s">
        <v>12</v>
      </c>
      <c r="BZ7" s="20">
        <v>19</v>
      </c>
      <c r="CA7" s="5" t="s">
        <v>12</v>
      </c>
      <c r="CB7" s="4">
        <f t="shared" si="13"/>
        <v>67</v>
      </c>
      <c r="CC7" s="21">
        <v>0</v>
      </c>
      <c r="CD7" s="18">
        <f t="shared" si="134"/>
        <v>8</v>
      </c>
      <c r="CE7" s="4">
        <v>5</v>
      </c>
      <c r="CF7" s="8">
        <f t="shared" si="14"/>
        <v>-3</v>
      </c>
      <c r="CH7" s="20">
        <v>36</v>
      </c>
      <c r="CI7" s="5" t="s">
        <v>12</v>
      </c>
      <c r="CJ7" s="20">
        <v>20</v>
      </c>
      <c r="CK7" s="5" t="s">
        <v>12</v>
      </c>
      <c r="CL7" s="4">
        <f t="shared" si="15"/>
        <v>56</v>
      </c>
      <c r="CM7" s="21">
        <v>0</v>
      </c>
      <c r="CN7" s="18">
        <f t="shared" si="135"/>
        <v>11</v>
      </c>
      <c r="CO7" s="4">
        <v>9</v>
      </c>
      <c r="CP7" s="8">
        <f t="shared" si="16"/>
        <v>-2</v>
      </c>
      <c r="CR7" s="20">
        <v>24</v>
      </c>
      <c r="CS7" s="5" t="s">
        <v>12</v>
      </c>
      <c r="CT7" s="20">
        <v>23</v>
      </c>
      <c r="CU7" s="5" t="s">
        <v>12</v>
      </c>
      <c r="CV7" s="4">
        <f t="shared" si="17"/>
        <v>47</v>
      </c>
      <c r="CW7" s="21">
        <v>0</v>
      </c>
      <c r="CX7" s="18">
        <f t="shared" si="136"/>
        <v>9</v>
      </c>
      <c r="CY7" s="4">
        <v>7</v>
      </c>
      <c r="CZ7" s="8">
        <f t="shared" si="18"/>
        <v>-2</v>
      </c>
      <c r="DB7" s="20"/>
      <c r="DC7" s="5" t="s">
        <v>12</v>
      </c>
      <c r="DD7" s="20">
        <v>39</v>
      </c>
      <c r="DE7" s="5" t="s">
        <v>12</v>
      </c>
      <c r="DF7" s="4">
        <f t="shared" si="19"/>
        <v>39</v>
      </c>
      <c r="DG7" s="21">
        <v>0</v>
      </c>
      <c r="DH7" s="18">
        <f t="shared" si="137"/>
        <v>8</v>
      </c>
      <c r="DI7" s="4">
        <v>8</v>
      </c>
      <c r="DJ7" s="8">
        <f t="shared" si="20"/>
        <v>0</v>
      </c>
      <c r="DL7" s="20"/>
      <c r="DM7" s="5" t="s">
        <v>12</v>
      </c>
      <c r="DN7" s="20">
        <v>31</v>
      </c>
      <c r="DO7" s="5" t="s">
        <v>12</v>
      </c>
      <c r="DP7" s="4">
        <f t="shared" si="21"/>
        <v>31</v>
      </c>
      <c r="DQ7" s="21"/>
      <c r="DR7" s="18">
        <f t="shared" si="138"/>
        <v>8</v>
      </c>
      <c r="DS7" s="4">
        <v>8</v>
      </c>
      <c r="DT7" s="8">
        <f t="shared" si="22"/>
        <v>0</v>
      </c>
      <c r="DV7" s="2">
        <v>1</v>
      </c>
      <c r="DW7" s="5" t="s">
        <v>12</v>
      </c>
      <c r="DX7" s="2">
        <v>23</v>
      </c>
      <c r="DY7" s="5" t="s">
        <v>12</v>
      </c>
      <c r="DZ7" s="4">
        <f t="shared" si="23"/>
        <v>24</v>
      </c>
      <c r="EA7" s="17"/>
      <c r="EB7" s="18">
        <f t="shared" si="139"/>
        <v>7</v>
      </c>
      <c r="EC7" s="4">
        <v>8</v>
      </c>
      <c r="ED7" s="8">
        <f t="shared" si="24"/>
        <v>1</v>
      </c>
      <c r="EF7" s="20"/>
      <c r="EG7" s="5" t="s">
        <v>12</v>
      </c>
      <c r="EH7" s="20">
        <v>12</v>
      </c>
      <c r="EI7" s="5" t="s">
        <v>12</v>
      </c>
      <c r="EJ7" s="4">
        <f t="shared" si="25"/>
        <v>12</v>
      </c>
      <c r="EK7" s="21">
        <v>1</v>
      </c>
      <c r="EL7" s="18">
        <f t="shared" si="140"/>
        <v>12</v>
      </c>
      <c r="EM7" s="4">
        <v>12</v>
      </c>
      <c r="EN7" s="8">
        <f t="shared" si="26"/>
        <v>0</v>
      </c>
      <c r="EP7" s="20">
        <v>0</v>
      </c>
      <c r="EQ7" s="5" t="s">
        <v>12</v>
      </c>
      <c r="ER7" s="20">
        <v>24</v>
      </c>
      <c r="ES7" s="5" t="s">
        <v>12</v>
      </c>
      <c r="ET7" s="4">
        <f t="shared" si="27"/>
        <v>24</v>
      </c>
      <c r="EU7" s="21"/>
      <c r="EV7" s="18">
        <f t="shared" si="141"/>
        <v>12</v>
      </c>
      <c r="EW7" s="4">
        <v>12</v>
      </c>
      <c r="EX7" s="8">
        <f t="shared" si="28"/>
        <v>0</v>
      </c>
      <c r="EZ7" s="20"/>
      <c r="FA7" s="5" t="s">
        <v>12</v>
      </c>
      <c r="FB7" s="20">
        <v>18</v>
      </c>
      <c r="FC7" s="5" t="s">
        <v>12</v>
      </c>
      <c r="FD7" s="4">
        <f t="shared" si="29"/>
        <v>18</v>
      </c>
      <c r="FE7" s="21"/>
      <c r="FF7" s="18">
        <f t="shared" si="142"/>
        <v>6</v>
      </c>
      <c r="FG7" s="4">
        <v>7</v>
      </c>
      <c r="FH7" s="8">
        <f t="shared" si="30"/>
        <v>1</v>
      </c>
      <c r="FJ7" s="2"/>
      <c r="FK7" s="5" t="s">
        <v>12</v>
      </c>
      <c r="FL7" s="2">
        <v>14</v>
      </c>
      <c r="FM7" s="5" t="s">
        <v>12</v>
      </c>
      <c r="FN7" s="4">
        <f t="shared" si="31"/>
        <v>14</v>
      </c>
      <c r="FO7" s="17">
        <v>1</v>
      </c>
      <c r="FP7" s="18">
        <f t="shared" si="143"/>
        <v>4</v>
      </c>
      <c r="FQ7" s="4">
        <v>4</v>
      </c>
      <c r="FR7" s="8">
        <f t="shared" si="32"/>
        <v>0</v>
      </c>
      <c r="FT7" s="2"/>
      <c r="FU7" s="5" t="s">
        <v>12</v>
      </c>
      <c r="FV7" s="2">
        <v>25</v>
      </c>
      <c r="FW7" s="5" t="s">
        <v>12</v>
      </c>
      <c r="FX7" s="4">
        <f t="shared" si="33"/>
        <v>25</v>
      </c>
      <c r="FY7" s="17">
        <v>0</v>
      </c>
      <c r="FZ7" s="18">
        <f t="shared" si="144"/>
        <v>13</v>
      </c>
      <c r="GA7" s="4">
        <v>6</v>
      </c>
      <c r="GB7" s="8">
        <f t="shared" si="34"/>
        <v>-7</v>
      </c>
      <c r="GD7" s="20">
        <v>0</v>
      </c>
      <c r="GE7" s="5" t="s">
        <v>12</v>
      </c>
      <c r="GF7" s="20">
        <v>18</v>
      </c>
      <c r="GG7" s="5" t="s">
        <v>12</v>
      </c>
      <c r="GH7" s="4">
        <f t="shared" si="35"/>
        <v>18</v>
      </c>
      <c r="GI7" s="21">
        <v>1</v>
      </c>
      <c r="GJ7" s="18">
        <f t="shared" si="145"/>
        <v>7</v>
      </c>
      <c r="GK7" s="4">
        <v>8</v>
      </c>
      <c r="GL7" s="8">
        <f t="shared" si="36"/>
        <v>1</v>
      </c>
      <c r="GN7" s="20"/>
      <c r="GO7" s="5" t="s">
        <v>12</v>
      </c>
      <c r="GP7" s="20">
        <v>37</v>
      </c>
      <c r="GQ7" s="5" t="s">
        <v>12</v>
      </c>
      <c r="GR7" s="4">
        <f t="shared" si="37"/>
        <v>37</v>
      </c>
      <c r="GS7" s="21">
        <v>0</v>
      </c>
      <c r="GT7" s="18">
        <f t="shared" si="146"/>
        <v>5</v>
      </c>
      <c r="GU7" s="4">
        <v>6</v>
      </c>
      <c r="GV7" s="8">
        <f t="shared" si="38"/>
        <v>1</v>
      </c>
      <c r="GX7" s="20"/>
      <c r="GY7" s="5" t="s">
        <v>12</v>
      </c>
      <c r="GZ7" s="20">
        <v>28</v>
      </c>
      <c r="HA7" s="5" t="s">
        <v>12</v>
      </c>
      <c r="HB7" s="4">
        <f t="shared" si="39"/>
        <v>28</v>
      </c>
      <c r="HC7" s="21">
        <v>0</v>
      </c>
      <c r="HD7" s="18">
        <f t="shared" si="147"/>
        <v>9</v>
      </c>
      <c r="HE7" s="4">
        <v>9</v>
      </c>
      <c r="HF7" s="8">
        <f t="shared" si="40"/>
        <v>0</v>
      </c>
      <c r="HH7" s="20"/>
      <c r="HI7" s="5" t="s">
        <v>12</v>
      </c>
      <c r="HJ7" s="20">
        <v>13</v>
      </c>
      <c r="HK7" s="5" t="s">
        <v>12</v>
      </c>
      <c r="HL7" s="4">
        <f t="shared" si="41"/>
        <v>13</v>
      </c>
      <c r="HM7" s="21">
        <v>1</v>
      </c>
      <c r="HN7" s="18">
        <f t="shared" si="148"/>
        <v>15</v>
      </c>
      <c r="HO7" s="4">
        <v>15</v>
      </c>
      <c r="HP7" s="8">
        <f t="shared" si="42"/>
        <v>0</v>
      </c>
      <c r="HR7" s="2"/>
      <c r="HS7" s="5" t="s">
        <v>12</v>
      </c>
      <c r="HT7" s="2">
        <v>22</v>
      </c>
      <c r="HU7" s="5" t="s">
        <v>12</v>
      </c>
      <c r="HV7" s="4">
        <f t="shared" si="43"/>
        <v>22</v>
      </c>
      <c r="HW7" s="17">
        <v>1</v>
      </c>
      <c r="HX7" s="18">
        <f t="shared" si="149"/>
        <v>15</v>
      </c>
      <c r="HY7" s="4">
        <v>15</v>
      </c>
      <c r="HZ7" s="8">
        <f t="shared" si="44"/>
        <v>0</v>
      </c>
      <c r="IB7" s="2"/>
      <c r="IC7" s="5" t="s">
        <v>12</v>
      </c>
      <c r="ID7" s="2">
        <v>41</v>
      </c>
      <c r="IE7" s="5" t="s">
        <v>12</v>
      </c>
      <c r="IF7" s="4">
        <f t="shared" si="45"/>
        <v>41</v>
      </c>
      <c r="IG7" s="17">
        <v>0</v>
      </c>
      <c r="IH7" s="18">
        <f t="shared" si="150"/>
        <v>5</v>
      </c>
      <c r="II7" s="4">
        <v>5</v>
      </c>
      <c r="IJ7" s="8">
        <f t="shared" si="46"/>
        <v>0</v>
      </c>
      <c r="IL7" s="2"/>
      <c r="IM7" s="5" t="s">
        <v>12</v>
      </c>
      <c r="IN7" s="2">
        <v>29</v>
      </c>
      <c r="IO7" s="5" t="s">
        <v>12</v>
      </c>
      <c r="IP7" s="4">
        <f t="shared" si="47"/>
        <v>29</v>
      </c>
      <c r="IQ7" s="17"/>
      <c r="IR7" s="18">
        <f t="shared" si="48"/>
        <v>12</v>
      </c>
      <c r="IS7" s="4">
        <v>12</v>
      </c>
      <c r="IT7" s="8">
        <f t="shared" si="49"/>
        <v>0</v>
      </c>
      <c r="IV7" s="2">
        <v>0</v>
      </c>
      <c r="IW7" s="5" t="s">
        <v>12</v>
      </c>
      <c r="IX7" s="2">
        <v>18</v>
      </c>
      <c r="IY7" s="5" t="s">
        <v>12</v>
      </c>
      <c r="IZ7" s="4">
        <f t="shared" si="50"/>
        <v>18</v>
      </c>
      <c r="JA7" s="17"/>
      <c r="JB7" s="18">
        <f t="shared" si="151"/>
        <v>11</v>
      </c>
      <c r="JC7" s="4">
        <v>11</v>
      </c>
      <c r="JD7" s="8">
        <f t="shared" si="51"/>
        <v>0</v>
      </c>
      <c r="JF7" s="2"/>
      <c r="JG7" s="5" t="s">
        <v>12</v>
      </c>
      <c r="JH7" s="2">
        <v>13</v>
      </c>
      <c r="JI7" s="5" t="s">
        <v>12</v>
      </c>
      <c r="JJ7" s="4">
        <f t="shared" si="52"/>
        <v>13</v>
      </c>
      <c r="JK7" s="17">
        <v>2</v>
      </c>
      <c r="JL7" s="18">
        <f t="shared" si="152"/>
        <v>5</v>
      </c>
      <c r="JM7" s="4">
        <v>5</v>
      </c>
      <c r="JN7" s="8">
        <f t="shared" si="53"/>
        <v>0</v>
      </c>
      <c r="JP7" s="20">
        <v>24</v>
      </c>
      <c r="JQ7" s="5" t="s">
        <v>12</v>
      </c>
      <c r="JR7" s="20">
        <v>28</v>
      </c>
      <c r="JS7" s="5" t="s">
        <v>12</v>
      </c>
      <c r="JT7" s="4">
        <f t="shared" si="54"/>
        <v>52</v>
      </c>
      <c r="JU7" s="21"/>
      <c r="JV7" s="18">
        <f t="shared" si="153"/>
        <v>9</v>
      </c>
      <c r="JW7" s="4">
        <v>6</v>
      </c>
      <c r="JX7" s="8">
        <f t="shared" si="55"/>
        <v>-3</v>
      </c>
      <c r="JZ7" s="20">
        <v>24</v>
      </c>
      <c r="KA7" s="5" t="s">
        <v>12</v>
      </c>
      <c r="KB7" s="20">
        <v>22</v>
      </c>
      <c r="KC7" s="5" t="s">
        <v>12</v>
      </c>
      <c r="KD7" s="4">
        <f t="shared" si="56"/>
        <v>46</v>
      </c>
      <c r="KE7" s="21">
        <v>0</v>
      </c>
      <c r="KF7" s="18">
        <f t="shared" si="154"/>
        <v>6</v>
      </c>
      <c r="KG7" s="4">
        <v>6</v>
      </c>
      <c r="KH7" s="8">
        <f t="shared" si="57"/>
        <v>0</v>
      </c>
      <c r="KJ7" s="20"/>
      <c r="KK7" s="5" t="s">
        <v>12</v>
      </c>
      <c r="KL7" s="20">
        <v>39</v>
      </c>
      <c r="KM7" s="5" t="s">
        <v>12</v>
      </c>
      <c r="KN7" s="4">
        <f t="shared" si="58"/>
        <v>39</v>
      </c>
      <c r="KO7" s="21"/>
      <c r="KP7" s="18">
        <f t="shared" si="155"/>
        <v>7</v>
      </c>
      <c r="KQ7" s="4">
        <v>6</v>
      </c>
      <c r="KR7" s="8">
        <f t="shared" si="59"/>
        <v>-1</v>
      </c>
      <c r="KT7" s="20"/>
      <c r="KU7" s="5" t="s">
        <v>12</v>
      </c>
      <c r="KV7" s="20">
        <v>32</v>
      </c>
      <c r="KW7" s="5" t="s">
        <v>12</v>
      </c>
      <c r="KX7" s="4">
        <f t="shared" si="60"/>
        <v>32</v>
      </c>
      <c r="KY7" s="21">
        <v>0</v>
      </c>
      <c r="KZ7" s="18">
        <f t="shared" si="61"/>
        <v>7</v>
      </c>
      <c r="LA7" s="4">
        <v>3</v>
      </c>
      <c r="LB7" s="8">
        <f t="shared" si="62"/>
        <v>-4</v>
      </c>
      <c r="LD7" s="20"/>
      <c r="LE7" s="5" t="s">
        <v>12</v>
      </c>
      <c r="LF7" s="20">
        <v>28</v>
      </c>
      <c r="LG7" s="5" t="s">
        <v>12</v>
      </c>
      <c r="LH7" s="4">
        <f t="shared" si="63"/>
        <v>28</v>
      </c>
      <c r="LI7" s="21"/>
      <c r="LJ7" s="18">
        <f t="shared" si="64"/>
        <v>4</v>
      </c>
      <c r="LK7" s="4">
        <v>4</v>
      </c>
      <c r="LL7" s="8">
        <f t="shared" si="65"/>
        <v>0</v>
      </c>
      <c r="LN7" s="20"/>
      <c r="LO7" s="5" t="s">
        <v>12</v>
      </c>
      <c r="LP7" s="20">
        <v>19</v>
      </c>
      <c r="LQ7" s="5" t="s">
        <v>12</v>
      </c>
      <c r="LR7" s="4">
        <f t="shared" si="156"/>
        <v>19</v>
      </c>
      <c r="LS7" s="21">
        <v>1</v>
      </c>
      <c r="LT7" s="18">
        <f t="shared" si="66"/>
        <v>9</v>
      </c>
      <c r="LU7" s="4">
        <v>9</v>
      </c>
      <c r="LV7" s="8">
        <f t="shared" si="67"/>
        <v>0</v>
      </c>
      <c r="LX7" s="20"/>
      <c r="LY7" s="5" t="s">
        <v>12</v>
      </c>
      <c r="LZ7" s="20">
        <v>35</v>
      </c>
      <c r="MA7" s="5" t="s">
        <v>12</v>
      </c>
      <c r="MB7" s="4">
        <f t="shared" si="68"/>
        <v>35</v>
      </c>
      <c r="MC7" s="21"/>
      <c r="MD7" s="18">
        <f t="shared" si="69"/>
        <v>8</v>
      </c>
      <c r="ME7" s="4">
        <v>8</v>
      </c>
      <c r="MF7" s="8">
        <f t="shared" si="70"/>
        <v>0</v>
      </c>
      <c r="MH7" s="20"/>
      <c r="MI7" s="5" t="s">
        <v>12</v>
      </c>
      <c r="MJ7" s="20">
        <v>31</v>
      </c>
      <c r="MK7" s="5" t="s">
        <v>12</v>
      </c>
      <c r="ML7" s="4">
        <f t="shared" si="71"/>
        <v>31</v>
      </c>
      <c r="MM7" s="21">
        <v>0</v>
      </c>
      <c r="MN7" s="18">
        <f t="shared" si="72"/>
        <v>4</v>
      </c>
      <c r="MO7" s="4">
        <v>4</v>
      </c>
      <c r="MP7" s="8">
        <f t="shared" si="73"/>
        <v>0</v>
      </c>
      <c r="MR7" s="20"/>
      <c r="MS7" s="5" t="s">
        <v>12</v>
      </c>
      <c r="MT7" s="20">
        <v>27</v>
      </c>
      <c r="MU7" s="5" t="s">
        <v>12</v>
      </c>
      <c r="MV7" s="4">
        <f t="shared" si="74"/>
        <v>27</v>
      </c>
      <c r="MW7" s="21"/>
      <c r="MX7" s="18">
        <f t="shared" si="75"/>
        <v>4</v>
      </c>
      <c r="MY7" s="4">
        <v>4</v>
      </c>
      <c r="MZ7" s="18">
        <f t="shared" si="76"/>
        <v>0</v>
      </c>
      <c r="NB7" s="20"/>
      <c r="NC7" s="5" t="s">
        <v>12</v>
      </c>
      <c r="ND7" s="20">
        <v>19</v>
      </c>
      <c r="NE7" s="5" t="s">
        <v>12</v>
      </c>
      <c r="NF7" s="4">
        <f t="shared" si="77"/>
        <v>19</v>
      </c>
      <c r="NG7" s="21">
        <v>1</v>
      </c>
      <c r="NH7" s="18">
        <f t="shared" si="78"/>
        <v>8</v>
      </c>
      <c r="NI7" s="4">
        <v>8</v>
      </c>
      <c r="NJ7" s="8">
        <f t="shared" si="79"/>
        <v>0</v>
      </c>
      <c r="NL7" s="20"/>
      <c r="NM7" s="5" t="s">
        <v>12</v>
      </c>
      <c r="NN7" s="20">
        <v>35</v>
      </c>
      <c r="NO7" s="5" t="s">
        <v>12</v>
      </c>
      <c r="NP7" s="4">
        <f t="shared" si="80"/>
        <v>35</v>
      </c>
      <c r="NQ7" s="21"/>
      <c r="NR7" s="18">
        <f t="shared" si="81"/>
        <v>8</v>
      </c>
      <c r="NS7" s="4">
        <v>8</v>
      </c>
      <c r="NT7" s="8">
        <f t="shared" si="82"/>
        <v>0</v>
      </c>
      <c r="NV7" s="20"/>
      <c r="NW7" s="5" t="s">
        <v>12</v>
      </c>
      <c r="NX7" s="20">
        <v>28</v>
      </c>
      <c r="NY7" s="5" t="s">
        <v>12</v>
      </c>
      <c r="NZ7" s="4">
        <f t="shared" si="83"/>
        <v>28</v>
      </c>
      <c r="OA7" s="21">
        <v>1</v>
      </c>
      <c r="OB7" s="18">
        <f t="shared" si="84"/>
        <v>7</v>
      </c>
      <c r="OC7" s="4">
        <v>7</v>
      </c>
      <c r="OD7" s="8">
        <f t="shared" si="85"/>
        <v>0</v>
      </c>
      <c r="OF7" s="20">
        <v>24</v>
      </c>
      <c r="OG7" s="5" t="s">
        <v>12</v>
      </c>
      <c r="OH7" s="20">
        <v>14</v>
      </c>
      <c r="OI7" s="5" t="s">
        <v>12</v>
      </c>
      <c r="OJ7" s="4">
        <f t="shared" si="86"/>
        <v>38</v>
      </c>
      <c r="OK7" s="21"/>
      <c r="OL7" s="18">
        <f t="shared" si="87"/>
        <v>14</v>
      </c>
      <c r="OM7" s="4">
        <v>14</v>
      </c>
      <c r="ON7" s="8">
        <f t="shared" si="88"/>
        <v>0</v>
      </c>
      <c r="OP7" s="20"/>
      <c r="OQ7" s="5" t="s">
        <v>12</v>
      </c>
      <c r="OR7" s="20">
        <v>29</v>
      </c>
      <c r="OS7" s="5" t="s">
        <v>12</v>
      </c>
      <c r="OT7" s="4">
        <f t="shared" si="89"/>
        <v>29</v>
      </c>
      <c r="OU7" s="21"/>
      <c r="OV7" s="18">
        <f t="shared" si="90"/>
        <v>9</v>
      </c>
      <c r="OW7" s="4">
        <v>9</v>
      </c>
      <c r="OX7" s="8">
        <f t="shared" si="91"/>
        <v>0</v>
      </c>
      <c r="OZ7" s="2">
        <v>0</v>
      </c>
      <c r="PA7" s="5" t="s">
        <v>12</v>
      </c>
      <c r="PB7" s="2">
        <v>18</v>
      </c>
      <c r="PC7" s="5" t="s">
        <v>12</v>
      </c>
      <c r="PD7" s="4">
        <f t="shared" si="92"/>
        <v>18</v>
      </c>
      <c r="PE7" s="17">
        <v>1</v>
      </c>
      <c r="PF7" s="18">
        <f t="shared" si="93"/>
        <v>11</v>
      </c>
      <c r="PG7" s="4">
        <v>10</v>
      </c>
      <c r="PH7" s="8">
        <f t="shared" si="94"/>
        <v>-1</v>
      </c>
      <c r="PJ7" s="2">
        <v>4</v>
      </c>
      <c r="PK7" s="5" t="s">
        <v>12</v>
      </c>
      <c r="PL7" s="2">
        <v>24</v>
      </c>
      <c r="PM7" s="5" t="s">
        <v>12</v>
      </c>
      <c r="PN7" s="4">
        <f t="shared" si="95"/>
        <v>28</v>
      </c>
      <c r="PO7" s="17"/>
      <c r="PP7" s="18">
        <f t="shared" si="96"/>
        <v>14</v>
      </c>
      <c r="PQ7" s="4">
        <v>13</v>
      </c>
      <c r="PR7" s="8">
        <f t="shared" si="97"/>
        <v>-1</v>
      </c>
      <c r="PT7" s="20"/>
      <c r="PU7" s="5" t="s">
        <v>12</v>
      </c>
      <c r="PV7" s="20">
        <v>11</v>
      </c>
      <c r="PW7" s="5" t="s">
        <v>12</v>
      </c>
      <c r="PX7" s="4">
        <f t="shared" si="98"/>
        <v>11</v>
      </c>
      <c r="PY7" s="21">
        <v>2</v>
      </c>
      <c r="PZ7" s="18">
        <f t="shared" si="99"/>
        <v>17</v>
      </c>
      <c r="QA7" s="4">
        <v>15</v>
      </c>
      <c r="QB7" s="8">
        <f t="shared" si="100"/>
        <v>-2</v>
      </c>
      <c r="QD7" s="20">
        <v>24</v>
      </c>
      <c r="QE7" s="5" t="s">
        <v>12</v>
      </c>
      <c r="QF7" s="20">
        <v>28</v>
      </c>
      <c r="QG7" s="5" t="s">
        <v>12</v>
      </c>
      <c r="QH7" s="4">
        <f t="shared" si="101"/>
        <v>52</v>
      </c>
      <c r="QI7" s="21"/>
      <c r="QJ7" s="18">
        <f t="shared" si="102"/>
        <v>7</v>
      </c>
      <c r="QK7" s="4">
        <v>7</v>
      </c>
      <c r="QL7" s="8">
        <f t="shared" si="103"/>
        <v>0</v>
      </c>
      <c r="QN7" s="20">
        <v>24</v>
      </c>
      <c r="QO7" s="5" t="s">
        <v>12</v>
      </c>
      <c r="QP7" s="20">
        <v>22</v>
      </c>
      <c r="QQ7" s="5" t="s">
        <v>12</v>
      </c>
      <c r="QR7" s="4">
        <f t="shared" si="104"/>
        <v>46</v>
      </c>
      <c r="QS7" s="21">
        <v>0</v>
      </c>
      <c r="QT7" s="18">
        <f t="shared" si="105"/>
        <v>6</v>
      </c>
      <c r="QU7" s="4">
        <v>6</v>
      </c>
      <c r="QV7" s="8">
        <f t="shared" si="106"/>
        <v>0</v>
      </c>
      <c r="QX7" s="20">
        <v>24</v>
      </c>
      <c r="QY7" s="5" t="s">
        <v>12</v>
      </c>
      <c r="QZ7" s="20">
        <v>12</v>
      </c>
      <c r="RA7" s="5" t="s">
        <v>12</v>
      </c>
      <c r="RB7" s="4">
        <f t="shared" si="107"/>
        <v>36</v>
      </c>
      <c r="RC7" s="21"/>
      <c r="RD7" s="18">
        <f t="shared" si="108"/>
        <v>10</v>
      </c>
      <c r="RE7" s="4">
        <v>10</v>
      </c>
      <c r="RF7" s="8">
        <f t="shared" si="109"/>
        <v>0</v>
      </c>
      <c r="RH7" s="20">
        <v>0</v>
      </c>
      <c r="RI7" s="5" t="s">
        <v>12</v>
      </c>
      <c r="RJ7" s="20">
        <v>31</v>
      </c>
      <c r="RK7" s="5" t="s">
        <v>12</v>
      </c>
      <c r="RL7" s="4">
        <f t="shared" si="110"/>
        <v>31</v>
      </c>
      <c r="RM7" s="21">
        <v>0</v>
      </c>
      <c r="RN7" s="18">
        <f t="shared" si="111"/>
        <v>5</v>
      </c>
      <c r="RO7" s="4">
        <v>5</v>
      </c>
      <c r="RP7" s="8">
        <f t="shared" si="112"/>
        <v>0</v>
      </c>
      <c r="RR7" s="2">
        <v>0</v>
      </c>
      <c r="RS7" s="5" t="s">
        <v>12</v>
      </c>
      <c r="RT7" s="2">
        <v>24</v>
      </c>
      <c r="RU7" s="5" t="s">
        <v>12</v>
      </c>
      <c r="RV7" s="4">
        <f t="shared" si="113"/>
        <v>24</v>
      </c>
      <c r="RW7" s="17"/>
      <c r="RX7" s="18">
        <f t="shared" si="114"/>
        <v>7</v>
      </c>
      <c r="RY7" s="4">
        <v>7</v>
      </c>
      <c r="RZ7" s="8">
        <f t="shared" si="115"/>
        <v>0</v>
      </c>
      <c r="SB7" s="20"/>
      <c r="SC7" s="5" t="s">
        <v>12</v>
      </c>
      <c r="SD7" s="20">
        <v>19</v>
      </c>
      <c r="SE7" s="5" t="s">
        <v>12</v>
      </c>
      <c r="SF7" s="4">
        <f t="shared" si="116"/>
        <v>19</v>
      </c>
      <c r="SG7" s="21">
        <v>1</v>
      </c>
      <c r="SH7" s="18">
        <f t="shared" si="117"/>
        <v>5</v>
      </c>
      <c r="SI7" s="4">
        <v>5</v>
      </c>
      <c r="SJ7" s="8">
        <f t="shared" si="118"/>
        <v>0</v>
      </c>
      <c r="SL7" s="20">
        <v>24</v>
      </c>
      <c r="SM7" s="5" t="s">
        <v>12</v>
      </c>
      <c r="SN7" s="20">
        <v>15</v>
      </c>
      <c r="SO7" s="5" t="s">
        <v>12</v>
      </c>
      <c r="SP7" s="4">
        <f t="shared" si="119"/>
        <v>39</v>
      </c>
      <c r="SQ7" s="21"/>
      <c r="SR7" s="18">
        <f t="shared" si="120"/>
        <v>4</v>
      </c>
      <c r="SS7" s="4">
        <v>4</v>
      </c>
      <c r="ST7" s="8">
        <f t="shared" si="121"/>
        <v>0</v>
      </c>
      <c r="SV7" s="74">
        <v>24</v>
      </c>
      <c r="SW7" s="75" t="s">
        <v>12</v>
      </c>
      <c r="SX7" s="74">
        <v>12</v>
      </c>
      <c r="SY7" s="75" t="s">
        <v>12</v>
      </c>
      <c r="SZ7" s="76">
        <f t="shared" si="122"/>
        <v>36</v>
      </c>
      <c r="TA7" s="77">
        <v>0</v>
      </c>
      <c r="TB7" s="78">
        <f t="shared" si="123"/>
        <v>3</v>
      </c>
      <c r="TC7" s="76">
        <v>3</v>
      </c>
      <c r="TD7" s="79">
        <f t="shared" si="124"/>
        <v>0</v>
      </c>
      <c r="TF7" s="91"/>
      <c r="TG7" s="92" t="s">
        <v>12</v>
      </c>
      <c r="TH7" s="91">
        <v>30</v>
      </c>
      <c r="TI7" s="92" t="s">
        <v>12</v>
      </c>
      <c r="TJ7" s="93">
        <f t="shared" si="125"/>
        <v>30</v>
      </c>
      <c r="TK7" s="94"/>
      <c r="TL7" s="95">
        <f t="shared" si="126"/>
        <v>6</v>
      </c>
      <c r="TM7" s="93">
        <v>6</v>
      </c>
      <c r="TN7" s="96">
        <f t="shared" si="127"/>
        <v>0</v>
      </c>
    </row>
    <row r="8" spans="1:534" ht="12.75" customHeight="1" x14ac:dyDescent="0.2">
      <c r="A8" s="16" t="s">
        <v>22</v>
      </c>
      <c r="B8" s="11" t="s">
        <v>13</v>
      </c>
      <c r="C8" s="12">
        <v>28</v>
      </c>
      <c r="D8" s="13" t="s">
        <v>12</v>
      </c>
      <c r="F8" s="2"/>
      <c r="G8" s="5" t="s">
        <v>12</v>
      </c>
      <c r="H8" s="2"/>
      <c r="I8" s="5" t="s">
        <v>12</v>
      </c>
      <c r="J8" s="4">
        <v>0</v>
      </c>
      <c r="K8" s="17">
        <v>1</v>
      </c>
      <c r="L8" s="18"/>
      <c r="M8" s="4"/>
      <c r="N8" s="8" t="str">
        <f t="shared" si="0"/>
        <v/>
      </c>
      <c r="P8" s="20">
        <v>12</v>
      </c>
      <c r="Q8" s="5" t="s">
        <v>12</v>
      </c>
      <c r="R8" s="20">
        <v>4</v>
      </c>
      <c r="S8" s="5" t="s">
        <v>12</v>
      </c>
      <c r="T8" s="4">
        <f t="shared" si="1"/>
        <v>16</v>
      </c>
      <c r="U8" s="21">
        <v>1</v>
      </c>
      <c r="V8" s="18">
        <f t="shared" si="128"/>
        <v>8</v>
      </c>
      <c r="W8" s="4">
        <v>6</v>
      </c>
      <c r="X8" s="8">
        <f t="shared" si="2"/>
        <v>-2</v>
      </c>
      <c r="Z8" s="20"/>
      <c r="AA8" s="5" t="s">
        <v>12</v>
      </c>
      <c r="AB8" s="20">
        <v>31</v>
      </c>
      <c r="AC8" s="5" t="s">
        <v>12</v>
      </c>
      <c r="AD8" s="4">
        <f t="shared" si="3"/>
        <v>31</v>
      </c>
      <c r="AE8" s="21">
        <v>0</v>
      </c>
      <c r="AF8" s="18">
        <f t="shared" si="129"/>
        <v>9</v>
      </c>
      <c r="AG8" s="4">
        <v>9</v>
      </c>
      <c r="AH8" s="8">
        <f t="shared" si="4"/>
        <v>0</v>
      </c>
      <c r="AJ8" s="2"/>
      <c r="AK8" s="5" t="s">
        <v>12</v>
      </c>
      <c r="AL8" s="2">
        <v>25</v>
      </c>
      <c r="AM8" s="5" t="s">
        <v>12</v>
      </c>
      <c r="AN8" s="4">
        <f t="shared" si="5"/>
        <v>25</v>
      </c>
      <c r="AO8" s="17"/>
      <c r="AP8" s="18">
        <f t="shared" si="130"/>
        <v>6</v>
      </c>
      <c r="AQ8" s="4">
        <v>3</v>
      </c>
      <c r="AR8" s="8">
        <f t="shared" si="6"/>
        <v>-3</v>
      </c>
      <c r="AT8" s="2"/>
      <c r="AU8" s="5" t="s">
        <v>12</v>
      </c>
      <c r="AV8" s="2">
        <v>8</v>
      </c>
      <c r="AW8" s="5" t="s">
        <v>12</v>
      </c>
      <c r="AX8" s="4">
        <f t="shared" si="7"/>
        <v>8</v>
      </c>
      <c r="AY8" s="17">
        <v>1</v>
      </c>
      <c r="AZ8" s="18">
        <f t="shared" si="131"/>
        <v>17</v>
      </c>
      <c r="BA8" s="4">
        <v>16</v>
      </c>
      <c r="BB8" s="8">
        <f t="shared" si="8"/>
        <v>-1</v>
      </c>
      <c r="BD8" s="2"/>
      <c r="BE8" s="5" t="s">
        <v>12</v>
      </c>
      <c r="BF8" s="2">
        <v>12</v>
      </c>
      <c r="BG8" s="5" t="s">
        <v>12</v>
      </c>
      <c r="BH8" s="4">
        <f t="shared" si="9"/>
        <v>12</v>
      </c>
      <c r="BI8" s="17">
        <v>1</v>
      </c>
      <c r="BJ8" s="18">
        <f t="shared" si="132"/>
        <v>20</v>
      </c>
      <c r="BK8" s="4">
        <v>18</v>
      </c>
      <c r="BL8" s="8">
        <f t="shared" si="10"/>
        <v>-2</v>
      </c>
      <c r="BN8" s="20"/>
      <c r="BO8" s="5" t="s">
        <v>12</v>
      </c>
      <c r="BP8" s="20">
        <v>30</v>
      </c>
      <c r="BQ8" s="5" t="s">
        <v>12</v>
      </c>
      <c r="BR8" s="4">
        <f t="shared" si="11"/>
        <v>30</v>
      </c>
      <c r="BS8" s="21">
        <v>1</v>
      </c>
      <c r="BT8" s="18">
        <f t="shared" si="133"/>
        <v>6</v>
      </c>
      <c r="BU8" s="4">
        <v>6</v>
      </c>
      <c r="BV8" s="8">
        <f t="shared" si="12"/>
        <v>0</v>
      </c>
      <c r="BX8" s="20"/>
      <c r="BY8" s="5" t="s">
        <v>12</v>
      </c>
      <c r="BZ8" s="20">
        <v>23</v>
      </c>
      <c r="CA8" s="5" t="s">
        <v>12</v>
      </c>
      <c r="CB8" s="4">
        <f t="shared" si="13"/>
        <v>23</v>
      </c>
      <c r="CC8" s="21">
        <v>1</v>
      </c>
      <c r="CD8" s="18">
        <f t="shared" si="134"/>
        <v>31</v>
      </c>
      <c r="CE8" s="4">
        <v>21</v>
      </c>
      <c r="CF8" s="8">
        <f t="shared" si="14"/>
        <v>-10</v>
      </c>
      <c r="CH8" s="20"/>
      <c r="CI8" s="5" t="s">
        <v>12</v>
      </c>
      <c r="CJ8" s="20">
        <v>28</v>
      </c>
      <c r="CK8" s="5" t="s">
        <v>12</v>
      </c>
      <c r="CL8" s="4">
        <f t="shared" si="15"/>
        <v>28</v>
      </c>
      <c r="CM8" s="21">
        <v>1</v>
      </c>
      <c r="CN8" s="18">
        <f t="shared" si="135"/>
        <v>19</v>
      </c>
      <c r="CO8" s="4">
        <v>14</v>
      </c>
      <c r="CP8" s="8">
        <f t="shared" si="16"/>
        <v>-5</v>
      </c>
      <c r="CR8" s="20"/>
      <c r="CS8" s="5" t="s">
        <v>12</v>
      </c>
      <c r="CT8" s="20">
        <v>33</v>
      </c>
      <c r="CU8" s="5" t="s">
        <v>12</v>
      </c>
      <c r="CV8" s="4">
        <f t="shared" si="17"/>
        <v>33</v>
      </c>
      <c r="CW8" s="21">
        <v>0</v>
      </c>
      <c r="CX8" s="18">
        <f t="shared" si="136"/>
        <v>19</v>
      </c>
      <c r="CY8" s="4">
        <v>12</v>
      </c>
      <c r="CZ8" s="8">
        <f t="shared" si="18"/>
        <v>-7</v>
      </c>
      <c r="DB8" s="20"/>
      <c r="DC8" s="5" t="s">
        <v>12</v>
      </c>
      <c r="DD8" s="20">
        <v>24</v>
      </c>
      <c r="DE8" s="5" t="s">
        <v>12</v>
      </c>
      <c r="DF8" s="4">
        <f t="shared" si="19"/>
        <v>24</v>
      </c>
      <c r="DG8" s="21">
        <v>1</v>
      </c>
      <c r="DH8" s="18">
        <f t="shared" si="137"/>
        <v>9</v>
      </c>
      <c r="DI8" s="4">
        <v>9</v>
      </c>
      <c r="DJ8" s="8">
        <f t="shared" si="20"/>
        <v>0</v>
      </c>
      <c r="DL8" s="20"/>
      <c r="DM8" s="5" t="s">
        <v>12</v>
      </c>
      <c r="DN8" s="20">
        <v>35</v>
      </c>
      <c r="DO8" s="5" t="s">
        <v>12</v>
      </c>
      <c r="DP8" s="4">
        <f t="shared" si="21"/>
        <v>35</v>
      </c>
      <c r="DQ8" s="21">
        <v>1</v>
      </c>
      <c r="DR8" s="18">
        <f t="shared" si="138"/>
        <v>13</v>
      </c>
      <c r="DS8" s="4">
        <v>13</v>
      </c>
      <c r="DT8" s="8">
        <f t="shared" si="22"/>
        <v>0</v>
      </c>
      <c r="DV8" s="2">
        <v>1</v>
      </c>
      <c r="DW8" s="5" t="s">
        <v>12</v>
      </c>
      <c r="DX8" s="2">
        <v>39</v>
      </c>
      <c r="DY8" s="5" t="s">
        <v>12</v>
      </c>
      <c r="DZ8" s="4">
        <f t="shared" si="23"/>
        <v>40</v>
      </c>
      <c r="EA8" s="17"/>
      <c r="EB8" s="18">
        <f t="shared" si="139"/>
        <v>19</v>
      </c>
      <c r="EC8" s="4">
        <v>18</v>
      </c>
      <c r="ED8" s="8">
        <f t="shared" si="24"/>
        <v>-1</v>
      </c>
      <c r="EF8" s="20"/>
      <c r="EG8" s="5" t="s">
        <v>12</v>
      </c>
      <c r="EH8" s="20">
        <v>30</v>
      </c>
      <c r="EI8" s="5" t="s">
        <v>12</v>
      </c>
      <c r="EJ8" s="4">
        <f t="shared" si="25"/>
        <v>30</v>
      </c>
      <c r="EK8" s="21"/>
      <c r="EL8" s="18">
        <f t="shared" si="140"/>
        <v>10</v>
      </c>
      <c r="EM8" s="4">
        <v>10</v>
      </c>
      <c r="EN8" s="8">
        <f t="shared" si="26"/>
        <v>0</v>
      </c>
      <c r="EP8" s="20">
        <v>0</v>
      </c>
      <c r="EQ8" s="5" t="s">
        <v>12</v>
      </c>
      <c r="ER8" s="20">
        <v>19</v>
      </c>
      <c r="ES8" s="5" t="s">
        <v>12</v>
      </c>
      <c r="ET8" s="4">
        <f t="shared" si="27"/>
        <v>19</v>
      </c>
      <c r="EU8" s="21">
        <v>1</v>
      </c>
      <c r="EV8" s="18">
        <f t="shared" si="141"/>
        <v>11</v>
      </c>
      <c r="EW8" s="4">
        <v>11</v>
      </c>
      <c r="EX8" s="8">
        <f t="shared" si="28"/>
        <v>0</v>
      </c>
      <c r="EZ8" s="20"/>
      <c r="FA8" s="5" t="s">
        <v>12</v>
      </c>
      <c r="FB8" s="20">
        <v>20</v>
      </c>
      <c r="FC8" s="5" t="s">
        <v>12</v>
      </c>
      <c r="FD8" s="4">
        <f t="shared" si="29"/>
        <v>20</v>
      </c>
      <c r="FE8" s="21">
        <v>1</v>
      </c>
      <c r="FF8" s="18">
        <f t="shared" si="142"/>
        <v>23</v>
      </c>
      <c r="FG8" s="4">
        <v>23</v>
      </c>
      <c r="FH8" s="8">
        <f t="shared" si="30"/>
        <v>0</v>
      </c>
      <c r="FJ8" s="2"/>
      <c r="FK8" s="5" t="s">
        <v>12</v>
      </c>
      <c r="FL8" s="2">
        <v>30</v>
      </c>
      <c r="FM8" s="5" t="s">
        <v>12</v>
      </c>
      <c r="FN8" s="4">
        <f t="shared" si="31"/>
        <v>30</v>
      </c>
      <c r="FO8" s="17">
        <v>1</v>
      </c>
      <c r="FP8" s="18">
        <f t="shared" si="143"/>
        <v>14</v>
      </c>
      <c r="FQ8" s="4">
        <v>18</v>
      </c>
      <c r="FR8" s="8">
        <f t="shared" si="32"/>
        <v>4</v>
      </c>
      <c r="FT8" s="2">
        <v>12</v>
      </c>
      <c r="FU8" s="5" t="s">
        <v>12</v>
      </c>
      <c r="FV8" s="2">
        <v>21</v>
      </c>
      <c r="FW8" s="5" t="s">
        <v>12</v>
      </c>
      <c r="FX8" s="4">
        <f t="shared" si="33"/>
        <v>33</v>
      </c>
      <c r="FY8" s="17">
        <v>1</v>
      </c>
      <c r="FZ8" s="18">
        <f t="shared" si="144"/>
        <v>21</v>
      </c>
      <c r="GA8" s="4">
        <v>15</v>
      </c>
      <c r="GB8" s="8">
        <f t="shared" si="34"/>
        <v>-6</v>
      </c>
      <c r="GD8" s="20">
        <v>0</v>
      </c>
      <c r="GE8" s="5" t="s">
        <v>12</v>
      </c>
      <c r="GF8" s="20">
        <v>50</v>
      </c>
      <c r="GG8" s="5" t="s">
        <v>12</v>
      </c>
      <c r="GH8" s="4">
        <f t="shared" si="35"/>
        <v>50</v>
      </c>
      <c r="GI8" s="21">
        <v>0</v>
      </c>
      <c r="GJ8" s="18">
        <f t="shared" si="145"/>
        <v>7</v>
      </c>
      <c r="GK8" s="4">
        <v>6</v>
      </c>
      <c r="GL8" s="8">
        <f t="shared" si="36"/>
        <v>-1</v>
      </c>
      <c r="GN8" s="20"/>
      <c r="GO8" s="5" t="s">
        <v>12</v>
      </c>
      <c r="GP8" s="20">
        <v>35</v>
      </c>
      <c r="GQ8" s="5" t="s">
        <v>12</v>
      </c>
      <c r="GR8" s="4">
        <f t="shared" si="37"/>
        <v>35</v>
      </c>
      <c r="GS8" s="21">
        <v>1</v>
      </c>
      <c r="GT8" s="18">
        <f t="shared" si="146"/>
        <v>15</v>
      </c>
      <c r="GU8" s="4">
        <v>14</v>
      </c>
      <c r="GV8" s="8">
        <f t="shared" si="38"/>
        <v>-1</v>
      </c>
      <c r="GX8" s="20"/>
      <c r="GY8" s="5" t="s">
        <v>12</v>
      </c>
      <c r="GZ8" s="20">
        <v>49</v>
      </c>
      <c r="HA8" s="5" t="s">
        <v>12</v>
      </c>
      <c r="HB8" s="4">
        <f t="shared" si="39"/>
        <v>49</v>
      </c>
      <c r="HC8" s="21">
        <v>0</v>
      </c>
      <c r="HD8" s="18">
        <f t="shared" si="147"/>
        <v>10</v>
      </c>
      <c r="HE8" s="4">
        <v>10</v>
      </c>
      <c r="HF8" s="8">
        <f t="shared" si="40"/>
        <v>0</v>
      </c>
      <c r="HH8" s="20"/>
      <c r="HI8" s="5" t="s">
        <v>12</v>
      </c>
      <c r="HJ8" s="20">
        <v>21</v>
      </c>
      <c r="HK8" s="5" t="s">
        <v>12</v>
      </c>
      <c r="HL8" s="4">
        <f t="shared" si="41"/>
        <v>21</v>
      </c>
      <c r="HM8" s="21">
        <v>1</v>
      </c>
      <c r="HN8" s="18">
        <f t="shared" si="148"/>
        <v>28</v>
      </c>
      <c r="HO8" s="4">
        <v>23</v>
      </c>
      <c r="HP8" s="8">
        <f t="shared" si="42"/>
        <v>-5</v>
      </c>
      <c r="HR8" s="2"/>
      <c r="HS8" s="5" t="s">
        <v>12</v>
      </c>
      <c r="HT8" s="2">
        <v>25</v>
      </c>
      <c r="HU8" s="5" t="s">
        <v>12</v>
      </c>
      <c r="HV8" s="4">
        <f t="shared" si="43"/>
        <v>25</v>
      </c>
      <c r="HW8" s="17">
        <v>1</v>
      </c>
      <c r="HX8" s="18">
        <f t="shared" si="149"/>
        <v>20</v>
      </c>
      <c r="HY8" s="4">
        <v>21</v>
      </c>
      <c r="HZ8" s="8">
        <f t="shared" si="44"/>
        <v>1</v>
      </c>
      <c r="IB8" s="2"/>
      <c r="IC8" s="5" t="s">
        <v>12</v>
      </c>
      <c r="ID8" s="2">
        <v>37</v>
      </c>
      <c r="IE8" s="5" t="s">
        <v>12</v>
      </c>
      <c r="IF8" s="4">
        <f t="shared" si="45"/>
        <v>37</v>
      </c>
      <c r="IG8" s="17">
        <v>1</v>
      </c>
      <c r="IH8" s="18">
        <f t="shared" si="150"/>
        <v>12</v>
      </c>
      <c r="II8" s="4">
        <v>12</v>
      </c>
      <c r="IJ8" s="8">
        <f t="shared" si="46"/>
        <v>0</v>
      </c>
      <c r="IL8" s="2">
        <v>0</v>
      </c>
      <c r="IM8" s="5" t="s">
        <v>12</v>
      </c>
      <c r="IN8" s="2">
        <v>44</v>
      </c>
      <c r="IO8" s="5" t="s">
        <v>12</v>
      </c>
      <c r="IP8" s="4">
        <f t="shared" si="47"/>
        <v>44</v>
      </c>
      <c r="IQ8" s="17">
        <v>1</v>
      </c>
      <c r="IR8" s="18">
        <f t="shared" si="48"/>
        <v>17</v>
      </c>
      <c r="IS8" s="4">
        <v>17</v>
      </c>
      <c r="IT8" s="8">
        <f t="shared" si="49"/>
        <v>0</v>
      </c>
      <c r="IV8" s="2">
        <v>24</v>
      </c>
      <c r="IW8" s="5" t="s">
        <v>12</v>
      </c>
      <c r="IX8" s="2">
        <v>30</v>
      </c>
      <c r="IY8" s="5" t="s">
        <v>12</v>
      </c>
      <c r="IZ8" s="4">
        <f t="shared" si="50"/>
        <v>54</v>
      </c>
      <c r="JA8" s="17"/>
      <c r="JB8" s="18">
        <f t="shared" si="151"/>
        <v>14</v>
      </c>
      <c r="JC8" s="4">
        <v>14</v>
      </c>
      <c r="JD8" s="8">
        <f t="shared" si="51"/>
        <v>0</v>
      </c>
      <c r="JF8" s="2"/>
      <c r="JG8" s="5" t="s">
        <v>12</v>
      </c>
      <c r="JH8" s="2">
        <v>33</v>
      </c>
      <c r="JI8" s="5" t="s">
        <v>12</v>
      </c>
      <c r="JJ8" s="4">
        <f t="shared" si="52"/>
        <v>33</v>
      </c>
      <c r="JK8" s="17">
        <v>1</v>
      </c>
      <c r="JL8" s="18">
        <f t="shared" si="152"/>
        <v>21</v>
      </c>
      <c r="JM8" s="4">
        <v>21</v>
      </c>
      <c r="JN8" s="8">
        <f t="shared" si="53"/>
        <v>0</v>
      </c>
      <c r="JP8" s="20">
        <v>0</v>
      </c>
      <c r="JQ8" s="5" t="s">
        <v>12</v>
      </c>
      <c r="JR8" s="20">
        <v>33</v>
      </c>
      <c r="JS8" s="5" t="s">
        <v>12</v>
      </c>
      <c r="JT8" s="4">
        <f t="shared" si="54"/>
        <v>33</v>
      </c>
      <c r="JU8" s="21"/>
      <c r="JV8" s="18">
        <f t="shared" si="153"/>
        <v>24</v>
      </c>
      <c r="JW8" s="4">
        <v>21</v>
      </c>
      <c r="JX8" s="8">
        <f t="shared" si="55"/>
        <v>-3</v>
      </c>
      <c r="JZ8" s="20"/>
      <c r="KA8" s="5" t="s">
        <v>12</v>
      </c>
      <c r="KB8" s="20">
        <v>18</v>
      </c>
      <c r="KC8" s="5" t="s">
        <v>12</v>
      </c>
      <c r="KD8" s="4">
        <f t="shared" si="56"/>
        <v>18</v>
      </c>
      <c r="KE8" s="21">
        <v>2</v>
      </c>
      <c r="KF8" s="18">
        <f t="shared" si="154"/>
        <v>15</v>
      </c>
      <c r="KG8" s="4">
        <v>15</v>
      </c>
      <c r="KH8" s="8">
        <f t="shared" si="57"/>
        <v>0</v>
      </c>
      <c r="KJ8" s="20">
        <v>0</v>
      </c>
      <c r="KK8" s="5" t="s">
        <v>12</v>
      </c>
      <c r="KL8" s="20">
        <v>49</v>
      </c>
      <c r="KM8" s="5" t="s">
        <v>12</v>
      </c>
      <c r="KN8" s="4">
        <f t="shared" si="58"/>
        <v>49</v>
      </c>
      <c r="KO8" s="21"/>
      <c r="KP8" s="18">
        <f t="shared" si="155"/>
        <v>17</v>
      </c>
      <c r="KQ8" s="4">
        <v>16</v>
      </c>
      <c r="KR8" s="8">
        <f t="shared" si="59"/>
        <v>-1</v>
      </c>
      <c r="KT8" s="20"/>
      <c r="KU8" s="5" t="s">
        <v>12</v>
      </c>
      <c r="KV8" s="20">
        <v>31</v>
      </c>
      <c r="KW8" s="5" t="s">
        <v>12</v>
      </c>
      <c r="KX8" s="4">
        <f t="shared" si="60"/>
        <v>31</v>
      </c>
      <c r="KY8" s="21">
        <v>1</v>
      </c>
      <c r="KZ8" s="18">
        <f t="shared" si="61"/>
        <v>18</v>
      </c>
      <c r="LA8" s="4">
        <v>17</v>
      </c>
      <c r="LB8" s="8">
        <f t="shared" si="62"/>
        <v>-1</v>
      </c>
      <c r="LD8" s="20">
        <v>0</v>
      </c>
      <c r="LE8" s="5" t="s">
        <v>12</v>
      </c>
      <c r="LF8" s="20">
        <v>37</v>
      </c>
      <c r="LG8" s="5" t="s">
        <v>12</v>
      </c>
      <c r="LH8" s="4">
        <f t="shared" si="63"/>
        <v>37</v>
      </c>
      <c r="LI8" s="21"/>
      <c r="LJ8" s="18">
        <f t="shared" si="64"/>
        <v>18</v>
      </c>
      <c r="LK8" s="4">
        <v>18</v>
      </c>
      <c r="LL8" s="8">
        <f t="shared" si="65"/>
        <v>0</v>
      </c>
      <c r="LN8" s="20"/>
      <c r="LO8" s="5" t="s">
        <v>12</v>
      </c>
      <c r="LP8" s="20">
        <v>29</v>
      </c>
      <c r="LQ8" s="5" t="s">
        <v>12</v>
      </c>
      <c r="LR8" s="4">
        <f t="shared" si="156"/>
        <v>29</v>
      </c>
      <c r="LS8" s="21">
        <v>1</v>
      </c>
      <c r="LT8" s="18">
        <f t="shared" si="66"/>
        <v>8</v>
      </c>
      <c r="LU8" s="4">
        <v>8</v>
      </c>
      <c r="LV8" s="8">
        <f t="shared" si="67"/>
        <v>0</v>
      </c>
      <c r="LX8" s="20"/>
      <c r="LY8" s="5" t="s">
        <v>12</v>
      </c>
      <c r="LZ8" s="20">
        <v>37</v>
      </c>
      <c r="MA8" s="5" t="s">
        <v>12</v>
      </c>
      <c r="MB8" s="4">
        <f t="shared" si="68"/>
        <v>37</v>
      </c>
      <c r="MC8" s="21"/>
      <c r="MD8" s="18">
        <f t="shared" si="69"/>
        <v>16</v>
      </c>
      <c r="ME8" s="4">
        <v>17</v>
      </c>
      <c r="MF8" s="8">
        <f t="shared" si="70"/>
        <v>1</v>
      </c>
      <c r="MH8" s="20"/>
      <c r="MI8" s="5" t="s">
        <v>12</v>
      </c>
      <c r="MJ8" s="20">
        <v>25</v>
      </c>
      <c r="MK8" s="5" t="s">
        <v>12</v>
      </c>
      <c r="ML8" s="4">
        <f t="shared" si="71"/>
        <v>25</v>
      </c>
      <c r="MM8" s="21">
        <v>1</v>
      </c>
      <c r="MN8" s="18">
        <f t="shared" si="72"/>
        <v>12</v>
      </c>
      <c r="MO8" s="4">
        <v>12</v>
      </c>
      <c r="MP8" s="8">
        <f t="shared" si="73"/>
        <v>0</v>
      </c>
      <c r="MR8" s="20"/>
      <c r="MS8" s="5" t="s">
        <v>12</v>
      </c>
      <c r="MT8" s="20">
        <v>32</v>
      </c>
      <c r="MU8" s="5" t="s">
        <v>12</v>
      </c>
      <c r="MV8" s="4">
        <f t="shared" si="74"/>
        <v>32</v>
      </c>
      <c r="MW8" s="21"/>
      <c r="MX8" s="18">
        <f t="shared" si="75"/>
        <v>17</v>
      </c>
      <c r="MY8" s="4">
        <v>14</v>
      </c>
      <c r="MZ8" s="18">
        <f t="shared" si="76"/>
        <v>-3</v>
      </c>
      <c r="NB8" s="20"/>
      <c r="NC8" s="5" t="s">
        <v>12</v>
      </c>
      <c r="ND8" s="20">
        <v>19</v>
      </c>
      <c r="NE8" s="5" t="s">
        <v>12</v>
      </c>
      <c r="NF8" s="4">
        <f t="shared" si="77"/>
        <v>19</v>
      </c>
      <c r="NG8" s="21">
        <v>1</v>
      </c>
      <c r="NH8" s="18">
        <f t="shared" si="78"/>
        <v>13</v>
      </c>
      <c r="NI8" s="4">
        <v>13</v>
      </c>
      <c r="NJ8" s="8">
        <f t="shared" si="79"/>
        <v>0</v>
      </c>
      <c r="NL8" s="20"/>
      <c r="NM8" s="5" t="s">
        <v>12</v>
      </c>
      <c r="NN8" s="20">
        <v>30</v>
      </c>
      <c r="NO8" s="5" t="s">
        <v>12</v>
      </c>
      <c r="NP8" s="4">
        <f t="shared" si="80"/>
        <v>30</v>
      </c>
      <c r="NQ8" s="21"/>
      <c r="NR8" s="18">
        <f t="shared" si="81"/>
        <v>13</v>
      </c>
      <c r="NS8" s="4">
        <v>13</v>
      </c>
      <c r="NT8" s="8">
        <f t="shared" si="82"/>
        <v>0</v>
      </c>
      <c r="NV8" s="20"/>
      <c r="NW8" s="5" t="s">
        <v>12</v>
      </c>
      <c r="NX8" s="20">
        <v>14</v>
      </c>
      <c r="NY8" s="5" t="s">
        <v>12</v>
      </c>
      <c r="NZ8" s="4">
        <f t="shared" si="83"/>
        <v>14</v>
      </c>
      <c r="OA8" s="21">
        <v>1</v>
      </c>
      <c r="OB8" s="18">
        <f t="shared" si="84"/>
        <v>16</v>
      </c>
      <c r="OC8" s="4">
        <v>16</v>
      </c>
      <c r="OD8" s="8">
        <f t="shared" si="85"/>
        <v>0</v>
      </c>
      <c r="OF8" s="20">
        <v>24</v>
      </c>
      <c r="OG8" s="5" t="s">
        <v>12</v>
      </c>
      <c r="OH8" s="20">
        <v>7</v>
      </c>
      <c r="OI8" s="5" t="s">
        <v>12</v>
      </c>
      <c r="OJ8" s="4">
        <f t="shared" si="86"/>
        <v>31</v>
      </c>
      <c r="OK8" s="21"/>
      <c r="OL8" s="18">
        <f t="shared" si="87"/>
        <v>7</v>
      </c>
      <c r="OM8" s="4">
        <v>7</v>
      </c>
      <c r="ON8" s="8">
        <f t="shared" si="88"/>
        <v>0</v>
      </c>
      <c r="OP8" s="20"/>
      <c r="OQ8" s="5" t="s">
        <v>12</v>
      </c>
      <c r="OR8" s="20">
        <v>10</v>
      </c>
      <c r="OS8" s="5" t="s">
        <v>12</v>
      </c>
      <c r="OT8" s="4">
        <f t="shared" si="89"/>
        <v>10</v>
      </c>
      <c r="OU8" s="21"/>
      <c r="OV8" s="18">
        <f t="shared" si="90"/>
        <v>21</v>
      </c>
      <c r="OW8" s="4">
        <v>21</v>
      </c>
      <c r="OX8" s="8">
        <f t="shared" si="91"/>
        <v>0</v>
      </c>
      <c r="OZ8" s="2">
        <v>0</v>
      </c>
      <c r="PA8" s="5" t="s">
        <v>12</v>
      </c>
      <c r="PB8" s="2">
        <v>5</v>
      </c>
      <c r="PC8" s="5" t="s">
        <v>12</v>
      </c>
      <c r="PD8" s="4">
        <f t="shared" si="92"/>
        <v>5</v>
      </c>
      <c r="PE8" s="17">
        <v>2</v>
      </c>
      <c r="PF8" s="18">
        <f t="shared" si="93"/>
        <v>5</v>
      </c>
      <c r="PG8" s="4">
        <v>10</v>
      </c>
      <c r="PH8" s="8">
        <f t="shared" si="94"/>
        <v>5</v>
      </c>
      <c r="PJ8" s="2">
        <v>24</v>
      </c>
      <c r="PK8" s="5" t="s">
        <v>12</v>
      </c>
      <c r="PL8" s="2">
        <v>23</v>
      </c>
      <c r="PM8" s="5" t="s">
        <v>12</v>
      </c>
      <c r="PN8" s="4">
        <f t="shared" si="95"/>
        <v>47</v>
      </c>
      <c r="PO8" s="17"/>
      <c r="PP8" s="18">
        <f t="shared" si="96"/>
        <v>6</v>
      </c>
      <c r="PQ8" s="4">
        <v>5</v>
      </c>
      <c r="PR8" s="18">
        <f t="shared" si="97"/>
        <v>-1</v>
      </c>
      <c r="PT8" s="20">
        <v>24</v>
      </c>
      <c r="PU8" s="5" t="s">
        <v>12</v>
      </c>
      <c r="PV8" s="20">
        <v>11</v>
      </c>
      <c r="PW8" s="5" t="s">
        <v>12</v>
      </c>
      <c r="PX8" s="4">
        <f t="shared" si="98"/>
        <v>35</v>
      </c>
      <c r="PY8" s="21">
        <v>1</v>
      </c>
      <c r="PZ8" s="18">
        <f t="shared" si="99"/>
        <v>12</v>
      </c>
      <c r="QA8" s="4">
        <v>12</v>
      </c>
      <c r="QB8" s="8">
        <f t="shared" si="100"/>
        <v>0</v>
      </c>
      <c r="QD8" s="20">
        <v>18</v>
      </c>
      <c r="QE8" s="5" t="s">
        <v>12</v>
      </c>
      <c r="QF8" s="20">
        <v>20</v>
      </c>
      <c r="QG8" s="5" t="s">
        <v>12</v>
      </c>
      <c r="QH8" s="4">
        <f t="shared" si="101"/>
        <v>38</v>
      </c>
      <c r="QI8" s="21"/>
      <c r="QJ8" s="18">
        <f t="shared" si="102"/>
        <v>21</v>
      </c>
      <c r="QK8" s="4">
        <v>21</v>
      </c>
      <c r="QL8" s="8">
        <f t="shared" si="103"/>
        <v>0</v>
      </c>
      <c r="QN8" s="20">
        <v>0</v>
      </c>
      <c r="QO8" s="5" t="s">
        <v>12</v>
      </c>
      <c r="QP8" s="20">
        <v>30</v>
      </c>
      <c r="QQ8" s="5" t="s">
        <v>12</v>
      </c>
      <c r="QR8" s="4">
        <f t="shared" si="104"/>
        <v>30</v>
      </c>
      <c r="QS8" s="21">
        <v>1</v>
      </c>
      <c r="QT8" s="18">
        <f t="shared" si="105"/>
        <v>8</v>
      </c>
      <c r="QU8" s="4">
        <v>8</v>
      </c>
      <c r="QV8" s="8">
        <f t="shared" si="106"/>
        <v>0</v>
      </c>
      <c r="QX8" s="20">
        <v>24</v>
      </c>
      <c r="QY8" s="5" t="s">
        <v>12</v>
      </c>
      <c r="QZ8" s="20">
        <v>14</v>
      </c>
      <c r="RA8" s="5" t="s">
        <v>12</v>
      </c>
      <c r="RB8" s="4">
        <f t="shared" si="107"/>
        <v>38</v>
      </c>
      <c r="RC8" s="21"/>
      <c r="RD8" s="18">
        <f t="shared" si="108"/>
        <v>16</v>
      </c>
      <c r="RE8" s="4">
        <v>14</v>
      </c>
      <c r="RF8" s="8">
        <f t="shared" si="109"/>
        <v>-2</v>
      </c>
      <c r="RH8" s="20">
        <v>24</v>
      </c>
      <c r="RI8" s="5" t="s">
        <v>12</v>
      </c>
      <c r="RJ8" s="20">
        <v>4</v>
      </c>
      <c r="RK8" s="5" t="s">
        <v>12</v>
      </c>
      <c r="RL8" s="4">
        <f t="shared" si="110"/>
        <v>28</v>
      </c>
      <c r="RM8" s="21">
        <v>1</v>
      </c>
      <c r="RN8" s="18">
        <f t="shared" si="111"/>
        <v>10</v>
      </c>
      <c r="RO8" s="4">
        <v>10</v>
      </c>
      <c r="RP8" s="8">
        <f t="shared" si="112"/>
        <v>0</v>
      </c>
      <c r="RR8" s="2">
        <v>24</v>
      </c>
      <c r="RS8" s="5" t="s">
        <v>12</v>
      </c>
      <c r="RT8" s="2">
        <v>24</v>
      </c>
      <c r="RU8" s="5" t="s">
        <v>12</v>
      </c>
      <c r="RV8" s="4">
        <f t="shared" si="113"/>
        <v>48</v>
      </c>
      <c r="RW8" s="17"/>
      <c r="RX8" s="18">
        <f t="shared" si="114"/>
        <v>4</v>
      </c>
      <c r="RY8" s="4">
        <v>4</v>
      </c>
      <c r="RZ8" s="18">
        <f t="shared" si="115"/>
        <v>0</v>
      </c>
      <c r="SB8" s="20">
        <v>24</v>
      </c>
      <c r="SC8" s="5" t="s">
        <v>12</v>
      </c>
      <c r="SD8" s="20">
        <v>15</v>
      </c>
      <c r="SE8" s="5" t="s">
        <v>12</v>
      </c>
      <c r="SF8" s="4">
        <f t="shared" si="116"/>
        <v>39</v>
      </c>
      <c r="SG8" s="21">
        <v>0</v>
      </c>
      <c r="SH8" s="18">
        <f t="shared" si="117"/>
        <v>9</v>
      </c>
      <c r="SI8" s="4">
        <v>9</v>
      </c>
      <c r="SJ8" s="8">
        <f t="shared" si="118"/>
        <v>0</v>
      </c>
      <c r="SL8" s="20">
        <v>0</v>
      </c>
      <c r="SM8" s="5" t="s">
        <v>12</v>
      </c>
      <c r="SN8" s="20">
        <v>26</v>
      </c>
      <c r="SO8" s="5" t="s">
        <v>12</v>
      </c>
      <c r="SP8" s="4">
        <f t="shared" si="119"/>
        <v>26</v>
      </c>
      <c r="SQ8" s="21"/>
      <c r="SR8" s="18">
        <f t="shared" si="120"/>
        <v>13</v>
      </c>
      <c r="SS8" s="4">
        <v>13</v>
      </c>
      <c r="ST8" s="8">
        <f t="shared" si="121"/>
        <v>0</v>
      </c>
      <c r="SV8" s="74">
        <v>0</v>
      </c>
      <c r="SW8" s="75" t="s">
        <v>12</v>
      </c>
      <c r="SX8" s="74">
        <v>12</v>
      </c>
      <c r="SY8" s="75" t="s">
        <v>12</v>
      </c>
      <c r="SZ8" s="76">
        <f t="shared" si="122"/>
        <v>12</v>
      </c>
      <c r="TA8" s="77">
        <v>1</v>
      </c>
      <c r="TB8" s="78">
        <f t="shared" si="123"/>
        <v>14</v>
      </c>
      <c r="TC8" s="76">
        <v>14</v>
      </c>
      <c r="TD8" s="79">
        <f t="shared" si="124"/>
        <v>0</v>
      </c>
      <c r="TF8" s="91"/>
      <c r="TG8" s="92" t="s">
        <v>12</v>
      </c>
      <c r="TH8" s="91">
        <v>32</v>
      </c>
      <c r="TI8" s="92" t="s">
        <v>12</v>
      </c>
      <c r="TJ8" s="93">
        <f t="shared" si="125"/>
        <v>32</v>
      </c>
      <c r="TK8" s="94"/>
      <c r="TL8" s="95">
        <f t="shared" si="126"/>
        <v>4</v>
      </c>
      <c r="TM8" s="93">
        <v>4</v>
      </c>
      <c r="TN8" s="96">
        <f t="shared" si="127"/>
        <v>0</v>
      </c>
    </row>
    <row r="9" spans="1:534" ht="12.75" customHeight="1" x14ac:dyDescent="0.2">
      <c r="A9" s="16" t="s">
        <v>24</v>
      </c>
      <c r="B9" s="11" t="s">
        <v>13</v>
      </c>
      <c r="C9" s="12">
        <v>28</v>
      </c>
      <c r="D9" s="13" t="s">
        <v>12</v>
      </c>
      <c r="F9" s="2"/>
      <c r="G9" s="5" t="s">
        <v>12</v>
      </c>
      <c r="H9" s="2"/>
      <c r="I9" s="5" t="s">
        <v>12</v>
      </c>
      <c r="J9" s="4">
        <v>0</v>
      </c>
      <c r="K9" s="17">
        <v>1</v>
      </c>
      <c r="L9" s="18"/>
      <c r="M9" s="4"/>
      <c r="N9" s="8" t="str">
        <f t="shared" si="0"/>
        <v/>
      </c>
      <c r="P9" s="20">
        <v>12</v>
      </c>
      <c r="Q9" s="5" t="s">
        <v>12</v>
      </c>
      <c r="R9" s="20">
        <v>8</v>
      </c>
      <c r="S9" s="5" t="s">
        <v>12</v>
      </c>
      <c r="T9" s="4">
        <f t="shared" si="1"/>
        <v>20</v>
      </c>
      <c r="U9" s="21"/>
      <c r="V9" s="18">
        <f t="shared" si="128"/>
        <v>4</v>
      </c>
      <c r="W9" s="4">
        <v>4</v>
      </c>
      <c r="X9" s="8">
        <f t="shared" si="2"/>
        <v>0</v>
      </c>
      <c r="Z9" s="20"/>
      <c r="AA9" s="5" t="s">
        <v>12</v>
      </c>
      <c r="AB9" s="20">
        <v>5</v>
      </c>
      <c r="AC9" s="5" t="s">
        <v>12</v>
      </c>
      <c r="AD9" s="4">
        <f t="shared" si="3"/>
        <v>5</v>
      </c>
      <c r="AE9" s="21">
        <v>1</v>
      </c>
      <c r="AF9" s="18">
        <f t="shared" si="129"/>
        <v>15</v>
      </c>
      <c r="AG9" s="4">
        <v>12</v>
      </c>
      <c r="AH9" s="8">
        <f t="shared" si="4"/>
        <v>-3</v>
      </c>
      <c r="AJ9" s="2">
        <v>24</v>
      </c>
      <c r="AK9" s="5" t="s">
        <v>12</v>
      </c>
      <c r="AL9" s="2">
        <v>1</v>
      </c>
      <c r="AM9" s="5" t="s">
        <v>12</v>
      </c>
      <c r="AN9" s="4">
        <f t="shared" si="5"/>
        <v>25</v>
      </c>
      <c r="AO9" s="17">
        <v>1</v>
      </c>
      <c r="AP9" s="18">
        <f t="shared" si="130"/>
        <v>4</v>
      </c>
      <c r="AQ9" s="4">
        <v>3</v>
      </c>
      <c r="AR9" s="8">
        <f t="shared" si="6"/>
        <v>-1</v>
      </c>
      <c r="AT9" s="2">
        <v>24</v>
      </c>
      <c r="AU9" s="5" t="s">
        <v>12</v>
      </c>
      <c r="AV9" s="2">
        <v>20</v>
      </c>
      <c r="AW9" s="5" t="s">
        <v>12</v>
      </c>
      <c r="AX9" s="4">
        <f t="shared" si="7"/>
        <v>44</v>
      </c>
      <c r="AY9" s="17">
        <v>0</v>
      </c>
      <c r="AZ9" s="18">
        <f t="shared" si="131"/>
        <v>5</v>
      </c>
      <c r="BA9" s="4">
        <v>5</v>
      </c>
      <c r="BB9" s="8">
        <f t="shared" si="8"/>
        <v>0</v>
      </c>
      <c r="BD9" s="2"/>
      <c r="BE9" s="5" t="s">
        <v>12</v>
      </c>
      <c r="BF9" s="2">
        <v>31</v>
      </c>
      <c r="BG9" s="5" t="s">
        <v>12</v>
      </c>
      <c r="BH9" s="4">
        <f t="shared" si="9"/>
        <v>31</v>
      </c>
      <c r="BI9" s="17">
        <v>0</v>
      </c>
      <c r="BJ9" s="18">
        <f t="shared" si="132"/>
        <v>13</v>
      </c>
      <c r="BK9" s="4">
        <v>10</v>
      </c>
      <c r="BL9" s="8">
        <f t="shared" si="10"/>
        <v>-3</v>
      </c>
      <c r="BN9" s="20"/>
      <c r="BO9" s="5" t="s">
        <v>12</v>
      </c>
      <c r="BP9" s="20">
        <v>22</v>
      </c>
      <c r="BQ9" s="5" t="s">
        <v>12</v>
      </c>
      <c r="BR9" s="4">
        <f t="shared" si="11"/>
        <v>22</v>
      </c>
      <c r="BS9" s="21">
        <v>1</v>
      </c>
      <c r="BT9" s="18">
        <f t="shared" si="133"/>
        <v>9</v>
      </c>
      <c r="BU9" s="4">
        <v>8</v>
      </c>
      <c r="BV9" s="8">
        <f t="shared" si="12"/>
        <v>-1</v>
      </c>
      <c r="BX9" s="20"/>
      <c r="BY9" s="5" t="s">
        <v>12</v>
      </c>
      <c r="BZ9" s="20">
        <v>38</v>
      </c>
      <c r="CA9" s="5" t="s">
        <v>12</v>
      </c>
      <c r="CB9" s="4">
        <f t="shared" si="13"/>
        <v>38</v>
      </c>
      <c r="CC9" s="21">
        <v>0</v>
      </c>
      <c r="CD9" s="18">
        <f t="shared" si="134"/>
        <v>8</v>
      </c>
      <c r="CE9" s="4">
        <v>6</v>
      </c>
      <c r="CF9" s="8">
        <f t="shared" si="14"/>
        <v>-2</v>
      </c>
      <c r="CH9" s="20"/>
      <c r="CI9" s="5" t="s">
        <v>12</v>
      </c>
      <c r="CJ9" s="20">
        <v>26</v>
      </c>
      <c r="CK9" s="5" t="s">
        <v>12</v>
      </c>
      <c r="CL9" s="4">
        <f t="shared" si="15"/>
        <v>26</v>
      </c>
      <c r="CM9" s="21">
        <v>1</v>
      </c>
      <c r="CN9" s="18">
        <f t="shared" si="135"/>
        <v>12</v>
      </c>
      <c r="CO9" s="4">
        <v>6</v>
      </c>
      <c r="CP9" s="8">
        <f t="shared" si="16"/>
        <v>-6</v>
      </c>
      <c r="CR9" s="20">
        <v>24</v>
      </c>
      <c r="CS9" s="5" t="s">
        <v>12</v>
      </c>
      <c r="CT9" s="20">
        <v>23</v>
      </c>
      <c r="CU9" s="5" t="s">
        <v>12</v>
      </c>
      <c r="CV9" s="4">
        <f t="shared" si="17"/>
        <v>47</v>
      </c>
      <c r="CW9" s="21">
        <v>0</v>
      </c>
      <c r="CX9" s="18">
        <f t="shared" si="136"/>
        <v>3</v>
      </c>
      <c r="CY9" s="4">
        <v>3</v>
      </c>
      <c r="CZ9" s="8">
        <f t="shared" si="18"/>
        <v>0</v>
      </c>
      <c r="DB9" s="20"/>
      <c r="DC9" s="5" t="s">
        <v>12</v>
      </c>
      <c r="DD9" s="20">
        <v>36</v>
      </c>
      <c r="DE9" s="5" t="s">
        <v>12</v>
      </c>
      <c r="DF9" s="4">
        <f t="shared" si="19"/>
        <v>36</v>
      </c>
      <c r="DG9" s="21">
        <v>0</v>
      </c>
      <c r="DH9" s="18">
        <f t="shared" si="137"/>
        <v>11</v>
      </c>
      <c r="DI9" s="4">
        <v>9</v>
      </c>
      <c r="DJ9" s="8">
        <f t="shared" si="20"/>
        <v>-2</v>
      </c>
      <c r="DL9" s="20">
        <v>6</v>
      </c>
      <c r="DM9" s="5" t="s">
        <v>12</v>
      </c>
      <c r="DN9" s="20">
        <v>15</v>
      </c>
      <c r="DO9" s="5" t="s">
        <v>12</v>
      </c>
      <c r="DP9" s="4">
        <f t="shared" si="21"/>
        <v>21</v>
      </c>
      <c r="DQ9" s="21">
        <v>1</v>
      </c>
      <c r="DR9" s="18">
        <f t="shared" si="138"/>
        <v>15</v>
      </c>
      <c r="DS9" s="4">
        <v>13</v>
      </c>
      <c r="DT9" s="8">
        <f t="shared" si="22"/>
        <v>-2</v>
      </c>
      <c r="DV9" s="2">
        <v>14</v>
      </c>
      <c r="DW9" s="5" t="s">
        <v>12</v>
      </c>
      <c r="DX9" s="2">
        <v>17</v>
      </c>
      <c r="DY9" s="5" t="s">
        <v>12</v>
      </c>
      <c r="DZ9" s="4">
        <f t="shared" si="23"/>
        <v>31</v>
      </c>
      <c r="EA9" s="17"/>
      <c r="EB9" s="18">
        <f t="shared" si="139"/>
        <v>14</v>
      </c>
      <c r="EC9" s="4">
        <v>13</v>
      </c>
      <c r="ED9" s="8">
        <f t="shared" si="24"/>
        <v>-1</v>
      </c>
      <c r="EF9" s="20"/>
      <c r="EG9" s="5" t="s">
        <v>12</v>
      </c>
      <c r="EH9" s="20">
        <v>23</v>
      </c>
      <c r="EI9" s="5" t="s">
        <v>12</v>
      </c>
      <c r="EJ9" s="4">
        <f t="shared" si="25"/>
        <v>23</v>
      </c>
      <c r="EK9" s="21"/>
      <c r="EL9" s="18">
        <f t="shared" si="140"/>
        <v>8</v>
      </c>
      <c r="EM9" s="4">
        <v>8</v>
      </c>
      <c r="EN9" s="8">
        <f t="shared" si="26"/>
        <v>0</v>
      </c>
      <c r="EP9" s="20">
        <v>0</v>
      </c>
      <c r="EQ9" s="5" t="s">
        <v>12</v>
      </c>
      <c r="ER9" s="20">
        <v>17</v>
      </c>
      <c r="ES9" s="5" t="s">
        <v>12</v>
      </c>
      <c r="ET9" s="4">
        <f t="shared" si="27"/>
        <v>17</v>
      </c>
      <c r="EU9" s="21">
        <v>1</v>
      </c>
      <c r="EV9" s="18">
        <f t="shared" si="141"/>
        <v>6</v>
      </c>
      <c r="EW9" s="4">
        <v>6</v>
      </c>
      <c r="EX9" s="8">
        <f t="shared" si="28"/>
        <v>0</v>
      </c>
      <c r="EZ9" s="20"/>
      <c r="FA9" s="5" t="s">
        <v>12</v>
      </c>
      <c r="FB9" s="20">
        <v>27</v>
      </c>
      <c r="FC9" s="5" t="s">
        <v>12</v>
      </c>
      <c r="FD9" s="4">
        <f t="shared" si="29"/>
        <v>27</v>
      </c>
      <c r="FE9" s="21"/>
      <c r="FF9" s="18">
        <f t="shared" si="142"/>
        <v>14</v>
      </c>
      <c r="FG9" s="4">
        <v>14</v>
      </c>
      <c r="FH9" s="8">
        <f t="shared" si="30"/>
        <v>0</v>
      </c>
      <c r="FJ9" s="2"/>
      <c r="FK9" s="5" t="s">
        <v>12</v>
      </c>
      <c r="FL9" s="2">
        <v>20</v>
      </c>
      <c r="FM9" s="5" t="s">
        <v>12</v>
      </c>
      <c r="FN9" s="4">
        <f t="shared" si="31"/>
        <v>20</v>
      </c>
      <c r="FO9" s="17">
        <v>1</v>
      </c>
      <c r="FP9" s="18">
        <f t="shared" si="143"/>
        <v>7</v>
      </c>
      <c r="FQ9" s="4">
        <v>5</v>
      </c>
      <c r="FR9" s="8">
        <f t="shared" si="32"/>
        <v>-2</v>
      </c>
      <c r="FT9" s="2"/>
      <c r="FU9" s="5" t="s">
        <v>12</v>
      </c>
      <c r="FV9" s="2">
        <v>23</v>
      </c>
      <c r="FW9" s="5" t="s">
        <v>12</v>
      </c>
      <c r="FX9" s="4">
        <f t="shared" si="33"/>
        <v>23</v>
      </c>
      <c r="FY9" s="17">
        <v>1</v>
      </c>
      <c r="FZ9" s="18">
        <f t="shared" si="144"/>
        <v>21</v>
      </c>
      <c r="GA9" s="4">
        <v>15</v>
      </c>
      <c r="GB9" s="8">
        <f t="shared" si="34"/>
        <v>-6</v>
      </c>
      <c r="GD9" s="20">
        <v>0</v>
      </c>
      <c r="GE9" s="5" t="s">
        <v>12</v>
      </c>
      <c r="GF9" s="20">
        <v>36</v>
      </c>
      <c r="GG9" s="5" t="s">
        <v>12</v>
      </c>
      <c r="GH9" s="4">
        <f t="shared" si="35"/>
        <v>36</v>
      </c>
      <c r="GI9" s="21">
        <v>0</v>
      </c>
      <c r="GJ9" s="18">
        <f t="shared" si="145"/>
        <v>11</v>
      </c>
      <c r="GK9" s="4">
        <v>9</v>
      </c>
      <c r="GL9" s="8">
        <f t="shared" si="36"/>
        <v>-2</v>
      </c>
      <c r="GN9" s="20"/>
      <c r="GO9" s="5" t="s">
        <v>12</v>
      </c>
      <c r="GP9" s="20">
        <v>30</v>
      </c>
      <c r="GQ9" s="5" t="s">
        <v>12</v>
      </c>
      <c r="GR9" s="4">
        <f t="shared" si="37"/>
        <v>30</v>
      </c>
      <c r="GS9" s="21">
        <v>0</v>
      </c>
      <c r="GT9" s="18">
        <f t="shared" si="146"/>
        <v>6</v>
      </c>
      <c r="GU9" s="4">
        <v>6</v>
      </c>
      <c r="GV9" s="8">
        <f t="shared" si="38"/>
        <v>0</v>
      </c>
      <c r="GX9" s="20"/>
      <c r="GY9" s="5" t="s">
        <v>12</v>
      </c>
      <c r="GZ9" s="20">
        <v>22</v>
      </c>
      <c r="HA9" s="5" t="s">
        <v>12</v>
      </c>
      <c r="HB9" s="4">
        <f t="shared" si="39"/>
        <v>22</v>
      </c>
      <c r="HC9" s="21">
        <v>1</v>
      </c>
      <c r="HD9" s="18">
        <f t="shared" si="147"/>
        <v>8</v>
      </c>
      <c r="HE9" s="4">
        <v>8</v>
      </c>
      <c r="HF9" s="8">
        <f t="shared" si="40"/>
        <v>0</v>
      </c>
      <c r="HH9" s="20">
        <v>24</v>
      </c>
      <c r="HI9" s="5" t="s">
        <v>12</v>
      </c>
      <c r="HJ9" s="20">
        <v>14</v>
      </c>
      <c r="HK9" s="5" t="s">
        <v>12</v>
      </c>
      <c r="HL9" s="4">
        <f t="shared" si="41"/>
        <v>38</v>
      </c>
      <c r="HM9" s="21">
        <v>0</v>
      </c>
      <c r="HN9" s="18">
        <f t="shared" si="148"/>
        <v>8</v>
      </c>
      <c r="HO9" s="4">
        <v>7</v>
      </c>
      <c r="HP9" s="8">
        <f t="shared" si="42"/>
        <v>-1</v>
      </c>
      <c r="HR9" s="2"/>
      <c r="HS9" s="5" t="s">
        <v>12</v>
      </c>
      <c r="HT9" s="2">
        <v>25</v>
      </c>
      <c r="HU9" s="5" t="s">
        <v>12</v>
      </c>
      <c r="HV9" s="4">
        <f t="shared" si="43"/>
        <v>25</v>
      </c>
      <c r="HW9" s="17">
        <v>0</v>
      </c>
      <c r="HX9" s="18">
        <f t="shared" si="149"/>
        <v>13</v>
      </c>
      <c r="HY9" s="4">
        <v>13</v>
      </c>
      <c r="HZ9" s="8">
        <f t="shared" si="44"/>
        <v>0</v>
      </c>
      <c r="IB9" s="2"/>
      <c r="IC9" s="5" t="s">
        <v>12</v>
      </c>
      <c r="ID9" s="2">
        <v>14</v>
      </c>
      <c r="IE9" s="5" t="s">
        <v>12</v>
      </c>
      <c r="IF9" s="4">
        <f t="shared" si="45"/>
        <v>14</v>
      </c>
      <c r="IG9" s="17">
        <v>1</v>
      </c>
      <c r="IH9" s="18">
        <f t="shared" si="150"/>
        <v>11</v>
      </c>
      <c r="II9" s="4">
        <v>11</v>
      </c>
      <c r="IJ9" s="8">
        <f t="shared" si="46"/>
        <v>0</v>
      </c>
      <c r="IL9" s="2"/>
      <c r="IM9" s="5" t="s">
        <v>12</v>
      </c>
      <c r="IN9" s="2">
        <v>24</v>
      </c>
      <c r="IO9" s="5" t="s">
        <v>12</v>
      </c>
      <c r="IP9" s="4">
        <f t="shared" si="47"/>
        <v>24</v>
      </c>
      <c r="IQ9" s="17">
        <v>0</v>
      </c>
      <c r="IR9" s="18">
        <f t="shared" si="48"/>
        <v>14</v>
      </c>
      <c r="IS9" s="4">
        <v>13</v>
      </c>
      <c r="IT9" s="8">
        <f t="shared" si="49"/>
        <v>-1</v>
      </c>
      <c r="IV9" s="2">
        <v>0</v>
      </c>
      <c r="IW9" s="5" t="s">
        <v>12</v>
      </c>
      <c r="IX9" s="2">
        <v>15</v>
      </c>
      <c r="IY9" s="5" t="s">
        <v>12</v>
      </c>
      <c r="IZ9" s="4">
        <f t="shared" si="50"/>
        <v>15</v>
      </c>
      <c r="JA9" s="17"/>
      <c r="JB9" s="18">
        <f t="shared" si="151"/>
        <v>9</v>
      </c>
      <c r="JC9" s="4">
        <v>9</v>
      </c>
      <c r="JD9" s="8">
        <f t="shared" si="51"/>
        <v>0</v>
      </c>
      <c r="JF9" s="2"/>
      <c r="JG9" s="5" t="s">
        <v>12</v>
      </c>
      <c r="JH9" s="2">
        <v>6</v>
      </c>
      <c r="JI9" s="5" t="s">
        <v>12</v>
      </c>
      <c r="JJ9" s="4">
        <f t="shared" si="52"/>
        <v>6</v>
      </c>
      <c r="JK9" s="17">
        <v>1</v>
      </c>
      <c r="JL9" s="18">
        <f t="shared" si="152"/>
        <v>9</v>
      </c>
      <c r="JM9" s="4">
        <v>9</v>
      </c>
      <c r="JN9" s="8">
        <f t="shared" si="53"/>
        <v>0</v>
      </c>
      <c r="JP9" s="20">
        <v>0</v>
      </c>
      <c r="JQ9" s="5" t="s">
        <v>12</v>
      </c>
      <c r="JR9" s="20">
        <v>20</v>
      </c>
      <c r="JS9" s="5" t="s">
        <v>12</v>
      </c>
      <c r="JT9" s="4">
        <f t="shared" si="54"/>
        <v>20</v>
      </c>
      <c r="JU9" s="21"/>
      <c r="JV9" s="18">
        <f t="shared" si="153"/>
        <v>10</v>
      </c>
      <c r="JW9" s="4">
        <v>9</v>
      </c>
      <c r="JX9" s="8">
        <f t="shared" si="55"/>
        <v>-1</v>
      </c>
      <c r="JZ9" s="20"/>
      <c r="KA9" s="5" t="s">
        <v>12</v>
      </c>
      <c r="KB9" s="20">
        <v>8</v>
      </c>
      <c r="KC9" s="5" t="s">
        <v>12</v>
      </c>
      <c r="KD9" s="4">
        <f t="shared" si="56"/>
        <v>8</v>
      </c>
      <c r="KE9" s="21">
        <v>1</v>
      </c>
      <c r="KF9" s="18">
        <f t="shared" si="154"/>
        <v>12</v>
      </c>
      <c r="KG9" s="4">
        <v>11</v>
      </c>
      <c r="KH9" s="8">
        <f t="shared" si="57"/>
        <v>-1</v>
      </c>
      <c r="KJ9" s="20"/>
      <c r="KK9" s="5" t="s">
        <v>12</v>
      </c>
      <c r="KL9" s="20">
        <v>25</v>
      </c>
      <c r="KM9" s="5" t="s">
        <v>12</v>
      </c>
      <c r="KN9" s="4">
        <f t="shared" si="58"/>
        <v>25</v>
      </c>
      <c r="KO9" s="21"/>
      <c r="KP9" s="18">
        <f t="shared" si="155"/>
        <v>7</v>
      </c>
      <c r="KQ9" s="4">
        <v>7</v>
      </c>
      <c r="KR9" s="8">
        <f t="shared" si="59"/>
        <v>0</v>
      </c>
      <c r="KT9" s="20"/>
      <c r="KU9" s="5" t="s">
        <v>12</v>
      </c>
      <c r="KV9" s="20">
        <v>7</v>
      </c>
      <c r="KW9" s="5" t="s">
        <v>12</v>
      </c>
      <c r="KX9" s="4">
        <f t="shared" si="60"/>
        <v>7</v>
      </c>
      <c r="KY9" s="21">
        <v>2</v>
      </c>
      <c r="KZ9" s="18">
        <f t="shared" si="61"/>
        <v>18</v>
      </c>
      <c r="LA9" s="4">
        <v>18</v>
      </c>
      <c r="LB9" s="8">
        <f t="shared" si="62"/>
        <v>0</v>
      </c>
      <c r="LD9" s="20">
        <v>24</v>
      </c>
      <c r="LE9" s="5" t="s">
        <v>12</v>
      </c>
      <c r="LF9" s="20">
        <v>21</v>
      </c>
      <c r="LG9" s="5" t="s">
        <v>12</v>
      </c>
      <c r="LH9" s="4">
        <f t="shared" si="63"/>
        <v>45</v>
      </c>
      <c r="LI9" s="21"/>
      <c r="LJ9" s="18">
        <f t="shared" si="64"/>
        <v>10</v>
      </c>
      <c r="LK9" s="4">
        <v>10</v>
      </c>
      <c r="LL9" s="8">
        <f t="shared" si="65"/>
        <v>0</v>
      </c>
      <c r="LN9" s="20"/>
      <c r="LO9" s="5" t="s">
        <v>12</v>
      </c>
      <c r="LP9" s="20">
        <v>28</v>
      </c>
      <c r="LQ9" s="5" t="s">
        <v>12</v>
      </c>
      <c r="LR9" s="4">
        <v>29</v>
      </c>
      <c r="LS9" s="21">
        <v>1</v>
      </c>
      <c r="LT9" s="18">
        <f t="shared" si="66"/>
        <v>16</v>
      </c>
      <c r="LU9" s="4">
        <v>16</v>
      </c>
      <c r="LV9" s="8">
        <f t="shared" si="67"/>
        <v>0</v>
      </c>
      <c r="LX9" s="20">
        <v>12</v>
      </c>
      <c r="LY9" s="5" t="s">
        <v>12</v>
      </c>
      <c r="LZ9" s="20">
        <v>29</v>
      </c>
      <c r="MA9" s="5" t="s">
        <v>12</v>
      </c>
      <c r="MB9" s="4">
        <f t="shared" si="68"/>
        <v>41</v>
      </c>
      <c r="MC9" s="21"/>
      <c r="MD9" s="18">
        <f t="shared" si="69"/>
        <v>12</v>
      </c>
      <c r="ME9" s="4">
        <v>9</v>
      </c>
      <c r="MF9" s="8">
        <f t="shared" si="70"/>
        <v>-3</v>
      </c>
      <c r="MH9" s="20"/>
      <c r="MI9" s="5" t="s">
        <v>12</v>
      </c>
      <c r="MJ9" s="20">
        <v>33</v>
      </c>
      <c r="MK9" s="5" t="s">
        <v>12</v>
      </c>
      <c r="ML9" s="4">
        <f t="shared" si="71"/>
        <v>33</v>
      </c>
      <c r="MM9" s="21">
        <v>1</v>
      </c>
      <c r="MN9" s="18">
        <f t="shared" si="72"/>
        <v>8</v>
      </c>
      <c r="MO9" s="4">
        <v>8</v>
      </c>
      <c r="MP9" s="8">
        <f t="shared" si="73"/>
        <v>0</v>
      </c>
      <c r="MR9" s="20">
        <v>24</v>
      </c>
      <c r="MS9" s="5" t="s">
        <v>12</v>
      </c>
      <c r="MT9" s="20">
        <v>28</v>
      </c>
      <c r="MU9" s="5" t="s">
        <v>12</v>
      </c>
      <c r="MV9" s="4">
        <f t="shared" si="74"/>
        <v>52</v>
      </c>
      <c r="MW9" s="21"/>
      <c r="MX9" s="18">
        <f t="shared" si="75"/>
        <v>5</v>
      </c>
      <c r="MY9" s="4">
        <v>5</v>
      </c>
      <c r="MZ9" s="18">
        <f t="shared" si="76"/>
        <v>0</v>
      </c>
      <c r="NB9" s="20"/>
      <c r="NC9" s="5" t="s">
        <v>12</v>
      </c>
      <c r="ND9" s="20">
        <v>44</v>
      </c>
      <c r="NE9" s="5" t="s">
        <v>12</v>
      </c>
      <c r="NF9" s="4">
        <f t="shared" si="77"/>
        <v>44</v>
      </c>
      <c r="NG9" s="21"/>
      <c r="NH9" s="18">
        <f t="shared" si="78"/>
        <v>8</v>
      </c>
      <c r="NI9" s="4">
        <v>8</v>
      </c>
      <c r="NJ9" s="8">
        <f t="shared" si="79"/>
        <v>0</v>
      </c>
      <c r="NL9" s="20"/>
      <c r="NM9" s="5" t="s">
        <v>12</v>
      </c>
      <c r="NN9" s="20">
        <v>31</v>
      </c>
      <c r="NO9" s="5" t="s">
        <v>12</v>
      </c>
      <c r="NP9" s="4">
        <f t="shared" si="80"/>
        <v>31</v>
      </c>
      <c r="NQ9" s="21"/>
      <c r="NR9" s="18">
        <f t="shared" si="81"/>
        <v>13</v>
      </c>
      <c r="NS9" s="4">
        <v>13</v>
      </c>
      <c r="NT9" s="8">
        <f t="shared" si="82"/>
        <v>0</v>
      </c>
      <c r="NV9" s="20"/>
      <c r="NW9" s="5" t="s">
        <v>12</v>
      </c>
      <c r="NX9" s="20">
        <v>18</v>
      </c>
      <c r="NY9" s="5" t="s">
        <v>12</v>
      </c>
      <c r="NZ9" s="4">
        <f t="shared" si="83"/>
        <v>18</v>
      </c>
      <c r="OA9" s="21">
        <v>1</v>
      </c>
      <c r="OB9" s="18">
        <f t="shared" si="84"/>
        <v>13</v>
      </c>
      <c r="OC9" s="4">
        <v>13</v>
      </c>
      <c r="OD9" s="8">
        <f t="shared" si="85"/>
        <v>0</v>
      </c>
      <c r="OF9" s="20"/>
      <c r="OG9" s="5" t="s">
        <v>12</v>
      </c>
      <c r="OH9" s="20">
        <v>31</v>
      </c>
      <c r="OI9" s="5" t="s">
        <v>12</v>
      </c>
      <c r="OJ9" s="4">
        <f t="shared" si="86"/>
        <v>31</v>
      </c>
      <c r="OK9" s="21"/>
      <c r="OL9" s="18">
        <f t="shared" si="87"/>
        <v>11</v>
      </c>
      <c r="OM9" s="4">
        <v>11</v>
      </c>
      <c r="ON9" s="8">
        <f t="shared" si="88"/>
        <v>0</v>
      </c>
      <c r="OP9" s="20"/>
      <c r="OQ9" s="5" t="s">
        <v>12</v>
      </c>
      <c r="OR9" s="20">
        <v>14</v>
      </c>
      <c r="OS9" s="5" t="s">
        <v>12</v>
      </c>
      <c r="OT9" s="4">
        <f t="shared" si="89"/>
        <v>14</v>
      </c>
      <c r="OU9" s="21"/>
      <c r="OV9" s="18">
        <f t="shared" si="90"/>
        <v>17</v>
      </c>
      <c r="OW9" s="4">
        <v>17</v>
      </c>
      <c r="OX9" s="8">
        <f t="shared" si="91"/>
        <v>0</v>
      </c>
      <c r="OZ9" s="2">
        <v>0</v>
      </c>
      <c r="PA9" s="5" t="s">
        <v>12</v>
      </c>
      <c r="PB9" s="2">
        <v>8</v>
      </c>
      <c r="PC9" s="5" t="s">
        <v>12</v>
      </c>
      <c r="PD9" s="4">
        <f t="shared" si="92"/>
        <v>8</v>
      </c>
      <c r="PE9" s="17">
        <v>1</v>
      </c>
      <c r="PF9" s="18">
        <f t="shared" si="93"/>
        <v>6</v>
      </c>
      <c r="PG9" s="4">
        <v>6</v>
      </c>
      <c r="PH9" s="8">
        <f t="shared" si="94"/>
        <v>0</v>
      </c>
      <c r="PJ9" s="2"/>
      <c r="PK9" s="5" t="s">
        <v>12</v>
      </c>
      <c r="PL9" s="2">
        <v>21</v>
      </c>
      <c r="PM9" s="5" t="s">
        <v>12</v>
      </c>
      <c r="PN9" s="4">
        <f t="shared" si="95"/>
        <v>21</v>
      </c>
      <c r="PO9" s="17"/>
      <c r="PP9" s="18">
        <f t="shared" si="96"/>
        <v>11</v>
      </c>
      <c r="PQ9" s="4">
        <v>11</v>
      </c>
      <c r="PR9" s="8">
        <f t="shared" si="97"/>
        <v>0</v>
      </c>
      <c r="PT9" s="20"/>
      <c r="PU9" s="5" t="s">
        <v>12</v>
      </c>
      <c r="PV9" s="20">
        <v>9</v>
      </c>
      <c r="PW9" s="5" t="s">
        <v>12</v>
      </c>
      <c r="PX9" s="4">
        <f t="shared" si="98"/>
        <v>9</v>
      </c>
      <c r="PY9" s="21">
        <v>1</v>
      </c>
      <c r="PZ9" s="18">
        <f t="shared" si="99"/>
        <v>12</v>
      </c>
      <c r="QA9" s="4">
        <v>12</v>
      </c>
      <c r="QB9" s="8">
        <f t="shared" si="100"/>
        <v>0</v>
      </c>
      <c r="QD9" s="20">
        <v>0</v>
      </c>
      <c r="QE9" s="5" t="s">
        <v>12</v>
      </c>
      <c r="QF9" s="20">
        <v>21</v>
      </c>
      <c r="QG9" s="5" t="s">
        <v>12</v>
      </c>
      <c r="QH9" s="4">
        <f t="shared" si="101"/>
        <v>21</v>
      </c>
      <c r="QI9" s="21"/>
      <c r="QJ9" s="18">
        <f t="shared" si="102"/>
        <v>12</v>
      </c>
      <c r="QK9" s="4">
        <v>12</v>
      </c>
      <c r="QL9" s="8">
        <f t="shared" si="103"/>
        <v>0</v>
      </c>
      <c r="QN9" s="20">
        <v>0</v>
      </c>
      <c r="QO9" s="5" t="s">
        <v>12</v>
      </c>
      <c r="QP9" s="20">
        <v>11</v>
      </c>
      <c r="QQ9" s="5" t="s">
        <v>12</v>
      </c>
      <c r="QR9" s="4">
        <f t="shared" si="104"/>
        <v>11</v>
      </c>
      <c r="QS9" s="21">
        <v>1</v>
      </c>
      <c r="QT9" s="18">
        <f t="shared" si="105"/>
        <v>10</v>
      </c>
      <c r="QU9" s="4">
        <v>10</v>
      </c>
      <c r="QV9" s="8">
        <f t="shared" si="106"/>
        <v>0</v>
      </c>
      <c r="QX9" s="20">
        <v>0</v>
      </c>
      <c r="QY9" s="5" t="s">
        <v>12</v>
      </c>
      <c r="QZ9" s="20">
        <v>24</v>
      </c>
      <c r="RA9" s="5" t="s">
        <v>12</v>
      </c>
      <c r="RB9" s="4">
        <f t="shared" si="107"/>
        <v>24</v>
      </c>
      <c r="RC9" s="21"/>
      <c r="RD9" s="18">
        <f t="shared" si="108"/>
        <v>11</v>
      </c>
      <c r="RE9" s="4">
        <v>11</v>
      </c>
      <c r="RF9" s="8">
        <f t="shared" si="109"/>
        <v>0</v>
      </c>
      <c r="RH9" s="20">
        <v>0</v>
      </c>
      <c r="RI9" s="5" t="s">
        <v>12</v>
      </c>
      <c r="RJ9" s="20">
        <v>12</v>
      </c>
      <c r="RK9" s="5" t="s">
        <v>12</v>
      </c>
      <c r="RL9" s="4">
        <f t="shared" si="110"/>
        <v>12</v>
      </c>
      <c r="RM9" s="21">
        <v>1</v>
      </c>
      <c r="RN9" s="18">
        <f t="shared" si="111"/>
        <v>12</v>
      </c>
      <c r="RO9" s="4">
        <v>12</v>
      </c>
      <c r="RP9" s="8">
        <f t="shared" si="112"/>
        <v>0</v>
      </c>
      <c r="RR9" s="2">
        <v>0</v>
      </c>
      <c r="RS9" s="5" t="s">
        <v>12</v>
      </c>
      <c r="RT9" s="2">
        <v>29</v>
      </c>
      <c r="RU9" s="5" t="s">
        <v>12</v>
      </c>
      <c r="RV9" s="4">
        <f t="shared" si="113"/>
        <v>29</v>
      </c>
      <c r="RW9" s="17"/>
      <c r="RX9" s="18">
        <f t="shared" si="114"/>
        <v>7</v>
      </c>
      <c r="RY9" s="4">
        <v>6</v>
      </c>
      <c r="RZ9" s="8">
        <f t="shared" si="115"/>
        <v>-1</v>
      </c>
      <c r="SB9" s="20"/>
      <c r="SC9" s="5" t="s">
        <v>12</v>
      </c>
      <c r="SD9" s="20">
        <v>20</v>
      </c>
      <c r="SE9" s="5" t="s">
        <v>12</v>
      </c>
      <c r="SF9" s="4">
        <f t="shared" si="116"/>
        <v>20</v>
      </c>
      <c r="SG9" s="21">
        <v>1</v>
      </c>
      <c r="SH9" s="18">
        <f t="shared" si="117"/>
        <v>9</v>
      </c>
      <c r="SI9" s="4">
        <v>9</v>
      </c>
      <c r="SJ9" s="8">
        <f t="shared" si="118"/>
        <v>0</v>
      </c>
      <c r="SL9" s="20">
        <v>0</v>
      </c>
      <c r="SM9" s="5" t="s">
        <v>12</v>
      </c>
      <c r="SN9" s="20">
        <v>34</v>
      </c>
      <c r="SO9" s="5" t="s">
        <v>12</v>
      </c>
      <c r="SP9" s="4">
        <f t="shared" si="119"/>
        <v>34</v>
      </c>
      <c r="SQ9" s="21"/>
      <c r="SR9" s="18">
        <f t="shared" si="120"/>
        <v>10</v>
      </c>
      <c r="SS9" s="4">
        <v>10</v>
      </c>
      <c r="ST9" s="8">
        <f t="shared" si="121"/>
        <v>0</v>
      </c>
      <c r="SV9" s="74">
        <v>0</v>
      </c>
      <c r="SW9" s="75" t="s">
        <v>12</v>
      </c>
      <c r="SX9" s="74">
        <v>27</v>
      </c>
      <c r="SY9" s="75" t="s">
        <v>12</v>
      </c>
      <c r="SZ9" s="76">
        <f t="shared" si="122"/>
        <v>27</v>
      </c>
      <c r="TA9" s="77">
        <v>0</v>
      </c>
      <c r="TB9" s="78">
        <f t="shared" si="123"/>
        <v>7</v>
      </c>
      <c r="TC9" s="76">
        <v>7</v>
      </c>
      <c r="TD9" s="79">
        <f t="shared" si="124"/>
        <v>0</v>
      </c>
      <c r="TF9" s="91"/>
      <c r="TG9" s="92" t="s">
        <v>12</v>
      </c>
      <c r="TH9" s="91">
        <v>16</v>
      </c>
      <c r="TI9" s="92" t="s">
        <v>12</v>
      </c>
      <c r="TJ9" s="93">
        <f t="shared" si="125"/>
        <v>16</v>
      </c>
      <c r="TK9" s="94"/>
      <c r="TL9" s="95">
        <f t="shared" si="126"/>
        <v>11</v>
      </c>
      <c r="TM9" s="93">
        <v>11</v>
      </c>
      <c r="TN9" s="96">
        <f t="shared" si="127"/>
        <v>0</v>
      </c>
    </row>
    <row r="10" spans="1:534" ht="12.75" customHeight="1" x14ac:dyDescent="0.2">
      <c r="A10" s="16" t="s">
        <v>25</v>
      </c>
      <c r="B10" s="11" t="s">
        <v>13</v>
      </c>
      <c r="C10" s="12">
        <v>12</v>
      </c>
      <c r="D10" s="13" t="s">
        <v>12</v>
      </c>
      <c r="F10" s="2"/>
      <c r="G10" s="5" t="s">
        <v>12</v>
      </c>
      <c r="H10" s="2"/>
      <c r="I10" s="5" t="s">
        <v>12</v>
      </c>
      <c r="J10" s="4">
        <v>0</v>
      </c>
      <c r="K10" s="17">
        <v>1</v>
      </c>
      <c r="L10" s="18"/>
      <c r="M10" s="4"/>
      <c r="N10" s="8" t="str">
        <f t="shared" si="0"/>
        <v/>
      </c>
      <c r="P10" s="20">
        <v>12</v>
      </c>
      <c r="Q10" s="5" t="s">
        <v>12</v>
      </c>
      <c r="R10" s="20">
        <v>6</v>
      </c>
      <c r="S10" s="5" t="s">
        <v>12</v>
      </c>
      <c r="T10" s="4">
        <f t="shared" si="1"/>
        <v>18</v>
      </c>
      <c r="U10" s="21"/>
      <c r="V10" s="18">
        <f t="shared" si="128"/>
        <v>6</v>
      </c>
      <c r="W10" s="4">
        <v>6</v>
      </c>
      <c r="X10" s="8">
        <f t="shared" si="2"/>
        <v>0</v>
      </c>
      <c r="Z10" s="20"/>
      <c r="AA10" s="5" t="s">
        <v>12</v>
      </c>
      <c r="AB10" s="20">
        <v>12</v>
      </c>
      <c r="AC10" s="5" t="s">
        <v>12</v>
      </c>
      <c r="AD10" s="4">
        <f t="shared" si="3"/>
        <v>12</v>
      </c>
      <c r="AE10" s="21">
        <v>1</v>
      </c>
      <c r="AF10" s="18">
        <f t="shared" si="129"/>
        <v>6</v>
      </c>
      <c r="AG10" s="4">
        <v>2</v>
      </c>
      <c r="AH10" s="8">
        <f t="shared" si="4"/>
        <v>-4</v>
      </c>
      <c r="AJ10" s="2">
        <v>24</v>
      </c>
      <c r="AK10" s="5" t="s">
        <v>12</v>
      </c>
      <c r="AL10" s="2">
        <v>9</v>
      </c>
      <c r="AM10" s="5" t="s">
        <v>12</v>
      </c>
      <c r="AN10" s="4">
        <f t="shared" si="5"/>
        <v>33</v>
      </c>
      <c r="AO10" s="17"/>
      <c r="AP10" s="18">
        <f t="shared" si="130"/>
        <v>3</v>
      </c>
      <c r="AQ10" s="4">
        <v>1</v>
      </c>
      <c r="AR10" s="8">
        <f t="shared" si="6"/>
        <v>-2</v>
      </c>
      <c r="AT10" s="2"/>
      <c r="AU10" s="5" t="s">
        <v>12</v>
      </c>
      <c r="AV10" s="2">
        <v>18</v>
      </c>
      <c r="AW10" s="5" t="s">
        <v>12</v>
      </c>
      <c r="AX10" s="4">
        <f t="shared" si="7"/>
        <v>18</v>
      </c>
      <c r="AY10" s="17">
        <v>0</v>
      </c>
      <c r="AZ10" s="18">
        <f t="shared" si="131"/>
        <v>15</v>
      </c>
      <c r="BA10" s="4">
        <v>4</v>
      </c>
      <c r="BB10" s="8">
        <f t="shared" si="8"/>
        <v>-11</v>
      </c>
      <c r="BD10" s="2"/>
      <c r="BE10" s="5" t="s">
        <v>12</v>
      </c>
      <c r="BF10" s="2">
        <v>9</v>
      </c>
      <c r="BG10" s="5" t="s">
        <v>12</v>
      </c>
      <c r="BH10" s="4">
        <f t="shared" si="9"/>
        <v>9</v>
      </c>
      <c r="BI10" s="17">
        <v>1</v>
      </c>
      <c r="BJ10" s="18">
        <f t="shared" si="132"/>
        <v>9</v>
      </c>
      <c r="BK10" s="4">
        <v>6</v>
      </c>
      <c r="BL10" s="8">
        <f t="shared" si="10"/>
        <v>-3</v>
      </c>
      <c r="BN10" s="20"/>
      <c r="BO10" s="5" t="s">
        <v>12</v>
      </c>
      <c r="BP10" s="20">
        <v>29</v>
      </c>
      <c r="BQ10" s="5" t="s">
        <v>12</v>
      </c>
      <c r="BR10" s="4">
        <f t="shared" si="11"/>
        <v>29</v>
      </c>
      <c r="BS10" s="21">
        <v>1</v>
      </c>
      <c r="BT10" s="18">
        <f t="shared" si="133"/>
        <v>4</v>
      </c>
      <c r="BU10" s="4">
        <v>4</v>
      </c>
      <c r="BV10" s="8">
        <f t="shared" si="12"/>
        <v>0</v>
      </c>
      <c r="BX10" s="20"/>
      <c r="BY10" s="5" t="s">
        <v>12</v>
      </c>
      <c r="BZ10" s="20">
        <v>48</v>
      </c>
      <c r="CA10" s="5" t="s">
        <v>12</v>
      </c>
      <c r="CB10" s="4">
        <f t="shared" si="13"/>
        <v>48</v>
      </c>
      <c r="CC10" s="21">
        <v>0</v>
      </c>
      <c r="CD10" s="18">
        <f t="shared" si="134"/>
        <v>5</v>
      </c>
      <c r="CE10" s="4">
        <v>5</v>
      </c>
      <c r="CF10" s="8">
        <f t="shared" si="14"/>
        <v>0</v>
      </c>
      <c r="CH10" s="20"/>
      <c r="CI10" s="5" t="s">
        <v>12</v>
      </c>
      <c r="CJ10" s="20">
        <v>38</v>
      </c>
      <c r="CK10" s="5" t="s">
        <v>12</v>
      </c>
      <c r="CL10" s="4">
        <f t="shared" si="15"/>
        <v>38</v>
      </c>
      <c r="CM10" s="21">
        <v>1</v>
      </c>
      <c r="CN10" s="18">
        <f t="shared" si="135"/>
        <v>10</v>
      </c>
      <c r="CO10" s="4">
        <v>10</v>
      </c>
      <c r="CP10" s="8">
        <f t="shared" si="16"/>
        <v>0</v>
      </c>
      <c r="CR10" s="20">
        <v>24</v>
      </c>
      <c r="CS10" s="5" t="s">
        <v>12</v>
      </c>
      <c r="CT10" s="20">
        <v>30</v>
      </c>
      <c r="CU10" s="5" t="s">
        <v>12</v>
      </c>
      <c r="CV10" s="4">
        <f t="shared" si="17"/>
        <v>54</v>
      </c>
      <c r="CW10" s="21">
        <v>0</v>
      </c>
      <c r="CX10" s="18">
        <f t="shared" si="136"/>
        <v>8</v>
      </c>
      <c r="CY10" s="4">
        <v>7</v>
      </c>
      <c r="CZ10" s="8">
        <f t="shared" si="18"/>
        <v>-1</v>
      </c>
      <c r="DB10" s="20">
        <v>24</v>
      </c>
      <c r="DC10" s="5" t="s">
        <v>12</v>
      </c>
      <c r="DD10" s="20">
        <v>28</v>
      </c>
      <c r="DE10" s="5" t="s">
        <v>12</v>
      </c>
      <c r="DF10" s="4">
        <f t="shared" si="19"/>
        <v>52</v>
      </c>
      <c r="DG10" s="21">
        <v>0</v>
      </c>
      <c r="DH10" s="18">
        <f t="shared" si="137"/>
        <v>2</v>
      </c>
      <c r="DI10" s="4">
        <v>2</v>
      </c>
      <c r="DJ10" s="8">
        <f t="shared" si="20"/>
        <v>0</v>
      </c>
      <c r="DL10" s="20">
        <v>12</v>
      </c>
      <c r="DM10" s="5" t="s">
        <v>12</v>
      </c>
      <c r="DN10" s="20">
        <v>34</v>
      </c>
      <c r="DO10" s="5" t="s">
        <v>12</v>
      </c>
      <c r="DP10" s="4">
        <f t="shared" si="21"/>
        <v>46</v>
      </c>
      <c r="DQ10" s="21"/>
      <c r="DR10" s="18">
        <f t="shared" si="138"/>
        <v>6</v>
      </c>
      <c r="DS10" s="4">
        <v>6</v>
      </c>
      <c r="DT10" s="8">
        <f t="shared" si="22"/>
        <v>0</v>
      </c>
      <c r="DV10" s="2"/>
      <c r="DW10" s="5" t="s">
        <v>12</v>
      </c>
      <c r="DX10" s="2">
        <v>44</v>
      </c>
      <c r="DY10" s="5" t="s">
        <v>12</v>
      </c>
      <c r="DZ10" s="4">
        <f t="shared" si="23"/>
        <v>44</v>
      </c>
      <c r="EA10" s="17"/>
      <c r="EB10" s="18">
        <f t="shared" si="139"/>
        <v>2</v>
      </c>
      <c r="EC10" s="4">
        <v>0</v>
      </c>
      <c r="ED10" s="8">
        <f t="shared" si="24"/>
        <v>-2</v>
      </c>
      <c r="EF10" s="20"/>
      <c r="EG10" s="5" t="s">
        <v>12</v>
      </c>
      <c r="EH10" s="20">
        <v>39</v>
      </c>
      <c r="EI10" s="5" t="s">
        <v>12</v>
      </c>
      <c r="EJ10" s="4">
        <f t="shared" si="25"/>
        <v>39</v>
      </c>
      <c r="EK10" s="21"/>
      <c r="EL10" s="18">
        <f t="shared" si="140"/>
        <v>5</v>
      </c>
      <c r="EM10" s="4">
        <v>5</v>
      </c>
      <c r="EN10" s="8">
        <f t="shared" si="26"/>
        <v>0</v>
      </c>
      <c r="EP10" s="20">
        <v>0</v>
      </c>
      <c r="EQ10" s="5" t="s">
        <v>12</v>
      </c>
      <c r="ER10" s="20">
        <v>36</v>
      </c>
      <c r="ES10" s="5" t="s">
        <v>12</v>
      </c>
      <c r="ET10" s="4">
        <f t="shared" si="27"/>
        <v>36</v>
      </c>
      <c r="EU10" s="21"/>
      <c r="EV10" s="18">
        <f t="shared" si="141"/>
        <v>3</v>
      </c>
      <c r="EW10" s="4">
        <v>3</v>
      </c>
      <c r="EX10" s="8">
        <f t="shared" si="28"/>
        <v>0</v>
      </c>
      <c r="EZ10" s="20"/>
      <c r="FA10" s="5" t="s">
        <v>12</v>
      </c>
      <c r="FB10" s="20">
        <v>34</v>
      </c>
      <c r="FC10" s="5" t="s">
        <v>12</v>
      </c>
      <c r="FD10" s="4">
        <f t="shared" si="29"/>
        <v>34</v>
      </c>
      <c r="FE10" s="21"/>
      <c r="FF10" s="18">
        <f t="shared" si="142"/>
        <v>2</v>
      </c>
      <c r="FG10" s="4">
        <v>3</v>
      </c>
      <c r="FH10" s="8">
        <f t="shared" si="30"/>
        <v>1</v>
      </c>
      <c r="FJ10" s="2"/>
      <c r="FK10" s="5" t="s">
        <v>12</v>
      </c>
      <c r="FL10" s="2">
        <v>30</v>
      </c>
      <c r="FM10" s="5" t="s">
        <v>12</v>
      </c>
      <c r="FN10" s="4">
        <f t="shared" si="31"/>
        <v>30</v>
      </c>
      <c r="FO10" s="17">
        <v>0</v>
      </c>
      <c r="FP10" s="18">
        <f t="shared" si="143"/>
        <v>4</v>
      </c>
      <c r="FQ10" s="4">
        <v>4</v>
      </c>
      <c r="FR10" s="8">
        <f t="shared" si="32"/>
        <v>0</v>
      </c>
      <c r="FT10" s="2"/>
      <c r="FU10" s="5" t="s">
        <v>12</v>
      </c>
      <c r="FV10" s="2">
        <v>23</v>
      </c>
      <c r="FW10" s="5" t="s">
        <v>12</v>
      </c>
      <c r="FX10" s="4">
        <f t="shared" si="33"/>
        <v>23</v>
      </c>
      <c r="FY10" s="17">
        <v>0</v>
      </c>
      <c r="FZ10" s="18">
        <f t="shared" si="144"/>
        <v>7</v>
      </c>
      <c r="GA10" s="4">
        <v>6</v>
      </c>
      <c r="GB10" s="8">
        <f t="shared" si="34"/>
        <v>-1</v>
      </c>
      <c r="GD10" s="20">
        <v>0</v>
      </c>
      <c r="GE10" s="5" t="s">
        <v>12</v>
      </c>
      <c r="GF10" s="20">
        <v>22</v>
      </c>
      <c r="GG10" s="5" t="s">
        <v>12</v>
      </c>
      <c r="GH10" s="4">
        <f t="shared" si="35"/>
        <v>22</v>
      </c>
      <c r="GI10" s="21">
        <v>0</v>
      </c>
      <c r="GJ10" s="18">
        <f t="shared" si="145"/>
        <v>1</v>
      </c>
      <c r="GK10" s="4">
        <v>2</v>
      </c>
      <c r="GL10" s="8">
        <f t="shared" si="36"/>
        <v>1</v>
      </c>
      <c r="GN10" s="20"/>
      <c r="GO10" s="5" t="s">
        <v>12</v>
      </c>
      <c r="GP10" s="20">
        <v>21</v>
      </c>
      <c r="GQ10" s="5" t="s">
        <v>12</v>
      </c>
      <c r="GR10" s="4">
        <f t="shared" si="37"/>
        <v>21</v>
      </c>
      <c r="GS10" s="21">
        <v>1</v>
      </c>
      <c r="GT10" s="18">
        <f t="shared" si="146"/>
        <v>1</v>
      </c>
      <c r="GU10" s="4">
        <v>1</v>
      </c>
      <c r="GV10" s="8">
        <f t="shared" si="38"/>
        <v>0</v>
      </c>
      <c r="GX10" s="20"/>
      <c r="GY10" s="5" t="s">
        <v>12</v>
      </c>
      <c r="GZ10" s="20">
        <v>43</v>
      </c>
      <c r="HA10" s="5" t="s">
        <v>12</v>
      </c>
      <c r="HB10" s="4">
        <f t="shared" si="39"/>
        <v>43</v>
      </c>
      <c r="HC10" s="21">
        <v>0</v>
      </c>
      <c r="HD10" s="18">
        <f t="shared" si="147"/>
        <v>2</v>
      </c>
      <c r="HE10" s="4">
        <v>2</v>
      </c>
      <c r="HF10" s="8">
        <f t="shared" si="40"/>
        <v>0</v>
      </c>
      <c r="HH10" s="20"/>
      <c r="HI10" s="5" t="s">
        <v>12</v>
      </c>
      <c r="HJ10" s="20">
        <v>36</v>
      </c>
      <c r="HK10" s="5" t="s">
        <v>12</v>
      </c>
      <c r="HL10" s="4">
        <f t="shared" si="41"/>
        <v>36</v>
      </c>
      <c r="HM10" s="21">
        <v>0</v>
      </c>
      <c r="HN10" s="18">
        <f t="shared" si="148"/>
        <v>7</v>
      </c>
      <c r="HO10" s="4">
        <v>7</v>
      </c>
      <c r="HP10" s="8">
        <f t="shared" si="42"/>
        <v>0</v>
      </c>
      <c r="HR10" s="2"/>
      <c r="HS10" s="5" t="s">
        <v>12</v>
      </c>
      <c r="HT10" s="2">
        <v>34</v>
      </c>
      <c r="HU10" s="5" t="s">
        <v>12</v>
      </c>
      <c r="HV10" s="4">
        <f t="shared" si="43"/>
        <v>34</v>
      </c>
      <c r="HW10" s="17">
        <v>0</v>
      </c>
      <c r="HX10" s="18">
        <f t="shared" si="149"/>
        <v>2</v>
      </c>
      <c r="HY10" s="4">
        <v>2</v>
      </c>
      <c r="HZ10" s="8">
        <f t="shared" si="44"/>
        <v>0</v>
      </c>
      <c r="IB10" s="2"/>
      <c r="IC10" s="5" t="s">
        <v>12</v>
      </c>
      <c r="ID10" s="2">
        <v>33</v>
      </c>
      <c r="IE10" s="5" t="s">
        <v>12</v>
      </c>
      <c r="IF10" s="4">
        <f t="shared" si="45"/>
        <v>33</v>
      </c>
      <c r="IG10" s="17">
        <v>0</v>
      </c>
      <c r="IH10" s="18">
        <f t="shared" si="150"/>
        <v>1</v>
      </c>
      <c r="II10" s="4">
        <v>1</v>
      </c>
      <c r="IJ10" s="8">
        <f t="shared" si="46"/>
        <v>0</v>
      </c>
      <c r="IL10" s="2"/>
      <c r="IM10" s="5" t="s">
        <v>12</v>
      </c>
      <c r="IN10" s="2">
        <v>21</v>
      </c>
      <c r="IO10" s="5" t="s">
        <v>12</v>
      </c>
      <c r="IP10" s="4">
        <f t="shared" si="47"/>
        <v>21</v>
      </c>
      <c r="IQ10" s="17">
        <v>1</v>
      </c>
      <c r="IR10" s="18">
        <f t="shared" si="48"/>
        <v>12</v>
      </c>
      <c r="IS10" s="4">
        <v>9</v>
      </c>
      <c r="IT10" s="8">
        <f t="shared" si="49"/>
        <v>-3</v>
      </c>
      <c r="IV10" s="2">
        <v>24</v>
      </c>
      <c r="IW10" s="5" t="s">
        <v>12</v>
      </c>
      <c r="IX10" s="2">
        <v>14</v>
      </c>
      <c r="IY10" s="5" t="s">
        <v>12</v>
      </c>
      <c r="IZ10" s="4">
        <f t="shared" si="50"/>
        <v>38</v>
      </c>
      <c r="JA10" s="17"/>
      <c r="JB10" s="18">
        <f t="shared" si="151"/>
        <v>7</v>
      </c>
      <c r="JC10" s="4">
        <v>6</v>
      </c>
      <c r="JD10" s="8">
        <f t="shared" si="51"/>
        <v>-1</v>
      </c>
      <c r="JF10" s="2"/>
      <c r="JG10" s="5" t="s">
        <v>12</v>
      </c>
      <c r="JH10" s="2">
        <v>32</v>
      </c>
      <c r="JI10" s="5" t="s">
        <v>12</v>
      </c>
      <c r="JJ10" s="4">
        <f t="shared" si="52"/>
        <v>32</v>
      </c>
      <c r="JK10" s="17">
        <v>1</v>
      </c>
      <c r="JL10" s="18">
        <f t="shared" si="152"/>
        <v>6</v>
      </c>
      <c r="JM10" s="4">
        <v>6</v>
      </c>
      <c r="JN10" s="8">
        <f t="shared" si="53"/>
        <v>0</v>
      </c>
      <c r="JP10" s="20">
        <v>0</v>
      </c>
      <c r="JQ10" s="5" t="s">
        <v>12</v>
      </c>
      <c r="JR10" s="20">
        <v>50</v>
      </c>
      <c r="JS10" s="5" t="s">
        <v>12</v>
      </c>
      <c r="JT10" s="4">
        <f t="shared" si="54"/>
        <v>50</v>
      </c>
      <c r="JU10" s="21"/>
      <c r="JV10" s="18">
        <f t="shared" si="153"/>
        <v>6</v>
      </c>
      <c r="JW10" s="4">
        <v>6</v>
      </c>
      <c r="JX10" s="8">
        <f t="shared" si="55"/>
        <v>0</v>
      </c>
      <c r="JZ10" s="20"/>
      <c r="KA10" s="5" t="s">
        <v>12</v>
      </c>
      <c r="KB10" s="20">
        <v>44</v>
      </c>
      <c r="KC10" s="5" t="s">
        <v>12</v>
      </c>
      <c r="KD10" s="4">
        <f t="shared" si="56"/>
        <v>44</v>
      </c>
      <c r="KE10" s="21">
        <v>0</v>
      </c>
      <c r="KF10" s="18">
        <f t="shared" si="154"/>
        <v>6</v>
      </c>
      <c r="KG10" s="4">
        <v>6</v>
      </c>
      <c r="KH10" s="8">
        <f t="shared" si="57"/>
        <v>0</v>
      </c>
      <c r="KJ10" s="20"/>
      <c r="KK10" s="5" t="s">
        <v>12</v>
      </c>
      <c r="KL10" s="20">
        <v>40</v>
      </c>
      <c r="KM10" s="5" t="s">
        <v>12</v>
      </c>
      <c r="KN10" s="4">
        <f t="shared" si="58"/>
        <v>40</v>
      </c>
      <c r="KO10" s="21"/>
      <c r="KP10" s="18">
        <f t="shared" si="155"/>
        <v>4</v>
      </c>
      <c r="KQ10" s="4">
        <v>4</v>
      </c>
      <c r="KR10" s="8">
        <f t="shared" si="59"/>
        <v>0</v>
      </c>
      <c r="KT10" s="20"/>
      <c r="KU10" s="5" t="s">
        <v>12</v>
      </c>
      <c r="KV10" s="20">
        <v>34</v>
      </c>
      <c r="KW10" s="5" t="s">
        <v>12</v>
      </c>
      <c r="KX10" s="4">
        <f t="shared" si="60"/>
        <v>34</v>
      </c>
      <c r="KY10" s="21">
        <v>0</v>
      </c>
      <c r="KZ10" s="18">
        <f t="shared" si="61"/>
        <v>6</v>
      </c>
      <c r="LA10" s="4">
        <v>4</v>
      </c>
      <c r="LB10" s="8">
        <f t="shared" si="62"/>
        <v>-2</v>
      </c>
      <c r="LD10" s="20">
        <v>0</v>
      </c>
      <c r="LE10" s="5" t="s">
        <v>12</v>
      </c>
      <c r="LF10" s="20">
        <v>29</v>
      </c>
      <c r="LG10" s="5" t="s">
        <v>12</v>
      </c>
      <c r="LH10" s="4">
        <f t="shared" si="63"/>
        <v>29</v>
      </c>
      <c r="LI10" s="21"/>
      <c r="LJ10" s="18">
        <f t="shared" si="64"/>
        <v>5</v>
      </c>
      <c r="LK10" s="4">
        <v>5</v>
      </c>
      <c r="LL10" s="8">
        <f t="shared" si="65"/>
        <v>0</v>
      </c>
      <c r="LN10" s="20"/>
      <c r="LO10" s="5" t="s">
        <v>12</v>
      </c>
      <c r="LP10" s="20">
        <v>21</v>
      </c>
      <c r="LQ10" s="5" t="s">
        <v>12</v>
      </c>
      <c r="LR10" s="4">
        <v>23</v>
      </c>
      <c r="LS10" s="21">
        <v>1</v>
      </c>
      <c r="LT10" s="18">
        <f t="shared" si="66"/>
        <v>6</v>
      </c>
      <c r="LU10" s="4">
        <v>4</v>
      </c>
      <c r="LV10" s="8">
        <f t="shared" si="67"/>
        <v>-2</v>
      </c>
      <c r="LX10" s="20"/>
      <c r="LY10" s="5" t="s">
        <v>12</v>
      </c>
      <c r="LZ10" s="20">
        <v>36</v>
      </c>
      <c r="MA10" s="5" t="s">
        <v>12</v>
      </c>
      <c r="MB10" s="4">
        <f t="shared" si="68"/>
        <v>36</v>
      </c>
      <c r="MC10" s="21"/>
      <c r="MD10" s="18">
        <f t="shared" si="69"/>
        <v>11</v>
      </c>
      <c r="ME10" s="4">
        <v>6</v>
      </c>
      <c r="MF10" s="8">
        <f t="shared" si="70"/>
        <v>-5</v>
      </c>
      <c r="MH10" s="20"/>
      <c r="MI10" s="5" t="s">
        <v>12</v>
      </c>
      <c r="MJ10" s="20">
        <v>24</v>
      </c>
      <c r="MK10" s="5" t="s">
        <v>12</v>
      </c>
      <c r="ML10" s="4">
        <f t="shared" si="71"/>
        <v>24</v>
      </c>
      <c r="MM10" s="21">
        <v>1</v>
      </c>
      <c r="MN10" s="18">
        <f t="shared" si="72"/>
        <v>12</v>
      </c>
      <c r="MO10" s="4">
        <v>10</v>
      </c>
      <c r="MP10" s="8">
        <f t="shared" si="73"/>
        <v>-2</v>
      </c>
      <c r="MR10" s="20">
        <v>24</v>
      </c>
      <c r="MS10" s="5" t="s">
        <v>12</v>
      </c>
      <c r="MT10" s="20">
        <v>20</v>
      </c>
      <c r="MU10" s="5" t="s">
        <v>12</v>
      </c>
      <c r="MV10" s="4">
        <f t="shared" si="74"/>
        <v>44</v>
      </c>
      <c r="MW10" s="21"/>
      <c r="MX10" s="18">
        <f t="shared" si="75"/>
        <v>4</v>
      </c>
      <c r="MY10" s="4">
        <v>2</v>
      </c>
      <c r="MZ10" s="18">
        <f t="shared" si="76"/>
        <v>-2</v>
      </c>
      <c r="NB10" s="20"/>
      <c r="NC10" s="5" t="s">
        <v>12</v>
      </c>
      <c r="ND10" s="20">
        <v>37</v>
      </c>
      <c r="NE10" s="5" t="s">
        <v>12</v>
      </c>
      <c r="NF10" s="4">
        <f t="shared" si="77"/>
        <v>37</v>
      </c>
      <c r="NG10" s="21"/>
      <c r="NH10" s="18">
        <f t="shared" si="78"/>
        <v>7</v>
      </c>
      <c r="NI10" s="4">
        <v>4</v>
      </c>
      <c r="NJ10" s="8">
        <f t="shared" si="79"/>
        <v>-3</v>
      </c>
      <c r="NL10" s="20"/>
      <c r="NM10" s="5" t="s">
        <v>12</v>
      </c>
      <c r="NN10" s="20">
        <v>30</v>
      </c>
      <c r="NO10" s="5" t="s">
        <v>12</v>
      </c>
      <c r="NP10" s="4">
        <f t="shared" si="80"/>
        <v>30</v>
      </c>
      <c r="NQ10" s="21"/>
      <c r="NR10" s="18">
        <f t="shared" si="81"/>
        <v>7</v>
      </c>
      <c r="NS10" s="4">
        <v>7</v>
      </c>
      <c r="NT10" s="8">
        <f t="shared" si="82"/>
        <v>0</v>
      </c>
      <c r="NV10" s="20"/>
      <c r="NW10" s="5" t="s">
        <v>12</v>
      </c>
      <c r="NX10" s="20">
        <v>21</v>
      </c>
      <c r="NY10" s="5" t="s">
        <v>12</v>
      </c>
      <c r="NZ10" s="4">
        <f t="shared" si="83"/>
        <v>21</v>
      </c>
      <c r="OA10" s="21">
        <v>1</v>
      </c>
      <c r="OB10" s="18">
        <f t="shared" si="84"/>
        <v>9</v>
      </c>
      <c r="OC10" s="4">
        <v>5</v>
      </c>
      <c r="OD10" s="8">
        <f t="shared" si="85"/>
        <v>-4</v>
      </c>
      <c r="OF10" s="20"/>
      <c r="OG10" s="5" t="s">
        <v>12</v>
      </c>
      <c r="OH10" s="20">
        <v>43</v>
      </c>
      <c r="OI10" s="5" t="s">
        <v>12</v>
      </c>
      <c r="OJ10" s="4">
        <f t="shared" si="86"/>
        <v>43</v>
      </c>
      <c r="OK10" s="21"/>
      <c r="OL10" s="18">
        <f t="shared" si="87"/>
        <v>2</v>
      </c>
      <c r="OM10" s="4">
        <v>2</v>
      </c>
      <c r="ON10" s="8">
        <f t="shared" si="88"/>
        <v>0</v>
      </c>
      <c r="OP10" s="20"/>
      <c r="OQ10" s="5" t="s">
        <v>12</v>
      </c>
      <c r="OR10" s="20">
        <v>21</v>
      </c>
      <c r="OS10" s="5" t="s">
        <v>12</v>
      </c>
      <c r="OT10" s="4">
        <f t="shared" si="89"/>
        <v>21</v>
      </c>
      <c r="OU10" s="21"/>
      <c r="OV10" s="18">
        <f t="shared" si="90"/>
        <v>22</v>
      </c>
      <c r="OW10" s="4">
        <v>22</v>
      </c>
      <c r="OX10" s="8">
        <f t="shared" si="91"/>
        <v>0</v>
      </c>
      <c r="OZ10" s="2">
        <v>0</v>
      </c>
      <c r="PA10" s="5" t="s">
        <v>12</v>
      </c>
      <c r="PB10" s="2">
        <v>14</v>
      </c>
      <c r="PC10" s="5" t="s">
        <v>12</v>
      </c>
      <c r="PD10" s="4">
        <f t="shared" si="92"/>
        <v>14</v>
      </c>
      <c r="PE10" s="17">
        <v>1</v>
      </c>
      <c r="PF10" s="18">
        <f t="shared" si="93"/>
        <v>7</v>
      </c>
      <c r="PG10" s="4">
        <v>7</v>
      </c>
      <c r="PH10" s="8">
        <f t="shared" si="94"/>
        <v>0</v>
      </c>
      <c r="PJ10" s="2"/>
      <c r="PK10" s="5" t="s">
        <v>12</v>
      </c>
      <c r="PL10" s="2">
        <v>24</v>
      </c>
      <c r="PM10" s="5" t="s">
        <v>12</v>
      </c>
      <c r="PN10" s="4">
        <f t="shared" si="95"/>
        <v>24</v>
      </c>
      <c r="PO10" s="17"/>
      <c r="PP10" s="18">
        <f t="shared" si="96"/>
        <v>14</v>
      </c>
      <c r="PQ10" s="4">
        <v>14</v>
      </c>
      <c r="PR10" s="8">
        <f t="shared" si="97"/>
        <v>0</v>
      </c>
      <c r="PT10" s="20"/>
      <c r="PU10" s="5" t="s">
        <v>12</v>
      </c>
      <c r="PV10" s="20">
        <v>14</v>
      </c>
      <c r="PW10" s="5" t="s">
        <v>12</v>
      </c>
      <c r="PX10" s="4">
        <f t="shared" si="98"/>
        <v>14</v>
      </c>
      <c r="PY10" s="21">
        <v>1</v>
      </c>
      <c r="PZ10" s="18">
        <f t="shared" si="99"/>
        <v>10</v>
      </c>
      <c r="QA10" s="4">
        <v>9</v>
      </c>
      <c r="QB10" s="8">
        <f t="shared" si="100"/>
        <v>-1</v>
      </c>
      <c r="QD10" s="20">
        <v>0</v>
      </c>
      <c r="QE10" s="5" t="s">
        <v>12</v>
      </c>
      <c r="QF10" s="20">
        <v>29</v>
      </c>
      <c r="QG10" s="5" t="s">
        <v>12</v>
      </c>
      <c r="QH10" s="4">
        <f t="shared" si="101"/>
        <v>29</v>
      </c>
      <c r="QI10" s="21"/>
      <c r="QJ10" s="18">
        <f t="shared" si="102"/>
        <v>9</v>
      </c>
      <c r="QK10" s="4">
        <v>5</v>
      </c>
      <c r="QL10" s="8">
        <f t="shared" si="103"/>
        <v>-4</v>
      </c>
      <c r="QN10" s="20">
        <v>0</v>
      </c>
      <c r="QO10" s="5" t="s">
        <v>12</v>
      </c>
      <c r="QP10" s="20">
        <v>19</v>
      </c>
      <c r="QQ10" s="5" t="s">
        <v>12</v>
      </c>
      <c r="QR10" s="4">
        <f t="shared" si="104"/>
        <v>19</v>
      </c>
      <c r="QS10" s="21">
        <v>0</v>
      </c>
      <c r="QT10" s="18">
        <f t="shared" si="105"/>
        <v>10</v>
      </c>
      <c r="QU10" s="4">
        <v>8</v>
      </c>
      <c r="QV10" s="8">
        <f t="shared" si="106"/>
        <v>-2</v>
      </c>
      <c r="QX10" s="20">
        <v>0</v>
      </c>
      <c r="QY10" s="5" t="s">
        <v>12</v>
      </c>
      <c r="QZ10" s="20">
        <v>7</v>
      </c>
      <c r="RA10" s="5" t="s">
        <v>12</v>
      </c>
      <c r="RB10" s="4">
        <f t="shared" si="107"/>
        <v>7</v>
      </c>
      <c r="RC10" s="21"/>
      <c r="RD10" s="18">
        <f t="shared" si="108"/>
        <v>12</v>
      </c>
      <c r="RE10" s="4">
        <v>7</v>
      </c>
      <c r="RF10" s="8">
        <f t="shared" si="109"/>
        <v>-5</v>
      </c>
      <c r="RH10" s="20">
        <v>0</v>
      </c>
      <c r="RI10" s="5" t="s">
        <v>12</v>
      </c>
      <c r="RJ10" s="20">
        <v>3</v>
      </c>
      <c r="RK10" s="5" t="s">
        <v>12</v>
      </c>
      <c r="RL10" s="4">
        <f t="shared" si="110"/>
        <v>3</v>
      </c>
      <c r="RM10" s="21">
        <v>1</v>
      </c>
      <c r="RN10" s="18">
        <f t="shared" si="111"/>
        <v>4</v>
      </c>
      <c r="RO10" s="4">
        <v>4</v>
      </c>
      <c r="RP10" s="8">
        <f t="shared" si="112"/>
        <v>0</v>
      </c>
      <c r="RR10" s="2">
        <v>0</v>
      </c>
      <c r="RS10" s="5" t="s">
        <v>12</v>
      </c>
      <c r="RT10" s="2">
        <v>25</v>
      </c>
      <c r="RU10" s="5" t="s">
        <v>12</v>
      </c>
      <c r="RV10" s="4">
        <f t="shared" si="113"/>
        <v>25</v>
      </c>
      <c r="RW10" s="17"/>
      <c r="RX10" s="18">
        <f t="shared" si="114"/>
        <v>2</v>
      </c>
      <c r="RY10" s="4">
        <v>2</v>
      </c>
      <c r="RZ10" s="8">
        <f t="shared" si="115"/>
        <v>0</v>
      </c>
      <c r="SB10" s="20"/>
      <c r="SC10" s="5" t="s">
        <v>12</v>
      </c>
      <c r="SD10" s="20">
        <v>21</v>
      </c>
      <c r="SE10" s="5" t="s">
        <v>12</v>
      </c>
      <c r="SF10" s="4">
        <f t="shared" si="116"/>
        <v>21</v>
      </c>
      <c r="SG10" s="21">
        <v>1</v>
      </c>
      <c r="SH10" s="18">
        <f t="shared" si="117"/>
        <v>4</v>
      </c>
      <c r="SI10" s="4">
        <v>4</v>
      </c>
      <c r="SJ10" s="8">
        <f t="shared" si="118"/>
        <v>0</v>
      </c>
      <c r="SL10" s="20">
        <v>0</v>
      </c>
      <c r="SM10" s="5" t="s">
        <v>12</v>
      </c>
      <c r="SN10" s="20">
        <v>43</v>
      </c>
      <c r="SO10" s="5" t="s">
        <v>12</v>
      </c>
      <c r="SP10" s="4">
        <f t="shared" si="119"/>
        <v>43</v>
      </c>
      <c r="SQ10" s="21"/>
      <c r="SR10" s="18">
        <f t="shared" si="120"/>
        <v>2</v>
      </c>
      <c r="SS10" s="4">
        <v>2</v>
      </c>
      <c r="ST10" s="8">
        <f t="shared" si="121"/>
        <v>0</v>
      </c>
      <c r="SV10" s="74">
        <v>0</v>
      </c>
      <c r="SW10" s="75" t="s">
        <v>12</v>
      </c>
      <c r="SX10" s="74">
        <v>40</v>
      </c>
      <c r="SY10" s="75" t="s">
        <v>12</v>
      </c>
      <c r="SZ10" s="76">
        <f t="shared" si="122"/>
        <v>40</v>
      </c>
      <c r="TA10" s="77">
        <v>0</v>
      </c>
      <c r="TB10" s="78">
        <f t="shared" si="123"/>
        <v>3</v>
      </c>
      <c r="TC10" s="76">
        <v>3</v>
      </c>
      <c r="TD10" s="79">
        <f t="shared" si="124"/>
        <v>0</v>
      </c>
      <c r="TF10" s="91"/>
      <c r="TG10" s="92" t="s">
        <v>12</v>
      </c>
      <c r="TH10" s="91">
        <v>38</v>
      </c>
      <c r="TI10" s="92" t="s">
        <v>12</v>
      </c>
      <c r="TJ10" s="93">
        <f t="shared" si="125"/>
        <v>38</v>
      </c>
      <c r="TK10" s="94"/>
      <c r="TL10" s="95">
        <f t="shared" si="126"/>
        <v>2</v>
      </c>
      <c r="TM10" s="93">
        <v>1</v>
      </c>
      <c r="TN10" s="96">
        <f t="shared" si="127"/>
        <v>-1</v>
      </c>
    </row>
    <row r="11" spans="1:534" ht="12.75" customHeight="1" x14ac:dyDescent="0.2">
      <c r="A11" s="9"/>
      <c r="J11" s="6" t="s">
        <v>30</v>
      </c>
      <c r="SV11" s="80"/>
      <c r="SW11" s="81"/>
      <c r="SX11" s="80"/>
      <c r="SY11" s="81"/>
      <c r="SZ11" s="80"/>
      <c r="TA11" s="80"/>
      <c r="TB11" s="80"/>
      <c r="TC11" s="80"/>
      <c r="TD11" s="80"/>
      <c r="TF11" s="97"/>
      <c r="TG11" s="98"/>
      <c r="TH11" s="97"/>
      <c r="TI11" s="98"/>
      <c r="TJ11" s="97"/>
      <c r="TK11" s="97"/>
      <c r="TL11" s="97"/>
      <c r="TM11" s="97"/>
      <c r="TN11" s="97"/>
    </row>
    <row r="12" spans="1:534" ht="9.75" customHeight="1" x14ac:dyDescent="0.25">
      <c r="A12" s="14" t="s">
        <v>65</v>
      </c>
      <c r="B12" s="3" t="s">
        <v>3</v>
      </c>
      <c r="C12" s="29" t="s">
        <v>4</v>
      </c>
      <c r="D12" s="30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/>
      <c r="NO12"/>
      <c r="NP12"/>
      <c r="NQ12"/>
      <c r="NR12"/>
      <c r="NS12"/>
      <c r="NT12"/>
      <c r="NU12"/>
      <c r="NV12" s="29" t="s">
        <v>5</v>
      </c>
      <c r="NW12" s="30"/>
      <c r="NX12" s="29" t="s">
        <v>6</v>
      </c>
      <c r="NY12" s="30"/>
      <c r="NZ12" s="3" t="s">
        <v>7</v>
      </c>
      <c r="OA12" s="3" t="s">
        <v>8</v>
      </c>
      <c r="OB12" s="3" t="s">
        <v>9</v>
      </c>
      <c r="OC12" s="3" t="s">
        <v>10</v>
      </c>
      <c r="OD12" s="3" t="s">
        <v>11</v>
      </c>
      <c r="OF12" s="29" t="s">
        <v>5</v>
      </c>
      <c r="OG12" s="30"/>
      <c r="OH12" s="29" t="s">
        <v>6</v>
      </c>
      <c r="OI12" s="30"/>
      <c r="OJ12" s="3" t="s">
        <v>7</v>
      </c>
      <c r="OK12" s="3" t="s">
        <v>8</v>
      </c>
      <c r="OL12" s="3" t="s">
        <v>9</v>
      </c>
      <c r="OM12" s="3" t="s">
        <v>10</v>
      </c>
      <c r="ON12" s="3" t="s">
        <v>11</v>
      </c>
      <c r="OP12" s="29" t="s">
        <v>5</v>
      </c>
      <c r="OQ12" s="30"/>
      <c r="OR12" s="29" t="s">
        <v>6</v>
      </c>
      <c r="OS12" s="30"/>
      <c r="OT12" s="3" t="s">
        <v>7</v>
      </c>
      <c r="OU12" s="3" t="s">
        <v>8</v>
      </c>
      <c r="OV12" s="3" t="s">
        <v>9</v>
      </c>
      <c r="OW12" s="3" t="s">
        <v>10</v>
      </c>
      <c r="OX12" s="3" t="s">
        <v>11</v>
      </c>
      <c r="OZ12" s="29" t="s">
        <v>5</v>
      </c>
      <c r="PA12" s="30"/>
      <c r="PB12" s="29" t="s">
        <v>6</v>
      </c>
      <c r="PC12" s="30"/>
      <c r="PD12" s="3" t="s">
        <v>7</v>
      </c>
      <c r="PE12" s="3" t="s">
        <v>8</v>
      </c>
      <c r="PF12" s="3" t="s">
        <v>9</v>
      </c>
      <c r="PG12" s="3" t="s">
        <v>10</v>
      </c>
      <c r="PH12" s="3" t="s">
        <v>11</v>
      </c>
      <c r="PJ12" s="29" t="s">
        <v>5</v>
      </c>
      <c r="PK12" s="30"/>
      <c r="PL12" s="29" t="s">
        <v>6</v>
      </c>
      <c r="PM12" s="30"/>
      <c r="PN12" s="3" t="s">
        <v>7</v>
      </c>
      <c r="PO12" s="3" t="s">
        <v>8</v>
      </c>
      <c r="PP12" s="3" t="s">
        <v>9</v>
      </c>
      <c r="PQ12" s="3" t="s">
        <v>10</v>
      </c>
      <c r="PR12" s="3" t="s">
        <v>11</v>
      </c>
      <c r="PT12" s="29" t="s">
        <v>5</v>
      </c>
      <c r="PU12" s="30"/>
      <c r="PV12" s="29" t="s">
        <v>6</v>
      </c>
      <c r="PW12" s="30"/>
      <c r="PX12" s="3" t="s">
        <v>7</v>
      </c>
      <c r="PY12" s="3" t="s">
        <v>8</v>
      </c>
      <c r="PZ12" s="3" t="s">
        <v>9</v>
      </c>
      <c r="QA12" s="3" t="s">
        <v>10</v>
      </c>
      <c r="QB12" s="3" t="s">
        <v>11</v>
      </c>
      <c r="QD12" s="29" t="s">
        <v>5</v>
      </c>
      <c r="QE12" s="30"/>
      <c r="QF12" s="29" t="s">
        <v>6</v>
      </c>
      <c r="QG12" s="30"/>
      <c r="QH12" s="3" t="s">
        <v>7</v>
      </c>
      <c r="QI12" s="3" t="s">
        <v>8</v>
      </c>
      <c r="QJ12" s="3" t="s">
        <v>9</v>
      </c>
      <c r="QK12" s="3" t="s">
        <v>10</v>
      </c>
      <c r="QL12" s="3" t="s">
        <v>11</v>
      </c>
      <c r="QN12" s="29" t="s">
        <v>5</v>
      </c>
      <c r="QO12" s="30"/>
      <c r="QP12" s="29" t="s">
        <v>6</v>
      </c>
      <c r="QQ12" s="30"/>
      <c r="QR12" s="3" t="s">
        <v>7</v>
      </c>
      <c r="QS12" s="3" t="s">
        <v>8</v>
      </c>
      <c r="QT12" s="3" t="s">
        <v>9</v>
      </c>
      <c r="QU12" s="3" t="s">
        <v>10</v>
      </c>
      <c r="QV12" s="3" t="s">
        <v>11</v>
      </c>
      <c r="QX12" s="29" t="s">
        <v>5</v>
      </c>
      <c r="QY12" s="30"/>
      <c r="QZ12" s="29" t="s">
        <v>6</v>
      </c>
      <c r="RA12" s="30"/>
      <c r="RB12" s="3" t="s">
        <v>7</v>
      </c>
      <c r="RC12" s="3" t="s">
        <v>8</v>
      </c>
      <c r="RD12" s="3" t="s">
        <v>9</v>
      </c>
      <c r="RE12" s="3" t="s">
        <v>10</v>
      </c>
      <c r="RF12" s="3" t="s">
        <v>11</v>
      </c>
      <c r="RH12" s="29" t="s">
        <v>5</v>
      </c>
      <c r="RI12" s="30"/>
      <c r="RJ12" s="29" t="s">
        <v>6</v>
      </c>
      <c r="RK12" s="30"/>
      <c r="RL12" s="3" t="s">
        <v>7</v>
      </c>
      <c r="RM12" s="3" t="s">
        <v>8</v>
      </c>
      <c r="RN12" s="3" t="s">
        <v>9</v>
      </c>
      <c r="RO12" s="3" t="s">
        <v>10</v>
      </c>
      <c r="RP12" s="3" t="s">
        <v>11</v>
      </c>
      <c r="RR12" s="29" t="s">
        <v>5</v>
      </c>
      <c r="RS12" s="30"/>
      <c r="RT12" s="29" t="s">
        <v>6</v>
      </c>
      <c r="RU12" s="30"/>
      <c r="RV12" s="3" t="s">
        <v>7</v>
      </c>
      <c r="RW12" s="3" t="s">
        <v>8</v>
      </c>
      <c r="RX12" s="3" t="s">
        <v>9</v>
      </c>
      <c r="RY12" s="3" t="s">
        <v>10</v>
      </c>
      <c r="RZ12" s="3" t="s">
        <v>11</v>
      </c>
      <c r="SB12" s="29" t="s">
        <v>5</v>
      </c>
      <c r="SC12" s="30"/>
      <c r="SD12" s="29" t="s">
        <v>6</v>
      </c>
      <c r="SE12" s="30"/>
      <c r="SF12" s="3" t="s">
        <v>7</v>
      </c>
      <c r="SG12" s="3" t="s">
        <v>8</v>
      </c>
      <c r="SH12" s="3" t="s">
        <v>9</v>
      </c>
      <c r="SI12" s="3" t="s">
        <v>10</v>
      </c>
      <c r="SJ12" s="3" t="s">
        <v>11</v>
      </c>
      <c r="SL12" s="29" t="s">
        <v>5</v>
      </c>
      <c r="SM12" s="30"/>
      <c r="SN12" s="29" t="s">
        <v>6</v>
      </c>
      <c r="SO12" s="30"/>
      <c r="SP12" s="3" t="s">
        <v>7</v>
      </c>
      <c r="SQ12" s="3" t="s">
        <v>8</v>
      </c>
      <c r="SR12" s="3" t="s">
        <v>9</v>
      </c>
      <c r="SS12" s="3" t="s">
        <v>10</v>
      </c>
      <c r="ST12" s="3" t="s">
        <v>11</v>
      </c>
      <c r="SV12" s="71" t="s">
        <v>5</v>
      </c>
      <c r="SW12" s="72"/>
      <c r="SX12" s="71" t="s">
        <v>6</v>
      </c>
      <c r="SY12" s="72"/>
      <c r="SZ12" s="73" t="s">
        <v>7</v>
      </c>
      <c r="TA12" s="73" t="s">
        <v>8</v>
      </c>
      <c r="TB12" s="73" t="s">
        <v>9</v>
      </c>
      <c r="TC12" s="73" t="s">
        <v>10</v>
      </c>
      <c r="TD12" s="73" t="s">
        <v>11</v>
      </c>
      <c r="TF12" s="88" t="s">
        <v>5</v>
      </c>
      <c r="TG12" s="89"/>
      <c r="TH12" s="88" t="s">
        <v>6</v>
      </c>
      <c r="TI12" s="89"/>
      <c r="TJ12" s="90" t="s">
        <v>7</v>
      </c>
      <c r="TK12" s="90" t="s">
        <v>8</v>
      </c>
      <c r="TL12" s="90" t="s">
        <v>9</v>
      </c>
      <c r="TM12" s="90" t="s">
        <v>10</v>
      </c>
      <c r="TN12" s="90" t="s">
        <v>11</v>
      </c>
    </row>
    <row r="13" spans="1:534" ht="12.75" customHeight="1" x14ac:dyDescent="0.25">
      <c r="A13" s="23" t="s">
        <v>18</v>
      </c>
      <c r="B13" s="11" t="s">
        <v>13</v>
      </c>
      <c r="C13" s="12"/>
      <c r="D13" s="13" t="s">
        <v>12</v>
      </c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 s="20">
        <v>24</v>
      </c>
      <c r="NW13" s="5" t="s">
        <v>12</v>
      </c>
      <c r="NX13" s="20">
        <v>0</v>
      </c>
      <c r="NY13" s="5" t="s">
        <v>12</v>
      </c>
      <c r="NZ13" s="4">
        <f t="shared" ref="NZ13:NZ16" si="157">IF(OR(ISNUMBER(NV13), ISNUMBER(NX13)), IF(ISNUMBER(NV13), NV13, 0) + IF(ISNUMBER(NX13), NX13, 0), "")</f>
        <v>24</v>
      </c>
      <c r="OA13" s="21">
        <v>0</v>
      </c>
      <c r="OB13" s="18">
        <f>IF(ISNUMBER(NZ13), (NP13 + (NQ13 * 24)) - NZ13, "")</f>
        <v>-24</v>
      </c>
      <c r="OC13" s="4"/>
      <c r="OD13" s="8" t="str">
        <f t="shared" ref="OD13:OD16" si="158">IF(ISNUMBER(OC13), OC13-OB13, "")</f>
        <v/>
      </c>
      <c r="OF13" s="20">
        <v>0</v>
      </c>
      <c r="OG13" s="5" t="s">
        <v>12</v>
      </c>
      <c r="OH13" s="20">
        <v>5</v>
      </c>
      <c r="OI13" s="5" t="s">
        <v>12</v>
      </c>
      <c r="OJ13" s="4">
        <f t="shared" ref="OJ13:OJ16" si="159">IF(OR(ISNUMBER(OF13), ISNUMBER(OH13)), IF(ISNUMBER(OF13), OF13, 0) + IF(ISNUMBER(OH13), OH13, 0), "")</f>
        <v>5</v>
      </c>
      <c r="OK13" s="21"/>
      <c r="OL13" s="18">
        <f>IF(ISNUMBER(OJ13), (NZ13 + (OA13 * 24)) - OJ13, "")</f>
        <v>19</v>
      </c>
      <c r="OM13" s="4">
        <v>17</v>
      </c>
      <c r="ON13" s="8">
        <f t="shared" ref="ON13:ON16" si="160">IF(ISNUMBER(OM13), OM13-OL13, "")</f>
        <v>-2</v>
      </c>
      <c r="OP13" s="20">
        <v>0</v>
      </c>
      <c r="OQ13" s="5" t="s">
        <v>12</v>
      </c>
      <c r="OR13" s="20">
        <v>0</v>
      </c>
      <c r="OS13" s="5" t="s">
        <v>12</v>
      </c>
      <c r="OT13" s="4">
        <f t="shared" ref="OT13:OT16" si="161">IF(OR(ISNUMBER(OP13), ISNUMBER(OR13)), IF(ISNUMBER(OP13), OP13, 0) + IF(ISNUMBER(OR13), OR13, 0), "")</f>
        <v>0</v>
      </c>
      <c r="OU13" s="21"/>
      <c r="OV13" s="18">
        <f>IF(ISNUMBER(OT13), (OJ13 + (OK13 * 24)) - OT13, "")</f>
        <v>5</v>
      </c>
      <c r="OW13" s="4">
        <v>5</v>
      </c>
      <c r="OX13" s="8">
        <f t="shared" ref="OX13:OX16" si="162">IF(ISNUMBER(OW13), OW13-OV13, "")</f>
        <v>0</v>
      </c>
      <c r="OZ13" s="2">
        <v>0</v>
      </c>
      <c r="PA13" s="5" t="s">
        <v>12</v>
      </c>
      <c r="PB13" s="2">
        <v>0</v>
      </c>
      <c r="PC13" s="5" t="s">
        <v>12</v>
      </c>
      <c r="PD13" s="4">
        <f t="shared" ref="PD13:PD16" si="163">IF(OR(ISNUMBER(OZ13), ISNUMBER(PB13)), IF(ISNUMBER(OZ13), OZ13, 0) + IF(ISNUMBER(PB13), PB13, 0), "")</f>
        <v>0</v>
      </c>
      <c r="PE13" s="17">
        <v>2</v>
      </c>
      <c r="PF13" s="18">
        <f>IF(ISNUMBER(PD13), (OT13 + (OU13 * 24)) - PD13, "")</f>
        <v>0</v>
      </c>
      <c r="PG13" s="4">
        <v>0</v>
      </c>
      <c r="PH13" s="8">
        <f t="shared" ref="PH13:PH16" si="164">IF(ISNUMBER(PG13), PG13-PF13, "")</f>
        <v>0</v>
      </c>
      <c r="PJ13" s="2">
        <v>32</v>
      </c>
      <c r="PK13" s="5" t="s">
        <v>12</v>
      </c>
      <c r="PL13" s="2">
        <v>12</v>
      </c>
      <c r="PM13" s="5" t="s">
        <v>12</v>
      </c>
      <c r="PN13" s="4">
        <f t="shared" ref="PN13:PN16" si="165">IF(OR(ISNUMBER(PJ13), ISNUMBER(PL13)), IF(ISNUMBER(PJ13), PJ13, 0) + IF(ISNUMBER(PL13), PL13, 0), "")</f>
        <v>44</v>
      </c>
      <c r="PO13" s="17"/>
      <c r="PP13" s="18">
        <f>IF(ISNUMBER(PN13), (PD13 + (PE13 * 24)) - PN13, "")</f>
        <v>4</v>
      </c>
      <c r="PQ13" s="4">
        <v>4</v>
      </c>
      <c r="PR13" s="8">
        <f t="shared" ref="PR13:PR16" si="166">IF(ISNUMBER(PQ13), PQ13-PP13, "")</f>
        <v>0</v>
      </c>
      <c r="PT13" s="20">
        <v>24</v>
      </c>
      <c r="PU13" s="5" t="s">
        <v>12</v>
      </c>
      <c r="PV13" s="20">
        <v>7</v>
      </c>
      <c r="PW13" s="5" t="s">
        <v>12</v>
      </c>
      <c r="PX13" s="4">
        <f t="shared" ref="PX13:PX16" si="167">IF(OR(ISNUMBER(PT13), ISNUMBER(PV13)), IF(ISNUMBER(PT13), PT13, 0) + IF(ISNUMBER(PV13), PV13, 0), "")</f>
        <v>31</v>
      </c>
      <c r="PY13" s="25"/>
      <c r="PZ13" s="18">
        <f>IF(ISNUMBER(PX13), (PN13 + (PO13 * 24)) - PX13, "")</f>
        <v>13</v>
      </c>
      <c r="QA13" s="4">
        <v>13</v>
      </c>
      <c r="QB13" s="8">
        <f t="shared" ref="QB13:QB16" si="168">IF(ISNUMBER(QA13), QA13-PZ13, "")</f>
        <v>0</v>
      </c>
      <c r="QD13" s="20">
        <v>12</v>
      </c>
      <c r="QE13" s="5" t="s">
        <v>12</v>
      </c>
      <c r="QF13" s="20">
        <v>8</v>
      </c>
      <c r="QG13" s="5" t="s">
        <v>12</v>
      </c>
      <c r="QH13" s="4">
        <f t="shared" ref="QH13:QH16" si="169">IF(OR(ISNUMBER(QD13), ISNUMBER(QF13)), IF(ISNUMBER(QD13), QD13, 0) + IF(ISNUMBER(QF13), QF13, 0), "")</f>
        <v>20</v>
      </c>
      <c r="QI13" s="25"/>
      <c r="QJ13" s="18">
        <f>IF(ISNUMBER(QH13), (PX13 + (PY13 * 24)) - QH13, "")</f>
        <v>11</v>
      </c>
      <c r="QK13" s="4">
        <v>11</v>
      </c>
      <c r="QL13" s="18">
        <f t="shared" ref="QL13:QL16" si="170">IF(ISNUMBER(QK13), QK13-QJ13, "")</f>
        <v>0</v>
      </c>
      <c r="QN13" s="20">
        <v>0</v>
      </c>
      <c r="QO13" s="5" t="s">
        <v>12</v>
      </c>
      <c r="QP13" s="20">
        <v>8</v>
      </c>
      <c r="QQ13" s="5" t="s">
        <v>12</v>
      </c>
      <c r="QR13" s="4">
        <f t="shared" ref="QR13:QR16" si="171">IF(OR(ISNUMBER(QN13), ISNUMBER(QP13)), IF(ISNUMBER(QN13), QN13, 0) + IF(ISNUMBER(QP13), QP13, 0), "")</f>
        <v>8</v>
      </c>
      <c r="QS13" s="25"/>
      <c r="QT13" s="18">
        <f>IF(ISNUMBER(QR13), (QH13 + (QI13 * 24)) - QR13, "")</f>
        <v>12</v>
      </c>
      <c r="QU13" s="4">
        <v>12</v>
      </c>
      <c r="QV13" s="8">
        <f t="shared" ref="QV13:QV16" si="172">IF(ISNUMBER(QU13), QU13-QT13, "")</f>
        <v>0</v>
      </c>
      <c r="QX13" s="20">
        <v>0</v>
      </c>
      <c r="QY13" s="5" t="s">
        <v>12</v>
      </c>
      <c r="QZ13" s="20">
        <v>0</v>
      </c>
      <c r="RA13" s="5" t="s">
        <v>12</v>
      </c>
      <c r="RB13" s="4">
        <f t="shared" ref="RB13:RB16" si="173">IF(OR(ISNUMBER(QX13), ISNUMBER(QZ13)), IF(ISNUMBER(QX13), QX13, 0) + IF(ISNUMBER(QZ13), QZ13, 0), "")</f>
        <v>0</v>
      </c>
      <c r="RC13" s="25"/>
      <c r="RD13" s="18">
        <f>IF(ISNUMBER(RB13), (QR13 + (QS13 * 24)) - RB13, "")</f>
        <v>8</v>
      </c>
      <c r="RE13" s="4">
        <v>8</v>
      </c>
      <c r="RF13" s="8">
        <f t="shared" ref="RF13:RF16" si="174">IF(ISNUMBER(RE13), RE13-RD13, "")</f>
        <v>0</v>
      </c>
      <c r="RH13" s="20">
        <v>0</v>
      </c>
      <c r="RI13" s="5" t="s">
        <v>12</v>
      </c>
      <c r="RJ13" s="20">
        <v>0</v>
      </c>
      <c r="RK13" s="5" t="s">
        <v>12</v>
      </c>
      <c r="RL13" s="4">
        <f t="shared" ref="RL13:RL16" si="175">IF(OR(ISNUMBER(RH13), ISNUMBER(RJ13)), IF(ISNUMBER(RH13), RH13, 0) + IF(ISNUMBER(RJ13), RJ13, 0), "")</f>
        <v>0</v>
      </c>
      <c r="RM13" s="25"/>
      <c r="RN13" s="18">
        <f>IF(ISNUMBER(RL13), (RB13 + (RC13 * 24)) - RL13, "")</f>
        <v>0</v>
      </c>
      <c r="RO13" s="4">
        <v>0</v>
      </c>
      <c r="RP13" s="8">
        <f t="shared" ref="RP13:RP16" si="176">IF(ISNUMBER(RO13), RO13-RN13, "")</f>
        <v>0</v>
      </c>
      <c r="RR13" s="2">
        <v>0</v>
      </c>
      <c r="RS13" s="5" t="s">
        <v>12</v>
      </c>
      <c r="RT13" s="2">
        <v>0</v>
      </c>
      <c r="RU13" s="5" t="s">
        <v>12</v>
      </c>
      <c r="RV13" s="4">
        <f t="shared" ref="RV13:RV16" si="177">IF(OR(ISNUMBER(RR13), ISNUMBER(RT13)), IF(ISNUMBER(RR13), RR13, 0) + IF(ISNUMBER(RT13), RT13, 0), "")</f>
        <v>0</v>
      </c>
      <c r="RW13" s="25"/>
      <c r="RX13" s="18">
        <f>IF(ISNUMBER(RV13), (RL13 + (RM13 * 24)) - RV13, "")</f>
        <v>0</v>
      </c>
      <c r="RY13" s="4"/>
      <c r="RZ13" s="8" t="str">
        <f t="shared" ref="RZ13:RZ16" si="178">IF(ISNUMBER(RY13), RY13-RX13, "")</f>
        <v/>
      </c>
      <c r="SB13" s="20"/>
      <c r="SC13" s="5" t="s">
        <v>12</v>
      </c>
      <c r="SD13" s="20">
        <v>0</v>
      </c>
      <c r="SE13" s="5" t="s">
        <v>12</v>
      </c>
      <c r="SF13" s="4">
        <f t="shared" ref="SF13:SF16" si="179">IF(OR(ISNUMBER(SB13), ISNUMBER(SD13)), IF(ISNUMBER(SB13), SB13, 0) + IF(ISNUMBER(SD13), SD13, 0), "")</f>
        <v>0</v>
      </c>
      <c r="SG13" s="25"/>
      <c r="SH13" s="18">
        <f>IF(ISNUMBER(SF13), (RV13 + (RW13 * 24)) - SF13, "")</f>
        <v>0</v>
      </c>
      <c r="SI13" s="4"/>
      <c r="SJ13" s="8" t="str">
        <f t="shared" ref="SJ13:SJ16" si="180">IF(ISNUMBER(SI13), SI13-SH13, "")</f>
        <v/>
      </c>
      <c r="SL13" s="20"/>
      <c r="SM13" s="5" t="s">
        <v>12</v>
      </c>
      <c r="SN13" s="20">
        <v>0</v>
      </c>
      <c r="SO13" s="5" t="s">
        <v>12</v>
      </c>
      <c r="SP13" s="4">
        <f t="shared" ref="SP13:SP16" si="181">IF(OR(ISNUMBER(SL13), ISNUMBER(SN13)), IF(ISNUMBER(SL13), SL13, 0) + IF(ISNUMBER(SN13), SN13, 0), "")</f>
        <v>0</v>
      </c>
      <c r="SQ13" s="25"/>
      <c r="SR13" s="18">
        <f>IF(ISNUMBER(SP13), (SF13 + (SG13 * 24)) - SP13, "")</f>
        <v>0</v>
      </c>
      <c r="SS13" s="4">
        <v>0</v>
      </c>
      <c r="ST13" s="8">
        <f t="shared" ref="ST13:ST16" si="182">IF(ISNUMBER(SS13), SS13-SR13, "")</f>
        <v>0</v>
      </c>
      <c r="SV13" s="74">
        <v>0</v>
      </c>
      <c r="SW13" s="75" t="s">
        <v>12</v>
      </c>
      <c r="SX13" s="74">
        <v>0</v>
      </c>
      <c r="SY13" s="75" t="s">
        <v>12</v>
      </c>
      <c r="SZ13" s="76">
        <f t="shared" ref="SZ13:SZ16" si="183">IF(OR(ISNUMBER(SV13), ISNUMBER(SX13)), IF(ISNUMBER(SV13), SV13, 0) + IF(ISNUMBER(SX13), SX13, 0), "")</f>
        <v>0</v>
      </c>
      <c r="TA13" s="82"/>
      <c r="TB13" s="78">
        <f>IF(ISNUMBER(SZ13), (SP13 + (SQ13 * 24)) - SZ13, "")</f>
        <v>0</v>
      </c>
      <c r="TC13" s="76"/>
      <c r="TD13" s="79" t="str">
        <f t="shared" ref="TD13:TD16" si="184">IF(ISNUMBER(TC13), TC13-TB13, "")</f>
        <v/>
      </c>
      <c r="TF13" s="91"/>
      <c r="TG13" s="92" t="s">
        <v>12</v>
      </c>
      <c r="TH13" s="91"/>
      <c r="TI13" s="92" t="s">
        <v>12</v>
      </c>
      <c r="TJ13" s="93" t="str">
        <f t="shared" ref="TJ13:TJ16" si="185">IF(OR(ISNUMBER(TF13), ISNUMBER(TH13)), IF(ISNUMBER(TF13), TF13, 0) + IF(ISNUMBER(TH13), TH13, 0), "")</f>
        <v/>
      </c>
      <c r="TK13" s="99"/>
      <c r="TL13" s="95" t="str">
        <f>IF(ISNUMBER(TJ13), (SZ13 + (TA13 * 24)) - TJ13, "")</f>
        <v/>
      </c>
      <c r="TM13" s="93"/>
      <c r="TN13" s="96" t="str">
        <f t="shared" ref="TN13:TN16" si="186">IF(ISNUMBER(TM13), TM13-TL13, "")</f>
        <v/>
      </c>
    </row>
    <row r="14" spans="1:534" ht="12.75" customHeight="1" x14ac:dyDescent="0.25">
      <c r="A14" s="23" t="s">
        <v>19</v>
      </c>
      <c r="B14" s="11" t="s">
        <v>13</v>
      </c>
      <c r="C14" s="12"/>
      <c r="D14" s="13" t="s">
        <v>12</v>
      </c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/>
      <c r="NT14"/>
      <c r="NU14"/>
      <c r="NV14" s="20">
        <v>24</v>
      </c>
      <c r="NW14" s="5" t="s">
        <v>12</v>
      </c>
      <c r="NX14" s="20">
        <v>0</v>
      </c>
      <c r="NY14" s="5" t="s">
        <v>12</v>
      </c>
      <c r="NZ14" s="4">
        <f t="shared" si="157"/>
        <v>24</v>
      </c>
      <c r="OA14" s="21">
        <v>0</v>
      </c>
      <c r="OB14" s="18">
        <f t="shared" ref="OB14:OB16" si="187">IF(ISNUMBER(NZ14), (NP14 + (NQ14 * 24)) - NZ14, "")</f>
        <v>-24</v>
      </c>
      <c r="OC14" s="4"/>
      <c r="OD14" s="8" t="str">
        <f t="shared" si="158"/>
        <v/>
      </c>
      <c r="OF14" s="20">
        <v>12</v>
      </c>
      <c r="OG14" s="5" t="s">
        <v>12</v>
      </c>
      <c r="OH14" s="20">
        <v>10</v>
      </c>
      <c r="OI14" s="5" t="s">
        <v>12</v>
      </c>
      <c r="OJ14" s="4">
        <f t="shared" si="159"/>
        <v>22</v>
      </c>
      <c r="OK14" s="21"/>
      <c r="OL14" s="18">
        <f t="shared" ref="OL14:OL16" si="188">IF(ISNUMBER(OJ14), (NZ14 + (OA14 * 24)) - OJ14, "")</f>
        <v>2</v>
      </c>
      <c r="OM14" s="4">
        <v>1</v>
      </c>
      <c r="ON14" s="8">
        <f t="shared" si="160"/>
        <v>-1</v>
      </c>
      <c r="OP14" s="20">
        <v>12</v>
      </c>
      <c r="OQ14" s="5" t="s">
        <v>12</v>
      </c>
      <c r="OR14" s="20">
        <v>10</v>
      </c>
      <c r="OS14" s="5" t="s">
        <v>12</v>
      </c>
      <c r="OT14" s="4">
        <f t="shared" si="161"/>
        <v>22</v>
      </c>
      <c r="OU14" s="21"/>
      <c r="OV14" s="18">
        <f t="shared" ref="OV14:OV16" si="189">IF(ISNUMBER(OT14), (OJ14 + (OK14 * 24)) - OT14, "")</f>
        <v>0</v>
      </c>
      <c r="OW14" s="4"/>
      <c r="OX14" s="8" t="str">
        <f t="shared" si="162"/>
        <v/>
      </c>
      <c r="OZ14" s="2">
        <v>0</v>
      </c>
      <c r="PA14" s="5" t="s">
        <v>12</v>
      </c>
      <c r="PB14" s="2">
        <v>19</v>
      </c>
      <c r="PC14" s="5" t="s">
        <v>12</v>
      </c>
      <c r="PD14" s="4">
        <f t="shared" si="163"/>
        <v>19</v>
      </c>
      <c r="PE14" s="17"/>
      <c r="PF14" s="18">
        <f t="shared" ref="PF14:PF16" si="190">IF(ISNUMBER(PD14), (OT14 + (OU14 * 24)) - PD14, "")</f>
        <v>3</v>
      </c>
      <c r="PG14" s="4">
        <v>3</v>
      </c>
      <c r="PH14" s="8">
        <f t="shared" si="164"/>
        <v>0</v>
      </c>
      <c r="PJ14" s="2"/>
      <c r="PK14" s="5" t="s">
        <v>12</v>
      </c>
      <c r="PL14" s="2">
        <v>19</v>
      </c>
      <c r="PM14" s="5" t="s">
        <v>12</v>
      </c>
      <c r="PN14" s="4">
        <f t="shared" si="165"/>
        <v>19</v>
      </c>
      <c r="PO14" s="17"/>
      <c r="PP14" s="18">
        <f t="shared" ref="PP14:PP16" si="191">IF(ISNUMBER(PN14), (PD14 + (PE14 * 24)) - PN14, "")</f>
        <v>0</v>
      </c>
      <c r="PQ14" s="4">
        <v>2</v>
      </c>
      <c r="PR14" s="8">
        <f t="shared" si="166"/>
        <v>2</v>
      </c>
      <c r="PT14" s="20"/>
      <c r="PU14" s="5" t="s">
        <v>12</v>
      </c>
      <c r="PV14" s="20">
        <v>18</v>
      </c>
      <c r="PW14" s="5" t="s">
        <v>12</v>
      </c>
      <c r="PX14" s="4">
        <f t="shared" si="167"/>
        <v>18</v>
      </c>
      <c r="PY14" s="25"/>
      <c r="PZ14" s="18">
        <f t="shared" ref="PZ14:PZ16" si="192">IF(ISNUMBER(PX14), (PN14 + (PO14 * 24)) - PX14, "")</f>
        <v>1</v>
      </c>
      <c r="QA14" s="4">
        <v>1</v>
      </c>
      <c r="QB14" s="8">
        <f t="shared" si="168"/>
        <v>0</v>
      </c>
      <c r="QD14" s="20">
        <v>0</v>
      </c>
      <c r="QE14" s="5" t="s">
        <v>12</v>
      </c>
      <c r="QF14" s="20">
        <v>18</v>
      </c>
      <c r="QG14" s="5" t="s">
        <v>12</v>
      </c>
      <c r="QH14" s="4">
        <f t="shared" si="169"/>
        <v>18</v>
      </c>
      <c r="QI14" s="25"/>
      <c r="QJ14" s="18">
        <f t="shared" ref="QJ14:QJ16" si="193">IF(ISNUMBER(QH14), (PX14 + (PY14 * 24)) - QH14, "")</f>
        <v>0</v>
      </c>
      <c r="QK14" s="4">
        <v>0</v>
      </c>
      <c r="QL14" s="8">
        <f t="shared" si="170"/>
        <v>0</v>
      </c>
      <c r="QN14" s="20">
        <v>0</v>
      </c>
      <c r="QO14" s="5" t="s">
        <v>12</v>
      </c>
      <c r="QP14" s="20">
        <v>16</v>
      </c>
      <c r="QQ14" s="5" t="s">
        <v>12</v>
      </c>
      <c r="QR14" s="4">
        <f t="shared" si="171"/>
        <v>16</v>
      </c>
      <c r="QS14" s="25"/>
      <c r="QT14" s="18">
        <f t="shared" ref="QT14:QT16" si="194">IF(ISNUMBER(QR14), (QH14 + (QI14 * 24)) - QR14, "")</f>
        <v>2</v>
      </c>
      <c r="QU14" s="4">
        <v>2</v>
      </c>
      <c r="QV14" s="8">
        <f t="shared" si="172"/>
        <v>0</v>
      </c>
      <c r="QX14" s="20">
        <v>0</v>
      </c>
      <c r="QY14" s="5" t="s">
        <v>12</v>
      </c>
      <c r="QZ14" s="20">
        <v>15</v>
      </c>
      <c r="RA14" s="5" t="s">
        <v>12</v>
      </c>
      <c r="RB14" s="4">
        <f t="shared" si="173"/>
        <v>15</v>
      </c>
      <c r="RC14" s="25"/>
      <c r="RD14" s="18">
        <f t="shared" ref="RD14:RD16" si="195">IF(ISNUMBER(RB14), (QR14 + (QS14 * 24)) - RB14, "")</f>
        <v>1</v>
      </c>
      <c r="RE14" s="4">
        <v>1</v>
      </c>
      <c r="RF14" s="8">
        <f t="shared" si="174"/>
        <v>0</v>
      </c>
      <c r="RH14" s="20">
        <v>0</v>
      </c>
      <c r="RI14" s="5" t="s">
        <v>12</v>
      </c>
      <c r="RJ14" s="20">
        <v>13</v>
      </c>
      <c r="RK14" s="5" t="s">
        <v>12</v>
      </c>
      <c r="RL14" s="4">
        <f t="shared" si="175"/>
        <v>13</v>
      </c>
      <c r="RM14" s="25"/>
      <c r="RN14" s="18">
        <f t="shared" ref="RN14:RN16" si="196">IF(ISNUMBER(RL14), (RB14 + (RC14 * 24)) - RL14, "")</f>
        <v>2</v>
      </c>
      <c r="RO14" s="4">
        <v>1</v>
      </c>
      <c r="RP14" s="8">
        <f t="shared" si="176"/>
        <v>-1</v>
      </c>
      <c r="RR14" s="2">
        <v>0</v>
      </c>
      <c r="RS14" s="5" t="s">
        <v>12</v>
      </c>
      <c r="RT14" s="2">
        <v>13</v>
      </c>
      <c r="RU14" s="5" t="s">
        <v>12</v>
      </c>
      <c r="RV14" s="4">
        <f t="shared" si="177"/>
        <v>13</v>
      </c>
      <c r="RW14" s="25"/>
      <c r="RX14" s="18">
        <f t="shared" ref="RX14:RX16" si="197">IF(ISNUMBER(RV14), (RL14 + (RM14 * 24)) - RV14, "")</f>
        <v>0</v>
      </c>
      <c r="RY14" s="4">
        <v>3</v>
      </c>
      <c r="RZ14" s="8">
        <f t="shared" si="178"/>
        <v>3</v>
      </c>
      <c r="SB14" s="20"/>
      <c r="SC14" s="5" t="s">
        <v>12</v>
      </c>
      <c r="SD14" s="20">
        <v>10</v>
      </c>
      <c r="SE14" s="5" t="s">
        <v>12</v>
      </c>
      <c r="SF14" s="4">
        <f t="shared" si="179"/>
        <v>10</v>
      </c>
      <c r="SG14" s="25"/>
      <c r="SH14" s="18">
        <f t="shared" ref="SH14:SH16" si="198">IF(ISNUMBER(SF14), (RV14 + (RW14 * 24)) - SF14, "")</f>
        <v>3</v>
      </c>
      <c r="SI14" s="4">
        <v>3</v>
      </c>
      <c r="SJ14" s="8">
        <f t="shared" si="180"/>
        <v>0</v>
      </c>
      <c r="SL14" s="20"/>
      <c r="SM14" s="5" t="s">
        <v>12</v>
      </c>
      <c r="SN14" s="20">
        <v>7</v>
      </c>
      <c r="SO14" s="5" t="s">
        <v>12</v>
      </c>
      <c r="SP14" s="4">
        <f t="shared" si="181"/>
        <v>7</v>
      </c>
      <c r="SQ14" s="25"/>
      <c r="SR14" s="18">
        <f t="shared" ref="SR14:SR16" si="199">IF(ISNUMBER(SP14), (SF14 + (SG14 * 24)) - SP14, "")</f>
        <v>3</v>
      </c>
      <c r="SS14" s="4">
        <v>2</v>
      </c>
      <c r="ST14" s="8">
        <f t="shared" si="182"/>
        <v>-1</v>
      </c>
      <c r="SV14" s="74">
        <v>0</v>
      </c>
      <c r="SW14" s="75" t="s">
        <v>12</v>
      </c>
      <c r="SX14" s="74">
        <v>7</v>
      </c>
      <c r="SY14" s="75" t="s">
        <v>12</v>
      </c>
      <c r="SZ14" s="76">
        <f t="shared" si="183"/>
        <v>7</v>
      </c>
      <c r="TA14" s="82"/>
      <c r="TB14" s="78">
        <f t="shared" ref="TB14:TB16" si="200">IF(ISNUMBER(SZ14), (SP14 + (SQ14 * 24)) - SZ14, "")</f>
        <v>0</v>
      </c>
      <c r="TC14" s="76">
        <v>0</v>
      </c>
      <c r="TD14" s="79">
        <f t="shared" si="184"/>
        <v>0</v>
      </c>
      <c r="TF14" s="91"/>
      <c r="TG14" s="92" t="s">
        <v>12</v>
      </c>
      <c r="TH14" s="91"/>
      <c r="TI14" s="92" t="s">
        <v>12</v>
      </c>
      <c r="TJ14" s="93" t="str">
        <f t="shared" si="185"/>
        <v/>
      </c>
      <c r="TK14" s="99"/>
      <c r="TL14" s="95" t="str">
        <f t="shared" ref="TL14:TL16" si="201">IF(ISNUMBER(TJ14), (SZ14 + (TA14 * 24)) - TJ14, "")</f>
        <v/>
      </c>
      <c r="TM14" s="93">
        <v>2</v>
      </c>
      <c r="TN14" s="96" t="e">
        <f t="shared" si="186"/>
        <v>#VALUE!</v>
      </c>
    </row>
    <row r="15" spans="1:534" ht="12.75" customHeight="1" x14ac:dyDescent="0.25">
      <c r="A15" s="23" t="s">
        <v>20</v>
      </c>
      <c r="B15" s="11" t="s">
        <v>13</v>
      </c>
      <c r="C15" s="12"/>
      <c r="D15" s="13" t="s">
        <v>12</v>
      </c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/>
      <c r="NO15"/>
      <c r="NP15"/>
      <c r="NQ15"/>
      <c r="NR15"/>
      <c r="NS15"/>
      <c r="NT15"/>
      <c r="NU15"/>
      <c r="NV15" s="20">
        <v>24</v>
      </c>
      <c r="NW15" s="5" t="s">
        <v>12</v>
      </c>
      <c r="NX15" s="20">
        <v>0</v>
      </c>
      <c r="NY15" s="5" t="s">
        <v>12</v>
      </c>
      <c r="NZ15" s="4">
        <f t="shared" si="157"/>
        <v>24</v>
      </c>
      <c r="OA15" s="21">
        <v>0</v>
      </c>
      <c r="OB15" s="18">
        <f t="shared" si="187"/>
        <v>-24</v>
      </c>
      <c r="OC15" s="4"/>
      <c r="OD15" s="8" t="str">
        <f t="shared" si="158"/>
        <v/>
      </c>
      <c r="OF15" s="20">
        <v>12</v>
      </c>
      <c r="OG15" s="5" t="s">
        <v>12</v>
      </c>
      <c r="OH15" s="20">
        <v>6</v>
      </c>
      <c r="OI15" s="5" t="s">
        <v>12</v>
      </c>
      <c r="OJ15" s="4">
        <f t="shared" si="159"/>
        <v>18</v>
      </c>
      <c r="OK15" s="21"/>
      <c r="OL15" s="18">
        <f t="shared" si="188"/>
        <v>6</v>
      </c>
      <c r="OM15" s="4">
        <v>4</v>
      </c>
      <c r="ON15" s="8">
        <f t="shared" si="160"/>
        <v>-2</v>
      </c>
      <c r="OP15" s="20">
        <v>4</v>
      </c>
      <c r="OQ15" s="5" t="s">
        <v>12</v>
      </c>
      <c r="OR15" s="20">
        <v>9</v>
      </c>
      <c r="OS15" s="5" t="s">
        <v>12</v>
      </c>
      <c r="OT15" s="4">
        <f t="shared" si="161"/>
        <v>13</v>
      </c>
      <c r="OU15" s="21"/>
      <c r="OV15" s="18">
        <f t="shared" si="189"/>
        <v>5</v>
      </c>
      <c r="OW15" s="4">
        <v>6</v>
      </c>
      <c r="OX15" s="8">
        <f t="shared" si="162"/>
        <v>1</v>
      </c>
      <c r="OZ15" s="2">
        <v>0</v>
      </c>
      <c r="PA15" s="5" t="s">
        <v>12</v>
      </c>
      <c r="PB15" s="2">
        <v>12</v>
      </c>
      <c r="PC15" s="5" t="s">
        <v>12</v>
      </c>
      <c r="PD15" s="4">
        <f t="shared" si="163"/>
        <v>12</v>
      </c>
      <c r="PE15" s="17"/>
      <c r="PF15" s="18">
        <f t="shared" si="190"/>
        <v>1</v>
      </c>
      <c r="PG15" s="4">
        <v>1</v>
      </c>
      <c r="PH15" s="8">
        <f t="shared" si="164"/>
        <v>0</v>
      </c>
      <c r="PJ15" s="2"/>
      <c r="PK15" s="5" t="s">
        <v>12</v>
      </c>
      <c r="PL15" s="2">
        <v>9</v>
      </c>
      <c r="PM15" s="5" t="s">
        <v>12</v>
      </c>
      <c r="PN15" s="4">
        <f t="shared" si="165"/>
        <v>9</v>
      </c>
      <c r="PO15" s="17"/>
      <c r="PP15" s="18">
        <f t="shared" si="191"/>
        <v>3</v>
      </c>
      <c r="PQ15" s="4">
        <v>3</v>
      </c>
      <c r="PR15" s="8">
        <f t="shared" si="166"/>
        <v>0</v>
      </c>
      <c r="PT15" s="20"/>
      <c r="PU15" s="5" t="s">
        <v>12</v>
      </c>
      <c r="PV15" s="20">
        <v>5</v>
      </c>
      <c r="PW15" s="5" t="s">
        <v>12</v>
      </c>
      <c r="PX15" s="4">
        <f t="shared" si="167"/>
        <v>5</v>
      </c>
      <c r="PY15" s="25">
        <v>1</v>
      </c>
      <c r="PZ15" s="18">
        <f t="shared" si="192"/>
        <v>4</v>
      </c>
      <c r="QA15" s="4">
        <v>4</v>
      </c>
      <c r="QB15" s="8">
        <f t="shared" si="168"/>
        <v>0</v>
      </c>
      <c r="QD15" s="20">
        <v>24</v>
      </c>
      <c r="QE15" s="5" t="s">
        <v>12</v>
      </c>
      <c r="QF15" s="20">
        <v>3</v>
      </c>
      <c r="QG15" s="5" t="s">
        <v>12</v>
      </c>
      <c r="QH15" s="4">
        <f t="shared" si="169"/>
        <v>27</v>
      </c>
      <c r="QI15" s="25"/>
      <c r="QJ15" s="18">
        <f t="shared" si="193"/>
        <v>2</v>
      </c>
      <c r="QK15" s="4"/>
      <c r="QL15" s="8" t="str">
        <f t="shared" si="170"/>
        <v/>
      </c>
      <c r="QN15" s="20">
        <v>20</v>
      </c>
      <c r="QO15" s="5" t="s">
        <v>12</v>
      </c>
      <c r="QP15" s="20">
        <v>6</v>
      </c>
      <c r="QQ15" s="5" t="s">
        <v>12</v>
      </c>
      <c r="QR15" s="4">
        <f t="shared" si="171"/>
        <v>26</v>
      </c>
      <c r="QS15" s="25"/>
      <c r="QT15" s="18">
        <f t="shared" si="194"/>
        <v>1</v>
      </c>
      <c r="QU15" s="4">
        <v>1</v>
      </c>
      <c r="QV15" s="8">
        <f t="shared" si="172"/>
        <v>0</v>
      </c>
      <c r="QX15" s="20">
        <v>20</v>
      </c>
      <c r="QY15" s="5" t="s">
        <v>12</v>
      </c>
      <c r="QZ15" s="20">
        <v>4</v>
      </c>
      <c r="RA15" s="5" t="s">
        <v>12</v>
      </c>
      <c r="RB15" s="4">
        <f t="shared" si="173"/>
        <v>24</v>
      </c>
      <c r="RC15" s="25"/>
      <c r="RD15" s="18">
        <f t="shared" si="195"/>
        <v>2</v>
      </c>
      <c r="RE15" s="4">
        <v>2</v>
      </c>
      <c r="RF15" s="8">
        <f t="shared" si="174"/>
        <v>0</v>
      </c>
      <c r="RH15" s="20">
        <v>16</v>
      </c>
      <c r="RI15" s="5" t="s">
        <v>12</v>
      </c>
      <c r="RJ15" s="20">
        <v>4</v>
      </c>
      <c r="RK15" s="5" t="s">
        <v>12</v>
      </c>
      <c r="RL15" s="4">
        <f t="shared" si="175"/>
        <v>20</v>
      </c>
      <c r="RM15" s="25"/>
      <c r="RN15" s="18">
        <f t="shared" si="196"/>
        <v>4</v>
      </c>
      <c r="RO15" s="4">
        <v>4</v>
      </c>
      <c r="RP15" s="8">
        <f t="shared" si="176"/>
        <v>0</v>
      </c>
      <c r="RR15" s="2">
        <v>8</v>
      </c>
      <c r="RS15" s="5" t="s">
        <v>12</v>
      </c>
      <c r="RT15" s="2">
        <v>8</v>
      </c>
      <c r="RU15" s="5" t="s">
        <v>12</v>
      </c>
      <c r="RV15" s="4">
        <f t="shared" si="177"/>
        <v>16</v>
      </c>
      <c r="RW15" s="25"/>
      <c r="RX15" s="18">
        <f t="shared" si="197"/>
        <v>4</v>
      </c>
      <c r="RY15" s="4">
        <v>4</v>
      </c>
      <c r="RZ15" s="8">
        <f t="shared" si="178"/>
        <v>0</v>
      </c>
      <c r="SB15" s="20"/>
      <c r="SC15" s="5" t="s">
        <v>12</v>
      </c>
      <c r="SD15" s="20">
        <v>12</v>
      </c>
      <c r="SE15" s="5" t="s">
        <v>12</v>
      </c>
      <c r="SF15" s="4">
        <f t="shared" si="179"/>
        <v>12</v>
      </c>
      <c r="SG15" s="25"/>
      <c r="SH15" s="18">
        <f t="shared" si="198"/>
        <v>4</v>
      </c>
      <c r="SI15" s="4">
        <v>4</v>
      </c>
      <c r="SJ15" s="8">
        <f t="shared" si="180"/>
        <v>0</v>
      </c>
      <c r="SL15" s="20"/>
      <c r="SM15" s="5" t="s">
        <v>12</v>
      </c>
      <c r="SN15" s="20">
        <v>6</v>
      </c>
      <c r="SO15" s="5" t="s">
        <v>12</v>
      </c>
      <c r="SP15" s="4">
        <f t="shared" si="181"/>
        <v>6</v>
      </c>
      <c r="SQ15" s="25"/>
      <c r="SR15" s="18">
        <f t="shared" si="199"/>
        <v>6</v>
      </c>
      <c r="SS15" s="4">
        <v>6</v>
      </c>
      <c r="ST15" s="8">
        <f t="shared" si="182"/>
        <v>0</v>
      </c>
      <c r="SV15" s="74">
        <v>0</v>
      </c>
      <c r="SW15" s="75" t="s">
        <v>12</v>
      </c>
      <c r="SX15" s="74">
        <v>1</v>
      </c>
      <c r="SY15" s="75" t="s">
        <v>12</v>
      </c>
      <c r="SZ15" s="76">
        <f t="shared" si="183"/>
        <v>1</v>
      </c>
      <c r="TA15" s="82"/>
      <c r="TB15" s="78">
        <f t="shared" si="200"/>
        <v>5</v>
      </c>
      <c r="TC15" s="76">
        <v>4</v>
      </c>
      <c r="TD15" s="79">
        <f t="shared" si="184"/>
        <v>-1</v>
      </c>
      <c r="TF15" s="91"/>
      <c r="TG15" s="92" t="s">
        <v>12</v>
      </c>
      <c r="TH15" s="91"/>
      <c r="TI15" s="92" t="s">
        <v>12</v>
      </c>
      <c r="TJ15" s="93" t="str">
        <f t="shared" si="185"/>
        <v/>
      </c>
      <c r="TK15" s="99"/>
      <c r="TL15" s="95" t="str">
        <f t="shared" si="201"/>
        <v/>
      </c>
      <c r="TM15" s="93"/>
      <c r="TN15" s="96" t="str">
        <f t="shared" si="186"/>
        <v/>
      </c>
    </row>
    <row r="16" spans="1:534" ht="12.75" customHeight="1" x14ac:dyDescent="0.25">
      <c r="A16" s="23" t="s">
        <v>21</v>
      </c>
      <c r="B16" s="11" t="s">
        <v>13</v>
      </c>
      <c r="C16" s="12"/>
      <c r="D16" s="13" t="s">
        <v>12</v>
      </c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 s="20">
        <v>24</v>
      </c>
      <c r="NW16" s="5" t="s">
        <v>12</v>
      </c>
      <c r="NX16" s="20">
        <v>0</v>
      </c>
      <c r="NY16" s="5" t="s">
        <v>12</v>
      </c>
      <c r="NZ16" s="4">
        <f t="shared" si="157"/>
        <v>24</v>
      </c>
      <c r="OA16" s="21">
        <v>0</v>
      </c>
      <c r="OB16" s="18">
        <f t="shared" si="187"/>
        <v>-24</v>
      </c>
      <c r="OC16" s="4"/>
      <c r="OD16" s="8" t="str">
        <f t="shared" si="158"/>
        <v/>
      </c>
      <c r="OF16" s="20">
        <v>16</v>
      </c>
      <c r="OG16" s="5" t="s">
        <v>12</v>
      </c>
      <c r="OH16" s="20">
        <v>5</v>
      </c>
      <c r="OI16" s="5" t="s">
        <v>12</v>
      </c>
      <c r="OJ16" s="4">
        <f t="shared" si="159"/>
        <v>21</v>
      </c>
      <c r="OK16" s="21"/>
      <c r="OL16" s="18">
        <f t="shared" si="188"/>
        <v>3</v>
      </c>
      <c r="OM16" s="4">
        <v>2</v>
      </c>
      <c r="ON16" s="8">
        <f t="shared" si="160"/>
        <v>-1</v>
      </c>
      <c r="OP16" s="20">
        <v>8</v>
      </c>
      <c r="OQ16" s="5" t="s">
        <v>12</v>
      </c>
      <c r="OR16" s="20">
        <v>6</v>
      </c>
      <c r="OS16" s="5" t="s">
        <v>12</v>
      </c>
      <c r="OT16" s="4">
        <f t="shared" si="161"/>
        <v>14</v>
      </c>
      <c r="OU16" s="21"/>
      <c r="OV16" s="18">
        <f t="shared" si="189"/>
        <v>7</v>
      </c>
      <c r="OW16" s="4">
        <v>7</v>
      </c>
      <c r="OX16" s="8">
        <f t="shared" si="162"/>
        <v>0</v>
      </c>
      <c r="OZ16" s="2">
        <v>0</v>
      </c>
      <c r="PA16" s="5" t="s">
        <v>12</v>
      </c>
      <c r="PB16" s="2">
        <v>9</v>
      </c>
      <c r="PC16" s="5" t="s">
        <v>12</v>
      </c>
      <c r="PD16" s="4">
        <f t="shared" si="163"/>
        <v>9</v>
      </c>
      <c r="PE16" s="17">
        <v>1</v>
      </c>
      <c r="PF16" s="18">
        <f t="shared" si="190"/>
        <v>5</v>
      </c>
      <c r="PG16" s="4">
        <v>5</v>
      </c>
      <c r="PH16" s="8">
        <f t="shared" si="164"/>
        <v>0</v>
      </c>
      <c r="PJ16" s="2">
        <v>16</v>
      </c>
      <c r="PK16" s="5" t="s">
        <v>12</v>
      </c>
      <c r="PL16" s="2">
        <v>6</v>
      </c>
      <c r="PM16" s="5" t="s">
        <v>12</v>
      </c>
      <c r="PN16" s="4">
        <f t="shared" si="165"/>
        <v>22</v>
      </c>
      <c r="PO16" s="17"/>
      <c r="PP16" s="18">
        <f t="shared" si="191"/>
        <v>11</v>
      </c>
      <c r="PQ16" s="4">
        <v>11</v>
      </c>
      <c r="PR16" s="8">
        <f t="shared" si="166"/>
        <v>0</v>
      </c>
      <c r="PT16" s="20">
        <v>16</v>
      </c>
      <c r="PU16" s="5" t="s">
        <v>12</v>
      </c>
      <c r="PV16" s="20">
        <v>5</v>
      </c>
      <c r="PW16" s="5" t="s">
        <v>12</v>
      </c>
      <c r="PX16" s="4">
        <f t="shared" si="167"/>
        <v>21</v>
      </c>
      <c r="PY16" s="25"/>
      <c r="PZ16" s="18">
        <f t="shared" si="192"/>
        <v>1</v>
      </c>
      <c r="QA16" s="4">
        <v>1</v>
      </c>
      <c r="QB16" s="8">
        <f t="shared" si="168"/>
        <v>0</v>
      </c>
      <c r="QD16" s="20">
        <v>12</v>
      </c>
      <c r="QE16" s="5" t="s">
        <v>12</v>
      </c>
      <c r="QF16" s="20">
        <v>6</v>
      </c>
      <c r="QG16" s="5" t="s">
        <v>12</v>
      </c>
      <c r="QH16" s="4">
        <f t="shared" si="169"/>
        <v>18</v>
      </c>
      <c r="QI16" s="25"/>
      <c r="QJ16" s="18">
        <f t="shared" si="193"/>
        <v>3</v>
      </c>
      <c r="QK16" s="4">
        <v>3</v>
      </c>
      <c r="QL16" s="8">
        <f t="shared" si="170"/>
        <v>0</v>
      </c>
      <c r="QN16" s="20">
        <v>10</v>
      </c>
      <c r="QO16" s="5" t="s">
        <v>12</v>
      </c>
      <c r="QP16" s="20">
        <v>6</v>
      </c>
      <c r="QQ16" s="5" t="s">
        <v>12</v>
      </c>
      <c r="QR16" s="4">
        <f t="shared" si="171"/>
        <v>16</v>
      </c>
      <c r="QS16" s="25"/>
      <c r="QT16" s="18">
        <f t="shared" si="194"/>
        <v>2</v>
      </c>
      <c r="QU16" s="4">
        <v>2</v>
      </c>
      <c r="QV16" s="8">
        <f t="shared" si="172"/>
        <v>0</v>
      </c>
      <c r="QX16" s="20">
        <v>10</v>
      </c>
      <c r="QY16" s="5" t="s">
        <v>12</v>
      </c>
      <c r="QZ16" s="20">
        <v>4</v>
      </c>
      <c r="RA16" s="5" t="s">
        <v>12</v>
      </c>
      <c r="RB16" s="4">
        <f t="shared" si="173"/>
        <v>14</v>
      </c>
      <c r="RC16" s="25"/>
      <c r="RD16" s="18">
        <f t="shared" si="195"/>
        <v>2</v>
      </c>
      <c r="RE16" s="4">
        <v>2</v>
      </c>
      <c r="RF16" s="8">
        <f t="shared" si="174"/>
        <v>0</v>
      </c>
      <c r="RH16" s="20">
        <v>6</v>
      </c>
      <c r="RI16" s="5" t="s">
        <v>12</v>
      </c>
      <c r="RJ16" s="20">
        <v>6</v>
      </c>
      <c r="RK16" s="5" t="s">
        <v>12</v>
      </c>
      <c r="RL16" s="4">
        <f t="shared" si="175"/>
        <v>12</v>
      </c>
      <c r="RM16" s="25"/>
      <c r="RN16" s="18">
        <f t="shared" si="196"/>
        <v>2</v>
      </c>
      <c r="RO16" s="4">
        <v>2</v>
      </c>
      <c r="RP16" s="8">
        <f t="shared" si="176"/>
        <v>0</v>
      </c>
      <c r="RR16" s="2">
        <v>0</v>
      </c>
      <c r="RS16" s="5" t="s">
        <v>12</v>
      </c>
      <c r="RT16" s="2">
        <v>6</v>
      </c>
      <c r="RU16" s="5" t="s">
        <v>12</v>
      </c>
      <c r="RV16" s="4">
        <f t="shared" si="177"/>
        <v>6</v>
      </c>
      <c r="RW16" s="25"/>
      <c r="RX16" s="18">
        <f t="shared" si="197"/>
        <v>6</v>
      </c>
      <c r="RY16" s="4">
        <v>6</v>
      </c>
      <c r="RZ16" s="8">
        <f t="shared" si="178"/>
        <v>0</v>
      </c>
      <c r="SB16" s="20"/>
      <c r="SC16" s="5" t="s">
        <v>12</v>
      </c>
      <c r="SD16" s="20">
        <v>0</v>
      </c>
      <c r="SE16" s="5" t="s">
        <v>12</v>
      </c>
      <c r="SF16" s="4">
        <f t="shared" si="179"/>
        <v>0</v>
      </c>
      <c r="SG16" s="25"/>
      <c r="SH16" s="18">
        <f t="shared" si="198"/>
        <v>6</v>
      </c>
      <c r="SI16" s="4">
        <v>5</v>
      </c>
      <c r="SJ16" s="8">
        <f t="shared" si="180"/>
        <v>-1</v>
      </c>
      <c r="SL16" s="20"/>
      <c r="SM16" s="5" t="s">
        <v>12</v>
      </c>
      <c r="SN16" s="20">
        <v>0</v>
      </c>
      <c r="SO16" s="5" t="s">
        <v>12</v>
      </c>
      <c r="SP16" s="4">
        <f t="shared" si="181"/>
        <v>0</v>
      </c>
      <c r="SQ16" s="25"/>
      <c r="SR16" s="18">
        <f t="shared" si="199"/>
        <v>0</v>
      </c>
      <c r="SS16" s="4"/>
      <c r="ST16" s="8" t="str">
        <f t="shared" si="182"/>
        <v/>
      </c>
      <c r="SV16" s="74">
        <v>0</v>
      </c>
      <c r="SW16" s="75" t="s">
        <v>12</v>
      </c>
      <c r="SX16" s="74">
        <v>0</v>
      </c>
      <c r="SY16" s="75" t="s">
        <v>12</v>
      </c>
      <c r="SZ16" s="76">
        <f t="shared" si="183"/>
        <v>0</v>
      </c>
      <c r="TA16" s="82"/>
      <c r="TB16" s="78">
        <f t="shared" si="200"/>
        <v>0</v>
      </c>
      <c r="TC16" s="76"/>
      <c r="TD16" s="79" t="str">
        <f t="shared" si="184"/>
        <v/>
      </c>
      <c r="TF16" s="91"/>
      <c r="TG16" s="92" t="s">
        <v>12</v>
      </c>
      <c r="TH16" s="91"/>
      <c r="TI16" s="92" t="s">
        <v>12</v>
      </c>
      <c r="TJ16" s="93" t="str">
        <f t="shared" si="185"/>
        <v/>
      </c>
      <c r="TK16" s="99"/>
      <c r="TL16" s="95" t="str">
        <f t="shared" si="201"/>
        <v/>
      </c>
      <c r="TM16" s="93"/>
      <c r="TN16" s="96" t="str">
        <f t="shared" si="186"/>
        <v/>
      </c>
    </row>
    <row r="17" spans="1:1" ht="12.75" customHeight="1" x14ac:dyDescent="0.2">
      <c r="A17" s="9"/>
    </row>
    <row r="18" spans="1:1" ht="12.75" customHeight="1" x14ac:dyDescent="0.2">
      <c r="A18" s="9" t="s">
        <v>14</v>
      </c>
    </row>
    <row r="19" spans="1:1" ht="12.75" customHeight="1" x14ac:dyDescent="0.2">
      <c r="A19" s="10" t="s">
        <v>15</v>
      </c>
    </row>
    <row r="20" spans="1:1" ht="12.75" customHeight="1" x14ac:dyDescent="0.2">
      <c r="A20" s="9"/>
    </row>
    <row r="21" spans="1:1" ht="12.75" customHeight="1" x14ac:dyDescent="0.2">
      <c r="A21" s="9" t="s">
        <v>16</v>
      </c>
    </row>
    <row r="22" spans="1:1" ht="12.75" customHeight="1" x14ac:dyDescent="0.2">
      <c r="A22" s="10" t="s">
        <v>27</v>
      </c>
    </row>
    <row r="23" spans="1:1" ht="12.75" customHeight="1" x14ac:dyDescent="0.2">
      <c r="A23" s="10" t="s">
        <v>26</v>
      </c>
    </row>
    <row r="25" spans="1:1" ht="12.75" customHeight="1" x14ac:dyDescent="0.2">
      <c r="A25" s="9" t="s">
        <v>17</v>
      </c>
    </row>
  </sheetData>
  <sheetProtection algorithmName="SHA-512" hashValue="2Wg/v7+lkZ78wx9e4bmB7hbmQeDjSoJqCmc7gZHTNflV1xyfXJCwLDPGCalZUztjbei3QZ1yGdmzJdRN9Fi4LA==" saltValue="Lh4dqlZi45I2C6WEKFZalA==" spinCount="100000" sheet="1" selectLockedCells="1"/>
  <mergeCells count="351">
    <mergeCell ref="B1:D1"/>
    <mergeCell ref="F1:G1"/>
    <mergeCell ref="H1:J1"/>
    <mergeCell ref="K1:L1"/>
    <mergeCell ref="M1:N1"/>
    <mergeCell ref="P1:Q1"/>
    <mergeCell ref="AG1:AH1"/>
    <mergeCell ref="AJ1:AK1"/>
    <mergeCell ref="AL1:AN1"/>
    <mergeCell ref="AO1:AP1"/>
    <mergeCell ref="AQ1:AR1"/>
    <mergeCell ref="AT1:AU1"/>
    <mergeCell ref="R1:T1"/>
    <mergeCell ref="U1:V1"/>
    <mergeCell ref="W1:X1"/>
    <mergeCell ref="Z1:AA1"/>
    <mergeCell ref="AB1:AD1"/>
    <mergeCell ref="AE1:AF1"/>
    <mergeCell ref="BK1:BL1"/>
    <mergeCell ref="BN1:BO1"/>
    <mergeCell ref="BP1:BR1"/>
    <mergeCell ref="BS1:BT1"/>
    <mergeCell ref="BU1:BV1"/>
    <mergeCell ref="BX1:BY1"/>
    <mergeCell ref="AV1:AX1"/>
    <mergeCell ref="AY1:AZ1"/>
    <mergeCell ref="BA1:BB1"/>
    <mergeCell ref="BD1:BE1"/>
    <mergeCell ref="BF1:BH1"/>
    <mergeCell ref="BI1:BJ1"/>
    <mergeCell ref="CO1:CP1"/>
    <mergeCell ref="CR1:CS1"/>
    <mergeCell ref="CT1:CV1"/>
    <mergeCell ref="CW1:CX1"/>
    <mergeCell ref="CY1:CZ1"/>
    <mergeCell ref="DB1:DC1"/>
    <mergeCell ref="BZ1:CB1"/>
    <mergeCell ref="CC1:CD1"/>
    <mergeCell ref="CE1:CF1"/>
    <mergeCell ref="CH1:CI1"/>
    <mergeCell ref="CJ1:CL1"/>
    <mergeCell ref="CM1:CN1"/>
    <mergeCell ref="DS1:DT1"/>
    <mergeCell ref="DV1:DW1"/>
    <mergeCell ref="DX1:DZ1"/>
    <mergeCell ref="EA1:EB1"/>
    <mergeCell ref="EC1:ED1"/>
    <mergeCell ref="EF1:EG1"/>
    <mergeCell ref="DD1:DF1"/>
    <mergeCell ref="DG1:DH1"/>
    <mergeCell ref="DI1:DJ1"/>
    <mergeCell ref="DL1:DM1"/>
    <mergeCell ref="DN1:DP1"/>
    <mergeCell ref="DQ1:DR1"/>
    <mergeCell ref="EW1:EX1"/>
    <mergeCell ref="EZ1:FA1"/>
    <mergeCell ref="FB1:FD1"/>
    <mergeCell ref="FE1:FF1"/>
    <mergeCell ref="FG1:FH1"/>
    <mergeCell ref="FJ1:FK1"/>
    <mergeCell ref="EH1:EJ1"/>
    <mergeCell ref="EK1:EL1"/>
    <mergeCell ref="EM1:EN1"/>
    <mergeCell ref="EP1:EQ1"/>
    <mergeCell ref="ER1:ET1"/>
    <mergeCell ref="EU1:EV1"/>
    <mergeCell ref="GA1:GB1"/>
    <mergeCell ref="GD1:GE1"/>
    <mergeCell ref="GF1:GH1"/>
    <mergeCell ref="GI1:GJ1"/>
    <mergeCell ref="GK1:GL1"/>
    <mergeCell ref="GN1:GO1"/>
    <mergeCell ref="FL1:FN1"/>
    <mergeCell ref="FO1:FP1"/>
    <mergeCell ref="FQ1:FR1"/>
    <mergeCell ref="FT1:FU1"/>
    <mergeCell ref="FV1:FX1"/>
    <mergeCell ref="FY1:FZ1"/>
    <mergeCell ref="HE1:HF1"/>
    <mergeCell ref="HH1:HI1"/>
    <mergeCell ref="HJ1:HL1"/>
    <mergeCell ref="HM1:HN1"/>
    <mergeCell ref="HO1:HP1"/>
    <mergeCell ref="HR1:HS1"/>
    <mergeCell ref="GP1:GR1"/>
    <mergeCell ref="GS1:GT1"/>
    <mergeCell ref="GU1:GV1"/>
    <mergeCell ref="GX1:GY1"/>
    <mergeCell ref="GZ1:HB1"/>
    <mergeCell ref="HC1:HD1"/>
    <mergeCell ref="II1:IJ1"/>
    <mergeCell ref="IL1:IM1"/>
    <mergeCell ref="IN1:IP1"/>
    <mergeCell ref="IQ1:IR1"/>
    <mergeCell ref="IS1:IT1"/>
    <mergeCell ref="IV1:IW1"/>
    <mergeCell ref="HT1:HV1"/>
    <mergeCell ref="HW1:HX1"/>
    <mergeCell ref="HY1:HZ1"/>
    <mergeCell ref="IB1:IC1"/>
    <mergeCell ref="ID1:IF1"/>
    <mergeCell ref="IG1:IH1"/>
    <mergeCell ref="JM1:JN1"/>
    <mergeCell ref="JP1:JQ1"/>
    <mergeCell ref="JR1:JT1"/>
    <mergeCell ref="JU1:JV1"/>
    <mergeCell ref="JW1:JX1"/>
    <mergeCell ref="JZ1:KA1"/>
    <mergeCell ref="IX1:IZ1"/>
    <mergeCell ref="JA1:JB1"/>
    <mergeCell ref="JC1:JD1"/>
    <mergeCell ref="JF1:JG1"/>
    <mergeCell ref="JH1:JJ1"/>
    <mergeCell ref="JK1:JL1"/>
    <mergeCell ref="KQ1:KR1"/>
    <mergeCell ref="KT1:KU1"/>
    <mergeCell ref="KV1:KX1"/>
    <mergeCell ref="KY1:KZ1"/>
    <mergeCell ref="LA1:LB1"/>
    <mergeCell ref="LD1:LE1"/>
    <mergeCell ref="KB1:KD1"/>
    <mergeCell ref="KE1:KF1"/>
    <mergeCell ref="KG1:KH1"/>
    <mergeCell ref="KJ1:KK1"/>
    <mergeCell ref="KL1:KN1"/>
    <mergeCell ref="KO1:KP1"/>
    <mergeCell ref="LU1:LV1"/>
    <mergeCell ref="LX1:LY1"/>
    <mergeCell ref="LZ1:MB1"/>
    <mergeCell ref="MC1:MD1"/>
    <mergeCell ref="ME1:MF1"/>
    <mergeCell ref="MH1:MI1"/>
    <mergeCell ref="LF1:LH1"/>
    <mergeCell ref="LI1:LJ1"/>
    <mergeCell ref="LK1:LL1"/>
    <mergeCell ref="LN1:LO1"/>
    <mergeCell ref="LP1:LR1"/>
    <mergeCell ref="LS1:LT1"/>
    <mergeCell ref="MY1:MZ1"/>
    <mergeCell ref="NB1:NC1"/>
    <mergeCell ref="ND1:NF1"/>
    <mergeCell ref="NG1:NH1"/>
    <mergeCell ref="NI1:NJ1"/>
    <mergeCell ref="NL1:NM1"/>
    <mergeCell ref="MJ1:ML1"/>
    <mergeCell ref="MM1:MN1"/>
    <mergeCell ref="MO1:MP1"/>
    <mergeCell ref="MR1:MS1"/>
    <mergeCell ref="MT1:MV1"/>
    <mergeCell ref="MW1:MX1"/>
    <mergeCell ref="OC1:OD1"/>
    <mergeCell ref="OF1:OG1"/>
    <mergeCell ref="OH1:OJ1"/>
    <mergeCell ref="OK1:OL1"/>
    <mergeCell ref="OM1:ON1"/>
    <mergeCell ref="OP1:OQ1"/>
    <mergeCell ref="NN1:NP1"/>
    <mergeCell ref="NQ1:NR1"/>
    <mergeCell ref="NS1:NT1"/>
    <mergeCell ref="NV1:NW1"/>
    <mergeCell ref="NX1:NZ1"/>
    <mergeCell ref="OA1:OB1"/>
    <mergeCell ref="PG1:PH1"/>
    <mergeCell ref="PJ1:PK1"/>
    <mergeCell ref="PL1:PN1"/>
    <mergeCell ref="PO1:PP1"/>
    <mergeCell ref="PQ1:PR1"/>
    <mergeCell ref="PT1:PU1"/>
    <mergeCell ref="OR1:OT1"/>
    <mergeCell ref="OU1:OV1"/>
    <mergeCell ref="OW1:OX1"/>
    <mergeCell ref="OZ1:PA1"/>
    <mergeCell ref="PB1:PD1"/>
    <mergeCell ref="PE1:PF1"/>
    <mergeCell ref="QK1:QL1"/>
    <mergeCell ref="QN1:QO1"/>
    <mergeCell ref="QP1:QR1"/>
    <mergeCell ref="QS1:QT1"/>
    <mergeCell ref="QU1:QV1"/>
    <mergeCell ref="QX1:QY1"/>
    <mergeCell ref="PV1:PX1"/>
    <mergeCell ref="PY1:PZ1"/>
    <mergeCell ref="QA1:QB1"/>
    <mergeCell ref="QD1:QE1"/>
    <mergeCell ref="QF1:QH1"/>
    <mergeCell ref="QI1:QJ1"/>
    <mergeCell ref="RT1:RV1"/>
    <mergeCell ref="RW1:RX1"/>
    <mergeCell ref="RY1:RZ1"/>
    <mergeCell ref="SB1:SC1"/>
    <mergeCell ref="QZ1:RB1"/>
    <mergeCell ref="RC1:RD1"/>
    <mergeCell ref="RE1:RF1"/>
    <mergeCell ref="RH1:RI1"/>
    <mergeCell ref="RJ1:RL1"/>
    <mergeCell ref="RM1:RN1"/>
    <mergeCell ref="TH1:TJ1"/>
    <mergeCell ref="TK1:TL1"/>
    <mergeCell ref="TM1:TN1"/>
    <mergeCell ref="C2:D2"/>
    <mergeCell ref="F2:G2"/>
    <mergeCell ref="H2:I2"/>
    <mergeCell ref="P2:Q2"/>
    <mergeCell ref="R2:S2"/>
    <mergeCell ref="Z2:AA2"/>
    <mergeCell ref="AB2:AC2"/>
    <mergeCell ref="SS1:ST1"/>
    <mergeCell ref="SV1:SW1"/>
    <mergeCell ref="SX1:SZ1"/>
    <mergeCell ref="TA1:TB1"/>
    <mergeCell ref="TC1:TD1"/>
    <mergeCell ref="TF1:TG1"/>
    <mergeCell ref="SD1:SF1"/>
    <mergeCell ref="SG1:SH1"/>
    <mergeCell ref="SI1:SJ1"/>
    <mergeCell ref="SL1:SM1"/>
    <mergeCell ref="SN1:SP1"/>
    <mergeCell ref="SQ1:SR1"/>
    <mergeCell ref="RO1:RP1"/>
    <mergeCell ref="RR1:RS1"/>
    <mergeCell ref="BN2:BO2"/>
    <mergeCell ref="BP2:BQ2"/>
    <mergeCell ref="BX2:BY2"/>
    <mergeCell ref="BZ2:CA2"/>
    <mergeCell ref="CH2:CI2"/>
    <mergeCell ref="CJ2:CK2"/>
    <mergeCell ref="AJ2:AK2"/>
    <mergeCell ref="AL2:AM2"/>
    <mergeCell ref="AT2:AU2"/>
    <mergeCell ref="AV2:AW2"/>
    <mergeCell ref="BD2:BE2"/>
    <mergeCell ref="BF2:BG2"/>
    <mergeCell ref="DV2:DW2"/>
    <mergeCell ref="DX2:DY2"/>
    <mergeCell ref="EF2:EG2"/>
    <mergeCell ref="EH2:EI2"/>
    <mergeCell ref="EP2:EQ2"/>
    <mergeCell ref="ER2:ES2"/>
    <mergeCell ref="CR2:CS2"/>
    <mergeCell ref="CT2:CU2"/>
    <mergeCell ref="DB2:DC2"/>
    <mergeCell ref="DD2:DE2"/>
    <mergeCell ref="DL2:DM2"/>
    <mergeCell ref="DN2:DO2"/>
    <mergeCell ref="GD2:GE2"/>
    <mergeCell ref="GF2:GG2"/>
    <mergeCell ref="GN2:GO2"/>
    <mergeCell ref="GP2:GQ2"/>
    <mergeCell ref="GX2:GY2"/>
    <mergeCell ref="GZ2:HA2"/>
    <mergeCell ref="EZ2:FA2"/>
    <mergeCell ref="FB2:FC2"/>
    <mergeCell ref="FJ2:FK2"/>
    <mergeCell ref="FL2:FM2"/>
    <mergeCell ref="FT2:FU2"/>
    <mergeCell ref="FV2:FW2"/>
    <mergeCell ref="IL2:IM2"/>
    <mergeCell ref="IN2:IO2"/>
    <mergeCell ref="IV2:IW2"/>
    <mergeCell ref="IX2:IY2"/>
    <mergeCell ref="JF2:JG2"/>
    <mergeCell ref="JH2:JI2"/>
    <mergeCell ref="HH2:HI2"/>
    <mergeCell ref="HJ2:HK2"/>
    <mergeCell ref="HR2:HS2"/>
    <mergeCell ref="HT2:HU2"/>
    <mergeCell ref="IB2:IC2"/>
    <mergeCell ref="ID2:IE2"/>
    <mergeCell ref="KT2:KU2"/>
    <mergeCell ref="KV2:KW2"/>
    <mergeCell ref="LD2:LE2"/>
    <mergeCell ref="LF2:LG2"/>
    <mergeCell ref="LN2:LO2"/>
    <mergeCell ref="LP2:LQ2"/>
    <mergeCell ref="JP2:JQ2"/>
    <mergeCell ref="JR2:JS2"/>
    <mergeCell ref="JZ2:KA2"/>
    <mergeCell ref="KB2:KC2"/>
    <mergeCell ref="KJ2:KK2"/>
    <mergeCell ref="KL2:KM2"/>
    <mergeCell ref="NB2:NC2"/>
    <mergeCell ref="ND2:NE2"/>
    <mergeCell ref="NL2:NM2"/>
    <mergeCell ref="NN2:NO2"/>
    <mergeCell ref="NV2:NW2"/>
    <mergeCell ref="NX2:NY2"/>
    <mergeCell ref="LX2:LY2"/>
    <mergeCell ref="LZ2:MA2"/>
    <mergeCell ref="MH2:MI2"/>
    <mergeCell ref="MJ2:MK2"/>
    <mergeCell ref="MR2:MS2"/>
    <mergeCell ref="MT2:MU2"/>
    <mergeCell ref="PT2:PU2"/>
    <mergeCell ref="PV2:PW2"/>
    <mergeCell ref="QD2:QE2"/>
    <mergeCell ref="QF2:QG2"/>
    <mergeCell ref="OF2:OG2"/>
    <mergeCell ref="OH2:OI2"/>
    <mergeCell ref="OP2:OQ2"/>
    <mergeCell ref="OR2:OS2"/>
    <mergeCell ref="OZ2:PA2"/>
    <mergeCell ref="PB2:PC2"/>
    <mergeCell ref="SV2:SW2"/>
    <mergeCell ref="SX2:SY2"/>
    <mergeCell ref="TF2:TG2"/>
    <mergeCell ref="TH2:TI2"/>
    <mergeCell ref="C12:D12"/>
    <mergeCell ref="NV12:NW12"/>
    <mergeCell ref="NX12:NY12"/>
    <mergeCell ref="OF12:OG12"/>
    <mergeCell ref="OH12:OI12"/>
    <mergeCell ref="OP12:OQ12"/>
    <mergeCell ref="RR2:RS2"/>
    <mergeCell ref="RT2:RU2"/>
    <mergeCell ref="SB2:SC2"/>
    <mergeCell ref="SD2:SE2"/>
    <mergeCell ref="SL2:SM2"/>
    <mergeCell ref="SN2:SO2"/>
    <mergeCell ref="QN2:QO2"/>
    <mergeCell ref="QP2:QQ2"/>
    <mergeCell ref="QX2:QY2"/>
    <mergeCell ref="QZ2:RA2"/>
    <mergeCell ref="RH2:RI2"/>
    <mergeCell ref="RJ2:RK2"/>
    <mergeCell ref="PJ2:PK2"/>
    <mergeCell ref="PL2:PM2"/>
    <mergeCell ref="PV12:PW12"/>
    <mergeCell ref="QD12:QE12"/>
    <mergeCell ref="QF12:QG12"/>
    <mergeCell ref="QN12:QO12"/>
    <mergeCell ref="QP12:QQ12"/>
    <mergeCell ref="QX12:QY12"/>
    <mergeCell ref="OR12:OS12"/>
    <mergeCell ref="OZ12:PA12"/>
    <mergeCell ref="PB12:PC12"/>
    <mergeCell ref="PJ12:PK12"/>
    <mergeCell ref="PL12:PM12"/>
    <mergeCell ref="PT12:PU12"/>
    <mergeCell ref="TH12:TI12"/>
    <mergeCell ref="SD12:SE12"/>
    <mergeCell ref="SL12:SM12"/>
    <mergeCell ref="SN12:SO12"/>
    <mergeCell ref="SV12:SW12"/>
    <mergeCell ref="SX12:SY12"/>
    <mergeCell ref="TF12:TG12"/>
    <mergeCell ref="QZ12:RA12"/>
    <mergeCell ref="RH12:RI12"/>
    <mergeCell ref="RJ12:RK12"/>
    <mergeCell ref="RR12:RS12"/>
    <mergeCell ref="RT12:RU12"/>
    <mergeCell ref="SB12:SC12"/>
  </mergeCells>
  <conditionalFormatting sqref="B1:D1">
    <cfRule type="containsText" dxfId="365" priority="178" operator="containsText" text="DUE TODAY">
      <formula>NOT(ISERROR(SEARCH("DUE TODAY",B1)))</formula>
    </cfRule>
  </conditionalFormatting>
  <conditionalFormatting sqref="L3:L10">
    <cfRule type="cellIs" dxfId="364" priority="338" operator="lessThan">
      <formula>0</formula>
    </cfRule>
    <cfRule type="cellIs" dxfId="363" priority="337" operator="equal">
      <formula>0</formula>
    </cfRule>
  </conditionalFormatting>
  <conditionalFormatting sqref="N3:N10">
    <cfRule type="cellIs" dxfId="362" priority="340" operator="lessThan">
      <formula>0</formula>
    </cfRule>
    <cfRule type="cellIs" dxfId="361" priority="339" operator="equal">
      <formula>0</formula>
    </cfRule>
    <cfRule type="cellIs" dxfId="360" priority="341" operator="greaterThan">
      <formula>0</formula>
    </cfRule>
  </conditionalFormatting>
  <conditionalFormatting sqref="V3:V10">
    <cfRule type="cellIs" dxfId="359" priority="333" operator="lessThan">
      <formula>0</formula>
    </cfRule>
    <cfRule type="cellIs" dxfId="358" priority="332" operator="equal">
      <formula>0</formula>
    </cfRule>
  </conditionalFormatting>
  <conditionalFormatting sqref="X3:X10">
    <cfRule type="cellIs" dxfId="357" priority="336" operator="greaterThan">
      <formula>0</formula>
    </cfRule>
    <cfRule type="cellIs" dxfId="356" priority="335" operator="lessThan">
      <formula>0</formula>
    </cfRule>
    <cfRule type="cellIs" dxfId="355" priority="334" operator="equal">
      <formula>0</formula>
    </cfRule>
  </conditionalFormatting>
  <conditionalFormatting sqref="AF3:AF10">
    <cfRule type="cellIs" dxfId="354" priority="327" operator="equal">
      <formula>0</formula>
    </cfRule>
    <cfRule type="cellIs" dxfId="353" priority="328" operator="lessThan">
      <formula>0</formula>
    </cfRule>
  </conditionalFormatting>
  <conditionalFormatting sqref="AH3:AH10">
    <cfRule type="cellIs" dxfId="352" priority="331" operator="greaterThan">
      <formula>0</formula>
    </cfRule>
    <cfRule type="cellIs" dxfId="351" priority="330" operator="lessThan">
      <formula>0</formula>
    </cfRule>
    <cfRule type="cellIs" dxfId="350" priority="329" operator="equal">
      <formula>0</formula>
    </cfRule>
  </conditionalFormatting>
  <conditionalFormatting sqref="AP3:AP10">
    <cfRule type="cellIs" dxfId="349" priority="323" operator="lessThan">
      <formula>0</formula>
    </cfRule>
    <cfRule type="cellIs" dxfId="348" priority="322" operator="equal">
      <formula>0</formula>
    </cfRule>
  </conditionalFormatting>
  <conditionalFormatting sqref="AR3:AR10">
    <cfRule type="cellIs" dxfId="347" priority="325" operator="lessThan">
      <formula>0</formula>
    </cfRule>
    <cfRule type="cellIs" dxfId="346" priority="326" operator="greaterThan">
      <formula>0</formula>
    </cfRule>
    <cfRule type="cellIs" dxfId="345" priority="324" operator="equal">
      <formula>0</formula>
    </cfRule>
  </conditionalFormatting>
  <conditionalFormatting sqref="AZ3:AZ10">
    <cfRule type="cellIs" dxfId="344" priority="318" operator="lessThan">
      <formula>0</formula>
    </cfRule>
    <cfRule type="cellIs" dxfId="343" priority="317" operator="equal">
      <formula>0</formula>
    </cfRule>
  </conditionalFormatting>
  <conditionalFormatting sqref="BB3:BB10">
    <cfRule type="cellIs" dxfId="342" priority="321" operator="greaterThan">
      <formula>0</formula>
    </cfRule>
    <cfRule type="cellIs" dxfId="341" priority="320" operator="lessThan">
      <formula>0</formula>
    </cfRule>
    <cfRule type="cellIs" dxfId="340" priority="319" operator="equal">
      <formula>0</formula>
    </cfRule>
  </conditionalFormatting>
  <conditionalFormatting sqref="BJ3:BJ10">
    <cfRule type="cellIs" dxfId="339" priority="313" operator="lessThan">
      <formula>0</formula>
    </cfRule>
    <cfRule type="cellIs" dxfId="338" priority="312" operator="equal">
      <formula>0</formula>
    </cfRule>
  </conditionalFormatting>
  <conditionalFormatting sqref="BL3:BL10">
    <cfRule type="cellIs" dxfId="337" priority="314" operator="equal">
      <formula>0</formula>
    </cfRule>
    <cfRule type="cellIs" dxfId="336" priority="316" operator="greaterThan">
      <formula>0</formula>
    </cfRule>
    <cfRule type="cellIs" dxfId="335" priority="315" operator="lessThan">
      <formula>0</formula>
    </cfRule>
  </conditionalFormatting>
  <conditionalFormatting sqref="BT3:BT10">
    <cfRule type="cellIs" dxfId="334" priority="308" operator="lessThan">
      <formula>0</formula>
    </cfRule>
    <cfRule type="cellIs" dxfId="333" priority="307" operator="equal">
      <formula>0</formula>
    </cfRule>
  </conditionalFormatting>
  <conditionalFormatting sqref="BV3:BV10">
    <cfRule type="cellIs" dxfId="332" priority="310" operator="lessThan">
      <formula>0</formula>
    </cfRule>
    <cfRule type="cellIs" dxfId="331" priority="311" operator="greaterThan">
      <formula>0</formula>
    </cfRule>
    <cfRule type="cellIs" dxfId="330" priority="309" operator="equal">
      <formula>0</formula>
    </cfRule>
  </conditionalFormatting>
  <conditionalFormatting sqref="CD3:CD10">
    <cfRule type="cellIs" dxfId="329" priority="303" operator="lessThan">
      <formula>0</formula>
    </cfRule>
    <cfRule type="cellIs" dxfId="328" priority="302" operator="equal">
      <formula>0</formula>
    </cfRule>
  </conditionalFormatting>
  <conditionalFormatting sqref="CF3:CF10">
    <cfRule type="cellIs" dxfId="327" priority="305" operator="lessThan">
      <formula>0</formula>
    </cfRule>
    <cfRule type="cellIs" dxfId="326" priority="306" operator="greaterThan">
      <formula>0</formula>
    </cfRule>
    <cfRule type="cellIs" dxfId="325" priority="304" operator="equal">
      <formula>0</formula>
    </cfRule>
  </conditionalFormatting>
  <conditionalFormatting sqref="CN3:CN10">
    <cfRule type="cellIs" dxfId="324" priority="298" operator="lessThan">
      <formula>0</formula>
    </cfRule>
    <cfRule type="cellIs" dxfId="323" priority="297" operator="equal">
      <formula>0</formula>
    </cfRule>
  </conditionalFormatting>
  <conditionalFormatting sqref="CP3:CP10">
    <cfRule type="cellIs" dxfId="322" priority="299" operator="equal">
      <formula>0</formula>
    </cfRule>
    <cfRule type="cellIs" dxfId="321" priority="301" operator="greaterThan">
      <formula>0</formula>
    </cfRule>
    <cfRule type="cellIs" dxfId="320" priority="300" operator="lessThan">
      <formula>0</formula>
    </cfRule>
  </conditionalFormatting>
  <conditionalFormatting sqref="CX3:CX10">
    <cfRule type="cellIs" dxfId="319" priority="292" operator="equal">
      <formula>0</formula>
    </cfRule>
    <cfRule type="cellIs" dxfId="318" priority="293" operator="lessThan">
      <formula>0</formula>
    </cfRule>
  </conditionalFormatting>
  <conditionalFormatting sqref="CZ3:CZ10">
    <cfRule type="cellIs" dxfId="317" priority="296" operator="greaterThan">
      <formula>0</formula>
    </cfRule>
    <cfRule type="cellIs" dxfId="316" priority="295" operator="lessThan">
      <formula>0</formula>
    </cfRule>
    <cfRule type="cellIs" dxfId="315" priority="294" operator="equal">
      <formula>0</formula>
    </cfRule>
  </conditionalFormatting>
  <conditionalFormatting sqref="DH3:DH10">
    <cfRule type="cellIs" dxfId="314" priority="287" operator="equal">
      <formula>0</formula>
    </cfRule>
    <cfRule type="cellIs" dxfId="313" priority="288" operator="lessThan">
      <formula>0</formula>
    </cfRule>
  </conditionalFormatting>
  <conditionalFormatting sqref="DJ3:DJ10">
    <cfRule type="cellIs" dxfId="312" priority="289" operator="equal">
      <formula>0</formula>
    </cfRule>
    <cfRule type="cellIs" dxfId="311" priority="291" operator="greaterThan">
      <formula>0</formula>
    </cfRule>
    <cfRule type="cellIs" dxfId="310" priority="290" operator="lessThan">
      <formula>0</formula>
    </cfRule>
  </conditionalFormatting>
  <conditionalFormatting sqref="DR3:DR10">
    <cfRule type="cellIs" dxfId="309" priority="283" operator="lessThan">
      <formula>0</formula>
    </cfRule>
    <cfRule type="cellIs" dxfId="308" priority="282" operator="equal">
      <formula>0</formula>
    </cfRule>
  </conditionalFormatting>
  <conditionalFormatting sqref="DT3:DT10">
    <cfRule type="cellIs" dxfId="307" priority="286" operator="greaterThan">
      <formula>0</formula>
    </cfRule>
    <cfRule type="cellIs" dxfId="306" priority="285" operator="lessThan">
      <formula>0</formula>
    </cfRule>
    <cfRule type="cellIs" dxfId="305" priority="284" operator="equal">
      <formula>0</formula>
    </cfRule>
  </conditionalFormatting>
  <conditionalFormatting sqref="EB3:EB10">
    <cfRule type="cellIs" dxfId="304" priority="278" operator="lessThan">
      <formula>0</formula>
    </cfRule>
    <cfRule type="cellIs" dxfId="303" priority="277" operator="equal">
      <formula>0</formula>
    </cfRule>
  </conditionalFormatting>
  <conditionalFormatting sqref="ED3:ED10">
    <cfRule type="cellIs" dxfId="302" priority="281" operator="greaterThan">
      <formula>0</formula>
    </cfRule>
    <cfRule type="cellIs" dxfId="301" priority="280" operator="lessThan">
      <formula>0</formula>
    </cfRule>
    <cfRule type="cellIs" dxfId="300" priority="279" operator="equal">
      <formula>0</formula>
    </cfRule>
  </conditionalFormatting>
  <conditionalFormatting sqref="EL3:EL10">
    <cfRule type="cellIs" dxfId="299" priority="273" operator="lessThan">
      <formula>0</formula>
    </cfRule>
    <cfRule type="cellIs" dxfId="298" priority="272" operator="equal">
      <formula>0</formula>
    </cfRule>
  </conditionalFormatting>
  <conditionalFormatting sqref="EN3:EN10">
    <cfRule type="cellIs" dxfId="297" priority="276" operator="greaterThan">
      <formula>0</formula>
    </cfRule>
    <cfRule type="cellIs" dxfId="296" priority="275" operator="lessThan">
      <formula>0</formula>
    </cfRule>
    <cfRule type="cellIs" dxfId="295" priority="274" operator="equal">
      <formula>0</formula>
    </cfRule>
  </conditionalFormatting>
  <conditionalFormatting sqref="EV3:EV10">
    <cfRule type="cellIs" dxfId="294" priority="268" operator="lessThan">
      <formula>0</formula>
    </cfRule>
    <cfRule type="cellIs" dxfId="293" priority="267" operator="equal">
      <formula>0</formula>
    </cfRule>
  </conditionalFormatting>
  <conditionalFormatting sqref="EX3:EX10">
    <cfRule type="cellIs" dxfId="292" priority="269" operator="equal">
      <formula>0</formula>
    </cfRule>
    <cfRule type="cellIs" dxfId="291" priority="271" operator="greaterThan">
      <formula>0</formula>
    </cfRule>
    <cfRule type="cellIs" dxfId="290" priority="270" operator="lessThan">
      <formula>0</formula>
    </cfRule>
  </conditionalFormatting>
  <conditionalFormatting sqref="FF3:FF10">
    <cfRule type="cellIs" dxfId="289" priority="263" operator="lessThan">
      <formula>0</formula>
    </cfRule>
    <cfRule type="cellIs" dxfId="288" priority="262" operator="equal">
      <formula>0</formula>
    </cfRule>
  </conditionalFormatting>
  <conditionalFormatting sqref="FH3:FH10">
    <cfRule type="cellIs" dxfId="287" priority="266" operator="greaterThan">
      <formula>0</formula>
    </cfRule>
    <cfRule type="cellIs" dxfId="286" priority="265" operator="lessThan">
      <formula>0</formula>
    </cfRule>
    <cfRule type="cellIs" dxfId="285" priority="264" operator="equal">
      <formula>0</formula>
    </cfRule>
  </conditionalFormatting>
  <conditionalFormatting sqref="FP3:FP10">
    <cfRule type="cellIs" dxfId="284" priority="257" operator="equal">
      <formula>0</formula>
    </cfRule>
    <cfRule type="cellIs" dxfId="283" priority="258" operator="lessThan">
      <formula>0</formula>
    </cfRule>
  </conditionalFormatting>
  <conditionalFormatting sqref="FR3:FR10">
    <cfRule type="cellIs" dxfId="282" priority="261" operator="greaterThan">
      <formula>0</formula>
    </cfRule>
    <cfRule type="cellIs" dxfId="281" priority="260" operator="lessThan">
      <formula>0</formula>
    </cfRule>
    <cfRule type="cellIs" dxfId="280" priority="259" operator="equal">
      <formula>0</formula>
    </cfRule>
  </conditionalFormatting>
  <conditionalFormatting sqref="FZ3:FZ10">
    <cfRule type="cellIs" dxfId="279" priority="253" operator="lessThan">
      <formula>0</formula>
    </cfRule>
    <cfRule type="cellIs" dxfId="278" priority="252" operator="equal">
      <formula>0</formula>
    </cfRule>
  </conditionalFormatting>
  <conditionalFormatting sqref="GB3:GB10">
    <cfRule type="cellIs" dxfId="277" priority="256" operator="greaterThan">
      <formula>0</formula>
    </cfRule>
    <cfRule type="cellIs" dxfId="276" priority="254" operator="equal">
      <formula>0</formula>
    </cfRule>
    <cfRule type="cellIs" dxfId="275" priority="255" operator="lessThan">
      <formula>0</formula>
    </cfRule>
  </conditionalFormatting>
  <conditionalFormatting sqref="GJ3:GJ10">
    <cfRule type="cellIs" dxfId="274" priority="248" operator="lessThan">
      <formula>0</formula>
    </cfRule>
    <cfRule type="cellIs" dxfId="273" priority="247" operator="equal">
      <formula>0</formula>
    </cfRule>
  </conditionalFormatting>
  <conditionalFormatting sqref="GL3:GL10">
    <cfRule type="cellIs" dxfId="272" priority="251" operator="greaterThan">
      <formula>0</formula>
    </cfRule>
    <cfRule type="cellIs" dxfId="271" priority="250" operator="lessThan">
      <formula>0</formula>
    </cfRule>
    <cfRule type="cellIs" dxfId="270" priority="249" operator="equal">
      <formula>0</formula>
    </cfRule>
  </conditionalFormatting>
  <conditionalFormatting sqref="GT3:GT10">
    <cfRule type="cellIs" dxfId="269" priority="243" operator="lessThan">
      <formula>0</formula>
    </cfRule>
    <cfRule type="cellIs" dxfId="268" priority="242" operator="equal">
      <formula>0</formula>
    </cfRule>
  </conditionalFormatting>
  <conditionalFormatting sqref="GV3:GV10">
    <cfRule type="cellIs" dxfId="267" priority="245" operator="lessThan">
      <formula>0</formula>
    </cfRule>
    <cfRule type="cellIs" dxfId="266" priority="246" operator="greaterThan">
      <formula>0</formula>
    </cfRule>
    <cfRule type="cellIs" dxfId="265" priority="244" operator="equal">
      <formula>0</formula>
    </cfRule>
  </conditionalFormatting>
  <conditionalFormatting sqref="HD3:HD10">
    <cfRule type="cellIs" dxfId="264" priority="238" operator="lessThan">
      <formula>0</formula>
    </cfRule>
    <cfRule type="cellIs" dxfId="263" priority="237" operator="equal">
      <formula>0</formula>
    </cfRule>
  </conditionalFormatting>
  <conditionalFormatting sqref="HF3:HF10">
    <cfRule type="cellIs" dxfId="262" priority="241" operator="greaterThan">
      <formula>0</formula>
    </cfRule>
    <cfRule type="cellIs" dxfId="261" priority="240" operator="lessThan">
      <formula>0</formula>
    </cfRule>
    <cfRule type="cellIs" dxfId="260" priority="239" operator="equal">
      <formula>0</formula>
    </cfRule>
  </conditionalFormatting>
  <conditionalFormatting sqref="HN3:HN10">
    <cfRule type="cellIs" dxfId="259" priority="233" operator="lessThan">
      <formula>0</formula>
    </cfRule>
    <cfRule type="cellIs" dxfId="258" priority="232" operator="equal">
      <formula>0</formula>
    </cfRule>
  </conditionalFormatting>
  <conditionalFormatting sqref="HP3:HP10">
    <cfRule type="cellIs" dxfId="257" priority="236" operator="greaterThan">
      <formula>0</formula>
    </cfRule>
    <cfRule type="cellIs" dxfId="256" priority="235" operator="lessThan">
      <formula>0</formula>
    </cfRule>
    <cfRule type="cellIs" dxfId="255" priority="234" operator="equal">
      <formula>0</formula>
    </cfRule>
  </conditionalFormatting>
  <conditionalFormatting sqref="HX3:HX10">
    <cfRule type="cellIs" dxfId="254" priority="228" operator="lessThan">
      <formula>0</formula>
    </cfRule>
    <cfRule type="cellIs" dxfId="253" priority="227" operator="equal">
      <formula>0</formula>
    </cfRule>
  </conditionalFormatting>
  <conditionalFormatting sqref="HZ3:HZ10">
    <cfRule type="cellIs" dxfId="252" priority="229" operator="equal">
      <formula>0</formula>
    </cfRule>
    <cfRule type="cellIs" dxfId="251" priority="231" operator="greaterThan">
      <formula>0</formula>
    </cfRule>
    <cfRule type="cellIs" dxfId="250" priority="230" operator="lessThan">
      <formula>0</formula>
    </cfRule>
  </conditionalFormatting>
  <conditionalFormatting sqref="IH3:IH10">
    <cfRule type="cellIs" dxfId="249" priority="223" operator="lessThan">
      <formula>0</formula>
    </cfRule>
    <cfRule type="cellIs" dxfId="248" priority="222" operator="equal">
      <formula>0</formula>
    </cfRule>
  </conditionalFormatting>
  <conditionalFormatting sqref="IJ3:IJ10">
    <cfRule type="cellIs" dxfId="247" priority="226" operator="greaterThan">
      <formula>0</formula>
    </cfRule>
    <cfRule type="cellIs" dxfId="246" priority="225" operator="lessThan">
      <formula>0</formula>
    </cfRule>
    <cfRule type="cellIs" dxfId="245" priority="224" operator="equal">
      <formula>0</formula>
    </cfRule>
  </conditionalFormatting>
  <conditionalFormatting sqref="IR3:IR10">
    <cfRule type="cellIs" dxfId="244" priority="218" operator="lessThan">
      <formula>0</formula>
    </cfRule>
    <cfRule type="cellIs" dxfId="243" priority="217" operator="equal">
      <formula>0</formula>
    </cfRule>
  </conditionalFormatting>
  <conditionalFormatting sqref="IT3:IT10">
    <cfRule type="cellIs" dxfId="242" priority="221" operator="greaterThan">
      <formula>0</formula>
    </cfRule>
    <cfRule type="cellIs" dxfId="241" priority="220" operator="lessThan">
      <formula>0</formula>
    </cfRule>
    <cfRule type="cellIs" dxfId="240" priority="219" operator="equal">
      <formula>0</formula>
    </cfRule>
  </conditionalFormatting>
  <conditionalFormatting sqref="JB3:JB10">
    <cfRule type="cellIs" dxfId="239" priority="213" operator="lessThan">
      <formula>0</formula>
    </cfRule>
    <cfRule type="cellIs" dxfId="238" priority="212" operator="equal">
      <formula>0</formula>
    </cfRule>
  </conditionalFormatting>
  <conditionalFormatting sqref="JD3:JD10">
    <cfRule type="cellIs" dxfId="237" priority="216" operator="greaterThan">
      <formula>0</formula>
    </cfRule>
    <cfRule type="cellIs" dxfId="236" priority="215" operator="lessThan">
      <formula>0</formula>
    </cfRule>
    <cfRule type="cellIs" dxfId="235" priority="214" operator="equal">
      <formula>0</formula>
    </cfRule>
  </conditionalFormatting>
  <conditionalFormatting sqref="JL3:JL10">
    <cfRule type="cellIs" dxfId="234" priority="208" operator="lessThan">
      <formula>0</formula>
    </cfRule>
    <cfRule type="cellIs" dxfId="233" priority="207" operator="equal">
      <formula>0</formula>
    </cfRule>
  </conditionalFormatting>
  <conditionalFormatting sqref="JN3:JN10">
    <cfRule type="cellIs" dxfId="232" priority="209" operator="equal">
      <formula>0</formula>
    </cfRule>
    <cfRule type="cellIs" dxfId="231" priority="211" operator="greaterThan">
      <formula>0</formula>
    </cfRule>
    <cfRule type="cellIs" dxfId="230" priority="210" operator="lessThan">
      <formula>0</formula>
    </cfRule>
  </conditionalFormatting>
  <conditionalFormatting sqref="JV3:JV10">
    <cfRule type="cellIs" dxfId="229" priority="203" operator="lessThan">
      <formula>0</formula>
    </cfRule>
    <cfRule type="cellIs" dxfId="228" priority="202" operator="equal">
      <formula>0</formula>
    </cfRule>
  </conditionalFormatting>
  <conditionalFormatting sqref="JX3:JX10">
    <cfRule type="cellIs" dxfId="227" priority="206" operator="greaterThan">
      <formula>0</formula>
    </cfRule>
    <cfRule type="cellIs" dxfId="226" priority="205" operator="lessThan">
      <formula>0</formula>
    </cfRule>
    <cfRule type="cellIs" dxfId="225" priority="204" operator="equal">
      <formula>0</formula>
    </cfRule>
  </conditionalFormatting>
  <conditionalFormatting sqref="KF3:KF10">
    <cfRule type="cellIs" dxfId="224" priority="198" operator="lessThan">
      <formula>0</formula>
    </cfRule>
    <cfRule type="cellIs" dxfId="223" priority="197" operator="equal">
      <formula>0</formula>
    </cfRule>
  </conditionalFormatting>
  <conditionalFormatting sqref="KH3:KH10">
    <cfRule type="cellIs" dxfId="222" priority="201" operator="greaterThan">
      <formula>0</formula>
    </cfRule>
    <cfRule type="cellIs" dxfId="221" priority="200" operator="lessThan">
      <formula>0</formula>
    </cfRule>
    <cfRule type="cellIs" dxfId="220" priority="199" operator="equal">
      <formula>0</formula>
    </cfRule>
  </conditionalFormatting>
  <conditionalFormatting sqref="KP3:KP10">
    <cfRule type="cellIs" dxfId="219" priority="193" operator="lessThan">
      <formula>0</formula>
    </cfRule>
    <cfRule type="cellIs" dxfId="218" priority="192" operator="equal">
      <formula>0</formula>
    </cfRule>
  </conditionalFormatting>
  <conditionalFormatting sqref="KR3:KR10">
    <cfRule type="cellIs" dxfId="217" priority="196" operator="greaterThan">
      <formula>0</formula>
    </cfRule>
    <cfRule type="cellIs" dxfId="216" priority="195" operator="lessThan">
      <formula>0</formula>
    </cfRule>
    <cfRule type="cellIs" dxfId="215" priority="194" operator="equal">
      <formula>0</formula>
    </cfRule>
  </conditionalFormatting>
  <conditionalFormatting sqref="KZ3:KZ10">
    <cfRule type="cellIs" dxfId="214" priority="188" operator="lessThan">
      <formula>0</formula>
    </cfRule>
    <cfRule type="cellIs" dxfId="213" priority="187" operator="equal">
      <formula>0</formula>
    </cfRule>
  </conditionalFormatting>
  <conditionalFormatting sqref="LB3:LB10">
    <cfRule type="cellIs" dxfId="212" priority="191" operator="greaterThan">
      <formula>0</formula>
    </cfRule>
    <cfRule type="cellIs" dxfId="211" priority="190" operator="lessThan">
      <formula>0</formula>
    </cfRule>
    <cfRule type="cellIs" dxfId="210" priority="189" operator="equal">
      <formula>0</formula>
    </cfRule>
  </conditionalFormatting>
  <conditionalFormatting sqref="LJ3:LJ10">
    <cfRule type="cellIs" dxfId="209" priority="186" operator="lessThan">
      <formula>0</formula>
    </cfRule>
    <cfRule type="cellIs" dxfId="208" priority="185" operator="equal">
      <formula>0</formula>
    </cfRule>
  </conditionalFormatting>
  <conditionalFormatting sqref="LL3:LL10">
    <cfRule type="cellIs" dxfId="207" priority="184" operator="greaterThan">
      <formula>0</formula>
    </cfRule>
    <cfRule type="cellIs" dxfId="206" priority="183" operator="lessThan">
      <formula>0</formula>
    </cfRule>
    <cfRule type="cellIs" dxfId="205" priority="182" operator="equal">
      <formula>0</formula>
    </cfRule>
  </conditionalFormatting>
  <conditionalFormatting sqref="LT3:LT10">
    <cfRule type="cellIs" dxfId="204" priority="177" operator="lessThan">
      <formula>0</formula>
    </cfRule>
    <cfRule type="cellIs" dxfId="203" priority="176" operator="equal">
      <formula>0</formula>
    </cfRule>
  </conditionalFormatting>
  <conditionalFormatting sqref="LV3:LV10">
    <cfRule type="cellIs" dxfId="202" priority="179" operator="equal">
      <formula>0</formula>
    </cfRule>
    <cfRule type="cellIs" dxfId="201" priority="181" operator="greaterThan">
      <formula>0</formula>
    </cfRule>
    <cfRule type="cellIs" dxfId="200" priority="180" operator="lessThan">
      <formula>0</formula>
    </cfRule>
  </conditionalFormatting>
  <conditionalFormatting sqref="MD3:MD10">
    <cfRule type="cellIs" dxfId="199" priority="171" operator="equal">
      <formula>0</formula>
    </cfRule>
    <cfRule type="cellIs" dxfId="198" priority="172" operator="lessThan">
      <formula>0</formula>
    </cfRule>
  </conditionalFormatting>
  <conditionalFormatting sqref="MF3:MF10">
    <cfRule type="cellIs" dxfId="197" priority="173" operator="equal">
      <formula>0</formula>
    </cfRule>
    <cfRule type="cellIs" dxfId="196" priority="174" operator="lessThan">
      <formula>0</formula>
    </cfRule>
    <cfRule type="cellIs" dxfId="195" priority="175" operator="greaterThan">
      <formula>0</formula>
    </cfRule>
  </conditionalFormatting>
  <conditionalFormatting sqref="MN3:MN10">
    <cfRule type="cellIs" dxfId="194" priority="167" operator="lessThan">
      <formula>0</formula>
    </cfRule>
    <cfRule type="cellIs" dxfId="193" priority="166" operator="equal">
      <formula>0</formula>
    </cfRule>
  </conditionalFormatting>
  <conditionalFormatting sqref="MP3:MP10">
    <cfRule type="cellIs" dxfId="192" priority="168" operator="equal">
      <formula>0</formula>
    </cfRule>
    <cfRule type="cellIs" dxfId="191" priority="170" operator="greaterThan">
      <formula>0</formula>
    </cfRule>
    <cfRule type="cellIs" dxfId="190" priority="169" operator="lessThan">
      <formula>0</formula>
    </cfRule>
  </conditionalFormatting>
  <conditionalFormatting sqref="MX3:MX10">
    <cfRule type="cellIs" dxfId="189" priority="162" operator="lessThan">
      <formula>0</formula>
    </cfRule>
    <cfRule type="cellIs" dxfId="188" priority="161" operator="equal">
      <formula>0</formula>
    </cfRule>
  </conditionalFormatting>
  <conditionalFormatting sqref="MZ3:MZ10">
    <cfRule type="cellIs" dxfId="187" priority="165" operator="greaterThan">
      <formula>0</formula>
    </cfRule>
    <cfRule type="cellIs" dxfId="186" priority="164" operator="lessThan">
      <formula>0</formula>
    </cfRule>
    <cfRule type="cellIs" dxfId="185" priority="163" operator="equal">
      <formula>0</formula>
    </cfRule>
  </conditionalFormatting>
  <conditionalFormatting sqref="NH3:NH10">
    <cfRule type="cellIs" dxfId="184" priority="157" operator="lessThan">
      <formula>0</formula>
    </cfRule>
    <cfRule type="cellIs" dxfId="183" priority="156" operator="equal">
      <formula>0</formula>
    </cfRule>
  </conditionalFormatting>
  <conditionalFormatting sqref="NJ3:NJ10">
    <cfRule type="cellIs" dxfId="182" priority="159" operator="lessThan">
      <formula>0</formula>
    </cfRule>
    <cfRule type="cellIs" dxfId="181" priority="158" operator="equal">
      <formula>0</formula>
    </cfRule>
    <cfRule type="cellIs" dxfId="180" priority="160" operator="greaterThan">
      <formula>0</formula>
    </cfRule>
  </conditionalFormatting>
  <conditionalFormatting sqref="NR3:NR10">
    <cfRule type="cellIs" dxfId="179" priority="152" operator="lessThan">
      <formula>0</formula>
    </cfRule>
    <cfRule type="cellIs" dxfId="178" priority="151" operator="equal">
      <formula>0</formula>
    </cfRule>
  </conditionalFormatting>
  <conditionalFormatting sqref="NT3:NT10">
    <cfRule type="cellIs" dxfId="177" priority="155" operator="greaterThan">
      <formula>0</formula>
    </cfRule>
    <cfRule type="cellIs" dxfId="176" priority="154" operator="lessThan">
      <formula>0</formula>
    </cfRule>
    <cfRule type="cellIs" dxfId="175" priority="153" operator="equal">
      <formula>0</formula>
    </cfRule>
  </conditionalFormatting>
  <conditionalFormatting sqref="OB3:OB10">
    <cfRule type="cellIs" dxfId="174" priority="147" operator="lessThan">
      <formula>0</formula>
    </cfRule>
    <cfRule type="cellIs" dxfId="173" priority="146" operator="equal">
      <formula>0</formula>
    </cfRule>
  </conditionalFormatting>
  <conditionalFormatting sqref="OB13:OB16">
    <cfRule type="cellIs" dxfId="172" priority="142" operator="lessThan">
      <formula>0</formula>
    </cfRule>
    <cfRule type="cellIs" dxfId="171" priority="141" operator="equal">
      <formula>0</formula>
    </cfRule>
  </conditionalFormatting>
  <conditionalFormatting sqref="OD3:OD10">
    <cfRule type="cellIs" dxfId="170" priority="150" operator="greaterThan">
      <formula>0</formula>
    </cfRule>
    <cfRule type="cellIs" dxfId="169" priority="149" operator="lessThan">
      <formula>0</formula>
    </cfRule>
    <cfRule type="cellIs" dxfId="168" priority="148" operator="equal">
      <formula>0</formula>
    </cfRule>
  </conditionalFormatting>
  <conditionalFormatting sqref="OD13:OD16">
    <cfRule type="cellIs" dxfId="167" priority="145" operator="greaterThan">
      <formula>0</formula>
    </cfRule>
    <cfRule type="cellIs" dxfId="166" priority="144" operator="lessThan">
      <formula>0</formula>
    </cfRule>
    <cfRule type="cellIs" dxfId="165" priority="143" operator="equal">
      <formula>0</formula>
    </cfRule>
  </conditionalFormatting>
  <conditionalFormatting sqref="OL3:OL10">
    <cfRule type="cellIs" dxfId="164" priority="136" operator="equal">
      <formula>0</formula>
    </cfRule>
    <cfRule type="cellIs" dxfId="163" priority="137" operator="lessThan">
      <formula>0</formula>
    </cfRule>
  </conditionalFormatting>
  <conditionalFormatting sqref="OL13:OL16">
    <cfRule type="cellIs" dxfId="162" priority="132" operator="lessThan">
      <formula>0</formula>
    </cfRule>
    <cfRule type="cellIs" dxfId="161" priority="131" operator="equal">
      <formula>0</formula>
    </cfRule>
  </conditionalFormatting>
  <conditionalFormatting sqref="ON3:ON10">
    <cfRule type="cellIs" dxfId="160" priority="138" operator="equal">
      <formula>0</formula>
    </cfRule>
    <cfRule type="cellIs" dxfId="159" priority="140" operator="greaterThan">
      <formula>0</formula>
    </cfRule>
    <cfRule type="cellIs" dxfId="158" priority="139" operator="lessThan">
      <formula>0</formula>
    </cfRule>
  </conditionalFormatting>
  <conditionalFormatting sqref="ON13:ON16">
    <cfRule type="cellIs" dxfId="157" priority="135" operator="greaterThan">
      <formula>0</formula>
    </cfRule>
    <cfRule type="cellIs" dxfId="156" priority="134" operator="lessThan">
      <formula>0</formula>
    </cfRule>
    <cfRule type="cellIs" dxfId="155" priority="133" operator="equal">
      <formula>0</formula>
    </cfRule>
  </conditionalFormatting>
  <conditionalFormatting sqref="OV3:OV10">
    <cfRule type="cellIs" dxfId="154" priority="127" operator="lessThan">
      <formula>0</formula>
    </cfRule>
    <cfRule type="cellIs" dxfId="153" priority="126" operator="equal">
      <formula>0</formula>
    </cfRule>
  </conditionalFormatting>
  <conditionalFormatting sqref="OV13:OV16">
    <cfRule type="cellIs" dxfId="152" priority="121" operator="equal">
      <formula>0</formula>
    </cfRule>
    <cfRule type="cellIs" dxfId="151" priority="122" operator="lessThan">
      <formula>0</formula>
    </cfRule>
  </conditionalFormatting>
  <conditionalFormatting sqref="OX3:OX10">
    <cfRule type="cellIs" dxfId="150" priority="129" operator="lessThan">
      <formula>0</formula>
    </cfRule>
    <cfRule type="cellIs" dxfId="149" priority="130" operator="greaterThan">
      <formula>0</formula>
    </cfRule>
    <cfRule type="cellIs" dxfId="148" priority="128" operator="equal">
      <formula>0</formula>
    </cfRule>
  </conditionalFormatting>
  <conditionalFormatting sqref="OX13:OX16">
    <cfRule type="cellIs" dxfId="147" priority="125" operator="greaterThan">
      <formula>0</formula>
    </cfRule>
    <cfRule type="cellIs" dxfId="146" priority="124" operator="lessThan">
      <formula>0</formula>
    </cfRule>
    <cfRule type="cellIs" dxfId="145" priority="123" operator="equal">
      <formula>0</formula>
    </cfRule>
  </conditionalFormatting>
  <conditionalFormatting sqref="PF3:PF10">
    <cfRule type="cellIs" dxfId="144" priority="117" operator="lessThan">
      <formula>0</formula>
    </cfRule>
    <cfRule type="cellIs" dxfId="143" priority="116" operator="equal">
      <formula>0</formula>
    </cfRule>
  </conditionalFormatting>
  <conditionalFormatting sqref="PF13:PF16">
    <cfRule type="cellIs" dxfId="142" priority="112" operator="lessThan">
      <formula>0</formula>
    </cfRule>
    <cfRule type="cellIs" dxfId="141" priority="111" operator="equal">
      <formula>0</formula>
    </cfRule>
  </conditionalFormatting>
  <conditionalFormatting sqref="PH3:PH10">
    <cfRule type="cellIs" dxfId="140" priority="119" operator="lessThan">
      <formula>0</formula>
    </cfRule>
    <cfRule type="cellIs" dxfId="139" priority="120" operator="greaterThan">
      <formula>0</formula>
    </cfRule>
    <cfRule type="cellIs" dxfId="138" priority="118" operator="equal">
      <formula>0</formula>
    </cfRule>
  </conditionalFormatting>
  <conditionalFormatting sqref="PH13:PH16">
    <cfRule type="cellIs" dxfId="137" priority="115" operator="greaterThan">
      <formula>0</formula>
    </cfRule>
    <cfRule type="cellIs" dxfId="136" priority="114" operator="lessThan">
      <formula>0</formula>
    </cfRule>
    <cfRule type="cellIs" dxfId="135" priority="113" operator="equal">
      <formula>0</formula>
    </cfRule>
  </conditionalFormatting>
  <conditionalFormatting sqref="PP3:PP10">
    <cfRule type="cellIs" dxfId="134" priority="107" operator="lessThan">
      <formula>0</formula>
    </cfRule>
    <cfRule type="cellIs" dxfId="133" priority="106" operator="equal">
      <formula>0</formula>
    </cfRule>
  </conditionalFormatting>
  <conditionalFormatting sqref="PP13:PP16">
    <cfRule type="cellIs" dxfId="132" priority="101" operator="equal">
      <formula>0</formula>
    </cfRule>
    <cfRule type="cellIs" dxfId="131" priority="102" operator="lessThan">
      <formula>0</formula>
    </cfRule>
  </conditionalFormatting>
  <conditionalFormatting sqref="PR3:PR10">
    <cfRule type="cellIs" dxfId="130" priority="110" operator="greaterThan">
      <formula>0</formula>
    </cfRule>
    <cfRule type="cellIs" dxfId="129" priority="109" operator="lessThan">
      <formula>0</formula>
    </cfRule>
    <cfRule type="cellIs" dxfId="128" priority="108" operator="equal">
      <formula>0</formula>
    </cfRule>
  </conditionalFormatting>
  <conditionalFormatting sqref="PR13:PR16">
    <cfRule type="cellIs" dxfId="127" priority="105" operator="greaterThan">
      <formula>0</formula>
    </cfRule>
    <cfRule type="cellIs" dxfId="126" priority="104" operator="lessThan">
      <formula>0</formula>
    </cfRule>
    <cfRule type="cellIs" dxfId="125" priority="103" operator="equal">
      <formula>0</formula>
    </cfRule>
  </conditionalFormatting>
  <conditionalFormatting sqref="PZ3:PZ10">
    <cfRule type="cellIs" dxfId="124" priority="97" operator="lessThan">
      <formula>0</formula>
    </cfRule>
    <cfRule type="cellIs" dxfId="123" priority="96" operator="equal">
      <formula>0</formula>
    </cfRule>
  </conditionalFormatting>
  <conditionalFormatting sqref="PZ13:PZ16">
    <cfRule type="cellIs" dxfId="122" priority="92" operator="lessThan">
      <formula>0</formula>
    </cfRule>
    <cfRule type="cellIs" dxfId="121" priority="91" operator="equal">
      <formula>0</formula>
    </cfRule>
  </conditionalFormatting>
  <conditionalFormatting sqref="QB3:QB10">
    <cfRule type="cellIs" dxfId="120" priority="100" operator="greaterThan">
      <formula>0</formula>
    </cfRule>
    <cfRule type="cellIs" dxfId="119" priority="99" operator="lessThan">
      <formula>0</formula>
    </cfRule>
    <cfRule type="cellIs" dxfId="118" priority="98" operator="equal">
      <formula>0</formula>
    </cfRule>
  </conditionalFormatting>
  <conditionalFormatting sqref="QB13:QB16">
    <cfRule type="cellIs" dxfId="117" priority="95" operator="greaterThan">
      <formula>0</formula>
    </cfRule>
    <cfRule type="cellIs" dxfId="116" priority="94" operator="lessThan">
      <formula>0</formula>
    </cfRule>
    <cfRule type="cellIs" dxfId="115" priority="93" operator="equal">
      <formula>0</formula>
    </cfRule>
  </conditionalFormatting>
  <conditionalFormatting sqref="QJ3:QJ10">
    <cfRule type="cellIs" dxfId="114" priority="87" operator="lessThan">
      <formula>0</formula>
    </cfRule>
    <cfRule type="cellIs" dxfId="113" priority="86" operator="equal">
      <formula>0</formula>
    </cfRule>
  </conditionalFormatting>
  <conditionalFormatting sqref="QJ13:QJ16">
    <cfRule type="cellIs" dxfId="112" priority="81" operator="equal">
      <formula>0</formula>
    </cfRule>
    <cfRule type="cellIs" dxfId="111" priority="82" operator="lessThan">
      <formula>0</formula>
    </cfRule>
  </conditionalFormatting>
  <conditionalFormatting sqref="QL3:QL10">
    <cfRule type="cellIs" dxfId="110" priority="90" operator="greaterThan">
      <formula>0</formula>
    </cfRule>
    <cfRule type="cellIs" dxfId="109" priority="89" operator="lessThan">
      <formula>0</formula>
    </cfRule>
    <cfRule type="cellIs" dxfId="108" priority="88" operator="equal">
      <formula>0</formula>
    </cfRule>
  </conditionalFormatting>
  <conditionalFormatting sqref="QL13:QL16">
    <cfRule type="cellIs" dxfId="107" priority="85" operator="greaterThan">
      <formula>0</formula>
    </cfRule>
    <cfRule type="cellIs" dxfId="106" priority="84" operator="lessThan">
      <formula>0</formula>
    </cfRule>
    <cfRule type="cellIs" dxfId="105" priority="83" operator="equal">
      <formula>0</formula>
    </cfRule>
  </conditionalFormatting>
  <conditionalFormatting sqref="QT3:QT10">
    <cfRule type="cellIs" dxfId="104" priority="76" operator="equal">
      <formula>0</formula>
    </cfRule>
    <cfRule type="cellIs" dxfId="103" priority="77" operator="lessThan">
      <formula>0</formula>
    </cfRule>
  </conditionalFormatting>
  <conditionalFormatting sqref="QT13:QT16">
    <cfRule type="cellIs" dxfId="102" priority="72" operator="lessThan">
      <formula>0</formula>
    </cfRule>
    <cfRule type="cellIs" dxfId="101" priority="71" operator="equal">
      <formula>0</formula>
    </cfRule>
  </conditionalFormatting>
  <conditionalFormatting sqref="QV3:QV10">
    <cfRule type="cellIs" dxfId="100" priority="80" operator="greaterThan">
      <formula>0</formula>
    </cfRule>
    <cfRule type="cellIs" dxfId="99" priority="79" operator="lessThan">
      <formula>0</formula>
    </cfRule>
    <cfRule type="cellIs" dxfId="98" priority="78" operator="equal">
      <formula>0</formula>
    </cfRule>
  </conditionalFormatting>
  <conditionalFormatting sqref="QV13:QV16">
    <cfRule type="cellIs" dxfId="97" priority="75" operator="greaterThan">
      <formula>0</formula>
    </cfRule>
    <cfRule type="cellIs" dxfId="96" priority="74" operator="lessThan">
      <formula>0</formula>
    </cfRule>
    <cfRule type="cellIs" dxfId="95" priority="73" operator="equal">
      <formula>0</formula>
    </cfRule>
  </conditionalFormatting>
  <conditionalFormatting sqref="RD3:RD10">
    <cfRule type="cellIs" dxfId="94" priority="67" operator="lessThan">
      <formula>0</formula>
    </cfRule>
    <cfRule type="cellIs" dxfId="93" priority="66" operator="equal">
      <formula>0</formula>
    </cfRule>
  </conditionalFormatting>
  <conditionalFormatting sqref="RD13:RD16">
    <cfRule type="cellIs" dxfId="92" priority="62" operator="lessThan">
      <formula>0</formula>
    </cfRule>
    <cfRule type="cellIs" dxfId="91" priority="61" operator="equal">
      <formula>0</formula>
    </cfRule>
  </conditionalFormatting>
  <conditionalFormatting sqref="RF3:RF10">
    <cfRule type="cellIs" dxfId="90" priority="70" operator="greaterThan">
      <formula>0</formula>
    </cfRule>
    <cfRule type="cellIs" dxfId="89" priority="69" operator="lessThan">
      <formula>0</formula>
    </cfRule>
    <cfRule type="cellIs" dxfId="88" priority="68" operator="equal">
      <formula>0</formula>
    </cfRule>
  </conditionalFormatting>
  <conditionalFormatting sqref="RF13:RF16">
    <cfRule type="cellIs" dxfId="87" priority="65" operator="greaterThan">
      <formula>0</formula>
    </cfRule>
    <cfRule type="cellIs" dxfId="86" priority="64" operator="lessThan">
      <formula>0</formula>
    </cfRule>
    <cfRule type="cellIs" dxfId="85" priority="63" operator="equal">
      <formula>0</formula>
    </cfRule>
  </conditionalFormatting>
  <conditionalFormatting sqref="RN3:RN10">
    <cfRule type="cellIs" dxfId="84" priority="56" operator="equal">
      <formula>0</formula>
    </cfRule>
    <cfRule type="cellIs" dxfId="83" priority="57" operator="lessThan">
      <formula>0</formula>
    </cfRule>
  </conditionalFormatting>
  <conditionalFormatting sqref="RN13:RN16">
    <cfRule type="cellIs" dxfId="82" priority="52" operator="lessThan">
      <formula>0</formula>
    </cfRule>
    <cfRule type="cellIs" dxfId="81" priority="51" operator="equal">
      <formula>0</formula>
    </cfRule>
  </conditionalFormatting>
  <conditionalFormatting sqref="RP3:RP10">
    <cfRule type="cellIs" dxfId="80" priority="60" operator="greaterThan">
      <formula>0</formula>
    </cfRule>
    <cfRule type="cellIs" dxfId="79" priority="59" operator="lessThan">
      <formula>0</formula>
    </cfRule>
    <cfRule type="cellIs" dxfId="78" priority="58" operator="equal">
      <formula>0</formula>
    </cfRule>
  </conditionalFormatting>
  <conditionalFormatting sqref="RP13:RP16">
    <cfRule type="cellIs" dxfId="77" priority="55" operator="greaterThan">
      <formula>0</formula>
    </cfRule>
    <cfRule type="cellIs" dxfId="76" priority="54" operator="lessThan">
      <formula>0</formula>
    </cfRule>
    <cfRule type="cellIs" dxfId="75" priority="53" operator="equal">
      <formula>0</formula>
    </cfRule>
  </conditionalFormatting>
  <conditionalFormatting sqref="RX3:RX10">
    <cfRule type="cellIs" dxfId="74" priority="47" operator="lessThan">
      <formula>0</formula>
    </cfRule>
    <cfRule type="cellIs" dxfId="73" priority="46" operator="equal">
      <formula>0</formula>
    </cfRule>
  </conditionalFormatting>
  <conditionalFormatting sqref="RX13:RX16">
    <cfRule type="cellIs" dxfId="72" priority="42" operator="lessThan">
      <formula>0</formula>
    </cfRule>
    <cfRule type="cellIs" dxfId="71" priority="41" operator="equal">
      <formula>0</formula>
    </cfRule>
  </conditionalFormatting>
  <conditionalFormatting sqref="RZ3:RZ10">
    <cfRule type="cellIs" dxfId="70" priority="50" operator="greaterThan">
      <formula>0</formula>
    </cfRule>
    <cfRule type="cellIs" dxfId="69" priority="49" operator="lessThan">
      <formula>0</formula>
    </cfRule>
    <cfRule type="cellIs" dxfId="68" priority="48" operator="equal">
      <formula>0</formula>
    </cfRule>
  </conditionalFormatting>
  <conditionalFormatting sqref="RZ13:RZ16">
    <cfRule type="cellIs" dxfId="67" priority="43" operator="equal">
      <formula>0</formula>
    </cfRule>
    <cfRule type="cellIs" dxfId="66" priority="45" operator="greaterThan">
      <formula>0</formula>
    </cfRule>
    <cfRule type="cellIs" dxfId="65" priority="44" operator="lessThan">
      <formula>0</formula>
    </cfRule>
  </conditionalFormatting>
  <conditionalFormatting sqref="SH3:SH10">
    <cfRule type="cellIs" dxfId="64" priority="36" operator="equal">
      <formula>0</formula>
    </cfRule>
    <cfRule type="cellIs" dxfId="63" priority="37" operator="lessThan">
      <formula>0</formula>
    </cfRule>
  </conditionalFormatting>
  <conditionalFormatting sqref="SH13:SH16">
    <cfRule type="cellIs" dxfId="62" priority="32" operator="lessThan">
      <formula>0</formula>
    </cfRule>
    <cfRule type="cellIs" dxfId="61" priority="31" operator="equal">
      <formula>0</formula>
    </cfRule>
  </conditionalFormatting>
  <conditionalFormatting sqref="SJ3:SJ10">
    <cfRule type="cellIs" dxfId="60" priority="39" operator="lessThan">
      <formula>0</formula>
    </cfRule>
    <cfRule type="cellIs" dxfId="59" priority="40" operator="greaterThan">
      <formula>0</formula>
    </cfRule>
    <cfRule type="cellIs" dxfId="58" priority="38" operator="equal">
      <formula>0</formula>
    </cfRule>
  </conditionalFormatting>
  <conditionalFormatting sqref="SJ13:SJ16">
    <cfRule type="cellIs" dxfId="57" priority="35" operator="greaterThan">
      <formula>0</formula>
    </cfRule>
    <cfRule type="cellIs" dxfId="56" priority="34" operator="lessThan">
      <formula>0</formula>
    </cfRule>
    <cfRule type="cellIs" dxfId="55" priority="33" operator="equal">
      <formula>0</formula>
    </cfRule>
  </conditionalFormatting>
  <conditionalFormatting sqref="SR3:SR10">
    <cfRule type="cellIs" dxfId="54" priority="27" operator="lessThan">
      <formula>0</formula>
    </cfRule>
    <cfRule type="cellIs" dxfId="53" priority="26" operator="equal">
      <formula>0</formula>
    </cfRule>
  </conditionalFormatting>
  <conditionalFormatting sqref="SR13:SR16">
    <cfRule type="cellIs" dxfId="52" priority="21" operator="equal">
      <formula>0</formula>
    </cfRule>
    <cfRule type="cellIs" dxfId="51" priority="22" operator="lessThan">
      <formula>0</formula>
    </cfRule>
  </conditionalFormatting>
  <conditionalFormatting sqref="ST3:ST10">
    <cfRule type="cellIs" dxfId="50" priority="30" operator="greaterThan">
      <formula>0</formula>
    </cfRule>
    <cfRule type="cellIs" dxfId="49" priority="29" operator="lessThan">
      <formula>0</formula>
    </cfRule>
    <cfRule type="cellIs" dxfId="48" priority="28" operator="equal">
      <formula>0</formula>
    </cfRule>
  </conditionalFormatting>
  <conditionalFormatting sqref="ST13:ST16">
    <cfRule type="cellIs" dxfId="47" priority="25" operator="greaterThan">
      <formula>0</formula>
    </cfRule>
    <cfRule type="cellIs" dxfId="46" priority="24" operator="lessThan">
      <formula>0</formula>
    </cfRule>
    <cfRule type="cellIs" dxfId="45" priority="23" operator="equal">
      <formula>0</formula>
    </cfRule>
  </conditionalFormatting>
  <conditionalFormatting sqref="TB3:TB10">
    <cfRule type="cellIs" dxfId="44" priority="17" operator="lessThan">
      <formula>0</formula>
    </cfRule>
    <cfRule type="cellIs" dxfId="43" priority="16" operator="equal">
      <formula>0</formula>
    </cfRule>
  </conditionalFormatting>
  <conditionalFormatting sqref="TB13:TB16">
    <cfRule type="cellIs" dxfId="42" priority="12" operator="lessThan">
      <formula>0</formula>
    </cfRule>
    <cfRule type="cellIs" dxfId="41" priority="11" operator="equal">
      <formula>0</formula>
    </cfRule>
  </conditionalFormatting>
  <conditionalFormatting sqref="TD3:TD10">
    <cfRule type="cellIs" dxfId="40" priority="20" operator="greaterThan">
      <formula>0</formula>
    </cfRule>
    <cfRule type="cellIs" dxfId="39" priority="18" operator="equal">
      <formula>0</formula>
    </cfRule>
    <cfRule type="cellIs" dxfId="38" priority="19" operator="lessThan">
      <formula>0</formula>
    </cfRule>
  </conditionalFormatting>
  <conditionalFormatting sqref="TD13:TD16">
    <cfRule type="cellIs" dxfId="37" priority="15" operator="greaterThan">
      <formula>0</formula>
    </cfRule>
    <cfRule type="cellIs" dxfId="36" priority="14" operator="lessThan">
      <formula>0</formula>
    </cfRule>
    <cfRule type="cellIs" dxfId="35" priority="13" operator="equal">
      <formula>0</formula>
    </cfRule>
  </conditionalFormatting>
  <conditionalFormatting sqref="TL3:TL10">
    <cfRule type="cellIs" dxfId="34" priority="7" operator="lessThan">
      <formula>0</formula>
    </cfRule>
    <cfRule type="cellIs" dxfId="33" priority="6" operator="equal">
      <formula>0</formula>
    </cfRule>
  </conditionalFormatting>
  <conditionalFormatting sqref="TL13:TL16">
    <cfRule type="cellIs" dxfId="32" priority="1" operator="equal">
      <formula>0</formula>
    </cfRule>
    <cfRule type="cellIs" dxfId="31" priority="2" operator="lessThan">
      <formula>0</formula>
    </cfRule>
  </conditionalFormatting>
  <conditionalFormatting sqref="TN3:TN10">
    <cfRule type="cellIs" dxfId="30" priority="10" operator="greaterThan">
      <formula>0</formula>
    </cfRule>
    <cfRule type="cellIs" dxfId="29" priority="9" operator="lessThan">
      <formula>0</formula>
    </cfRule>
    <cfRule type="cellIs" dxfId="28" priority="8" operator="equal">
      <formula>0</formula>
    </cfRule>
  </conditionalFormatting>
  <conditionalFormatting sqref="TN13:TN16">
    <cfRule type="cellIs" dxfId="27" priority="4" operator="lessThan">
      <formula>0</formula>
    </cfRule>
    <cfRule type="cellIs" dxfId="26" priority="3" operator="equal">
      <formula>0</formula>
    </cfRule>
    <cfRule type="cellIs" dxfId="25" priority="5" operator="greaterThan">
      <formula>0</formula>
    </cfRule>
  </conditionalFormatting>
  <pageMargins left="0.25" right="0.25" top="0.80208333333333337" bottom="0.40865384615384615" header="0.3" footer="0.3"/>
  <pageSetup fitToWidth="0" fitToHeight="0" orientation="landscape" r:id="rId1"/>
  <headerFooter>
    <oddHeader>&amp;L&amp;"-,Bold"&amp;14NORTH&amp;C&amp;"-,Bold"&amp;14COCA COLA&amp;R&amp;"-,Bold"&amp;14FRI for TUE - &amp;UAS&amp;"-,Regular"&amp;U
&amp;7Printed &amp;D &amp;T</oddHeader>
    <oddFooter>&amp;C&amp;7&amp;Z&amp;F (GV 9/23/25)&amp;R&amp;7&amp;P OF &amp;N</oddFoot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d08fbde-27e2-4bd5-9b45-4743f0a85776" xsi:nil="true"/>
    <lcf76f155ced4ddcb4097134ff3c332f xmlns="bcc748ab-26b4-4781-b66a-e40997006556">
      <Terms xmlns="http://schemas.microsoft.com/office/infopath/2007/PartnerControls"/>
    </lcf76f155ced4ddcb4097134ff3c332f>
    <_Flow_SignoffStatus xmlns="bcc748ab-26b4-4781-b66a-e4099700655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6ADCF1672B6F4CAF0BF2427E99A4E6" ma:contentTypeVersion="18" ma:contentTypeDescription="Create a new document." ma:contentTypeScope="" ma:versionID="565d77302ca34d156510a73eb0e9ed06">
  <xsd:schema xmlns:xsd="http://www.w3.org/2001/XMLSchema" xmlns:xs="http://www.w3.org/2001/XMLSchema" xmlns:p="http://schemas.microsoft.com/office/2006/metadata/properties" xmlns:ns2="6d08fbde-27e2-4bd5-9b45-4743f0a85776" xmlns:ns3="bcc748ab-26b4-4781-b66a-e40997006556" targetNamespace="http://schemas.microsoft.com/office/2006/metadata/properties" ma:root="true" ma:fieldsID="d90b306686a9188bc85626b49fc28ce3" ns2:_="" ns3:_="">
    <xsd:import namespace="6d08fbde-27e2-4bd5-9b45-4743f0a85776"/>
    <xsd:import namespace="bcc748ab-26b4-4781-b66a-e4099700655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3:_Flow_SignoffStatu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08fbde-27e2-4bd5-9b45-4743f0a8577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86c0017-2b3b-4a80-bb66-0765786a3785}" ma:internalName="TaxCatchAll" ma:showField="CatchAllData" ma:web="6d08fbde-27e2-4bd5-9b45-4743f0a857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748ab-26b4-4781-b66a-e409970065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295a99-474d-4322-9a85-8dc0e97de8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77FFEB5-3C86-4546-8CD1-55F0A67EA377}">
  <ds:schemaRefs>
    <ds:schemaRef ds:uri="http://schemas.microsoft.com/office/2006/metadata/properties"/>
    <ds:schemaRef ds:uri="http://schemas.microsoft.com/office/infopath/2007/PartnerControls"/>
    <ds:schemaRef ds:uri="6d08fbde-27e2-4bd5-9b45-4743f0a85776"/>
    <ds:schemaRef ds:uri="bcc748ab-26b4-4781-b66a-e40997006556"/>
    <ds:schemaRef ds:uri="ca82aafa-5936-4f4c-8b0e-186240e85b56"/>
    <ds:schemaRef ds:uri="b73d4ab7-3267-4e51-89e1-98953f91dab1"/>
  </ds:schemaRefs>
</ds:datastoreItem>
</file>

<file path=customXml/itemProps2.xml><?xml version="1.0" encoding="utf-8"?>
<ds:datastoreItem xmlns:ds="http://schemas.openxmlformats.org/officeDocument/2006/customXml" ds:itemID="{C4AB5E4E-0CE1-4F2B-92FB-03790BCEB2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08fbde-27e2-4bd5-9b45-4743f0a85776"/>
    <ds:schemaRef ds:uri="bcc748ab-26b4-4781-b66a-e409970065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645CDE1-DBD7-4EA6-85FA-F6636145E8F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COKE BTL</vt:lpstr>
      <vt:lpstr>PURCHASING ONLY</vt:lpstr>
      <vt:lpstr>9.24.26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Purchasing</dc:creator>
  <cp:keywords/>
  <dc:description/>
  <cp:lastModifiedBy>Purchasing Assistant</cp:lastModifiedBy>
  <cp:revision/>
  <cp:lastPrinted>2026-09-24T22:23:43Z</cp:lastPrinted>
  <dcterms:created xsi:type="dcterms:W3CDTF">2024-08-19T14:03:20Z</dcterms:created>
  <dcterms:modified xsi:type="dcterms:W3CDTF">2026-09-25T11:10:00Z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0x010100F26ADCF1672B6F4CAF0BF2427E99A4E6</vt:lpwstr>
  </property>
  <property fmtid="{D5CDD505-2E9C-101B-9397-08002B2CF9AE}" pid="3" name="MediaServiceImageTags">
    <vt:lpwstr/>
  </property>
</Properties>
</file>