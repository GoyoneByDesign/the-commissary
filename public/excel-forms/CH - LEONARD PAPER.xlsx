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4268" documentId="13_ncr:1_{CC6ED868-AD7C-4D90-9E3F-03D575C4EC92}" xr6:coauthVersionLast="47" xr6:coauthVersionMax="47" xr10:uidLastSave="{17090E52-736F-4B8D-86BC-D6F4B1C3EEE2}"/>
  <bookViews>
    <workbookView xWindow="28680" yWindow="-120" windowWidth="29040" windowHeight="15720" firstSheet="6" activeTab="6" xr2:uid="{00000000-000D-0000-FFFF-FFFF00000000}"/>
  </bookViews>
  <sheets>
    <sheet name="Leonard" sheetId="15" state="hidden" r:id="rId1"/>
    <sheet name="Sheet1" sheetId="10" state="hidden" r:id="rId2"/>
    <sheet name="1 V.2" sheetId="14" state="hidden" r:id="rId3"/>
    <sheet name="OLD-Bi-Wkly Calculator" sheetId="13" state="hidden" r:id="rId4"/>
    <sheet name="OLD-Monthly calculcator" sheetId="17" state="hidden" r:id="rId5"/>
    <sheet name="Usage" sheetId="19" state="hidden" r:id="rId6"/>
    <sheet name="Leonard - Bi-Weekly" sheetId="16" r:id="rId7"/>
    <sheet name="Catering - Bi-Weekly" sheetId="22" state="hidden" r:id="rId8"/>
    <sheet name="Leonard - Monthly" sheetId="1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" i="18" l="1"/>
  <c r="N1" i="22" l="1"/>
  <c r="P1" i="16"/>
  <c r="R91" i="19"/>
  <c r="R95" i="19"/>
  <c r="R96" i="19"/>
  <c r="R94" i="19"/>
  <c r="R93" i="19"/>
  <c r="R92" i="19"/>
  <c r="R90" i="19"/>
  <c r="R88" i="19"/>
  <c r="R87" i="19"/>
  <c r="R86" i="19"/>
  <c r="R84" i="19"/>
  <c r="R83" i="19"/>
  <c r="R82" i="19"/>
  <c r="R80" i="19"/>
  <c r="R79" i="19"/>
  <c r="R78" i="19"/>
  <c r="R77" i="19"/>
  <c r="R76" i="19"/>
  <c r="R75" i="19"/>
  <c r="R73" i="19"/>
  <c r="R71" i="19"/>
  <c r="R70" i="19"/>
  <c r="R69" i="19"/>
  <c r="R67" i="19"/>
  <c r="R66" i="19"/>
  <c r="R62" i="19"/>
  <c r="R61" i="19"/>
  <c r="R60" i="19"/>
  <c r="O56" i="19"/>
  <c r="O55" i="19"/>
  <c r="O53" i="19"/>
  <c r="O52" i="19"/>
  <c r="O51" i="19"/>
  <c r="O50" i="19"/>
  <c r="O46" i="19"/>
  <c r="O45" i="19"/>
  <c r="O44" i="19"/>
  <c r="O43" i="19"/>
  <c r="O42" i="19"/>
  <c r="O41" i="19"/>
  <c r="O40" i="19"/>
  <c r="O38" i="19"/>
  <c r="O37" i="19"/>
  <c r="O35" i="19"/>
  <c r="O34" i="19"/>
  <c r="O26" i="19"/>
  <c r="O25" i="19"/>
  <c r="O24" i="19"/>
  <c r="O18" i="19"/>
  <c r="O17" i="19"/>
  <c r="O16" i="19"/>
  <c r="O14" i="19"/>
  <c r="O13" i="19"/>
  <c r="O12" i="19"/>
  <c r="O10" i="19"/>
  <c r="O8" i="19"/>
  <c r="O6" i="19"/>
  <c r="O5" i="19"/>
  <c r="O4" i="19"/>
</calcChain>
</file>

<file path=xl/sharedStrings.xml><?xml version="1.0" encoding="utf-8"?>
<sst xmlns="http://schemas.openxmlformats.org/spreadsheetml/2006/main" count="3444" uniqueCount="259">
  <si>
    <t>PAR</t>
  </si>
  <si>
    <t>ORD</t>
  </si>
  <si>
    <t>EA</t>
  </si>
  <si>
    <t>CS</t>
  </si>
  <si>
    <t>SLV</t>
  </si>
  <si>
    <t>PK</t>
  </si>
  <si>
    <t>INVENTORY</t>
  </si>
  <si>
    <t>CODE</t>
  </si>
  <si>
    <t>SANITIZER REFILL</t>
  </si>
  <si>
    <t>TOWEL BROWN</t>
  </si>
  <si>
    <t xml:space="preserve">H-2045   </t>
  </si>
  <si>
    <t>D-71008</t>
  </si>
  <si>
    <t>D-71004</t>
  </si>
  <si>
    <t>GJ-5361</t>
  </si>
  <si>
    <t>GJ-5392</t>
  </si>
  <si>
    <t>SCA-290088</t>
  </si>
  <si>
    <t>BD</t>
  </si>
  <si>
    <t>MOD</t>
  </si>
  <si>
    <t>DATE</t>
  </si>
  <si>
    <t>H-2062L</t>
  </si>
  <si>
    <t>D-PL100N</t>
  </si>
  <si>
    <t>S-P100N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</si>
  <si>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</si>
  <si>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</si>
  <si>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</si>
  <si>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</si>
  <si>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</si>
  <si>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</si>
  <si>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</si>
  <si>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</si>
  <si>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</si>
  <si>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</si>
  <si>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</si>
  <si>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</si>
  <si>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</si>
  <si>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</si>
  <si>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</si>
  <si>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</si>
  <si>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</si>
  <si>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</si>
  <si>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</si>
  <si>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</si>
  <si>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</si>
  <si>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</si>
  <si>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</si>
  <si>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</si>
  <si>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</si>
  <si>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</si>
  <si>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</si>
  <si>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SILVERWARE BANDS</t>
  </si>
  <si>
    <t>LID SODA</t>
  </si>
  <si>
    <t>LID COFFEE</t>
  </si>
  <si>
    <t>GLOVES MD</t>
  </si>
  <si>
    <t>GLOVES LG</t>
  </si>
  <si>
    <t>D-626TS</t>
  </si>
  <si>
    <t>G-8515-AN</t>
  </si>
  <si>
    <t>FP-508</t>
  </si>
  <si>
    <t>G-ANITA-M</t>
  </si>
  <si>
    <t>R-NBWH</t>
  </si>
  <si>
    <t>WP-5708</t>
  </si>
  <si>
    <t>S-P200BLK</t>
  </si>
  <si>
    <t>D-PL200N</t>
  </si>
  <si>
    <t>S-P325BLK</t>
  </si>
  <si>
    <t>D-PL4N</t>
  </si>
  <si>
    <t>PC-4183P</t>
  </si>
  <si>
    <t>PINK SOAP</t>
  </si>
  <si>
    <t>LP-40DW4</t>
  </si>
  <si>
    <t>CG-4942</t>
  </si>
  <si>
    <t>FC-13713-AN</t>
  </si>
  <si>
    <t>SP-1212-SP</t>
  </si>
  <si>
    <t>EP-PP883BK</t>
  </si>
  <si>
    <t>EP-PP225BK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</si>
  <si>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</si>
  <si>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</si>
  <si>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</si>
  <si>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</si>
  <si>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</si>
  <si>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</si>
  <si>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</si>
  <si>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</si>
  <si>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</si>
  <si>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</si>
  <si>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A-PW122</t>
  </si>
  <si>
    <t>WP-285</t>
  </si>
  <si>
    <t>S-TLB316</t>
  </si>
  <si>
    <t>EM-6751</t>
  </si>
  <si>
    <t>EM-6752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</si>
  <si>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</si>
  <si>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</si>
  <si>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</si>
  <si>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</si>
  <si>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</si>
  <si>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</si>
  <si>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</si>
  <si>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</si>
  <si>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</si>
  <si>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</si>
  <si>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</si>
  <si>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1oz</t>
  </si>
  <si>
    <t>LID 1oz</t>
  </si>
  <si>
    <t>CUP PORTION 2oz</t>
  </si>
  <si>
    <t>LID 2oz</t>
  </si>
  <si>
    <t>CUP SALSA 3.25oz BLK</t>
  </si>
  <si>
    <t>LID 3.25oz</t>
  </si>
  <si>
    <t>CONT 3 COMPT FOIL &amp; LID</t>
  </si>
  <si>
    <t>CONT 4 COMP BLK</t>
  </si>
  <si>
    <t>CONT 3 COMP BLK</t>
  </si>
  <si>
    <t>CONT CLEAR</t>
  </si>
  <si>
    <t>BOX PIZZA</t>
  </si>
  <si>
    <t>NAPKIN DINNER</t>
  </si>
  <si>
    <t>NAPKIN CARRYOUT</t>
  </si>
  <si>
    <t>/</t>
  </si>
  <si>
    <t>D-B32SB</t>
  </si>
  <si>
    <t>D-B64SB</t>
  </si>
  <si>
    <t>D-C2464BDL</t>
  </si>
  <si>
    <t>H-2060</t>
  </si>
  <si>
    <t>H-2060L</t>
  </si>
  <si>
    <t xml:space="preserve">AC-S2601FB </t>
  </si>
  <si>
    <t>UA-16PET-AN</t>
  </si>
  <si>
    <t>UA-20PET-AN</t>
  </si>
  <si>
    <t>UA-24PET-AN</t>
  </si>
  <si>
    <t>S-316W</t>
  </si>
  <si>
    <t>S-420W</t>
  </si>
  <si>
    <t>SLEEVE COFFEE</t>
  </si>
  <si>
    <t>S-SLEEVE-AN</t>
  </si>
  <si>
    <t>CUP COFFEE 16oz</t>
  </si>
  <si>
    <t>CUP COFFEE 20oz</t>
  </si>
  <si>
    <t>CONT SM BLK 6X6</t>
  </si>
  <si>
    <t>CONT BLK 32oz</t>
  </si>
  <si>
    <t>CONT BLK 64oz</t>
  </si>
  <si>
    <t>LID 32/64oz</t>
  </si>
  <si>
    <t>CONT FOIL ALACARTE SM</t>
  </si>
  <si>
    <t>LID BOARD ALACARTE SM</t>
  </si>
  <si>
    <t>CONT FOIL PLATTER LG</t>
  </si>
  <si>
    <t>LID BOARD PLATTER LG</t>
  </si>
  <si>
    <t>LOGO CUP SODA 16oz</t>
  </si>
  <si>
    <t>LOGO CUP SODA 20oz</t>
  </si>
  <si>
    <t>LOGO CUP SODA 24oz</t>
  </si>
  <si>
    <t>D-80083</t>
  </si>
  <si>
    <t>FOIL GOLD/SILVER</t>
  </si>
  <si>
    <t>H-51210GOLD</t>
  </si>
  <si>
    <t>RL</t>
  </si>
  <si>
    <t xml:space="preserve">TOILET PAPER </t>
  </si>
  <si>
    <t>SCA-12024402</t>
  </si>
  <si>
    <t>OZ</t>
  </si>
  <si>
    <t>DELIMER</t>
  </si>
  <si>
    <t>NCL-1126-29</t>
  </si>
  <si>
    <t>PINE SOL</t>
  </si>
  <si>
    <t>C-60606</t>
  </si>
  <si>
    <t>AMMONIA</t>
  </si>
  <si>
    <t>K-AM64</t>
  </si>
  <si>
    <t>TRASH LINER 33X40</t>
  </si>
  <si>
    <t>S-334011</t>
  </si>
  <si>
    <t>TRASH LINER 40X48</t>
  </si>
  <si>
    <t>S-404814</t>
  </si>
  <si>
    <t>GRILL BRICK</t>
  </si>
  <si>
    <t>R-RGB49</t>
  </si>
  <si>
    <t>POS STICKY PAPER</t>
  </si>
  <si>
    <t>IX-90232241</t>
  </si>
  <si>
    <t>CONT 8oz</t>
  </si>
  <si>
    <t>EP-PSC08W</t>
  </si>
  <si>
    <t>CONT 16oz</t>
  </si>
  <si>
    <t>EP-PSC16W</t>
  </si>
  <si>
    <t>LID 8oz/16oz</t>
  </si>
  <si>
    <t>EP-PPSL</t>
  </si>
  <si>
    <t>CHORIZO</t>
  </si>
  <si>
    <t>SP-1212-BC</t>
  </si>
  <si>
    <t>SAUSAGE</t>
  </si>
  <si>
    <t>SP-1212-GS</t>
  </si>
  <si>
    <t>BACON</t>
  </si>
  <si>
    <t>SP-1212-RB</t>
  </si>
  <si>
    <t xml:space="preserve">TWIST TIES </t>
  </si>
  <si>
    <t>B-4R</t>
  </si>
  <si>
    <t>GRILL CLEANER</t>
  </si>
  <si>
    <t>3M-700-40</t>
  </si>
  <si>
    <t>WAX PAPER FOLDED-LG</t>
  </si>
  <si>
    <t>MN-105303</t>
  </si>
  <si>
    <t>1  NAT</t>
  </si>
  <si>
    <t>2 ARA</t>
  </si>
  <si>
    <t>3 EDW</t>
  </si>
  <si>
    <t>1 NAT</t>
  </si>
  <si>
    <t>VAR</t>
  </si>
  <si>
    <t>Total</t>
  </si>
  <si>
    <t>USE</t>
  </si>
  <si>
    <t>ORD CS</t>
  </si>
  <si>
    <t>EM-4102</t>
  </si>
  <si>
    <t>EM-4103</t>
  </si>
  <si>
    <t>INV</t>
  </si>
  <si>
    <t>par</t>
  </si>
  <si>
    <t>ST-12314</t>
  </si>
  <si>
    <t>PORTION CUPS</t>
  </si>
  <si>
    <t>CONTAINERS</t>
  </si>
  <si>
    <t>PACKAGING</t>
  </si>
  <si>
    <t>BEVERAGE CUPS</t>
  </si>
  <si>
    <t>BAGS</t>
  </si>
  <si>
    <t>OPERATIONAL</t>
  </si>
  <si>
    <t>CLEANING</t>
  </si>
  <si>
    <t>EATING UTENSILS</t>
  </si>
  <si>
    <t>WRAPS</t>
  </si>
  <si>
    <t>H-2045</t>
  </si>
  <si>
    <t>1 week</t>
  </si>
  <si>
    <t>2 week</t>
  </si>
  <si>
    <t>4 week</t>
  </si>
  <si>
    <t>crrnt 2 wk</t>
  </si>
  <si>
    <t>UNIT</t>
  </si>
  <si>
    <t>Next Order Date:</t>
  </si>
  <si>
    <t xml:space="preserve"> - This order is due every 4 weeks on Tuesday.</t>
  </si>
  <si>
    <t>X</t>
  </si>
  <si>
    <t>Use</t>
  </si>
  <si>
    <t>1/3 SIZE PAN 4"</t>
  </si>
  <si>
    <t>H-4035</t>
  </si>
  <si>
    <t>1/3 SIZE LID</t>
  </si>
  <si>
    <t>H-4030-25</t>
  </si>
  <si>
    <t>HALF SIZE PAN 2"</t>
  </si>
  <si>
    <t>H-320</t>
  </si>
  <si>
    <t>HALF SIZE PAN 4"</t>
  </si>
  <si>
    <t>H-321-35</t>
  </si>
  <si>
    <t>HALF SIZE LID</t>
  </si>
  <si>
    <t>H-2049FC</t>
  </si>
  <si>
    <t>FULL SIZE PAN 4"</t>
  </si>
  <si>
    <t>H-20190050</t>
  </si>
  <si>
    <t>FULL SIZE LID</t>
  </si>
  <si>
    <t>H-2050-FC</t>
  </si>
  <si>
    <t>FULL SIZE PAN 6"</t>
  </si>
  <si>
    <t>H-82020</t>
  </si>
  <si>
    <t>BOWL 160oz BLK</t>
  </si>
  <si>
    <t>SAB-94160</t>
  </si>
  <si>
    <t>LID 160oz</t>
  </si>
  <si>
    <t>SAB-54160</t>
  </si>
  <si>
    <t>SERVING FORK</t>
  </si>
  <si>
    <t>ID-U1125BK</t>
  </si>
  <si>
    <t>SERVING SPOON</t>
  </si>
  <si>
    <t>ID-U1025BK</t>
  </si>
  <si>
    <t>CHAFER</t>
  </si>
  <si>
    <t>FH-F125</t>
  </si>
  <si>
    <t>CHAFING FUEL</t>
  </si>
  <si>
    <t>FH-F800</t>
  </si>
  <si>
    <t>PLATE PLASTIC 10" BLK</t>
  </si>
  <si>
    <t>EP-PP103BK</t>
  </si>
  <si>
    <t>COFFEE BOX 160oz</t>
  </si>
  <si>
    <t>L-6999</t>
  </si>
  <si>
    <t>SERVING TONG</t>
  </si>
  <si>
    <t>ID-T9999KR</t>
  </si>
  <si>
    <t xml:space="preserve">LP-40DW4 </t>
  </si>
  <si>
    <t>CUP COFFEE 12oz</t>
  </si>
  <si>
    <t>SW-122</t>
  </si>
  <si>
    <t>CATERING</t>
  </si>
  <si>
    <t>H-2050FC</t>
  </si>
  <si>
    <t>EMI-209BK</t>
  </si>
  <si>
    <t>STIR</t>
  </si>
  <si>
    <t>BS-1241203</t>
  </si>
  <si>
    <t>New</t>
  </si>
  <si>
    <t xml:space="preserve"> /</t>
  </si>
  <si>
    <t>CUP SODA 16oz</t>
  </si>
  <si>
    <t>CUP SODA 20oz</t>
  </si>
  <si>
    <t>CUP SODA 24oz</t>
  </si>
  <si>
    <t>UP-12AN</t>
  </si>
  <si>
    <t>UP-16AN</t>
  </si>
  <si>
    <t>UP-20AN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</si>
</sst>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Aptos Narrow"/>
      <family val="2"/>
    </font>
    <font>
      <i/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/>
    <xf numFmtId="1" fontId="2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3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/>
    <xf numFmtId="0" fontId="2" fillId="0" borderId="3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2" borderId="0" xfId="0" applyFill="1"/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3" fillId="2" borderId="1" xfId="0" applyFont="1" applyFill="1" applyBorder="1"/>
    <xf numFmtId="0" fontId="3" fillId="2" borderId="2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 applyProtection="1">
      <alignment horizontal="center"/>
      <protection locked="0"/>
    </xf>
    <xf numFmtId="164" fontId="10" fillId="0" borderId="1" xfId="0" applyNumberFormat="1" applyFont="1" applyBorder="1" applyAlignment="1">
      <alignment horizontal="center" vertical="center"/>
    </xf>
    <xf numFmtId="164" fontId="9" fillId="0" borderId="0" xfId="0" applyNumberFormat="1" applyFont="1" applyAlignment="1" applyProtection="1">
      <alignment horizontal="center"/>
      <protection locked="0"/>
    </xf>
    <xf numFmtId="164" fontId="9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11" fillId="2" borderId="0" xfId="0" applyNumberFormat="1" applyFont="1" applyFill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5" fontId="14" fillId="2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12" fillId="0" borderId="0" xfId="0" applyFont="1" applyAlignment="1">
      <alignment horizontal="left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right"/>
    </xf>
    <xf numFmtId="0" fontId="12" fillId="0" borderId="4" xfId="0" applyFont="1" applyBorder="1" applyAlignment="1">
      <alignment horizontal="center"/>
    </xf>
    <xf numFmtId="1" fontId="12" fillId="0" borderId="4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1" xfId="0" applyFont="1" applyBorder="1"/>
    <xf numFmtId="164" fontId="12" fillId="0" borderId="1" xfId="0" applyNumberFormat="1" applyFont="1" applyBorder="1" applyAlignment="1" applyProtection="1">
      <alignment horizontal="center"/>
      <protection locked="0"/>
    </xf>
    <xf numFmtId="0" fontId="14" fillId="0" borderId="1" xfId="0" applyFont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1" fontId="14" fillId="0" borderId="1" xfId="0" applyNumberFormat="1" applyFont="1" applyBorder="1" applyAlignment="1" applyProtection="1">
      <alignment horizontal="center"/>
      <protection locked="0"/>
    </xf>
    <xf numFmtId="0" fontId="14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165" fontId="14" fillId="0" borderId="0" xfId="0" applyNumberFormat="1" applyFont="1" applyAlignment="1">
      <alignment horizontal="left"/>
    </xf>
    <xf numFmtId="0" fontId="14" fillId="0" borderId="3" xfId="0" applyFont="1" applyBorder="1" applyAlignment="1">
      <alignment horizontal="left"/>
    </xf>
    <xf numFmtId="16" fontId="12" fillId="0" borderId="0" xfId="0" applyNumberFormat="1" applyFont="1"/>
    <xf numFmtId="164" fontId="12" fillId="0" borderId="6" xfId="0" applyNumberFormat="1" applyFont="1" applyBorder="1" applyAlignment="1" applyProtection="1">
      <alignment horizontal="center"/>
      <protection locked="0"/>
    </xf>
    <xf numFmtId="0" fontId="12" fillId="0" borderId="6" xfId="0" applyFont="1" applyBorder="1" applyAlignment="1">
      <alignment horizontal="center"/>
    </xf>
    <xf numFmtId="1" fontId="12" fillId="0" borderId="7" xfId="0" applyNumberFormat="1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1" fontId="12" fillId="0" borderId="6" xfId="0" applyNumberFormat="1" applyFont="1" applyBorder="1" applyAlignment="1" applyProtection="1">
      <alignment horizontal="center"/>
      <protection locked="0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32">
    <dxf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CD18-0178-42CD-B333-AF1A7A5817ED}">
  <sheetPr codeName="Sheet1"/>
  <dimension ref="A1:L83"/>
  <sheetViews>
    <sheetView view="pageLayout" zoomScale="130" zoomScaleNormal="100" zoomScalePageLayoutView="130" workbookViewId="0">
      <selection activeCell="L45" sqref="L45"/>
    </sheetView>
  </sheetViews>
  <sheetFormatPr defaultRowHeight="14.25" customHeight="1" x14ac:dyDescent="0.25"/>
  <cols>
    <col min="1" max="1" width="5.42578125" style="18" customWidth="1"/>
    <col min="2" max="2" width="1.7109375" style="19" bestFit="1" customWidth="1"/>
    <col min="3" max="3" width="6.42578125" style="20" bestFit="1" customWidth="1"/>
    <col min="4" max="4" width="3.140625" style="20" bestFit="1" customWidth="1"/>
    <col min="5" max="5" width="21.7109375" bestFit="1" customWidth="1"/>
    <col min="6" max="6" width="5.140625" customWidth="1"/>
    <col min="7" max="7" width="4.28515625" bestFit="1" customWidth="1"/>
    <col min="8" max="8" width="4.85546875" bestFit="1" customWidth="1"/>
    <col min="9" max="9" width="4.7109375" bestFit="1" customWidth="1"/>
    <col min="10" max="10" width="5.140625" customWidth="1"/>
    <col min="11" max="11" width="11.5703125" bestFit="1" customWidth="1"/>
    <col min="12" max="12" width="1.42578125" style="4" customWidth="1"/>
    <col min="13" max="13" width="9.7109375" customWidth="1"/>
    <col min="14" max="16" width="4.7109375" customWidth="1"/>
  </cols>
  <sheetData>
    <row r="1" spans="1:12" ht="12" customHeight="1" x14ac:dyDescent="0.25">
      <c r="A1" s="6" t="s">
        <v>17</v>
      </c>
      <c r="B1" s="112"/>
      <c r="C1" s="112"/>
      <c r="D1" s="112"/>
      <c r="E1" s="112"/>
      <c r="F1" s="8"/>
      <c r="G1" s="6" t="s">
        <v>18</v>
      </c>
      <c r="H1" s="112"/>
      <c r="I1" s="112"/>
      <c r="J1" s="112"/>
    </row>
    <row r="2" spans="1:12" s="4" customFormat="1" ht="12" customHeight="1" x14ac:dyDescent="0.2">
      <c r="A2" s="6" t="s">
        <v>33</v>
      </c>
      <c r="B2" s="113"/>
      <c r="C2" s="113"/>
      <c r="D2" s="113"/>
      <c r="E2" s="113"/>
      <c r="F2" s="8"/>
      <c r="G2" s="6" t="s">
        <v>88</v>
      </c>
      <c r="H2" s="113"/>
      <c r="I2" s="113"/>
      <c r="J2" s="113"/>
    </row>
    <row r="3" spans="1:12" ht="5.25" customHeight="1" x14ac:dyDescent="0.25">
      <c r="A3" s="9"/>
      <c r="B3" s="10"/>
      <c r="C3" s="11"/>
      <c r="D3" s="11"/>
      <c r="E3" s="7"/>
      <c r="F3" s="7"/>
      <c r="G3" s="5"/>
      <c r="H3" s="5"/>
      <c r="I3" s="12"/>
      <c r="J3" s="12"/>
      <c r="K3" s="7"/>
    </row>
    <row r="4" spans="1:12" s="24" customFormat="1" ht="10.5" customHeight="1" x14ac:dyDescent="0.25">
      <c r="A4" s="114" t="s">
        <v>89</v>
      </c>
      <c r="B4" s="115"/>
      <c r="C4" s="115"/>
      <c r="D4" s="116"/>
      <c r="E4" s="22" t="s">
        <v>90</v>
      </c>
      <c r="F4" s="114" t="s">
        <v>6</v>
      </c>
      <c r="G4" s="116"/>
      <c r="H4" s="114" t="s">
        <v>0</v>
      </c>
      <c r="I4" s="116"/>
      <c r="J4" s="23" t="s">
        <v>1</v>
      </c>
      <c r="K4" s="23" t="s">
        <v>7</v>
      </c>
    </row>
    <row r="5" spans="1:12" ht="12" customHeight="1" x14ac:dyDescent="0.25">
      <c r="A5" s="3">
        <v>10</v>
      </c>
      <c r="B5" s="14" t="s">
        <v>111</v>
      </c>
      <c r="C5" s="21">
        <v>250</v>
      </c>
      <c r="D5" s="15" t="s">
        <v>2</v>
      </c>
      <c r="E5" s="16" t="s">
        <v>98</v>
      </c>
      <c r="F5" s="2"/>
      <c r="G5" s="13" t="s">
        <v>3</v>
      </c>
      <c r="H5" s="3">
        <v>10</v>
      </c>
      <c r="I5" s="15" t="s">
        <v>3</v>
      </c>
      <c r="J5" s="17"/>
      <c r="K5" s="1" t="s">
        <v>21</v>
      </c>
      <c r="L5"/>
    </row>
    <row r="6" spans="1:12" ht="12" customHeight="1" x14ac:dyDescent="0.25">
      <c r="A6" s="3">
        <v>20</v>
      </c>
      <c r="B6" s="14" t="s">
        <v>111</v>
      </c>
      <c r="C6" s="21">
        <v>125</v>
      </c>
      <c r="D6" s="15" t="s">
        <v>2</v>
      </c>
      <c r="E6" s="16" t="s">
        <v>99</v>
      </c>
      <c r="F6" s="2"/>
      <c r="G6" s="13" t="s">
        <v>3</v>
      </c>
      <c r="H6" s="3">
        <v>10</v>
      </c>
      <c r="I6" s="15" t="s">
        <v>3</v>
      </c>
      <c r="J6" s="17"/>
      <c r="K6" s="1" t="s">
        <v>20</v>
      </c>
      <c r="L6"/>
    </row>
    <row r="7" spans="1:12" ht="12" customHeight="1" x14ac:dyDescent="0.25">
      <c r="A7" s="3">
        <v>10</v>
      </c>
      <c r="B7" s="14" t="s">
        <v>111</v>
      </c>
      <c r="C7" s="21">
        <v>250</v>
      </c>
      <c r="D7" s="15" t="s">
        <v>2</v>
      </c>
      <c r="E7" s="16" t="s">
        <v>100</v>
      </c>
      <c r="F7" s="2"/>
      <c r="G7" s="13" t="s">
        <v>4</v>
      </c>
      <c r="H7" s="3">
        <v>6</v>
      </c>
      <c r="I7" s="15" t="s">
        <v>4</v>
      </c>
      <c r="J7" s="17"/>
      <c r="K7" s="1" t="s">
        <v>60</v>
      </c>
      <c r="L7"/>
    </row>
    <row r="8" spans="1:12" ht="12" customHeight="1" x14ac:dyDescent="0.25">
      <c r="A8" s="3">
        <v>25</v>
      </c>
      <c r="B8" s="14" t="s">
        <v>111</v>
      </c>
      <c r="C8" s="21">
        <v>100</v>
      </c>
      <c r="D8" s="15" t="s">
        <v>2</v>
      </c>
      <c r="E8" s="16" t="s">
        <v>101</v>
      </c>
      <c r="F8" s="2"/>
      <c r="G8" s="13" t="s">
        <v>4</v>
      </c>
      <c r="H8" s="3">
        <v>12</v>
      </c>
      <c r="I8" s="15" t="s">
        <v>4</v>
      </c>
      <c r="J8" s="17"/>
      <c r="K8" s="1" t="s">
        <v>61</v>
      </c>
      <c r="L8"/>
    </row>
    <row r="9" spans="1:12" ht="12" customHeight="1" x14ac:dyDescent="0.25">
      <c r="A9" s="3">
        <v>20</v>
      </c>
      <c r="B9" s="14" t="s">
        <v>111</v>
      </c>
      <c r="C9" s="21">
        <v>125</v>
      </c>
      <c r="D9" s="15" t="s">
        <v>2</v>
      </c>
      <c r="E9" s="16" t="s">
        <v>102</v>
      </c>
      <c r="F9" s="2"/>
      <c r="G9" s="13" t="s">
        <v>4</v>
      </c>
      <c r="H9" s="3">
        <v>10</v>
      </c>
      <c r="I9" s="15" t="s">
        <v>4</v>
      </c>
      <c r="J9" s="17"/>
      <c r="K9" s="1" t="s">
        <v>62</v>
      </c>
      <c r="L9"/>
    </row>
    <row r="10" spans="1:12" ht="12" customHeight="1" x14ac:dyDescent="0.25">
      <c r="A10" s="3">
        <v>20</v>
      </c>
      <c r="B10" s="14" t="s">
        <v>111</v>
      </c>
      <c r="C10" s="21">
        <v>125</v>
      </c>
      <c r="D10" s="15" t="s">
        <v>2</v>
      </c>
      <c r="E10" s="16" t="s">
        <v>103</v>
      </c>
      <c r="F10" s="2"/>
      <c r="G10" s="13" t="s">
        <v>4</v>
      </c>
      <c r="H10" s="3">
        <v>3</v>
      </c>
      <c r="I10" s="15" t="s">
        <v>4</v>
      </c>
      <c r="J10" s="17"/>
      <c r="K10" s="1" t="s">
        <v>63</v>
      </c>
      <c r="L10"/>
    </row>
    <row r="11" spans="1:12" ht="12" customHeight="1" x14ac:dyDescent="0.25">
      <c r="A11" s="3">
        <v>1</v>
      </c>
      <c r="B11" s="14" t="s">
        <v>111</v>
      </c>
      <c r="C11" s="21">
        <v>250</v>
      </c>
      <c r="D11" s="15" t="s">
        <v>2</v>
      </c>
      <c r="E11" s="16" t="s">
        <v>104</v>
      </c>
      <c r="F11" s="2"/>
      <c r="G11" s="13" t="s">
        <v>3</v>
      </c>
      <c r="H11" s="3">
        <v>4</v>
      </c>
      <c r="I11" s="15" t="s">
        <v>3</v>
      </c>
      <c r="J11" s="17"/>
      <c r="K11" s="1" t="s">
        <v>10</v>
      </c>
      <c r="L11"/>
    </row>
    <row r="12" spans="1:12" ht="12" customHeight="1" x14ac:dyDescent="0.25">
      <c r="A12" s="3">
        <v>4</v>
      </c>
      <c r="B12" s="14" t="s">
        <v>111</v>
      </c>
      <c r="C12" s="21">
        <v>150</v>
      </c>
      <c r="D12" s="15" t="s">
        <v>2</v>
      </c>
      <c r="E12" s="16" t="s">
        <v>127</v>
      </c>
      <c r="F12" s="2"/>
      <c r="G12" s="13" t="s">
        <v>4</v>
      </c>
      <c r="H12" s="3">
        <v>2</v>
      </c>
      <c r="I12" s="15" t="s">
        <v>4</v>
      </c>
      <c r="J12" s="17"/>
      <c r="K12" s="1" t="s">
        <v>71</v>
      </c>
      <c r="L12"/>
    </row>
    <row r="13" spans="1:12" ht="12" customHeight="1" x14ac:dyDescent="0.25">
      <c r="A13" s="3">
        <v>1</v>
      </c>
      <c r="B13" s="14" t="s">
        <v>111</v>
      </c>
      <c r="C13" s="21">
        <v>150</v>
      </c>
      <c r="D13" s="15" t="s">
        <v>2</v>
      </c>
      <c r="E13" s="16" t="s">
        <v>106</v>
      </c>
      <c r="F13" s="2"/>
      <c r="G13" s="13" t="s">
        <v>3</v>
      </c>
      <c r="H13" s="3">
        <v>5</v>
      </c>
      <c r="I13" s="15" t="s">
        <v>3</v>
      </c>
      <c r="J13" s="17"/>
      <c r="K13" s="1" t="s">
        <v>70</v>
      </c>
      <c r="L13"/>
    </row>
    <row r="14" spans="1:12" ht="12" customHeight="1" x14ac:dyDescent="0.25">
      <c r="A14" s="3">
        <v>4</v>
      </c>
      <c r="B14" s="14" t="s">
        <v>111</v>
      </c>
      <c r="C14" s="21">
        <v>63</v>
      </c>
      <c r="D14" s="15" t="s">
        <v>2</v>
      </c>
      <c r="E14" s="16" t="s">
        <v>128</v>
      </c>
      <c r="F14" s="2"/>
      <c r="G14" s="13" t="s">
        <v>4</v>
      </c>
      <c r="H14" s="3">
        <v>3</v>
      </c>
      <c r="I14" s="15" t="s">
        <v>4</v>
      </c>
      <c r="J14" s="17"/>
      <c r="K14" s="1" t="s">
        <v>112</v>
      </c>
      <c r="L14"/>
    </row>
    <row r="15" spans="1:12" ht="12" customHeight="1" x14ac:dyDescent="0.25">
      <c r="A15" s="3">
        <v>4</v>
      </c>
      <c r="B15" s="14" t="s">
        <v>111</v>
      </c>
      <c r="C15" s="21">
        <v>63</v>
      </c>
      <c r="D15" s="15" t="s">
        <v>2</v>
      </c>
      <c r="E15" s="16" t="s">
        <v>129</v>
      </c>
      <c r="F15" s="2"/>
      <c r="G15" s="13" t="s">
        <v>4</v>
      </c>
      <c r="H15" s="3">
        <v>3</v>
      </c>
      <c r="I15" s="15" t="s">
        <v>4</v>
      </c>
      <c r="J15" s="17"/>
      <c r="K15" s="1" t="s">
        <v>113</v>
      </c>
      <c r="L15"/>
    </row>
    <row r="16" spans="1:12" ht="12" customHeight="1" x14ac:dyDescent="0.25">
      <c r="A16" s="3">
        <v>4</v>
      </c>
      <c r="B16" s="14" t="s">
        <v>111</v>
      </c>
      <c r="C16" s="21">
        <v>63</v>
      </c>
      <c r="D16" s="15" t="s">
        <v>2</v>
      </c>
      <c r="E16" s="16" t="s">
        <v>130</v>
      </c>
      <c r="F16" s="2"/>
      <c r="G16" s="13" t="s">
        <v>4</v>
      </c>
      <c r="H16" s="3">
        <v>3</v>
      </c>
      <c r="I16" s="15" t="s">
        <v>4</v>
      </c>
      <c r="J16" s="17"/>
      <c r="K16" s="1" t="s">
        <v>114</v>
      </c>
    </row>
    <row r="17" spans="1:11" ht="12" customHeight="1" x14ac:dyDescent="0.25">
      <c r="A17" s="3">
        <v>2</v>
      </c>
      <c r="B17" s="14" t="s">
        <v>111</v>
      </c>
      <c r="C17" s="21">
        <v>125</v>
      </c>
      <c r="D17" s="15" t="s">
        <v>2</v>
      </c>
      <c r="E17" s="16" t="s">
        <v>107</v>
      </c>
      <c r="F17" s="2"/>
      <c r="G17" s="13" t="s">
        <v>4</v>
      </c>
      <c r="H17" s="3">
        <v>2</v>
      </c>
      <c r="I17" s="15" t="s">
        <v>4</v>
      </c>
      <c r="J17" s="17"/>
      <c r="K17" s="1" t="s">
        <v>35</v>
      </c>
    </row>
    <row r="18" spans="1:11" ht="12" customHeight="1" x14ac:dyDescent="0.25">
      <c r="A18" s="3">
        <v>1</v>
      </c>
      <c r="B18" s="14" t="s">
        <v>111</v>
      </c>
      <c r="C18" s="21">
        <v>100</v>
      </c>
      <c r="D18" s="15" t="s">
        <v>2</v>
      </c>
      <c r="E18" s="16" t="s">
        <v>105</v>
      </c>
      <c r="F18" s="2"/>
      <c r="G18" s="13" t="s">
        <v>3</v>
      </c>
      <c r="H18" s="3">
        <v>0.5</v>
      </c>
      <c r="I18" s="15" t="s">
        <v>3</v>
      </c>
      <c r="J18" s="17"/>
      <c r="K18" s="1" t="s">
        <v>24</v>
      </c>
    </row>
    <row r="19" spans="1:11" ht="12" customHeight="1" x14ac:dyDescent="0.25">
      <c r="A19" s="3">
        <v>1</v>
      </c>
      <c r="B19" s="14" t="s">
        <v>111</v>
      </c>
      <c r="C19" s="21">
        <v>5000</v>
      </c>
      <c r="D19" s="15" t="s">
        <v>2</v>
      </c>
      <c r="E19" s="16" t="s">
        <v>49</v>
      </c>
      <c r="F19" s="2"/>
      <c r="G19" s="13" t="s">
        <v>5</v>
      </c>
      <c r="H19" s="3">
        <v>0.9</v>
      </c>
      <c r="I19" s="15" t="s">
        <v>5</v>
      </c>
      <c r="J19" s="17"/>
      <c r="K19" s="1" t="s">
        <v>58</v>
      </c>
    </row>
    <row r="20" spans="1:11" ht="12" customHeight="1" x14ac:dyDescent="0.25">
      <c r="A20" s="3">
        <v>1</v>
      </c>
      <c r="B20" s="14" t="s">
        <v>111</v>
      </c>
      <c r="C20" s="21">
        <v>1000</v>
      </c>
      <c r="D20" s="15" t="s">
        <v>2</v>
      </c>
      <c r="E20" s="16" t="s">
        <v>37</v>
      </c>
      <c r="F20" s="2"/>
      <c r="G20" s="13" t="s">
        <v>38</v>
      </c>
      <c r="H20" s="3">
        <v>2.5</v>
      </c>
      <c r="I20" s="15" t="s">
        <v>38</v>
      </c>
      <c r="J20" s="17"/>
      <c r="K20" s="1" t="s">
        <v>56</v>
      </c>
    </row>
    <row r="21" spans="1:11" ht="12" customHeight="1" x14ac:dyDescent="0.25">
      <c r="A21" s="3">
        <v>1</v>
      </c>
      <c r="B21" s="14" t="s">
        <v>111</v>
      </c>
      <c r="C21" s="21">
        <v>1</v>
      </c>
      <c r="D21" s="15" t="s">
        <v>2</v>
      </c>
      <c r="E21" s="16" t="s">
        <v>40</v>
      </c>
      <c r="F21" s="2"/>
      <c r="G21" s="13" t="s">
        <v>2</v>
      </c>
      <c r="H21" s="3">
        <v>1.2</v>
      </c>
      <c r="I21" s="15" t="s">
        <v>2</v>
      </c>
      <c r="J21" s="17"/>
      <c r="K21" s="1" t="s">
        <v>83</v>
      </c>
    </row>
    <row r="22" spans="1:11" ht="12" customHeight="1" x14ac:dyDescent="0.25">
      <c r="A22" s="3">
        <v>1</v>
      </c>
      <c r="B22" s="14" t="s">
        <v>111</v>
      </c>
      <c r="C22" s="21">
        <v>1</v>
      </c>
      <c r="D22" s="15" t="s">
        <v>2</v>
      </c>
      <c r="E22" s="16" t="s">
        <v>36</v>
      </c>
      <c r="F22" s="2"/>
      <c r="G22" s="13" t="s">
        <v>2</v>
      </c>
      <c r="H22" s="3">
        <v>1.5</v>
      </c>
      <c r="I22" s="15" t="s">
        <v>2</v>
      </c>
      <c r="J22" s="17"/>
      <c r="K22" s="1" t="s">
        <v>82</v>
      </c>
    </row>
    <row r="23" spans="1:11" ht="12" customHeight="1" x14ac:dyDescent="0.25">
      <c r="A23" s="3">
        <v>1</v>
      </c>
      <c r="B23" s="14" t="s">
        <v>111</v>
      </c>
      <c r="C23" s="21">
        <v>500</v>
      </c>
      <c r="D23" s="15" t="s">
        <v>2</v>
      </c>
      <c r="E23" s="16" t="s">
        <v>131</v>
      </c>
      <c r="F23" s="2"/>
      <c r="G23" s="13" t="s">
        <v>4</v>
      </c>
      <c r="H23" s="3">
        <v>1.5</v>
      </c>
      <c r="I23" s="15" t="s">
        <v>4</v>
      </c>
      <c r="J23" s="17"/>
      <c r="K23" s="1" t="s">
        <v>115</v>
      </c>
    </row>
    <row r="24" spans="1:11" ht="12" customHeight="1" x14ac:dyDescent="0.25">
      <c r="A24" s="3">
        <v>2</v>
      </c>
      <c r="B24" s="14" t="s">
        <v>111</v>
      </c>
      <c r="C24" s="21">
        <v>250</v>
      </c>
      <c r="D24" s="15" t="s">
        <v>2</v>
      </c>
      <c r="E24" s="16" t="s">
        <v>132</v>
      </c>
      <c r="F24" s="2"/>
      <c r="G24" s="13" t="s">
        <v>4</v>
      </c>
      <c r="H24" s="3">
        <v>1.5</v>
      </c>
      <c r="I24" s="15" t="s">
        <v>4</v>
      </c>
      <c r="J24" s="17"/>
      <c r="K24" s="1" t="s">
        <v>116</v>
      </c>
    </row>
    <row r="25" spans="1:11" ht="12" customHeight="1" x14ac:dyDescent="0.25">
      <c r="A25" s="3">
        <v>4</v>
      </c>
      <c r="B25" s="14" t="s">
        <v>111</v>
      </c>
      <c r="C25" s="21">
        <v>125</v>
      </c>
      <c r="D25" s="15" t="s">
        <v>2</v>
      </c>
      <c r="E25" s="16" t="s">
        <v>133</v>
      </c>
      <c r="F25" s="2"/>
      <c r="G25" s="13" t="s">
        <v>4</v>
      </c>
      <c r="H25" s="3">
        <v>4</v>
      </c>
      <c r="I25" s="15" t="s">
        <v>4</v>
      </c>
      <c r="J25" s="17"/>
      <c r="K25" s="1" t="s">
        <v>59</v>
      </c>
    </row>
    <row r="26" spans="1:11" ht="12" customHeight="1" x14ac:dyDescent="0.25">
      <c r="A26" s="3">
        <v>2</v>
      </c>
      <c r="B26" s="14" t="s">
        <v>111</v>
      </c>
      <c r="C26" s="21">
        <v>250</v>
      </c>
      <c r="D26" s="15" t="s">
        <v>2</v>
      </c>
      <c r="E26" s="16" t="s">
        <v>134</v>
      </c>
      <c r="F26" s="2"/>
      <c r="G26" s="13" t="s">
        <v>4</v>
      </c>
      <c r="H26" s="3">
        <v>1</v>
      </c>
      <c r="I26" s="15" t="s">
        <v>4</v>
      </c>
      <c r="J26" s="17"/>
      <c r="K26" s="1" t="s">
        <v>19</v>
      </c>
    </row>
    <row r="27" spans="1:11" ht="12" customHeight="1" x14ac:dyDescent="0.25">
      <c r="A27" s="3">
        <v>1</v>
      </c>
      <c r="B27" s="14" t="s">
        <v>111</v>
      </c>
      <c r="C27" s="21">
        <v>250</v>
      </c>
      <c r="D27" s="15" t="s">
        <v>2</v>
      </c>
      <c r="E27" s="16" t="s">
        <v>29</v>
      </c>
      <c r="F27" s="2"/>
      <c r="G27" s="13" t="s">
        <v>3</v>
      </c>
      <c r="H27" s="3">
        <v>0.5</v>
      </c>
      <c r="I27" s="15" t="s">
        <v>3</v>
      </c>
      <c r="J27" s="17"/>
      <c r="K27" s="1" t="s">
        <v>30</v>
      </c>
    </row>
    <row r="28" spans="1:11" ht="12" customHeight="1" x14ac:dyDescent="0.25">
      <c r="A28" s="3">
        <v>1</v>
      </c>
      <c r="B28" s="14" t="s">
        <v>111</v>
      </c>
      <c r="C28" s="21">
        <v>50</v>
      </c>
      <c r="D28" s="15" t="s">
        <v>2</v>
      </c>
      <c r="E28" s="16" t="s">
        <v>108</v>
      </c>
      <c r="F28" s="2"/>
      <c r="G28" s="13" t="s">
        <v>3</v>
      </c>
      <c r="H28" s="3">
        <v>1</v>
      </c>
      <c r="I28" s="15" t="s">
        <v>3</v>
      </c>
      <c r="J28" s="17"/>
      <c r="K28" s="1" t="s">
        <v>87</v>
      </c>
    </row>
    <row r="29" spans="1:11" ht="12" customHeight="1" x14ac:dyDescent="0.25">
      <c r="A29" s="3">
        <v>5</v>
      </c>
      <c r="B29" s="14" t="s">
        <v>111</v>
      </c>
      <c r="C29" s="21">
        <v>1000</v>
      </c>
      <c r="D29" s="15" t="s">
        <v>2</v>
      </c>
      <c r="E29" s="16" t="s">
        <v>32</v>
      </c>
      <c r="F29" s="2"/>
      <c r="G29" s="13" t="s">
        <v>5</v>
      </c>
      <c r="H29" s="3">
        <v>10</v>
      </c>
      <c r="I29" s="15" t="s">
        <v>5</v>
      </c>
      <c r="J29" s="17"/>
      <c r="K29" s="1" t="s">
        <v>69</v>
      </c>
    </row>
    <row r="30" spans="1:11" ht="12" customHeight="1" x14ac:dyDescent="0.25">
      <c r="A30" s="3">
        <v>2</v>
      </c>
      <c r="B30" s="14" t="s">
        <v>111</v>
      </c>
      <c r="C30" s="21">
        <v>1000</v>
      </c>
      <c r="D30" s="15" t="s">
        <v>2</v>
      </c>
      <c r="E30" s="16" t="s">
        <v>73</v>
      </c>
      <c r="F30" s="2"/>
      <c r="G30" s="13" t="s">
        <v>5</v>
      </c>
      <c r="H30" s="3">
        <v>2</v>
      </c>
      <c r="I30" s="15" t="s">
        <v>5</v>
      </c>
      <c r="J30" s="17"/>
      <c r="K30" s="1" t="s">
        <v>78</v>
      </c>
    </row>
    <row r="31" spans="1:11" ht="12" customHeight="1" x14ac:dyDescent="0.25">
      <c r="A31" s="3">
        <v>2</v>
      </c>
      <c r="B31" s="14" t="s">
        <v>111</v>
      </c>
      <c r="C31" s="21">
        <v>1000</v>
      </c>
      <c r="D31" s="15" t="s">
        <v>2</v>
      </c>
      <c r="E31" s="16" t="s">
        <v>74</v>
      </c>
      <c r="F31" s="2"/>
      <c r="G31" s="13" t="s">
        <v>5</v>
      </c>
      <c r="H31" s="3">
        <v>3</v>
      </c>
      <c r="I31" s="15" t="s">
        <v>5</v>
      </c>
      <c r="J31" s="17"/>
      <c r="K31" s="1" t="s">
        <v>79</v>
      </c>
    </row>
    <row r="32" spans="1:11" ht="12" customHeight="1" x14ac:dyDescent="0.25">
      <c r="A32" s="3">
        <v>2</v>
      </c>
      <c r="B32" s="14" t="s">
        <v>111</v>
      </c>
      <c r="C32" s="21">
        <v>1000</v>
      </c>
      <c r="D32" s="15" t="s">
        <v>2</v>
      </c>
      <c r="E32" s="16" t="s">
        <v>75</v>
      </c>
      <c r="F32" s="2"/>
      <c r="G32" s="13" t="s">
        <v>5</v>
      </c>
      <c r="H32" s="3">
        <v>2</v>
      </c>
      <c r="I32" s="15" t="s">
        <v>5</v>
      </c>
      <c r="J32" s="17"/>
      <c r="K32" s="1" t="s">
        <v>80</v>
      </c>
    </row>
    <row r="33" spans="1:12" ht="12" customHeight="1" x14ac:dyDescent="0.25">
      <c r="A33" s="3">
        <v>2</v>
      </c>
      <c r="B33" s="14" t="s">
        <v>111</v>
      </c>
      <c r="C33" s="21">
        <v>1000</v>
      </c>
      <c r="D33" s="15" t="s">
        <v>2</v>
      </c>
      <c r="E33" s="16" t="s">
        <v>76</v>
      </c>
      <c r="F33" s="2"/>
      <c r="G33" s="13" t="s">
        <v>5</v>
      </c>
      <c r="H33" s="3">
        <v>2</v>
      </c>
      <c r="I33" s="15" t="s">
        <v>5</v>
      </c>
      <c r="J33" s="17"/>
      <c r="K33" s="1" t="s">
        <v>77</v>
      </c>
    </row>
    <row r="34" spans="1:12" ht="12" customHeight="1" x14ac:dyDescent="0.25">
      <c r="A34" s="3">
        <v>10</v>
      </c>
      <c r="B34" s="14" t="s">
        <v>111</v>
      </c>
      <c r="C34" s="21">
        <v>100</v>
      </c>
      <c r="D34" s="15" t="s">
        <v>2</v>
      </c>
      <c r="E34" s="16" t="s">
        <v>47</v>
      </c>
      <c r="F34" s="2"/>
      <c r="G34" s="13" t="s">
        <v>5</v>
      </c>
      <c r="H34" s="3">
        <v>10</v>
      </c>
      <c r="I34" s="15" t="s">
        <v>5</v>
      </c>
      <c r="J34" s="17"/>
      <c r="K34" s="1" t="s">
        <v>45</v>
      </c>
    </row>
    <row r="35" spans="1:12" ht="12" customHeight="1" x14ac:dyDescent="0.25">
      <c r="A35" s="3">
        <v>10</v>
      </c>
      <c r="B35" s="14" t="s">
        <v>111</v>
      </c>
      <c r="C35" s="21">
        <v>100</v>
      </c>
      <c r="D35" s="15" t="s">
        <v>2</v>
      </c>
      <c r="E35" s="16" t="s">
        <v>48</v>
      </c>
      <c r="F35" s="2"/>
      <c r="G35" s="13" t="s">
        <v>5</v>
      </c>
      <c r="H35" s="3">
        <v>2</v>
      </c>
      <c r="I35" s="15" t="s">
        <v>5</v>
      </c>
      <c r="J35" s="17"/>
      <c r="K35" s="1" t="s">
        <v>46</v>
      </c>
    </row>
    <row r="36" spans="1:12" ht="12" customHeight="1" x14ac:dyDescent="0.25">
      <c r="A36" s="3">
        <v>2</v>
      </c>
      <c r="B36" s="14" t="s">
        <v>111</v>
      </c>
      <c r="C36" s="21">
        <v>200</v>
      </c>
      <c r="D36" s="15" t="s">
        <v>2</v>
      </c>
      <c r="E36" s="16" t="s">
        <v>25</v>
      </c>
      <c r="F36" s="2"/>
      <c r="G36" s="13" t="s">
        <v>16</v>
      </c>
      <c r="H36" s="3">
        <v>1</v>
      </c>
      <c r="I36" s="15" t="s">
        <v>16</v>
      </c>
      <c r="J36" s="17"/>
      <c r="K36" s="1" t="s">
        <v>12</v>
      </c>
      <c r="L36"/>
    </row>
    <row r="37" spans="1:12" ht="12" customHeight="1" x14ac:dyDescent="0.25">
      <c r="A37" s="3">
        <v>2</v>
      </c>
      <c r="B37" s="14" t="s">
        <v>111</v>
      </c>
      <c r="C37" s="21">
        <v>200</v>
      </c>
      <c r="D37" s="15" t="s">
        <v>2</v>
      </c>
      <c r="E37" s="16" t="s">
        <v>26</v>
      </c>
      <c r="F37" s="2"/>
      <c r="G37" s="13" t="s">
        <v>16</v>
      </c>
      <c r="H37" s="3">
        <v>3</v>
      </c>
      <c r="I37" s="15" t="s">
        <v>16</v>
      </c>
      <c r="J37" s="17"/>
      <c r="K37" s="1" t="s">
        <v>11</v>
      </c>
    </row>
    <row r="38" spans="1:12" ht="12" customHeight="1" x14ac:dyDescent="0.25">
      <c r="A38" s="3">
        <v>1</v>
      </c>
      <c r="B38" s="14" t="s">
        <v>111</v>
      </c>
      <c r="C38" s="21">
        <v>500</v>
      </c>
      <c r="D38" s="15" t="s">
        <v>2</v>
      </c>
      <c r="E38" s="16" t="s">
        <v>27</v>
      </c>
      <c r="F38" s="2"/>
      <c r="G38" s="13" t="s">
        <v>16</v>
      </c>
      <c r="H38" s="3">
        <v>3</v>
      </c>
      <c r="I38" s="15" t="s">
        <v>16</v>
      </c>
      <c r="J38" s="17"/>
      <c r="K38" s="1" t="s">
        <v>138</v>
      </c>
      <c r="L38"/>
    </row>
    <row r="39" spans="1:12" ht="12" customHeight="1" x14ac:dyDescent="0.25">
      <c r="A39" s="3">
        <v>1</v>
      </c>
      <c r="B39" s="14" t="s">
        <v>111</v>
      </c>
      <c r="C39" s="21">
        <v>500</v>
      </c>
      <c r="D39" s="15" t="s">
        <v>2</v>
      </c>
      <c r="E39" s="16" t="s">
        <v>91</v>
      </c>
      <c r="F39" s="2"/>
      <c r="G39" s="13" t="s">
        <v>3</v>
      </c>
      <c r="H39" s="3">
        <v>4</v>
      </c>
      <c r="I39" s="15" t="s">
        <v>3</v>
      </c>
      <c r="J39" s="17"/>
      <c r="K39" s="1" t="s">
        <v>55</v>
      </c>
      <c r="L39"/>
    </row>
    <row r="40" spans="1:12" ht="12" customHeight="1" x14ac:dyDescent="0.25">
      <c r="A40" s="3">
        <v>1</v>
      </c>
      <c r="B40" s="14" t="s">
        <v>111</v>
      </c>
      <c r="C40" s="21">
        <v>1000</v>
      </c>
      <c r="D40" s="15" t="s">
        <v>2</v>
      </c>
      <c r="E40" s="16" t="s">
        <v>92</v>
      </c>
      <c r="F40" s="2"/>
      <c r="G40" s="13" t="s">
        <v>3</v>
      </c>
      <c r="H40" s="3">
        <v>1</v>
      </c>
      <c r="I40" s="15" t="s">
        <v>3</v>
      </c>
      <c r="J40" s="17"/>
      <c r="K40" s="1" t="s">
        <v>57</v>
      </c>
    </row>
    <row r="41" spans="1:12" ht="12" customHeight="1" x14ac:dyDescent="0.25">
      <c r="A41" s="3">
        <v>1</v>
      </c>
      <c r="B41" s="14" t="s">
        <v>111</v>
      </c>
      <c r="C41" s="21">
        <v>1000</v>
      </c>
      <c r="D41" s="15" t="s">
        <v>2</v>
      </c>
      <c r="E41" s="16" t="s">
        <v>93</v>
      </c>
      <c r="F41" s="2"/>
      <c r="G41" s="13" t="s">
        <v>3</v>
      </c>
      <c r="H41" s="3">
        <v>3</v>
      </c>
      <c r="I41" s="15" t="s">
        <v>3</v>
      </c>
      <c r="J41" s="17"/>
      <c r="K41" s="1" t="s">
        <v>39</v>
      </c>
    </row>
    <row r="42" spans="1:12" ht="12" customHeight="1" x14ac:dyDescent="0.25">
      <c r="A42" s="3">
        <v>1</v>
      </c>
      <c r="B42" s="14" t="s">
        <v>111</v>
      </c>
      <c r="C42" s="21">
        <v>250</v>
      </c>
      <c r="D42" s="15" t="s">
        <v>2</v>
      </c>
      <c r="E42" s="16" t="s">
        <v>94</v>
      </c>
      <c r="F42" s="2"/>
      <c r="G42" s="13" t="s">
        <v>3</v>
      </c>
      <c r="H42" s="3">
        <v>0.2</v>
      </c>
      <c r="I42" s="15" t="s">
        <v>3</v>
      </c>
      <c r="J42" s="17"/>
      <c r="K42" s="1" t="s">
        <v>68</v>
      </c>
    </row>
    <row r="43" spans="1:12" ht="12" customHeight="1" x14ac:dyDescent="0.25">
      <c r="A43" s="3">
        <v>1</v>
      </c>
      <c r="B43" s="14" t="s">
        <v>111</v>
      </c>
      <c r="C43" s="21">
        <v>200</v>
      </c>
      <c r="D43" s="15" t="s">
        <v>2</v>
      </c>
      <c r="E43" s="16" t="s">
        <v>95</v>
      </c>
      <c r="F43" s="2"/>
      <c r="G43" s="13" t="s">
        <v>3</v>
      </c>
      <c r="H43" s="3">
        <v>0.2</v>
      </c>
      <c r="I43" s="15" t="s">
        <v>3</v>
      </c>
      <c r="J43" s="17"/>
      <c r="K43" s="1" t="s">
        <v>81</v>
      </c>
    </row>
    <row r="44" spans="1:12" ht="12" customHeight="1" x14ac:dyDescent="0.25">
      <c r="A44" s="3">
        <v>1</v>
      </c>
      <c r="B44" s="14" t="s">
        <v>111</v>
      </c>
      <c r="C44" s="21">
        <v>1000</v>
      </c>
      <c r="D44" s="15" t="s">
        <v>2</v>
      </c>
      <c r="E44" s="16" t="s">
        <v>22</v>
      </c>
      <c r="F44" s="2"/>
      <c r="G44" s="13" t="s">
        <v>3</v>
      </c>
      <c r="H44" s="3">
        <v>2</v>
      </c>
      <c r="I44" s="15" t="s">
        <v>3</v>
      </c>
      <c r="J44" s="17"/>
      <c r="K44" s="1" t="s">
        <v>96</v>
      </c>
    </row>
    <row r="45" spans="1:12" ht="12" customHeight="1" x14ac:dyDescent="0.25">
      <c r="A45" s="3">
        <v>1</v>
      </c>
      <c r="B45" s="14" t="s">
        <v>111</v>
      </c>
      <c r="C45" s="21">
        <v>1000</v>
      </c>
      <c r="D45" s="15" t="s">
        <v>2</v>
      </c>
      <c r="E45" s="16" t="s">
        <v>23</v>
      </c>
      <c r="F45" s="2"/>
      <c r="G45" s="13" t="s">
        <v>3</v>
      </c>
      <c r="H45" s="3">
        <v>2</v>
      </c>
      <c r="I45" s="15" t="s">
        <v>3</v>
      </c>
      <c r="J45" s="17"/>
      <c r="K45" s="1" t="s">
        <v>97</v>
      </c>
    </row>
    <row r="46" spans="1:12" ht="12" customHeight="1" x14ac:dyDescent="0.25">
      <c r="A46" s="3">
        <v>1</v>
      </c>
      <c r="B46" s="14" t="s">
        <v>111</v>
      </c>
      <c r="C46" s="21">
        <v>1000</v>
      </c>
      <c r="D46" s="15" t="s">
        <v>2</v>
      </c>
      <c r="E46" s="16" t="s">
        <v>34</v>
      </c>
      <c r="F46" s="2"/>
      <c r="G46" s="13" t="s">
        <v>3</v>
      </c>
      <c r="H46" s="3">
        <v>0.5</v>
      </c>
      <c r="I46" s="15" t="s">
        <v>3</v>
      </c>
      <c r="J46" s="17"/>
      <c r="K46" s="1" t="s">
        <v>117</v>
      </c>
    </row>
    <row r="47" spans="1:12" ht="12" customHeight="1" x14ac:dyDescent="0.25">
      <c r="A47" s="3">
        <v>20</v>
      </c>
      <c r="B47" s="14" t="s">
        <v>111</v>
      </c>
      <c r="C47" s="21">
        <v>100</v>
      </c>
      <c r="D47" s="15" t="s">
        <v>2</v>
      </c>
      <c r="E47" s="16" t="s">
        <v>109</v>
      </c>
      <c r="F47" s="2"/>
      <c r="G47" s="13" t="s">
        <v>5</v>
      </c>
      <c r="H47" s="3">
        <v>60</v>
      </c>
      <c r="I47" s="15" t="s">
        <v>5</v>
      </c>
      <c r="J47" s="17"/>
      <c r="K47" s="1" t="s">
        <v>64</v>
      </c>
    </row>
    <row r="48" spans="1:12" ht="12" customHeight="1" x14ac:dyDescent="0.25">
      <c r="A48" s="3">
        <v>12</v>
      </c>
      <c r="B48" s="14" t="s">
        <v>111</v>
      </c>
      <c r="C48" s="21">
        <v>500</v>
      </c>
      <c r="D48" s="15" t="s">
        <v>2</v>
      </c>
      <c r="E48" s="16" t="s">
        <v>110</v>
      </c>
      <c r="F48" s="2"/>
      <c r="G48" s="13" t="s">
        <v>3</v>
      </c>
      <c r="H48" s="3">
        <v>6</v>
      </c>
      <c r="I48" s="15" t="s">
        <v>3</v>
      </c>
      <c r="J48" s="17"/>
      <c r="K48" s="1" t="s">
        <v>72</v>
      </c>
    </row>
    <row r="49" spans="1:11" ht="12" customHeight="1" x14ac:dyDescent="0.25">
      <c r="A49" s="3">
        <v>1</v>
      </c>
      <c r="B49" s="14" t="s">
        <v>111</v>
      </c>
      <c r="C49" s="21">
        <v>6</v>
      </c>
      <c r="D49" s="15" t="s">
        <v>2</v>
      </c>
      <c r="E49" s="16" t="s">
        <v>9</v>
      </c>
      <c r="F49" s="2"/>
      <c r="G49" s="13" t="s">
        <v>2</v>
      </c>
      <c r="H49" s="3">
        <v>18</v>
      </c>
      <c r="I49" s="15" t="s">
        <v>2</v>
      </c>
      <c r="J49" s="17"/>
      <c r="K49" s="1" t="s">
        <v>15</v>
      </c>
    </row>
    <row r="50" spans="1:11" ht="12" customHeight="1" x14ac:dyDescent="0.25">
      <c r="A50" s="3">
        <v>1</v>
      </c>
      <c r="B50" s="14" t="s">
        <v>111</v>
      </c>
      <c r="C50" s="21">
        <v>100</v>
      </c>
      <c r="D50" s="15" t="s">
        <v>2</v>
      </c>
      <c r="E50" s="16" t="s">
        <v>43</v>
      </c>
      <c r="F50" s="2"/>
      <c r="G50" s="13" t="s">
        <v>38</v>
      </c>
      <c r="H50" s="3">
        <v>0.3</v>
      </c>
      <c r="I50" s="15" t="s">
        <v>38</v>
      </c>
      <c r="J50" s="17"/>
      <c r="K50" s="1" t="s">
        <v>44</v>
      </c>
    </row>
    <row r="51" spans="1:11" ht="12" customHeight="1" x14ac:dyDescent="0.25">
      <c r="A51" s="3">
        <v>1</v>
      </c>
      <c r="B51" s="14" t="s">
        <v>111</v>
      </c>
      <c r="C51" s="21">
        <v>50</v>
      </c>
      <c r="D51" s="15" t="s">
        <v>2</v>
      </c>
      <c r="E51" s="16" t="s">
        <v>41</v>
      </c>
      <c r="F51" s="2"/>
      <c r="G51" s="13" t="s">
        <v>38</v>
      </c>
      <c r="H51" s="3">
        <v>0.5</v>
      </c>
      <c r="I51" s="15" t="s">
        <v>38</v>
      </c>
      <c r="J51" s="17"/>
      <c r="K51" s="1" t="s">
        <v>42</v>
      </c>
    </row>
    <row r="52" spans="1:11" ht="12" customHeight="1" x14ac:dyDescent="0.25">
      <c r="A52" s="3">
        <v>1</v>
      </c>
      <c r="B52" s="14" t="s">
        <v>111</v>
      </c>
      <c r="C52" s="21">
        <v>4</v>
      </c>
      <c r="D52" s="15" t="s">
        <v>2</v>
      </c>
      <c r="E52" s="16" t="s">
        <v>65</v>
      </c>
      <c r="F52" s="2"/>
      <c r="G52" s="13" t="s">
        <v>2</v>
      </c>
      <c r="H52" s="3">
        <v>10</v>
      </c>
      <c r="I52" s="15" t="s">
        <v>2</v>
      </c>
      <c r="J52" s="17"/>
      <c r="K52" s="1" t="s">
        <v>189</v>
      </c>
    </row>
    <row r="53" spans="1:11" ht="12" customHeight="1" x14ac:dyDescent="0.25">
      <c r="A53" s="3">
        <v>1</v>
      </c>
      <c r="B53" s="14" t="s">
        <v>111</v>
      </c>
      <c r="C53" s="21">
        <v>4</v>
      </c>
      <c r="D53" s="15" t="s">
        <v>2</v>
      </c>
      <c r="E53" s="16" t="s">
        <v>28</v>
      </c>
      <c r="F53" s="2"/>
      <c r="G53" s="13" t="s">
        <v>2</v>
      </c>
      <c r="H53" s="3">
        <v>4</v>
      </c>
      <c r="I53" s="15" t="s">
        <v>2</v>
      </c>
      <c r="J53" s="17"/>
      <c r="K53" s="1" t="s">
        <v>67</v>
      </c>
    </row>
    <row r="54" spans="1:11" ht="12" customHeight="1" x14ac:dyDescent="0.25">
      <c r="A54" s="3">
        <v>1</v>
      </c>
      <c r="B54" s="14" t="s">
        <v>111</v>
      </c>
      <c r="C54" s="21">
        <v>2</v>
      </c>
      <c r="D54" s="15" t="s">
        <v>2</v>
      </c>
      <c r="E54" s="16" t="s">
        <v>31</v>
      </c>
      <c r="F54" s="2"/>
      <c r="G54" s="13" t="s">
        <v>2</v>
      </c>
      <c r="H54" s="3">
        <v>2</v>
      </c>
      <c r="I54" s="15" t="s">
        <v>2</v>
      </c>
      <c r="J54" s="17"/>
      <c r="K54" s="1" t="s">
        <v>13</v>
      </c>
    </row>
    <row r="55" spans="1:11" ht="12" customHeight="1" x14ac:dyDescent="0.25">
      <c r="A55" s="3">
        <v>1</v>
      </c>
      <c r="B55" s="14" t="s">
        <v>111</v>
      </c>
      <c r="C55" s="21">
        <v>2</v>
      </c>
      <c r="D55" s="15" t="s">
        <v>2</v>
      </c>
      <c r="E55" s="16" t="s">
        <v>8</v>
      </c>
      <c r="F55" s="2"/>
      <c r="G55" s="13" t="s">
        <v>2</v>
      </c>
      <c r="H55" s="3">
        <v>1</v>
      </c>
      <c r="I55" s="15" t="s">
        <v>2</v>
      </c>
      <c r="J55" s="17"/>
      <c r="K55" s="1" t="s">
        <v>14</v>
      </c>
    </row>
    <row r="56" spans="1:11" ht="12" customHeight="1" x14ac:dyDescent="0.25">
      <c r="A56" s="3">
        <v>1</v>
      </c>
      <c r="B56" s="14" t="s">
        <v>111</v>
      </c>
      <c r="C56" s="21">
        <v>100</v>
      </c>
      <c r="D56" s="15" t="s">
        <v>2</v>
      </c>
      <c r="E56" s="16" t="s">
        <v>52</v>
      </c>
      <c r="F56" s="2"/>
      <c r="G56" s="13" t="s">
        <v>38</v>
      </c>
      <c r="H56" s="3">
        <v>12</v>
      </c>
      <c r="I56" s="15" t="s">
        <v>38</v>
      </c>
      <c r="J56" s="17"/>
      <c r="K56" s="1" t="s">
        <v>185</v>
      </c>
    </row>
    <row r="57" spans="1:11" ht="12" customHeight="1" x14ac:dyDescent="0.25">
      <c r="A57" s="3">
        <v>1</v>
      </c>
      <c r="B57" s="14" t="s">
        <v>111</v>
      </c>
      <c r="C57" s="21">
        <v>100</v>
      </c>
      <c r="D57" s="15" t="s">
        <v>2</v>
      </c>
      <c r="E57" s="16" t="s">
        <v>53</v>
      </c>
      <c r="F57" s="2"/>
      <c r="G57" s="13" t="s">
        <v>38</v>
      </c>
      <c r="H57" s="3">
        <v>10</v>
      </c>
      <c r="I57" s="15" t="s">
        <v>38</v>
      </c>
      <c r="J57" s="17"/>
      <c r="K57" s="1" t="s">
        <v>186</v>
      </c>
    </row>
    <row r="58" spans="1:11" ht="12" customHeight="1" x14ac:dyDescent="0.25">
      <c r="A58" s="3">
        <v>20</v>
      </c>
      <c r="B58" s="14" t="s">
        <v>111</v>
      </c>
      <c r="C58" s="21">
        <v>50</v>
      </c>
      <c r="D58" s="15" t="s">
        <v>2</v>
      </c>
      <c r="E58" s="16" t="s">
        <v>135</v>
      </c>
      <c r="F58" s="2"/>
      <c r="G58" s="13" t="s">
        <v>4</v>
      </c>
      <c r="H58" s="3">
        <v>10</v>
      </c>
      <c r="I58" s="15" t="s">
        <v>4</v>
      </c>
      <c r="J58" s="17"/>
      <c r="K58" s="1" t="s">
        <v>118</v>
      </c>
    </row>
    <row r="59" spans="1:11" ht="12" customHeight="1" x14ac:dyDescent="0.25">
      <c r="A59" s="3">
        <v>12</v>
      </c>
      <c r="B59" s="14" t="s">
        <v>111</v>
      </c>
      <c r="C59" s="21">
        <v>50</v>
      </c>
      <c r="D59" s="15" t="s">
        <v>2</v>
      </c>
      <c r="E59" s="16" t="s">
        <v>136</v>
      </c>
      <c r="F59" s="2"/>
      <c r="G59" s="13" t="s">
        <v>4</v>
      </c>
      <c r="H59" s="3">
        <v>4</v>
      </c>
      <c r="I59" s="15" t="s">
        <v>4</v>
      </c>
      <c r="J59" s="17"/>
      <c r="K59" s="1" t="s">
        <v>119</v>
      </c>
    </row>
    <row r="60" spans="1:11" ht="12" customHeight="1" x14ac:dyDescent="0.25">
      <c r="A60" s="3">
        <v>12</v>
      </c>
      <c r="B60" s="14" t="s">
        <v>111</v>
      </c>
      <c r="C60" s="21">
        <v>50</v>
      </c>
      <c r="D60" s="15" t="s">
        <v>2</v>
      </c>
      <c r="E60" s="16" t="s">
        <v>137</v>
      </c>
      <c r="F60" s="2"/>
      <c r="G60" s="13" t="s">
        <v>4</v>
      </c>
      <c r="H60" s="3">
        <v>6</v>
      </c>
      <c r="I60" s="15" t="s">
        <v>4</v>
      </c>
      <c r="J60" s="17"/>
      <c r="K60" s="1" t="s">
        <v>120</v>
      </c>
    </row>
    <row r="61" spans="1:11" ht="12" customHeight="1" x14ac:dyDescent="0.25">
      <c r="A61" s="3">
        <v>10</v>
      </c>
      <c r="B61" s="14" t="s">
        <v>111</v>
      </c>
      <c r="C61" s="21">
        <v>100</v>
      </c>
      <c r="D61" s="15" t="s">
        <v>2</v>
      </c>
      <c r="E61" s="16" t="s">
        <v>50</v>
      </c>
      <c r="F61" s="2"/>
      <c r="G61" s="13" t="s">
        <v>4</v>
      </c>
      <c r="H61" s="3">
        <v>8</v>
      </c>
      <c r="I61" s="15" t="s">
        <v>4</v>
      </c>
      <c r="J61" s="17"/>
      <c r="K61" s="1" t="s">
        <v>54</v>
      </c>
    </row>
    <row r="62" spans="1:11" ht="12" customHeight="1" x14ac:dyDescent="0.25">
      <c r="A62" s="3">
        <v>20</v>
      </c>
      <c r="B62" s="14" t="s">
        <v>111</v>
      </c>
      <c r="C62" s="21">
        <v>50</v>
      </c>
      <c r="D62" s="15" t="s">
        <v>2</v>
      </c>
      <c r="E62" s="16" t="s">
        <v>125</v>
      </c>
      <c r="F62" s="2"/>
      <c r="G62" s="13" t="s">
        <v>4</v>
      </c>
      <c r="H62" s="3">
        <v>10</v>
      </c>
      <c r="I62" s="15" t="s">
        <v>4</v>
      </c>
      <c r="J62" s="17"/>
      <c r="K62" s="1" t="s">
        <v>121</v>
      </c>
    </row>
    <row r="63" spans="1:11" ht="12" customHeight="1" x14ac:dyDescent="0.25">
      <c r="A63" s="3">
        <v>15</v>
      </c>
      <c r="B63" s="14" t="s">
        <v>111</v>
      </c>
      <c r="C63" s="21">
        <v>40</v>
      </c>
      <c r="D63" s="15" t="s">
        <v>2</v>
      </c>
      <c r="E63" s="16" t="s">
        <v>126</v>
      </c>
      <c r="F63" s="2"/>
      <c r="G63" s="13" t="s">
        <v>4</v>
      </c>
      <c r="H63" s="3">
        <v>4</v>
      </c>
      <c r="I63" s="15" t="s">
        <v>4</v>
      </c>
      <c r="J63" s="17"/>
      <c r="K63" s="1" t="s">
        <v>122</v>
      </c>
    </row>
    <row r="64" spans="1:11" ht="12" customHeight="1" x14ac:dyDescent="0.25">
      <c r="A64" s="3">
        <v>20</v>
      </c>
      <c r="B64" s="14" t="s">
        <v>111</v>
      </c>
      <c r="C64" s="21">
        <v>50</v>
      </c>
      <c r="D64" s="15" t="s">
        <v>2</v>
      </c>
      <c r="E64" s="16" t="s">
        <v>51</v>
      </c>
      <c r="F64" s="2"/>
      <c r="G64" s="13" t="s">
        <v>4</v>
      </c>
      <c r="H64" s="3">
        <v>20</v>
      </c>
      <c r="I64" s="15" t="s">
        <v>4</v>
      </c>
      <c r="J64" s="17"/>
      <c r="K64" s="1" t="s">
        <v>84</v>
      </c>
    </row>
    <row r="65" spans="1:11" ht="12" customHeight="1" x14ac:dyDescent="0.25">
      <c r="A65" s="3">
        <v>1</v>
      </c>
      <c r="B65" s="14" t="s">
        <v>111</v>
      </c>
      <c r="C65" s="21">
        <v>1000</v>
      </c>
      <c r="D65" s="15" t="s">
        <v>2</v>
      </c>
      <c r="E65" s="16" t="s">
        <v>123</v>
      </c>
      <c r="F65" s="2"/>
      <c r="G65" s="13" t="s">
        <v>3</v>
      </c>
      <c r="H65" s="3">
        <v>0.3</v>
      </c>
      <c r="I65" s="15" t="s">
        <v>3</v>
      </c>
      <c r="J65" s="17"/>
      <c r="K65" s="1" t="s">
        <v>124</v>
      </c>
    </row>
    <row r="66" spans="1:11" ht="12" customHeight="1" x14ac:dyDescent="0.25">
      <c r="A66" s="3">
        <v>6</v>
      </c>
      <c r="B66" s="14" t="s">
        <v>111</v>
      </c>
      <c r="C66" s="21">
        <v>600</v>
      </c>
      <c r="D66" s="15" t="s">
        <v>2</v>
      </c>
      <c r="E66" s="16" t="s">
        <v>139</v>
      </c>
      <c r="F66" s="2"/>
      <c r="G66" s="13" t="s">
        <v>38</v>
      </c>
      <c r="H66" s="3">
        <v>4</v>
      </c>
      <c r="I66" s="15" t="s">
        <v>38</v>
      </c>
      <c r="J66" s="17"/>
      <c r="K66" s="1" t="s">
        <v>140</v>
      </c>
    </row>
    <row r="67" spans="1:11" ht="12" customHeight="1" x14ac:dyDescent="0.25">
      <c r="A67" s="3">
        <v>12</v>
      </c>
      <c r="B67" s="14" t="s">
        <v>111</v>
      </c>
      <c r="C67" s="21">
        <v>500</v>
      </c>
      <c r="D67" s="15" t="s">
        <v>2</v>
      </c>
      <c r="E67" s="16" t="s">
        <v>175</v>
      </c>
      <c r="F67" s="2"/>
      <c r="G67" s="13" t="s">
        <v>38</v>
      </c>
      <c r="H67" s="3">
        <v>4</v>
      </c>
      <c r="I67" s="15" t="s">
        <v>38</v>
      </c>
      <c r="J67" s="17"/>
      <c r="K67" s="1" t="s">
        <v>176</v>
      </c>
    </row>
    <row r="68" spans="1:11" ht="12" customHeight="1" x14ac:dyDescent="0.25">
      <c r="A68" s="3">
        <v>1</v>
      </c>
      <c r="B68" s="14" t="s">
        <v>111</v>
      </c>
      <c r="C68" s="21">
        <v>12</v>
      </c>
      <c r="D68" s="15" t="s">
        <v>141</v>
      </c>
      <c r="E68" s="16" t="s">
        <v>142</v>
      </c>
      <c r="F68" s="2"/>
      <c r="G68" s="13" t="s">
        <v>2</v>
      </c>
      <c r="H68" s="3">
        <v>24</v>
      </c>
      <c r="I68" s="15" t="s">
        <v>2</v>
      </c>
      <c r="J68" s="17"/>
      <c r="K68" s="1" t="s">
        <v>143</v>
      </c>
    </row>
    <row r="69" spans="1:11" ht="12" customHeight="1" x14ac:dyDescent="0.25">
      <c r="A69" s="3">
        <v>4</v>
      </c>
      <c r="B69" s="14" t="s">
        <v>111</v>
      </c>
      <c r="C69" s="21">
        <v>128</v>
      </c>
      <c r="D69" s="15" t="s">
        <v>144</v>
      </c>
      <c r="E69" s="16" t="s">
        <v>145</v>
      </c>
      <c r="F69" s="2"/>
      <c r="G69" s="13" t="s">
        <v>2</v>
      </c>
      <c r="H69" s="3">
        <v>0.5</v>
      </c>
      <c r="I69" s="15" t="s">
        <v>2</v>
      </c>
      <c r="J69" s="17"/>
      <c r="K69" s="1" t="s">
        <v>146</v>
      </c>
    </row>
    <row r="70" spans="1:11" ht="12" customHeight="1" x14ac:dyDescent="0.25">
      <c r="A70" s="3">
        <v>3</v>
      </c>
      <c r="B70" s="14" t="s">
        <v>111</v>
      </c>
      <c r="C70" s="21">
        <v>80</v>
      </c>
      <c r="D70" s="15" t="s">
        <v>144</v>
      </c>
      <c r="E70" s="16" t="s">
        <v>147</v>
      </c>
      <c r="F70" s="2"/>
      <c r="G70" s="13" t="s">
        <v>2</v>
      </c>
      <c r="H70" s="3">
        <v>1</v>
      </c>
      <c r="I70" s="15" t="s">
        <v>2</v>
      </c>
      <c r="J70" s="17"/>
      <c r="K70" s="1" t="s">
        <v>148</v>
      </c>
    </row>
    <row r="71" spans="1:11" ht="12" customHeight="1" x14ac:dyDescent="0.25">
      <c r="A71" s="3">
        <v>8</v>
      </c>
      <c r="B71" s="14" t="s">
        <v>111</v>
      </c>
      <c r="C71" s="21">
        <v>64</v>
      </c>
      <c r="D71" s="15" t="s">
        <v>144</v>
      </c>
      <c r="E71" s="16" t="s">
        <v>149</v>
      </c>
      <c r="F71" s="2"/>
      <c r="G71" s="13" t="s">
        <v>2</v>
      </c>
      <c r="H71" s="3">
        <v>1</v>
      </c>
      <c r="I71" s="15" t="s">
        <v>2</v>
      </c>
      <c r="J71" s="17"/>
      <c r="K71" s="1" t="s">
        <v>150</v>
      </c>
    </row>
    <row r="72" spans="1:11" ht="12" customHeight="1" x14ac:dyDescent="0.25">
      <c r="A72" s="3">
        <v>20</v>
      </c>
      <c r="B72" s="14" t="s">
        <v>111</v>
      </c>
      <c r="C72" s="21">
        <v>25</v>
      </c>
      <c r="D72" s="15" t="s">
        <v>2</v>
      </c>
      <c r="E72" s="16" t="s">
        <v>151</v>
      </c>
      <c r="F72" s="2"/>
      <c r="G72" s="13" t="s">
        <v>2</v>
      </c>
      <c r="H72" s="3">
        <v>5</v>
      </c>
      <c r="I72" s="15" t="s">
        <v>2</v>
      </c>
      <c r="J72" s="17"/>
      <c r="K72" s="1" t="s">
        <v>152</v>
      </c>
    </row>
    <row r="73" spans="1:11" ht="12" customHeight="1" x14ac:dyDescent="0.25">
      <c r="A73" s="3">
        <v>10</v>
      </c>
      <c r="B73" s="14" t="s">
        <v>111</v>
      </c>
      <c r="C73" s="21">
        <v>25</v>
      </c>
      <c r="D73" s="15" t="s">
        <v>2</v>
      </c>
      <c r="E73" s="16" t="s">
        <v>153</v>
      </c>
      <c r="F73" s="2"/>
      <c r="G73" s="13" t="s">
        <v>2</v>
      </c>
      <c r="H73" s="3">
        <v>20</v>
      </c>
      <c r="I73" s="15" t="s">
        <v>2</v>
      </c>
      <c r="J73" s="17"/>
      <c r="K73" s="1" t="s">
        <v>154</v>
      </c>
    </row>
    <row r="74" spans="1:11" ht="12" customHeight="1" x14ac:dyDescent="0.25">
      <c r="A74" s="3">
        <v>1</v>
      </c>
      <c r="B74" s="14" t="s">
        <v>111</v>
      </c>
      <c r="C74" s="21">
        <v>12</v>
      </c>
      <c r="D74" s="15" t="s">
        <v>2</v>
      </c>
      <c r="E74" s="16" t="s">
        <v>155</v>
      </c>
      <c r="F74" s="2"/>
      <c r="G74" s="13" t="s">
        <v>2</v>
      </c>
      <c r="H74" s="3">
        <v>1</v>
      </c>
      <c r="I74" s="15" t="s">
        <v>2</v>
      </c>
      <c r="J74" s="17"/>
      <c r="K74" s="1" t="s">
        <v>156</v>
      </c>
    </row>
    <row r="75" spans="1:11" ht="12" customHeight="1" x14ac:dyDescent="0.25">
      <c r="A75" s="3">
        <v>1</v>
      </c>
      <c r="B75" s="14" t="s">
        <v>111</v>
      </c>
      <c r="C75" s="21">
        <v>12</v>
      </c>
      <c r="D75" s="15" t="s">
        <v>2</v>
      </c>
      <c r="E75" s="16" t="s">
        <v>157</v>
      </c>
      <c r="F75" s="2"/>
      <c r="G75" s="13" t="s">
        <v>2</v>
      </c>
      <c r="H75" s="3">
        <v>8</v>
      </c>
      <c r="I75" s="15" t="s">
        <v>2</v>
      </c>
      <c r="J75" s="17"/>
      <c r="K75" s="1" t="s">
        <v>158</v>
      </c>
    </row>
    <row r="76" spans="1:11" ht="12" customHeight="1" x14ac:dyDescent="0.25">
      <c r="A76" s="3">
        <v>20</v>
      </c>
      <c r="B76" s="14" t="s">
        <v>111</v>
      </c>
      <c r="C76" s="21">
        <v>50</v>
      </c>
      <c r="D76" s="15" t="s">
        <v>2</v>
      </c>
      <c r="E76" s="16" t="s">
        <v>159</v>
      </c>
      <c r="F76" s="2"/>
      <c r="G76" s="13" t="s">
        <v>4</v>
      </c>
      <c r="H76" s="3">
        <v>10</v>
      </c>
      <c r="I76" s="15" t="s">
        <v>4</v>
      </c>
      <c r="J76" s="17"/>
      <c r="K76" s="1" t="s">
        <v>160</v>
      </c>
    </row>
    <row r="77" spans="1:11" ht="12" customHeight="1" x14ac:dyDescent="0.25">
      <c r="A77" s="3">
        <v>20</v>
      </c>
      <c r="B77" s="14" t="s">
        <v>111</v>
      </c>
      <c r="C77" s="21">
        <v>50</v>
      </c>
      <c r="D77" s="15" t="s">
        <v>2</v>
      </c>
      <c r="E77" s="16" t="s">
        <v>161</v>
      </c>
      <c r="F77" s="2"/>
      <c r="G77" s="13" t="s">
        <v>4</v>
      </c>
      <c r="H77" s="3">
        <v>10</v>
      </c>
      <c r="I77" s="15" t="s">
        <v>4</v>
      </c>
      <c r="J77" s="17"/>
      <c r="K77" s="1" t="s">
        <v>162</v>
      </c>
    </row>
    <row r="78" spans="1:11" ht="12" customHeight="1" x14ac:dyDescent="0.25">
      <c r="A78" s="3">
        <v>10</v>
      </c>
      <c r="B78" s="14" t="s">
        <v>111</v>
      </c>
      <c r="C78" s="21">
        <v>100</v>
      </c>
      <c r="D78" s="15" t="s">
        <v>2</v>
      </c>
      <c r="E78" s="16" t="s">
        <v>163</v>
      </c>
      <c r="F78" s="2"/>
      <c r="G78" s="13" t="s">
        <v>4</v>
      </c>
      <c r="H78" s="3">
        <v>10</v>
      </c>
      <c r="I78" s="15" t="s">
        <v>4</v>
      </c>
      <c r="J78" s="17"/>
      <c r="K78" s="1" t="s">
        <v>164</v>
      </c>
    </row>
    <row r="79" spans="1:11" ht="12" customHeight="1" x14ac:dyDescent="0.25">
      <c r="A79" s="3">
        <v>5</v>
      </c>
      <c r="B79" s="14" t="s">
        <v>111</v>
      </c>
      <c r="C79" s="21">
        <v>1000</v>
      </c>
      <c r="D79" s="15" t="s">
        <v>2</v>
      </c>
      <c r="E79" s="16" t="s">
        <v>165</v>
      </c>
      <c r="F79" s="2"/>
      <c r="G79" s="13" t="s">
        <v>38</v>
      </c>
      <c r="H79" s="3">
        <v>3</v>
      </c>
      <c r="I79" s="15" t="s">
        <v>38</v>
      </c>
      <c r="J79" s="17"/>
      <c r="K79" s="1" t="s">
        <v>166</v>
      </c>
    </row>
    <row r="80" spans="1:11" ht="14.25" customHeight="1" x14ac:dyDescent="0.25">
      <c r="A80" s="3">
        <v>5</v>
      </c>
      <c r="B80" s="14" t="s">
        <v>111</v>
      </c>
      <c r="C80" s="21">
        <v>1000</v>
      </c>
      <c r="D80" s="15" t="s">
        <v>2</v>
      </c>
      <c r="E80" s="16" t="s">
        <v>167</v>
      </c>
      <c r="F80" s="2"/>
      <c r="G80" s="13" t="s">
        <v>38</v>
      </c>
      <c r="H80" s="3">
        <v>3</v>
      </c>
      <c r="I80" s="15" t="s">
        <v>38</v>
      </c>
      <c r="J80" s="17"/>
      <c r="K80" s="1" t="s">
        <v>168</v>
      </c>
    </row>
    <row r="81" spans="1:11" ht="14.25" customHeight="1" x14ac:dyDescent="0.25">
      <c r="A81" s="3">
        <v>5</v>
      </c>
      <c r="B81" s="14" t="s">
        <v>111</v>
      </c>
      <c r="C81" s="21">
        <v>1000</v>
      </c>
      <c r="D81" s="15" t="s">
        <v>2</v>
      </c>
      <c r="E81" s="16" t="s">
        <v>169</v>
      </c>
      <c r="F81" s="2"/>
      <c r="G81" s="13" t="s">
        <v>38</v>
      </c>
      <c r="H81" s="3">
        <v>5</v>
      </c>
      <c r="I81" s="15" t="s">
        <v>38</v>
      </c>
      <c r="J81" s="17"/>
      <c r="K81" s="1" t="s">
        <v>170</v>
      </c>
    </row>
    <row r="82" spans="1:11" ht="14.25" customHeight="1" x14ac:dyDescent="0.25">
      <c r="A82" s="3">
        <v>1</v>
      </c>
      <c r="B82" s="14" t="s">
        <v>111</v>
      </c>
      <c r="C82" s="21">
        <v>2000</v>
      </c>
      <c r="D82" s="15" t="s">
        <v>2</v>
      </c>
      <c r="E82" s="16" t="s">
        <v>171</v>
      </c>
      <c r="F82" s="2"/>
      <c r="G82" s="13" t="s">
        <v>38</v>
      </c>
      <c r="H82" s="3">
        <v>0.1</v>
      </c>
      <c r="I82" s="15" t="s">
        <v>38</v>
      </c>
      <c r="J82" s="17"/>
      <c r="K82" s="1" t="s">
        <v>172</v>
      </c>
    </row>
    <row r="83" spans="1:11" ht="14.25" customHeight="1" x14ac:dyDescent="0.25">
      <c r="A83" s="3">
        <v>1</v>
      </c>
      <c r="B83" s="14" t="s">
        <v>111</v>
      </c>
      <c r="C83" s="21">
        <v>40</v>
      </c>
      <c r="D83" s="15" t="s">
        <v>2</v>
      </c>
      <c r="E83" s="16" t="s">
        <v>173</v>
      </c>
      <c r="F83" s="2"/>
      <c r="G83" s="13" t="s">
        <v>2</v>
      </c>
      <c r="H83" s="3">
        <v>24</v>
      </c>
      <c r="I83" s="15" t="s">
        <v>2</v>
      </c>
      <c r="J83" s="17"/>
      <c r="K83" s="1" t="s">
        <v>174</v>
      </c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83">
    <cfRule type="cellIs" dxfId="31" priority="1" operator="lessThan">
      <formula>0</formula>
    </cfRule>
    <cfRule type="cellIs" dxfId="30" priority="2" operator="equal">
      <formula>0</formula>
    </cfRule>
  </conditionalFormatting>
  <pageMargins left="0.2483974358974359" right="0.2483974358974359" top="0.96920289855072461" bottom="0.60096153846153844" header="0.3" footer="0.2483974358974359"/>
  <pageSetup orientation="portrait" r:id="rId1"/>
  <headerFooter>
    <oddHeader xml:space="preserve">&amp;L&amp;"Times New Roman,Bold"&amp;16NORTH&amp;C&amp;"Times New Roman,Bold"&amp;16BI-WKLY - LEONARD PAPER&amp;11
Inventory - Tue, 11AM&amp;R&amp;"Times New Roman,Bold"&amp;16TUE for WED - &amp;UCH&amp;"Times New Roman,Regular"&amp;11&amp;U
&amp;10 Printed &amp;D &amp;T
</oddHeader>
    <oddFooter>&amp;C&amp;"Times New Roman,Regular"&amp;8REP: MJ LEONARD CELL: 410-458-6136 - EMAIL: mjleonard@leonardpaper.com
Store Forms - Documents/Chantilly/INVENTORY ORDER FORMS/&amp;F(GV Rev.2/24/25)&amp;R&amp;"Times New Roman,Regular"&amp;8Page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3D30-8DE2-4294-A567-D7B90D012D4F}">
  <sheetPr codeName="Sheet2"/>
  <dimension ref="A1:J80"/>
  <sheetViews>
    <sheetView view="pageLayout" zoomScaleNormal="100" workbookViewId="0">
      <selection activeCell="L45" sqref="L45"/>
    </sheetView>
  </sheetViews>
  <sheetFormatPr defaultRowHeight="15" x14ac:dyDescent="0.25"/>
  <cols>
    <col min="3" max="3" width="5.7109375" customWidth="1"/>
    <col min="4" max="4" width="6.28515625" customWidth="1"/>
    <col min="5" max="5" width="21.7109375" bestFit="1" customWidth="1"/>
    <col min="6" max="6" width="5.7109375" customWidth="1"/>
  </cols>
  <sheetData>
    <row r="1" spans="1:10" x14ac:dyDescent="0.25">
      <c r="A1" s="55" t="s">
        <v>89</v>
      </c>
      <c r="B1" s="56"/>
      <c r="C1" s="56"/>
      <c r="D1" s="56"/>
      <c r="E1" s="22" t="s">
        <v>90</v>
      </c>
      <c r="F1" s="55" t="s">
        <v>6</v>
      </c>
      <c r="G1" s="29"/>
      <c r="H1" s="25" t="s">
        <v>177</v>
      </c>
      <c r="I1" s="25" t="s">
        <v>178</v>
      </c>
      <c r="J1" s="25" t="s">
        <v>179</v>
      </c>
    </row>
    <row r="2" spans="1:10" x14ac:dyDescent="0.25">
      <c r="A2" s="3">
        <v>10</v>
      </c>
      <c r="B2" s="14" t="s">
        <v>111</v>
      </c>
      <c r="C2" s="21">
        <v>250</v>
      </c>
      <c r="D2" s="15" t="s">
        <v>2</v>
      </c>
      <c r="E2" s="16" t="s">
        <v>98</v>
      </c>
      <c r="F2" s="2"/>
      <c r="G2" s="13" t="s">
        <v>3</v>
      </c>
      <c r="H2" s="26">
        <v>5</v>
      </c>
      <c r="I2" s="26">
        <v>4</v>
      </c>
      <c r="J2" s="26">
        <v>8</v>
      </c>
    </row>
    <row r="3" spans="1:10" x14ac:dyDescent="0.25">
      <c r="A3" s="3">
        <v>20</v>
      </c>
      <c r="B3" s="14" t="s">
        <v>111</v>
      </c>
      <c r="C3" s="21">
        <v>125</v>
      </c>
      <c r="D3" s="15" t="s">
        <v>2</v>
      </c>
      <c r="E3" s="16" t="s">
        <v>99</v>
      </c>
      <c r="F3" s="2"/>
      <c r="G3" s="13" t="s">
        <v>3</v>
      </c>
      <c r="H3" s="26">
        <v>5</v>
      </c>
      <c r="I3" s="26">
        <v>4</v>
      </c>
      <c r="J3" s="26">
        <v>8</v>
      </c>
    </row>
    <row r="4" spans="1:10" x14ac:dyDescent="0.25">
      <c r="A4" s="3">
        <v>10</v>
      </c>
      <c r="B4" s="14" t="s">
        <v>111</v>
      </c>
      <c r="C4" s="21">
        <v>250</v>
      </c>
      <c r="D4" s="15" t="s">
        <v>2</v>
      </c>
      <c r="E4" s="16" t="s">
        <v>100</v>
      </c>
      <c r="F4" s="2"/>
      <c r="G4" s="13" t="s">
        <v>4</v>
      </c>
      <c r="H4" s="26">
        <v>13</v>
      </c>
      <c r="I4" s="26">
        <v>13</v>
      </c>
      <c r="J4" s="26">
        <v>13</v>
      </c>
    </row>
    <row r="5" spans="1:10" x14ac:dyDescent="0.25">
      <c r="A5" s="3">
        <v>25</v>
      </c>
      <c r="B5" s="14" t="s">
        <v>111</v>
      </c>
      <c r="C5" s="21">
        <v>100</v>
      </c>
      <c r="D5" s="15" t="s">
        <v>2</v>
      </c>
      <c r="E5" s="16" t="s">
        <v>101</v>
      </c>
      <c r="F5" s="2"/>
      <c r="G5" s="13" t="s">
        <v>4</v>
      </c>
      <c r="H5" s="26">
        <v>9</v>
      </c>
      <c r="I5" s="26">
        <v>8</v>
      </c>
      <c r="J5" s="26">
        <v>8</v>
      </c>
    </row>
    <row r="6" spans="1:10" x14ac:dyDescent="0.25">
      <c r="A6" s="3">
        <v>20</v>
      </c>
      <c r="B6" s="14" t="s">
        <v>111</v>
      </c>
      <c r="C6" s="21">
        <v>125</v>
      </c>
      <c r="D6" s="15" t="s">
        <v>2</v>
      </c>
      <c r="E6" s="16" t="s">
        <v>102</v>
      </c>
      <c r="F6" s="2"/>
      <c r="G6" s="13" t="s">
        <v>4</v>
      </c>
      <c r="H6" s="26">
        <v>7</v>
      </c>
      <c r="I6" s="26">
        <v>7</v>
      </c>
      <c r="J6" s="26">
        <v>15</v>
      </c>
    </row>
    <row r="7" spans="1:10" x14ac:dyDescent="0.25">
      <c r="A7" s="3">
        <v>20</v>
      </c>
      <c r="B7" s="14" t="s">
        <v>111</v>
      </c>
      <c r="C7" s="21">
        <v>125</v>
      </c>
      <c r="D7" s="15" t="s">
        <v>2</v>
      </c>
      <c r="E7" s="16" t="s">
        <v>103</v>
      </c>
      <c r="F7" s="2"/>
      <c r="G7" s="13" t="s">
        <v>4</v>
      </c>
      <c r="H7" s="26">
        <v>21</v>
      </c>
      <c r="I7" s="26">
        <v>22</v>
      </c>
      <c r="J7" s="26">
        <v>21</v>
      </c>
    </row>
    <row r="8" spans="1:10" x14ac:dyDescent="0.25">
      <c r="A8" s="3">
        <v>1</v>
      </c>
      <c r="B8" s="14" t="s">
        <v>111</v>
      </c>
      <c r="C8" s="21">
        <v>250</v>
      </c>
      <c r="D8" s="15" t="s">
        <v>2</v>
      </c>
      <c r="E8" s="16" t="s">
        <v>104</v>
      </c>
      <c r="F8" s="2"/>
      <c r="G8" s="13" t="s">
        <v>3</v>
      </c>
      <c r="H8" s="26">
        <v>2.5</v>
      </c>
      <c r="I8" s="26">
        <v>2</v>
      </c>
      <c r="J8" s="26">
        <v>3</v>
      </c>
    </row>
    <row r="9" spans="1:10" x14ac:dyDescent="0.25">
      <c r="A9" s="3">
        <v>4</v>
      </c>
      <c r="B9" s="14" t="s">
        <v>111</v>
      </c>
      <c r="C9" s="21">
        <v>150</v>
      </c>
      <c r="D9" s="15" t="s">
        <v>2</v>
      </c>
      <c r="E9" s="16" t="s">
        <v>127</v>
      </c>
      <c r="F9" s="2"/>
      <c r="G9" s="13" t="s">
        <v>4</v>
      </c>
      <c r="H9" s="26">
        <v>1</v>
      </c>
      <c r="I9" s="26">
        <v>1</v>
      </c>
      <c r="J9" s="26">
        <v>3</v>
      </c>
    </row>
    <row r="10" spans="1:10" x14ac:dyDescent="0.25">
      <c r="A10" s="3">
        <v>1</v>
      </c>
      <c r="B10" s="14" t="s">
        <v>111</v>
      </c>
      <c r="C10" s="21">
        <v>150</v>
      </c>
      <c r="D10" s="15" t="s">
        <v>2</v>
      </c>
      <c r="E10" s="16" t="s">
        <v>106</v>
      </c>
      <c r="F10" s="2"/>
      <c r="G10" s="13" t="s">
        <v>3</v>
      </c>
      <c r="H10" s="26">
        <v>0.5</v>
      </c>
      <c r="I10" s="26">
        <v>1</v>
      </c>
      <c r="J10" s="26">
        <v>2</v>
      </c>
    </row>
    <row r="11" spans="1:10" x14ac:dyDescent="0.25">
      <c r="A11" s="3">
        <v>4</v>
      </c>
      <c r="B11" s="14" t="s">
        <v>111</v>
      </c>
      <c r="C11" s="21">
        <v>63</v>
      </c>
      <c r="D11" s="15" t="s">
        <v>2</v>
      </c>
      <c r="E11" s="16" t="s">
        <v>128</v>
      </c>
      <c r="F11" s="2"/>
      <c r="G11" s="13" t="s">
        <v>4</v>
      </c>
      <c r="H11" s="26">
        <v>5.5</v>
      </c>
      <c r="I11" s="26">
        <v>5</v>
      </c>
      <c r="J11" s="26">
        <v>0.5</v>
      </c>
    </row>
    <row r="12" spans="1:10" x14ac:dyDescent="0.25">
      <c r="A12" s="3">
        <v>4</v>
      </c>
      <c r="B12" s="14" t="s">
        <v>111</v>
      </c>
      <c r="C12" s="21">
        <v>63</v>
      </c>
      <c r="D12" s="15" t="s">
        <v>2</v>
      </c>
      <c r="E12" s="16" t="s">
        <v>129</v>
      </c>
      <c r="F12" s="2"/>
      <c r="G12" s="13" t="s">
        <v>4</v>
      </c>
      <c r="H12" s="26">
        <v>4</v>
      </c>
      <c r="I12" s="26">
        <v>4</v>
      </c>
      <c r="J12" s="26">
        <v>3.5</v>
      </c>
    </row>
    <row r="13" spans="1:10" x14ac:dyDescent="0.25">
      <c r="A13" s="3">
        <v>4</v>
      </c>
      <c r="B13" s="14" t="s">
        <v>111</v>
      </c>
      <c r="C13" s="21">
        <v>63</v>
      </c>
      <c r="D13" s="15" t="s">
        <v>2</v>
      </c>
      <c r="E13" s="16" t="s">
        <v>130</v>
      </c>
      <c r="F13" s="2"/>
      <c r="G13" s="13" t="s">
        <v>4</v>
      </c>
      <c r="H13" s="26">
        <v>1</v>
      </c>
      <c r="I13" s="26">
        <v>1</v>
      </c>
      <c r="J13" s="26">
        <v>0.5</v>
      </c>
    </row>
    <row r="14" spans="1:10" x14ac:dyDescent="0.25">
      <c r="A14" s="3">
        <v>2</v>
      </c>
      <c r="B14" s="14" t="s">
        <v>111</v>
      </c>
      <c r="C14" s="21">
        <v>125</v>
      </c>
      <c r="D14" s="15" t="s">
        <v>2</v>
      </c>
      <c r="E14" s="16" t="s">
        <v>107</v>
      </c>
      <c r="F14" s="2"/>
      <c r="G14" s="13" t="s">
        <v>4</v>
      </c>
      <c r="H14" s="26">
        <v>1.3</v>
      </c>
      <c r="I14" s="26">
        <v>0.5</v>
      </c>
      <c r="J14" s="26">
        <v>2.2999999999999998</v>
      </c>
    </row>
    <row r="15" spans="1:10" x14ac:dyDescent="0.25">
      <c r="A15" s="3">
        <v>1</v>
      </c>
      <c r="B15" s="14" t="s">
        <v>111</v>
      </c>
      <c r="C15" s="21">
        <v>100</v>
      </c>
      <c r="D15" s="15" t="s">
        <v>2</v>
      </c>
      <c r="E15" s="16" t="s">
        <v>105</v>
      </c>
      <c r="F15" s="2"/>
      <c r="G15" s="13" t="s">
        <v>3</v>
      </c>
      <c r="H15" s="26">
        <v>1</v>
      </c>
      <c r="I15" s="26">
        <v>0.7</v>
      </c>
      <c r="J15" s="26">
        <v>0.1</v>
      </c>
    </row>
    <row r="16" spans="1:10" x14ac:dyDescent="0.25">
      <c r="A16" s="3">
        <v>1</v>
      </c>
      <c r="B16" s="14" t="s">
        <v>111</v>
      </c>
      <c r="C16" s="21">
        <v>5000</v>
      </c>
      <c r="D16" s="15" t="s">
        <v>2</v>
      </c>
      <c r="E16" s="16" t="s">
        <v>49</v>
      </c>
      <c r="F16" s="2"/>
      <c r="G16" s="13" t="s">
        <v>5</v>
      </c>
      <c r="H16" s="26">
        <v>0.3</v>
      </c>
      <c r="I16" s="26">
        <v>0.5</v>
      </c>
      <c r="J16" s="26">
        <v>1.1000000000000001</v>
      </c>
    </row>
    <row r="17" spans="1:10" x14ac:dyDescent="0.25">
      <c r="A17" s="3">
        <v>1</v>
      </c>
      <c r="B17" s="14" t="s">
        <v>111</v>
      </c>
      <c r="C17" s="21">
        <v>1000</v>
      </c>
      <c r="D17" s="15" t="s">
        <v>2</v>
      </c>
      <c r="E17" s="16" t="s">
        <v>37</v>
      </c>
      <c r="F17" s="2"/>
      <c r="G17" s="13" t="s">
        <v>38</v>
      </c>
      <c r="H17" s="26">
        <v>0.8</v>
      </c>
      <c r="I17" s="26">
        <v>0.7</v>
      </c>
      <c r="J17" s="26">
        <v>1</v>
      </c>
    </row>
    <row r="18" spans="1:10" x14ac:dyDescent="0.25">
      <c r="A18" s="3">
        <v>1</v>
      </c>
      <c r="B18" s="14" t="s">
        <v>111</v>
      </c>
      <c r="C18" s="21">
        <v>1</v>
      </c>
      <c r="D18" s="15" t="s">
        <v>2</v>
      </c>
      <c r="E18" s="16" t="s">
        <v>40</v>
      </c>
      <c r="F18" s="2"/>
      <c r="G18" s="13" t="s">
        <v>2</v>
      </c>
      <c r="H18" s="26">
        <v>0.1</v>
      </c>
      <c r="I18" s="26">
        <v>0.5</v>
      </c>
      <c r="J18" s="26">
        <v>1.1000000000000001</v>
      </c>
    </row>
    <row r="19" spans="1:10" x14ac:dyDescent="0.25">
      <c r="A19" s="3">
        <v>1</v>
      </c>
      <c r="B19" s="14" t="s">
        <v>111</v>
      </c>
      <c r="C19" s="21">
        <v>1</v>
      </c>
      <c r="D19" s="15" t="s">
        <v>2</v>
      </c>
      <c r="E19" s="16" t="s">
        <v>36</v>
      </c>
      <c r="F19" s="2"/>
      <c r="G19" s="13" t="s">
        <v>2</v>
      </c>
      <c r="H19" s="26">
        <v>0.9</v>
      </c>
      <c r="I19" s="26">
        <v>0.7</v>
      </c>
      <c r="J19" s="26">
        <v>1.1000000000000001</v>
      </c>
    </row>
    <row r="20" spans="1:10" x14ac:dyDescent="0.25">
      <c r="A20" s="3">
        <v>1</v>
      </c>
      <c r="B20" s="14" t="s">
        <v>111</v>
      </c>
      <c r="C20" s="21">
        <v>500</v>
      </c>
      <c r="D20" s="15" t="s">
        <v>2</v>
      </c>
      <c r="E20" s="16" t="s">
        <v>131</v>
      </c>
      <c r="F20" s="2"/>
      <c r="G20" s="13" t="s">
        <v>4</v>
      </c>
      <c r="H20" s="26">
        <v>2</v>
      </c>
      <c r="I20" s="26">
        <v>5</v>
      </c>
      <c r="J20" s="26">
        <v>0.5</v>
      </c>
    </row>
    <row r="21" spans="1:10" x14ac:dyDescent="0.25">
      <c r="A21" s="3">
        <v>2</v>
      </c>
      <c r="B21" s="14" t="s">
        <v>111</v>
      </c>
      <c r="C21" s="21">
        <v>250</v>
      </c>
      <c r="D21" s="15" t="s">
        <v>2</v>
      </c>
      <c r="E21" s="16" t="s">
        <v>132</v>
      </c>
      <c r="F21" s="2"/>
      <c r="G21" s="13" t="s">
        <v>4</v>
      </c>
      <c r="H21" s="26">
        <v>1</v>
      </c>
      <c r="I21" s="26">
        <v>0.5</v>
      </c>
      <c r="J21" s="26">
        <v>0.2</v>
      </c>
    </row>
    <row r="22" spans="1:10" x14ac:dyDescent="0.25">
      <c r="A22" s="3">
        <v>4</v>
      </c>
      <c r="B22" s="14" t="s">
        <v>111</v>
      </c>
      <c r="C22" s="21">
        <v>125</v>
      </c>
      <c r="D22" s="15" t="s">
        <v>2</v>
      </c>
      <c r="E22" s="16" t="s">
        <v>133</v>
      </c>
      <c r="F22" s="2"/>
      <c r="G22" s="13" t="s">
        <v>4</v>
      </c>
      <c r="H22" s="26">
        <v>3.7</v>
      </c>
      <c r="I22" s="26">
        <v>3</v>
      </c>
      <c r="J22" s="26">
        <v>3</v>
      </c>
    </row>
    <row r="23" spans="1:10" x14ac:dyDescent="0.25">
      <c r="A23" s="3">
        <v>2</v>
      </c>
      <c r="B23" s="14" t="s">
        <v>111</v>
      </c>
      <c r="C23" s="21">
        <v>250</v>
      </c>
      <c r="D23" s="15" t="s">
        <v>2</v>
      </c>
      <c r="E23" s="16" t="s">
        <v>134</v>
      </c>
      <c r="F23" s="2"/>
      <c r="G23" s="13" t="s">
        <v>4</v>
      </c>
      <c r="H23" s="26">
        <v>1.3</v>
      </c>
      <c r="I23" s="26">
        <v>1</v>
      </c>
      <c r="J23" s="26">
        <v>3</v>
      </c>
    </row>
    <row r="24" spans="1:10" x14ac:dyDescent="0.25">
      <c r="A24" s="3">
        <v>1</v>
      </c>
      <c r="B24" s="14" t="s">
        <v>111</v>
      </c>
      <c r="C24" s="21">
        <v>250</v>
      </c>
      <c r="D24" s="15" t="s">
        <v>2</v>
      </c>
      <c r="E24" s="16" t="s">
        <v>29</v>
      </c>
      <c r="F24" s="2"/>
      <c r="G24" s="13" t="s">
        <v>3</v>
      </c>
      <c r="H24" s="26">
        <v>0.5</v>
      </c>
      <c r="I24" s="26">
        <v>0.3</v>
      </c>
      <c r="J24" s="26">
        <v>1.1000000000000001</v>
      </c>
    </row>
    <row r="25" spans="1:10" x14ac:dyDescent="0.25">
      <c r="A25" s="3">
        <v>1</v>
      </c>
      <c r="B25" s="14" t="s">
        <v>111</v>
      </c>
      <c r="C25" s="21">
        <v>50</v>
      </c>
      <c r="D25" s="15" t="s">
        <v>2</v>
      </c>
      <c r="E25" s="16" t="s">
        <v>108</v>
      </c>
      <c r="F25" s="2"/>
      <c r="G25" s="13" t="s">
        <v>3</v>
      </c>
      <c r="H25" s="26">
        <v>0.2</v>
      </c>
      <c r="I25" s="26">
        <v>0.3</v>
      </c>
      <c r="J25" s="26">
        <v>2</v>
      </c>
    </row>
    <row r="26" spans="1:10" x14ac:dyDescent="0.25">
      <c r="A26" s="3">
        <v>5</v>
      </c>
      <c r="B26" s="14" t="s">
        <v>111</v>
      </c>
      <c r="C26" s="21">
        <v>1000</v>
      </c>
      <c r="D26" s="15" t="s">
        <v>2</v>
      </c>
      <c r="E26" s="16" t="s">
        <v>32</v>
      </c>
      <c r="F26" s="2"/>
      <c r="G26" s="13" t="s">
        <v>5</v>
      </c>
      <c r="H26" s="26">
        <v>5.5</v>
      </c>
      <c r="I26" s="26">
        <v>5</v>
      </c>
      <c r="J26" s="26">
        <v>10</v>
      </c>
    </row>
    <row r="27" spans="1:10" x14ac:dyDescent="0.25">
      <c r="A27" s="3">
        <v>2</v>
      </c>
      <c r="B27" s="14" t="s">
        <v>111</v>
      </c>
      <c r="C27" s="21">
        <v>1000</v>
      </c>
      <c r="D27" s="15" t="s">
        <v>2</v>
      </c>
      <c r="E27" s="16" t="s">
        <v>73</v>
      </c>
      <c r="F27" s="2"/>
      <c r="G27" s="13" t="s">
        <v>5</v>
      </c>
      <c r="H27" s="26">
        <v>3</v>
      </c>
      <c r="I27" s="26">
        <v>4</v>
      </c>
      <c r="J27" s="26">
        <v>5</v>
      </c>
    </row>
    <row r="28" spans="1:10" x14ac:dyDescent="0.25">
      <c r="A28" s="3">
        <v>2</v>
      </c>
      <c r="B28" s="14" t="s">
        <v>111</v>
      </c>
      <c r="C28" s="21">
        <v>1000</v>
      </c>
      <c r="D28" s="15" t="s">
        <v>2</v>
      </c>
      <c r="E28" s="16" t="s">
        <v>74</v>
      </c>
      <c r="F28" s="2"/>
      <c r="G28" s="13" t="s">
        <v>5</v>
      </c>
      <c r="H28" s="26">
        <v>2</v>
      </c>
      <c r="I28" s="26">
        <v>2</v>
      </c>
      <c r="J28" s="26">
        <v>5.2</v>
      </c>
    </row>
    <row r="29" spans="1:10" x14ac:dyDescent="0.25">
      <c r="A29" s="3">
        <v>2</v>
      </c>
      <c r="B29" s="14" t="s">
        <v>111</v>
      </c>
      <c r="C29" s="21">
        <v>1000</v>
      </c>
      <c r="D29" s="15" t="s">
        <v>2</v>
      </c>
      <c r="E29" s="16" t="s">
        <v>75</v>
      </c>
      <c r="F29" s="2"/>
      <c r="G29" s="13" t="s">
        <v>5</v>
      </c>
      <c r="H29" s="26">
        <v>1.3</v>
      </c>
      <c r="I29" s="26">
        <v>2</v>
      </c>
      <c r="J29" s="26">
        <v>7</v>
      </c>
    </row>
    <row r="30" spans="1:10" x14ac:dyDescent="0.25">
      <c r="A30" s="3">
        <v>2</v>
      </c>
      <c r="B30" s="14" t="s">
        <v>111</v>
      </c>
      <c r="C30" s="21">
        <v>1000</v>
      </c>
      <c r="D30" s="15" t="s">
        <v>2</v>
      </c>
      <c r="E30" s="16" t="s">
        <v>76</v>
      </c>
      <c r="F30" s="2"/>
      <c r="G30" s="13" t="s">
        <v>5</v>
      </c>
      <c r="H30" s="26">
        <v>0.8</v>
      </c>
      <c r="I30" s="26">
        <v>2</v>
      </c>
      <c r="J30" s="26">
        <v>1</v>
      </c>
    </row>
    <row r="31" spans="1:10" x14ac:dyDescent="0.25">
      <c r="A31" s="3">
        <v>10</v>
      </c>
      <c r="B31" s="14" t="s">
        <v>111</v>
      </c>
      <c r="C31" s="21">
        <v>100</v>
      </c>
      <c r="D31" s="15" t="s">
        <v>2</v>
      </c>
      <c r="E31" s="16" t="s">
        <v>47</v>
      </c>
      <c r="F31" s="2"/>
      <c r="G31" s="13" t="s">
        <v>5</v>
      </c>
      <c r="H31" s="26">
        <v>1.8</v>
      </c>
      <c r="I31" s="26">
        <v>3</v>
      </c>
      <c r="J31" s="26">
        <v>2.1</v>
      </c>
    </row>
    <row r="32" spans="1:10" x14ac:dyDescent="0.25">
      <c r="A32" s="3">
        <v>10</v>
      </c>
      <c r="B32" s="14" t="s">
        <v>111</v>
      </c>
      <c r="C32" s="21">
        <v>100</v>
      </c>
      <c r="D32" s="15" t="s">
        <v>2</v>
      </c>
      <c r="E32" s="16" t="s">
        <v>48</v>
      </c>
      <c r="F32" s="2"/>
      <c r="G32" s="13" t="s">
        <v>5</v>
      </c>
      <c r="H32" s="26">
        <v>1</v>
      </c>
      <c r="I32" s="26">
        <v>1</v>
      </c>
      <c r="J32" s="26">
        <v>1</v>
      </c>
    </row>
    <row r="33" spans="1:10" x14ac:dyDescent="0.25">
      <c r="A33" s="3">
        <v>2</v>
      </c>
      <c r="B33" s="14" t="s">
        <v>111</v>
      </c>
      <c r="C33" s="21">
        <v>200</v>
      </c>
      <c r="D33" s="15" t="s">
        <v>2</v>
      </c>
      <c r="E33" s="16" t="s">
        <v>25</v>
      </c>
      <c r="F33" s="2"/>
      <c r="G33" s="13" t="s">
        <v>16</v>
      </c>
      <c r="H33" s="26">
        <v>0.7</v>
      </c>
      <c r="I33" s="26">
        <v>0.3</v>
      </c>
      <c r="J33" s="26">
        <v>1.5</v>
      </c>
    </row>
    <row r="34" spans="1:10" x14ac:dyDescent="0.25">
      <c r="A34" s="3">
        <v>2</v>
      </c>
      <c r="B34" s="14" t="s">
        <v>111</v>
      </c>
      <c r="C34" s="21">
        <v>200</v>
      </c>
      <c r="D34" s="15" t="s">
        <v>2</v>
      </c>
      <c r="E34" s="16" t="s">
        <v>26</v>
      </c>
      <c r="F34" s="2"/>
      <c r="G34" s="13" t="s">
        <v>16</v>
      </c>
      <c r="H34" s="26">
        <v>1.5</v>
      </c>
      <c r="I34" s="26">
        <v>1.5</v>
      </c>
      <c r="J34" s="26">
        <v>1</v>
      </c>
    </row>
    <row r="35" spans="1:10" x14ac:dyDescent="0.25">
      <c r="A35" s="3">
        <v>1</v>
      </c>
      <c r="B35" s="14" t="s">
        <v>111</v>
      </c>
      <c r="C35" s="21">
        <v>500</v>
      </c>
      <c r="D35" s="15" t="s">
        <v>2</v>
      </c>
      <c r="E35" s="16" t="s">
        <v>27</v>
      </c>
      <c r="F35" s="2"/>
      <c r="G35" s="13" t="s">
        <v>16</v>
      </c>
      <c r="H35" s="26">
        <v>1.8</v>
      </c>
      <c r="I35" s="26">
        <v>1.7</v>
      </c>
      <c r="J35" s="26">
        <v>2</v>
      </c>
    </row>
    <row r="36" spans="1:10" x14ac:dyDescent="0.25">
      <c r="A36" s="3">
        <v>1</v>
      </c>
      <c r="B36" s="14" t="s">
        <v>111</v>
      </c>
      <c r="C36" s="21">
        <v>500</v>
      </c>
      <c r="D36" s="15" t="s">
        <v>2</v>
      </c>
      <c r="E36" s="16" t="s">
        <v>91</v>
      </c>
      <c r="F36" s="2"/>
      <c r="G36" s="13" t="s">
        <v>3</v>
      </c>
      <c r="H36" s="26">
        <v>2.8</v>
      </c>
      <c r="I36" s="26">
        <v>2.2999999999999998</v>
      </c>
      <c r="J36" s="26">
        <v>1.1000000000000001</v>
      </c>
    </row>
    <row r="37" spans="1:10" x14ac:dyDescent="0.25">
      <c r="A37" s="3">
        <v>1</v>
      </c>
      <c r="B37" s="14" t="s">
        <v>111</v>
      </c>
      <c r="C37" s="21">
        <v>1000</v>
      </c>
      <c r="D37" s="15" t="s">
        <v>2</v>
      </c>
      <c r="E37" s="16" t="s">
        <v>92</v>
      </c>
      <c r="F37" s="2"/>
      <c r="G37" s="13" t="s">
        <v>3</v>
      </c>
      <c r="H37" s="26">
        <v>1.5</v>
      </c>
      <c r="I37" s="26">
        <v>1.5</v>
      </c>
      <c r="J37" s="26">
        <v>2.5</v>
      </c>
    </row>
    <row r="38" spans="1:10" x14ac:dyDescent="0.25">
      <c r="A38" s="3">
        <v>1</v>
      </c>
      <c r="B38" s="14" t="s">
        <v>111</v>
      </c>
      <c r="C38" s="21">
        <v>1000</v>
      </c>
      <c r="D38" s="15" t="s">
        <v>2</v>
      </c>
      <c r="E38" s="16" t="s">
        <v>93</v>
      </c>
      <c r="F38" s="2"/>
      <c r="G38" s="13" t="s">
        <v>3</v>
      </c>
      <c r="H38" s="26">
        <v>2</v>
      </c>
      <c r="I38" s="26">
        <v>1.3</v>
      </c>
      <c r="J38" s="26">
        <v>1</v>
      </c>
    </row>
    <row r="39" spans="1:10" x14ac:dyDescent="0.25">
      <c r="A39" s="3">
        <v>1</v>
      </c>
      <c r="B39" s="14" t="s">
        <v>111</v>
      </c>
      <c r="C39" s="21">
        <v>250</v>
      </c>
      <c r="D39" s="15" t="s">
        <v>2</v>
      </c>
      <c r="E39" s="16" t="s">
        <v>94</v>
      </c>
      <c r="F39" s="2"/>
      <c r="G39" s="13" t="s">
        <v>3</v>
      </c>
      <c r="H39" s="26">
        <v>3</v>
      </c>
      <c r="I39" s="26">
        <v>0.7</v>
      </c>
      <c r="J39" s="26">
        <v>2.2999999999999998</v>
      </c>
    </row>
    <row r="40" spans="1:10" x14ac:dyDescent="0.25">
      <c r="A40" s="3">
        <v>1</v>
      </c>
      <c r="B40" s="14" t="s">
        <v>111</v>
      </c>
      <c r="C40" s="21">
        <v>200</v>
      </c>
      <c r="D40" s="15" t="s">
        <v>2</v>
      </c>
      <c r="E40" s="16" t="s">
        <v>95</v>
      </c>
      <c r="F40" s="2"/>
      <c r="G40" s="13" t="s">
        <v>3</v>
      </c>
      <c r="H40" s="26"/>
      <c r="I40" s="26">
        <v>1.5</v>
      </c>
      <c r="J40" s="26">
        <v>2.5</v>
      </c>
    </row>
    <row r="41" spans="1:10" x14ac:dyDescent="0.25">
      <c r="A41" s="3">
        <v>1</v>
      </c>
      <c r="B41" s="14" t="s">
        <v>111</v>
      </c>
      <c r="C41" s="21">
        <v>1000</v>
      </c>
      <c r="D41" s="15" t="s">
        <v>2</v>
      </c>
      <c r="E41" s="16" t="s">
        <v>22</v>
      </c>
      <c r="F41" s="2"/>
      <c r="G41" s="13" t="s">
        <v>3</v>
      </c>
      <c r="H41" s="26">
        <v>1.3</v>
      </c>
      <c r="I41" s="26">
        <v>1</v>
      </c>
      <c r="J41" s="26">
        <v>2</v>
      </c>
    </row>
    <row r="42" spans="1:10" x14ac:dyDescent="0.25">
      <c r="A42" s="3">
        <v>1</v>
      </c>
      <c r="B42" s="14" t="s">
        <v>111</v>
      </c>
      <c r="C42" s="21">
        <v>1000</v>
      </c>
      <c r="D42" s="15" t="s">
        <v>2</v>
      </c>
      <c r="E42" s="16" t="s">
        <v>23</v>
      </c>
      <c r="F42" s="2"/>
      <c r="G42" s="13" t="s">
        <v>3</v>
      </c>
      <c r="H42" s="26">
        <v>1.3</v>
      </c>
      <c r="I42" s="26">
        <v>1</v>
      </c>
      <c r="J42" s="26">
        <v>1</v>
      </c>
    </row>
    <row r="43" spans="1:10" x14ac:dyDescent="0.25">
      <c r="A43" s="3">
        <v>1</v>
      </c>
      <c r="B43" s="14" t="s">
        <v>111</v>
      </c>
      <c r="C43" s="21">
        <v>1000</v>
      </c>
      <c r="D43" s="15" t="s">
        <v>2</v>
      </c>
      <c r="E43" s="16" t="s">
        <v>34</v>
      </c>
      <c r="F43" s="2"/>
      <c r="G43" s="13" t="s">
        <v>3</v>
      </c>
      <c r="H43" s="26">
        <v>0.6</v>
      </c>
      <c r="I43" s="26">
        <v>0.5</v>
      </c>
      <c r="J43" s="26">
        <v>0.5</v>
      </c>
    </row>
    <row r="44" spans="1:10" x14ac:dyDescent="0.25">
      <c r="A44" s="3">
        <v>8</v>
      </c>
      <c r="B44" s="14" t="s">
        <v>111</v>
      </c>
      <c r="C44" s="21">
        <v>250</v>
      </c>
      <c r="D44" s="15" t="s">
        <v>2</v>
      </c>
      <c r="E44" s="16" t="s">
        <v>109</v>
      </c>
      <c r="F44" s="2"/>
      <c r="G44" s="13" t="s">
        <v>5</v>
      </c>
      <c r="H44" s="26">
        <v>18</v>
      </c>
      <c r="I44" s="26">
        <v>10</v>
      </c>
      <c r="J44" s="26">
        <v>2</v>
      </c>
    </row>
    <row r="45" spans="1:10" x14ac:dyDescent="0.25">
      <c r="A45" s="3">
        <v>12</v>
      </c>
      <c r="B45" s="14" t="s">
        <v>111</v>
      </c>
      <c r="C45" s="21">
        <v>500</v>
      </c>
      <c r="D45" s="15" t="s">
        <v>2</v>
      </c>
      <c r="E45" s="16" t="s">
        <v>110</v>
      </c>
      <c r="F45" s="2"/>
      <c r="G45" s="13" t="s">
        <v>3</v>
      </c>
      <c r="H45" s="26">
        <v>6</v>
      </c>
      <c r="I45" s="26">
        <v>0.5</v>
      </c>
      <c r="J45" s="26">
        <v>5</v>
      </c>
    </row>
    <row r="46" spans="1:10" x14ac:dyDescent="0.25">
      <c r="A46" s="3">
        <v>1</v>
      </c>
      <c r="B46" s="14" t="s">
        <v>111</v>
      </c>
      <c r="C46" s="21">
        <v>6</v>
      </c>
      <c r="D46" s="15" t="s">
        <v>2</v>
      </c>
      <c r="E46" s="16" t="s">
        <v>9</v>
      </c>
      <c r="F46" s="2"/>
      <c r="G46" s="13" t="s">
        <v>2</v>
      </c>
      <c r="H46" s="26">
        <v>6</v>
      </c>
      <c r="I46" s="26">
        <v>5</v>
      </c>
      <c r="J46" s="26">
        <v>8</v>
      </c>
    </row>
    <row r="47" spans="1:10" x14ac:dyDescent="0.25">
      <c r="A47" s="3">
        <v>1</v>
      </c>
      <c r="B47" s="14" t="s">
        <v>111</v>
      </c>
      <c r="C47" s="21">
        <v>100</v>
      </c>
      <c r="D47" s="15" t="s">
        <v>2</v>
      </c>
      <c r="E47" s="16" t="s">
        <v>43</v>
      </c>
      <c r="F47" s="2"/>
      <c r="G47" s="13" t="s">
        <v>38</v>
      </c>
      <c r="H47" s="26">
        <v>0.9</v>
      </c>
      <c r="I47" s="26">
        <v>1</v>
      </c>
      <c r="J47" s="26">
        <v>0.3</v>
      </c>
    </row>
    <row r="48" spans="1:10" x14ac:dyDescent="0.25">
      <c r="A48" s="3">
        <v>1</v>
      </c>
      <c r="B48" s="14" t="s">
        <v>111</v>
      </c>
      <c r="C48" s="21">
        <v>50</v>
      </c>
      <c r="D48" s="15" t="s">
        <v>2</v>
      </c>
      <c r="E48" s="16" t="s">
        <v>41</v>
      </c>
      <c r="F48" s="2"/>
      <c r="G48" s="13" t="s">
        <v>38</v>
      </c>
      <c r="H48" s="26">
        <v>0.9</v>
      </c>
      <c r="I48" s="26">
        <v>1</v>
      </c>
      <c r="J48" s="26">
        <v>0.1</v>
      </c>
    </row>
    <row r="49" spans="1:10" x14ac:dyDescent="0.25">
      <c r="A49" s="3">
        <v>1</v>
      </c>
      <c r="B49" s="14" t="s">
        <v>111</v>
      </c>
      <c r="C49" s="21">
        <v>4</v>
      </c>
      <c r="D49" s="15" t="s">
        <v>2</v>
      </c>
      <c r="E49" s="16" t="s">
        <v>65</v>
      </c>
      <c r="F49" s="2"/>
      <c r="G49" s="13" t="s">
        <v>2</v>
      </c>
      <c r="H49" s="26">
        <v>3</v>
      </c>
      <c r="I49" s="26">
        <v>2</v>
      </c>
      <c r="J49" s="26">
        <v>8</v>
      </c>
    </row>
    <row r="50" spans="1:10" x14ac:dyDescent="0.25">
      <c r="A50" s="3">
        <v>1</v>
      </c>
      <c r="B50" s="14" t="s">
        <v>111</v>
      </c>
      <c r="C50" s="21">
        <v>4</v>
      </c>
      <c r="D50" s="15" t="s">
        <v>2</v>
      </c>
      <c r="E50" s="16" t="s">
        <v>28</v>
      </c>
      <c r="F50" s="2"/>
      <c r="G50" s="13" t="s">
        <v>2</v>
      </c>
      <c r="H50" s="26">
        <v>5</v>
      </c>
      <c r="I50" s="26">
        <v>5</v>
      </c>
      <c r="J50" s="26">
        <v>2</v>
      </c>
    </row>
    <row r="51" spans="1:10" x14ac:dyDescent="0.25">
      <c r="A51" s="3">
        <v>1</v>
      </c>
      <c r="B51" s="14" t="s">
        <v>111</v>
      </c>
      <c r="C51" s="21">
        <v>2</v>
      </c>
      <c r="D51" s="15" t="s">
        <v>2</v>
      </c>
      <c r="E51" s="16" t="s">
        <v>31</v>
      </c>
      <c r="F51" s="2"/>
      <c r="G51" s="13" t="s">
        <v>2</v>
      </c>
      <c r="H51" s="26">
        <v>3</v>
      </c>
      <c r="I51" s="26">
        <v>3</v>
      </c>
      <c r="J51" s="26">
        <v>3</v>
      </c>
    </row>
    <row r="52" spans="1:10" x14ac:dyDescent="0.25">
      <c r="A52" s="3">
        <v>1</v>
      </c>
      <c r="B52" s="14" t="s">
        <v>111</v>
      </c>
      <c r="C52" s="21">
        <v>2</v>
      </c>
      <c r="D52" s="15" t="s">
        <v>2</v>
      </c>
      <c r="E52" s="16" t="s">
        <v>8</v>
      </c>
      <c r="F52" s="2"/>
      <c r="G52" s="13" t="s">
        <v>2</v>
      </c>
      <c r="H52" s="26">
        <v>2</v>
      </c>
      <c r="I52" s="26">
        <v>2</v>
      </c>
      <c r="J52" s="26">
        <v>2</v>
      </c>
    </row>
    <row r="53" spans="1:10" x14ac:dyDescent="0.25">
      <c r="A53" s="3">
        <v>1</v>
      </c>
      <c r="B53" s="14" t="s">
        <v>111</v>
      </c>
      <c r="C53" s="21">
        <v>100</v>
      </c>
      <c r="D53" s="15" t="s">
        <v>2</v>
      </c>
      <c r="E53" s="16" t="s">
        <v>52</v>
      </c>
      <c r="F53" s="2"/>
      <c r="G53" s="13" t="s">
        <v>38</v>
      </c>
      <c r="H53" s="26">
        <v>6</v>
      </c>
      <c r="I53" s="26">
        <v>5</v>
      </c>
      <c r="J53" s="26">
        <v>5</v>
      </c>
    </row>
    <row r="54" spans="1:10" x14ac:dyDescent="0.25">
      <c r="A54" s="3">
        <v>1</v>
      </c>
      <c r="B54" s="14" t="s">
        <v>111</v>
      </c>
      <c r="C54" s="21">
        <v>100</v>
      </c>
      <c r="D54" s="15" t="s">
        <v>2</v>
      </c>
      <c r="E54" s="16" t="s">
        <v>53</v>
      </c>
      <c r="F54" s="2"/>
      <c r="G54" s="13" t="s">
        <v>38</v>
      </c>
      <c r="H54" s="26"/>
      <c r="I54" s="26">
        <v>1</v>
      </c>
      <c r="J54" s="26">
        <v>6</v>
      </c>
    </row>
    <row r="55" spans="1:10" x14ac:dyDescent="0.25">
      <c r="A55" s="3">
        <v>20</v>
      </c>
      <c r="B55" s="14" t="s">
        <v>111</v>
      </c>
      <c r="C55" s="21">
        <v>50</v>
      </c>
      <c r="D55" s="15" t="s">
        <v>2</v>
      </c>
      <c r="E55" s="16" t="s">
        <v>135</v>
      </c>
      <c r="F55" s="2"/>
      <c r="G55" s="13" t="s">
        <v>4</v>
      </c>
      <c r="H55" s="26">
        <v>15</v>
      </c>
      <c r="I55" s="26">
        <v>13</v>
      </c>
      <c r="J55" s="26">
        <v>14</v>
      </c>
    </row>
    <row r="56" spans="1:10" x14ac:dyDescent="0.25">
      <c r="A56" s="3">
        <v>12</v>
      </c>
      <c r="B56" s="14" t="s">
        <v>111</v>
      </c>
      <c r="C56" s="21">
        <v>50</v>
      </c>
      <c r="D56" s="15" t="s">
        <v>2</v>
      </c>
      <c r="E56" s="16" t="s">
        <v>136</v>
      </c>
      <c r="F56" s="2"/>
      <c r="G56" s="13" t="s">
        <v>4</v>
      </c>
      <c r="H56" s="26">
        <v>9</v>
      </c>
      <c r="I56" s="26">
        <v>9</v>
      </c>
      <c r="J56" s="26">
        <v>8</v>
      </c>
    </row>
    <row r="57" spans="1:10" x14ac:dyDescent="0.25">
      <c r="A57" s="3">
        <v>12</v>
      </c>
      <c r="B57" s="14" t="s">
        <v>111</v>
      </c>
      <c r="C57" s="21">
        <v>50</v>
      </c>
      <c r="D57" s="15" t="s">
        <v>2</v>
      </c>
      <c r="E57" s="16" t="s">
        <v>137</v>
      </c>
      <c r="F57" s="2"/>
      <c r="G57" s="13" t="s">
        <v>4</v>
      </c>
      <c r="H57" s="26">
        <v>5</v>
      </c>
      <c r="I57" s="26">
        <v>5</v>
      </c>
      <c r="J57" s="26">
        <v>4</v>
      </c>
    </row>
    <row r="58" spans="1:10" x14ac:dyDescent="0.25">
      <c r="A58" s="3">
        <v>10</v>
      </c>
      <c r="B58" s="14" t="s">
        <v>111</v>
      </c>
      <c r="C58" s="21">
        <v>100</v>
      </c>
      <c r="D58" s="15" t="s">
        <v>2</v>
      </c>
      <c r="E58" s="16" t="s">
        <v>50</v>
      </c>
      <c r="F58" s="2"/>
      <c r="G58" s="13" t="s">
        <v>4</v>
      </c>
      <c r="H58" s="26">
        <v>12</v>
      </c>
      <c r="I58" s="26">
        <v>13</v>
      </c>
      <c r="J58" s="26">
        <v>12</v>
      </c>
    </row>
    <row r="59" spans="1:10" x14ac:dyDescent="0.25">
      <c r="A59" s="3">
        <v>20</v>
      </c>
      <c r="B59" s="14" t="s">
        <v>111</v>
      </c>
      <c r="C59" s="21">
        <v>50</v>
      </c>
      <c r="D59" s="15" t="s">
        <v>2</v>
      </c>
      <c r="E59" s="16" t="s">
        <v>125</v>
      </c>
      <c r="F59" s="2"/>
      <c r="G59" s="13" t="s">
        <v>4</v>
      </c>
      <c r="H59" s="26">
        <v>17</v>
      </c>
      <c r="I59" s="26">
        <v>14</v>
      </c>
      <c r="J59" s="26">
        <v>17</v>
      </c>
    </row>
    <row r="60" spans="1:10" x14ac:dyDescent="0.25">
      <c r="A60" s="3">
        <v>15</v>
      </c>
      <c r="B60" s="14" t="s">
        <v>111</v>
      </c>
      <c r="C60" s="21">
        <v>40</v>
      </c>
      <c r="D60" s="15" t="s">
        <v>2</v>
      </c>
      <c r="E60" s="16" t="s">
        <v>126</v>
      </c>
      <c r="F60" s="2"/>
      <c r="G60" s="13" t="s">
        <v>4</v>
      </c>
      <c r="H60" s="26">
        <v>18</v>
      </c>
      <c r="I60" s="26">
        <v>18</v>
      </c>
      <c r="J60" s="26">
        <v>15</v>
      </c>
    </row>
    <row r="61" spans="1:10" x14ac:dyDescent="0.25">
      <c r="A61" s="3">
        <v>20</v>
      </c>
      <c r="B61" s="14" t="s">
        <v>111</v>
      </c>
      <c r="C61" s="21">
        <v>50</v>
      </c>
      <c r="D61" s="15" t="s">
        <v>2</v>
      </c>
      <c r="E61" s="16" t="s">
        <v>51</v>
      </c>
      <c r="F61" s="2"/>
      <c r="G61" s="13" t="s">
        <v>4</v>
      </c>
      <c r="H61" s="26">
        <v>5</v>
      </c>
      <c r="I61" s="26">
        <v>5</v>
      </c>
      <c r="J61" s="26">
        <v>5</v>
      </c>
    </row>
    <row r="62" spans="1:10" x14ac:dyDescent="0.25">
      <c r="A62" s="3">
        <v>1</v>
      </c>
      <c r="B62" s="14" t="s">
        <v>111</v>
      </c>
      <c r="C62" s="21">
        <v>1000</v>
      </c>
      <c r="D62" s="15" t="s">
        <v>2</v>
      </c>
      <c r="E62" s="16" t="s">
        <v>123</v>
      </c>
      <c r="F62" s="2"/>
      <c r="G62" s="13" t="s">
        <v>3</v>
      </c>
      <c r="H62" s="26">
        <v>1.3</v>
      </c>
      <c r="I62" s="26">
        <v>1.5</v>
      </c>
      <c r="J62" s="26">
        <v>1.3</v>
      </c>
    </row>
    <row r="63" spans="1:10" x14ac:dyDescent="0.25">
      <c r="A63" s="3">
        <v>6</v>
      </c>
      <c r="B63" s="14" t="s">
        <v>111</v>
      </c>
      <c r="C63" s="21">
        <v>600</v>
      </c>
      <c r="D63" s="15" t="s">
        <v>2</v>
      </c>
      <c r="E63" s="16" t="s">
        <v>139</v>
      </c>
      <c r="F63" s="2"/>
      <c r="G63" s="13" t="s">
        <v>38</v>
      </c>
      <c r="H63" s="26">
        <v>3</v>
      </c>
      <c r="I63" s="26">
        <v>1</v>
      </c>
      <c r="J63" s="26">
        <v>6</v>
      </c>
    </row>
    <row r="64" spans="1:10" x14ac:dyDescent="0.25">
      <c r="A64" s="3">
        <v>12</v>
      </c>
      <c r="B64" s="14" t="s">
        <v>111</v>
      </c>
      <c r="C64" s="21">
        <v>500</v>
      </c>
      <c r="D64" s="15" t="s">
        <v>2</v>
      </c>
      <c r="E64" s="16" t="s">
        <v>175</v>
      </c>
      <c r="F64" s="2"/>
      <c r="G64" s="13" t="s">
        <v>38</v>
      </c>
      <c r="H64" s="26">
        <v>1</v>
      </c>
      <c r="I64" s="26">
        <v>1</v>
      </c>
      <c r="J64" s="26">
        <v>1</v>
      </c>
    </row>
    <row r="65" spans="1:10" x14ac:dyDescent="0.25">
      <c r="A65" s="3">
        <v>1</v>
      </c>
      <c r="B65" s="14" t="s">
        <v>111</v>
      </c>
      <c r="C65" s="21">
        <v>12</v>
      </c>
      <c r="D65" s="15" t="s">
        <v>141</v>
      </c>
      <c r="E65" s="16" t="s">
        <v>142</v>
      </c>
      <c r="F65" s="2"/>
      <c r="G65" s="13" t="s">
        <v>2</v>
      </c>
      <c r="H65" s="26">
        <v>8</v>
      </c>
      <c r="I65" s="26">
        <v>8</v>
      </c>
      <c r="J65" s="26">
        <v>6</v>
      </c>
    </row>
    <row r="66" spans="1:10" x14ac:dyDescent="0.25">
      <c r="A66" s="3">
        <v>4</v>
      </c>
      <c r="B66" s="14" t="s">
        <v>111</v>
      </c>
      <c r="C66" s="21">
        <v>128</v>
      </c>
      <c r="D66" s="15" t="s">
        <v>144</v>
      </c>
      <c r="E66" s="16" t="s">
        <v>145</v>
      </c>
      <c r="F66" s="2"/>
      <c r="G66" s="13" t="s">
        <v>2</v>
      </c>
      <c r="H66" s="26">
        <v>5.5</v>
      </c>
      <c r="I66" s="26">
        <v>4</v>
      </c>
      <c r="J66" s="26">
        <v>5</v>
      </c>
    </row>
    <row r="67" spans="1:10" x14ac:dyDescent="0.25">
      <c r="A67" s="3">
        <v>3</v>
      </c>
      <c r="B67" s="14" t="s">
        <v>111</v>
      </c>
      <c r="C67" s="21">
        <v>80</v>
      </c>
      <c r="D67" s="15" t="s">
        <v>144</v>
      </c>
      <c r="E67" s="16" t="s">
        <v>147</v>
      </c>
      <c r="F67" s="2"/>
      <c r="G67" s="13" t="s">
        <v>2</v>
      </c>
      <c r="H67" s="26">
        <v>2.2999999999999998</v>
      </c>
      <c r="I67" s="26">
        <v>2</v>
      </c>
      <c r="J67" s="26">
        <v>7</v>
      </c>
    </row>
    <row r="68" spans="1:10" x14ac:dyDescent="0.25">
      <c r="A68" s="3">
        <v>8</v>
      </c>
      <c r="B68" s="14" t="s">
        <v>111</v>
      </c>
      <c r="C68" s="21">
        <v>64</v>
      </c>
      <c r="D68" s="15" t="s">
        <v>144</v>
      </c>
      <c r="E68" s="16" t="s">
        <v>149</v>
      </c>
      <c r="F68" s="2"/>
      <c r="G68" s="13" t="s">
        <v>2</v>
      </c>
      <c r="H68" s="26">
        <v>7.5</v>
      </c>
      <c r="I68" s="26">
        <v>6</v>
      </c>
      <c r="J68" s="26">
        <v>6</v>
      </c>
    </row>
    <row r="69" spans="1:10" x14ac:dyDescent="0.25">
      <c r="A69" s="3">
        <v>20</v>
      </c>
      <c r="B69" s="14" t="s">
        <v>111</v>
      </c>
      <c r="C69" s="21">
        <v>25</v>
      </c>
      <c r="D69" s="15" t="s">
        <v>2</v>
      </c>
      <c r="E69" s="16" t="s">
        <v>151</v>
      </c>
      <c r="F69" s="2"/>
      <c r="G69" s="13" t="s">
        <v>2</v>
      </c>
      <c r="H69" s="26">
        <v>3</v>
      </c>
      <c r="I69" s="26">
        <v>1</v>
      </c>
      <c r="J69" s="26">
        <v>10</v>
      </c>
    </row>
    <row r="70" spans="1:10" x14ac:dyDescent="0.25">
      <c r="A70" s="3">
        <v>10</v>
      </c>
      <c r="B70" s="14" t="s">
        <v>111</v>
      </c>
      <c r="C70" s="21">
        <v>25</v>
      </c>
      <c r="D70" s="15" t="s">
        <v>2</v>
      </c>
      <c r="E70" s="16" t="s">
        <v>153</v>
      </c>
      <c r="F70" s="2"/>
      <c r="G70" s="13" t="s">
        <v>2</v>
      </c>
      <c r="H70" s="26">
        <v>3</v>
      </c>
      <c r="I70" s="26">
        <v>3</v>
      </c>
      <c r="J70" s="26">
        <v>1.5</v>
      </c>
    </row>
    <row r="71" spans="1:10" x14ac:dyDescent="0.25">
      <c r="A71" s="3">
        <v>1</v>
      </c>
      <c r="B71" s="14" t="s">
        <v>111</v>
      </c>
      <c r="C71" s="21">
        <v>12</v>
      </c>
      <c r="D71" s="15" t="s">
        <v>2</v>
      </c>
      <c r="E71" s="16" t="s">
        <v>155</v>
      </c>
      <c r="F71" s="2"/>
      <c r="G71" s="13" t="s">
        <v>2</v>
      </c>
      <c r="H71" s="26">
        <v>2</v>
      </c>
      <c r="I71" s="26">
        <v>1</v>
      </c>
      <c r="J71" s="26">
        <v>3</v>
      </c>
    </row>
    <row r="72" spans="1:10" x14ac:dyDescent="0.25">
      <c r="A72" s="3">
        <v>1</v>
      </c>
      <c r="B72" s="14" t="s">
        <v>111</v>
      </c>
      <c r="C72" s="21">
        <v>12</v>
      </c>
      <c r="D72" s="15" t="s">
        <v>2</v>
      </c>
      <c r="E72" s="16" t="s">
        <v>157</v>
      </c>
      <c r="F72" s="2"/>
      <c r="G72" s="13" t="s">
        <v>2</v>
      </c>
      <c r="H72" s="26">
        <v>6</v>
      </c>
      <c r="I72" s="26">
        <v>6</v>
      </c>
      <c r="J72" s="26">
        <v>6</v>
      </c>
    </row>
    <row r="73" spans="1:10" x14ac:dyDescent="0.25">
      <c r="A73" s="3">
        <v>20</v>
      </c>
      <c r="B73" s="14" t="s">
        <v>111</v>
      </c>
      <c r="C73" s="21">
        <v>50</v>
      </c>
      <c r="D73" s="15" t="s">
        <v>2</v>
      </c>
      <c r="E73" s="16" t="s">
        <v>159</v>
      </c>
      <c r="F73" s="2"/>
      <c r="G73" s="13" t="s">
        <v>4</v>
      </c>
      <c r="H73" s="26">
        <v>19</v>
      </c>
      <c r="I73" s="26">
        <v>18</v>
      </c>
      <c r="J73" s="26">
        <v>18</v>
      </c>
    </row>
    <row r="74" spans="1:10" x14ac:dyDescent="0.25">
      <c r="A74" s="3">
        <v>20</v>
      </c>
      <c r="B74" s="14" t="s">
        <v>111</v>
      </c>
      <c r="C74" s="21">
        <v>50</v>
      </c>
      <c r="D74" s="15" t="s">
        <v>2</v>
      </c>
      <c r="E74" s="16" t="s">
        <v>161</v>
      </c>
      <c r="F74" s="2"/>
      <c r="G74" s="13" t="s">
        <v>4</v>
      </c>
      <c r="H74" s="26">
        <v>23</v>
      </c>
      <c r="I74" s="26">
        <v>23</v>
      </c>
      <c r="J74" s="26">
        <v>23</v>
      </c>
    </row>
    <row r="75" spans="1:10" x14ac:dyDescent="0.25">
      <c r="A75" s="3">
        <v>10</v>
      </c>
      <c r="B75" s="14" t="s">
        <v>111</v>
      </c>
      <c r="C75" s="21">
        <v>100</v>
      </c>
      <c r="D75" s="15" t="s">
        <v>2</v>
      </c>
      <c r="E75" s="16" t="s">
        <v>163</v>
      </c>
      <c r="F75" s="2"/>
      <c r="G75" s="13" t="s">
        <v>4</v>
      </c>
      <c r="H75" s="26">
        <v>9</v>
      </c>
      <c r="I75" s="26">
        <v>10</v>
      </c>
      <c r="J75" s="26">
        <v>16</v>
      </c>
    </row>
    <row r="76" spans="1:10" x14ac:dyDescent="0.25">
      <c r="A76" s="3">
        <v>5</v>
      </c>
      <c r="B76" s="14" t="s">
        <v>111</v>
      </c>
      <c r="C76" s="21">
        <v>1000</v>
      </c>
      <c r="D76" s="15" t="s">
        <v>2</v>
      </c>
      <c r="E76" s="16" t="s">
        <v>165</v>
      </c>
      <c r="F76" s="2"/>
      <c r="G76" s="13" t="s">
        <v>38</v>
      </c>
      <c r="H76" s="26">
        <v>5.5</v>
      </c>
      <c r="I76" s="26">
        <v>5</v>
      </c>
      <c r="J76" s="26">
        <v>1</v>
      </c>
    </row>
    <row r="77" spans="1:10" x14ac:dyDescent="0.25">
      <c r="A77" s="3">
        <v>5</v>
      </c>
      <c r="B77" s="14" t="s">
        <v>111</v>
      </c>
      <c r="C77" s="21">
        <v>1000</v>
      </c>
      <c r="D77" s="15" t="s">
        <v>2</v>
      </c>
      <c r="E77" s="16" t="s">
        <v>167</v>
      </c>
      <c r="F77" s="2"/>
      <c r="G77" s="13" t="s">
        <v>38</v>
      </c>
      <c r="H77" s="26">
        <v>7</v>
      </c>
      <c r="I77" s="26">
        <v>7</v>
      </c>
      <c r="J77" s="26">
        <v>2</v>
      </c>
    </row>
    <row r="78" spans="1:10" x14ac:dyDescent="0.25">
      <c r="A78" s="3">
        <v>5</v>
      </c>
      <c r="B78" s="14" t="s">
        <v>111</v>
      </c>
      <c r="C78" s="21">
        <v>1000</v>
      </c>
      <c r="D78" s="15" t="s">
        <v>2</v>
      </c>
      <c r="E78" s="16" t="s">
        <v>169</v>
      </c>
      <c r="F78" s="2"/>
      <c r="G78" s="13" t="s">
        <v>38</v>
      </c>
      <c r="H78" s="26">
        <v>5.7</v>
      </c>
      <c r="I78" s="26">
        <v>6</v>
      </c>
      <c r="J78" s="26">
        <v>2</v>
      </c>
    </row>
    <row r="79" spans="1:10" x14ac:dyDescent="0.25">
      <c r="A79" s="3">
        <v>1</v>
      </c>
      <c r="B79" s="14" t="s">
        <v>111</v>
      </c>
      <c r="C79" s="21">
        <v>2000</v>
      </c>
      <c r="D79" s="15" t="s">
        <v>2</v>
      </c>
      <c r="E79" s="16" t="s">
        <v>171</v>
      </c>
      <c r="F79" s="2"/>
      <c r="G79" s="13" t="s">
        <v>38</v>
      </c>
      <c r="H79" s="26">
        <v>0.5</v>
      </c>
      <c r="I79" s="26">
        <v>0.9</v>
      </c>
      <c r="J79" s="26">
        <v>1</v>
      </c>
    </row>
    <row r="80" spans="1:10" x14ac:dyDescent="0.25">
      <c r="A80" s="3">
        <v>1</v>
      </c>
      <c r="B80" s="14" t="s">
        <v>111</v>
      </c>
      <c r="C80" s="21">
        <v>40</v>
      </c>
      <c r="D80" s="15" t="s">
        <v>2</v>
      </c>
      <c r="E80" s="16" t="s">
        <v>173</v>
      </c>
      <c r="F80" s="2"/>
      <c r="G80" s="13" t="s">
        <v>2</v>
      </c>
      <c r="H80" s="26">
        <v>37</v>
      </c>
      <c r="I80" s="26">
        <v>38</v>
      </c>
      <c r="J80" s="26">
        <v>10</v>
      </c>
    </row>
  </sheetData>
  <pageMargins left="0.24" right="0.24" top="0.96899999999999997" bottom="0.6" header="0.3" footer="0.24"/>
  <pageSetup orientation="portrait" r:id="rId1"/>
  <headerFooter>
    <oddHeader>&amp;L&amp;"Times New Roman,Bold"&amp;16NORTH&amp;C&amp;"Times New Roman,Bold"&amp;16LEONARD PAPER&amp;R&amp;"Times New Roman,Regular"&amp;8Printed &amp;D &amp;T</oddHeader>
    <oddFooter>&amp;C&amp;"Times New Roman,Regular"&amp;8REP: MJ LEONARD CELL: 410-458-6136 - EMAIL: mjleonard@leonardpaper.com
Store Forms - Documents/Chantilly/INVENTORY ORDER FORMS/&amp;F(GV Rev.2/24/25)&amp;R&amp;"Times New Roman,Regular"&amp;8Page &amp;P of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D094-FE9E-4B62-860A-9ABB998471FE}">
  <sheetPr codeName="Sheet3"/>
  <dimension ref="A1:J80"/>
  <sheetViews>
    <sheetView view="pageLayout" zoomScaleNormal="100" workbookViewId="0">
      <selection activeCell="L45" sqref="L45"/>
    </sheetView>
  </sheetViews>
  <sheetFormatPr defaultRowHeight="15" x14ac:dyDescent="0.25"/>
  <cols>
    <col min="3" max="3" width="5" bestFit="1" customWidth="1"/>
    <col min="4" max="4" width="3.140625" bestFit="1" customWidth="1"/>
    <col min="8" max="9" width="6.140625" bestFit="1" customWidth="1"/>
  </cols>
  <sheetData>
    <row r="1" spans="1:10" x14ac:dyDescent="0.25">
      <c r="A1" s="114" t="s">
        <v>89</v>
      </c>
      <c r="B1" s="115"/>
      <c r="C1" s="115"/>
      <c r="D1" s="116"/>
      <c r="E1" s="22" t="s">
        <v>90</v>
      </c>
      <c r="F1" s="114" t="s">
        <v>6</v>
      </c>
      <c r="G1" s="116"/>
      <c r="H1" s="25" t="s">
        <v>180</v>
      </c>
      <c r="I1" s="25" t="s">
        <v>178</v>
      </c>
      <c r="J1" s="25" t="s">
        <v>181</v>
      </c>
    </row>
    <row r="2" spans="1:10" x14ac:dyDescent="0.25">
      <c r="A2" s="3">
        <v>10</v>
      </c>
      <c r="B2" s="14" t="s">
        <v>111</v>
      </c>
      <c r="C2" s="21">
        <v>250</v>
      </c>
      <c r="D2" s="15" t="s">
        <v>2</v>
      </c>
      <c r="E2" s="16" t="s">
        <v>98</v>
      </c>
      <c r="F2" s="2"/>
      <c r="G2" s="13" t="s">
        <v>3</v>
      </c>
      <c r="H2" s="26">
        <v>5</v>
      </c>
      <c r="I2" s="26">
        <v>4</v>
      </c>
      <c r="J2" s="26">
        <v>-1</v>
      </c>
    </row>
    <row r="3" spans="1:10" x14ac:dyDescent="0.25">
      <c r="A3" s="3">
        <v>20</v>
      </c>
      <c r="B3" s="14" t="s">
        <v>111</v>
      </c>
      <c r="C3" s="21">
        <v>125</v>
      </c>
      <c r="D3" s="15" t="s">
        <v>2</v>
      </c>
      <c r="E3" s="16" t="s">
        <v>99</v>
      </c>
      <c r="F3" s="2"/>
      <c r="G3" s="13" t="s">
        <v>3</v>
      </c>
      <c r="H3" s="26">
        <v>5</v>
      </c>
      <c r="I3" s="26">
        <v>4</v>
      </c>
      <c r="J3" s="26">
        <v>-1</v>
      </c>
    </row>
    <row r="4" spans="1:10" x14ac:dyDescent="0.25">
      <c r="A4" s="3">
        <v>10</v>
      </c>
      <c r="B4" s="14" t="s">
        <v>111</v>
      </c>
      <c r="C4" s="21">
        <v>250</v>
      </c>
      <c r="D4" s="15" t="s">
        <v>2</v>
      </c>
      <c r="E4" s="16" t="s">
        <v>100</v>
      </c>
      <c r="F4" s="2"/>
      <c r="G4" s="13" t="s">
        <v>4</v>
      </c>
      <c r="H4" s="26">
        <v>13</v>
      </c>
      <c r="I4" s="26">
        <v>13</v>
      </c>
      <c r="J4" s="26">
        <v>0</v>
      </c>
    </row>
    <row r="5" spans="1:10" x14ac:dyDescent="0.25">
      <c r="A5" s="3">
        <v>25</v>
      </c>
      <c r="B5" s="14" t="s">
        <v>111</v>
      </c>
      <c r="C5" s="21">
        <v>100</v>
      </c>
      <c r="D5" s="15" t="s">
        <v>2</v>
      </c>
      <c r="E5" s="16" t="s">
        <v>101</v>
      </c>
      <c r="F5" s="2"/>
      <c r="G5" s="13" t="s">
        <v>4</v>
      </c>
      <c r="H5" s="26">
        <v>9</v>
      </c>
      <c r="I5" s="26">
        <v>8</v>
      </c>
      <c r="J5" s="26">
        <v>-1</v>
      </c>
    </row>
    <row r="6" spans="1:10" x14ac:dyDescent="0.25">
      <c r="A6" s="3">
        <v>20</v>
      </c>
      <c r="B6" s="14" t="s">
        <v>111</v>
      </c>
      <c r="C6" s="21">
        <v>125</v>
      </c>
      <c r="D6" s="15" t="s">
        <v>2</v>
      </c>
      <c r="E6" s="16" t="s">
        <v>102</v>
      </c>
      <c r="F6" s="2"/>
      <c r="G6" s="13" t="s">
        <v>4</v>
      </c>
      <c r="H6" s="26">
        <v>7</v>
      </c>
      <c r="I6" s="26">
        <v>7</v>
      </c>
      <c r="J6" s="26">
        <v>0</v>
      </c>
    </row>
    <row r="7" spans="1:10" x14ac:dyDescent="0.25">
      <c r="A7" s="3">
        <v>20</v>
      </c>
      <c r="B7" s="14" t="s">
        <v>111</v>
      </c>
      <c r="C7" s="21">
        <v>125</v>
      </c>
      <c r="D7" s="15" t="s">
        <v>2</v>
      </c>
      <c r="E7" s="16" t="s">
        <v>103</v>
      </c>
      <c r="F7" s="2"/>
      <c r="G7" s="13" t="s">
        <v>4</v>
      </c>
      <c r="H7" s="26">
        <v>21</v>
      </c>
      <c r="I7" s="26">
        <v>22</v>
      </c>
      <c r="J7" s="26">
        <v>1</v>
      </c>
    </row>
    <row r="8" spans="1:10" x14ac:dyDescent="0.25">
      <c r="A8" s="3">
        <v>1</v>
      </c>
      <c r="B8" s="14" t="s">
        <v>111</v>
      </c>
      <c r="C8" s="21">
        <v>250</v>
      </c>
      <c r="D8" s="15" t="s">
        <v>2</v>
      </c>
      <c r="E8" s="16" t="s">
        <v>104</v>
      </c>
      <c r="F8" s="2"/>
      <c r="G8" s="13" t="s">
        <v>3</v>
      </c>
      <c r="H8" s="26">
        <v>2.5</v>
      </c>
      <c r="I8" s="26">
        <v>2</v>
      </c>
      <c r="J8" s="26">
        <v>-0.5</v>
      </c>
    </row>
    <row r="9" spans="1:10" x14ac:dyDescent="0.25">
      <c r="A9" s="3">
        <v>4</v>
      </c>
      <c r="B9" s="14" t="s">
        <v>111</v>
      </c>
      <c r="C9" s="21">
        <v>150</v>
      </c>
      <c r="D9" s="15" t="s">
        <v>2</v>
      </c>
      <c r="E9" s="16" t="s">
        <v>127</v>
      </c>
      <c r="F9" s="2"/>
      <c r="G9" s="13" t="s">
        <v>4</v>
      </c>
      <c r="H9" s="26">
        <v>1</v>
      </c>
      <c r="I9" s="26">
        <v>1</v>
      </c>
      <c r="J9" s="26">
        <v>0</v>
      </c>
    </row>
    <row r="10" spans="1:10" x14ac:dyDescent="0.25">
      <c r="A10" s="3">
        <v>1</v>
      </c>
      <c r="B10" s="14" t="s">
        <v>111</v>
      </c>
      <c r="C10" s="21">
        <v>150</v>
      </c>
      <c r="D10" s="15" t="s">
        <v>2</v>
      </c>
      <c r="E10" s="16" t="s">
        <v>106</v>
      </c>
      <c r="F10" s="2"/>
      <c r="G10" s="13" t="s">
        <v>3</v>
      </c>
      <c r="H10" s="26">
        <v>0.5</v>
      </c>
      <c r="I10" s="26">
        <v>1</v>
      </c>
      <c r="J10" s="26">
        <v>0.5</v>
      </c>
    </row>
    <row r="11" spans="1:10" x14ac:dyDescent="0.25">
      <c r="A11" s="3">
        <v>4</v>
      </c>
      <c r="B11" s="14" t="s">
        <v>111</v>
      </c>
      <c r="C11" s="21">
        <v>63</v>
      </c>
      <c r="D11" s="15" t="s">
        <v>2</v>
      </c>
      <c r="E11" s="16" t="s">
        <v>128</v>
      </c>
      <c r="F11" s="2"/>
      <c r="G11" s="13" t="s">
        <v>4</v>
      </c>
      <c r="H11" s="26">
        <v>5.5</v>
      </c>
      <c r="I11" s="26">
        <v>5</v>
      </c>
      <c r="J11" s="26">
        <v>-0.5</v>
      </c>
    </row>
    <row r="12" spans="1:10" x14ac:dyDescent="0.25">
      <c r="A12" s="3">
        <v>4</v>
      </c>
      <c r="B12" s="14" t="s">
        <v>111</v>
      </c>
      <c r="C12" s="21">
        <v>63</v>
      </c>
      <c r="D12" s="15" t="s">
        <v>2</v>
      </c>
      <c r="E12" s="16" t="s">
        <v>129</v>
      </c>
      <c r="F12" s="2"/>
      <c r="G12" s="13" t="s">
        <v>4</v>
      </c>
      <c r="H12" s="26">
        <v>4</v>
      </c>
      <c r="I12" s="26">
        <v>4</v>
      </c>
      <c r="J12" s="26">
        <v>0</v>
      </c>
    </row>
    <row r="13" spans="1:10" x14ac:dyDescent="0.25">
      <c r="A13" s="3">
        <v>4</v>
      </c>
      <c r="B13" s="14" t="s">
        <v>111</v>
      </c>
      <c r="C13" s="21">
        <v>63</v>
      </c>
      <c r="D13" s="15" t="s">
        <v>2</v>
      </c>
      <c r="E13" s="16" t="s">
        <v>130</v>
      </c>
      <c r="F13" s="2"/>
      <c r="G13" s="13" t="s">
        <v>4</v>
      </c>
      <c r="H13" s="26">
        <v>1</v>
      </c>
      <c r="I13" s="26">
        <v>1</v>
      </c>
      <c r="J13" s="26">
        <v>0</v>
      </c>
    </row>
    <row r="14" spans="1:10" x14ac:dyDescent="0.25">
      <c r="A14" s="3">
        <v>2</v>
      </c>
      <c r="B14" s="14" t="s">
        <v>111</v>
      </c>
      <c r="C14" s="21">
        <v>125</v>
      </c>
      <c r="D14" s="15" t="s">
        <v>2</v>
      </c>
      <c r="E14" s="16" t="s">
        <v>107</v>
      </c>
      <c r="F14" s="2"/>
      <c r="G14" s="13" t="s">
        <v>4</v>
      </c>
      <c r="H14" s="26">
        <v>1.3</v>
      </c>
      <c r="I14" s="26">
        <v>0.5</v>
      </c>
      <c r="J14" s="26">
        <v>-0.8</v>
      </c>
    </row>
    <row r="15" spans="1:10" x14ac:dyDescent="0.25">
      <c r="A15" s="3">
        <v>1</v>
      </c>
      <c r="B15" s="14" t="s">
        <v>111</v>
      </c>
      <c r="C15" s="21">
        <v>100</v>
      </c>
      <c r="D15" s="15" t="s">
        <v>2</v>
      </c>
      <c r="E15" s="16" t="s">
        <v>105</v>
      </c>
      <c r="F15" s="2"/>
      <c r="G15" s="13" t="s">
        <v>3</v>
      </c>
      <c r="H15" s="26">
        <v>1</v>
      </c>
      <c r="I15" s="26">
        <v>0.7</v>
      </c>
      <c r="J15" s="26">
        <v>-0.30000000000000004</v>
      </c>
    </row>
    <row r="16" spans="1:10" x14ac:dyDescent="0.25">
      <c r="A16" s="3">
        <v>1</v>
      </c>
      <c r="B16" s="14" t="s">
        <v>111</v>
      </c>
      <c r="C16" s="21">
        <v>5000</v>
      </c>
      <c r="D16" s="15" t="s">
        <v>2</v>
      </c>
      <c r="E16" s="16" t="s">
        <v>49</v>
      </c>
      <c r="F16" s="2"/>
      <c r="G16" s="13" t="s">
        <v>5</v>
      </c>
      <c r="H16" s="26">
        <v>0.3</v>
      </c>
      <c r="I16" s="26">
        <v>0.5</v>
      </c>
      <c r="J16" s="26">
        <v>0.2</v>
      </c>
    </row>
    <row r="17" spans="1:10" x14ac:dyDescent="0.25">
      <c r="A17" s="3">
        <v>1</v>
      </c>
      <c r="B17" s="14" t="s">
        <v>111</v>
      </c>
      <c r="C17" s="21">
        <v>1000</v>
      </c>
      <c r="D17" s="15" t="s">
        <v>2</v>
      </c>
      <c r="E17" s="16" t="s">
        <v>37</v>
      </c>
      <c r="F17" s="2"/>
      <c r="G17" s="13" t="s">
        <v>38</v>
      </c>
      <c r="H17" s="26">
        <v>0.8</v>
      </c>
      <c r="I17" s="26">
        <v>0.7</v>
      </c>
      <c r="J17" s="26">
        <v>-0.10000000000000009</v>
      </c>
    </row>
    <row r="18" spans="1:10" x14ac:dyDescent="0.25">
      <c r="A18" s="3">
        <v>1</v>
      </c>
      <c r="B18" s="14" t="s">
        <v>111</v>
      </c>
      <c r="C18" s="21">
        <v>1</v>
      </c>
      <c r="D18" s="15" t="s">
        <v>2</v>
      </c>
      <c r="E18" s="16" t="s">
        <v>40</v>
      </c>
      <c r="F18" s="2"/>
      <c r="G18" s="13" t="s">
        <v>2</v>
      </c>
      <c r="H18" s="26">
        <v>0.1</v>
      </c>
      <c r="I18" s="26">
        <v>0.5</v>
      </c>
      <c r="J18" s="26">
        <v>0.4</v>
      </c>
    </row>
    <row r="19" spans="1:10" x14ac:dyDescent="0.25">
      <c r="A19" s="3">
        <v>1</v>
      </c>
      <c r="B19" s="14" t="s">
        <v>111</v>
      </c>
      <c r="C19" s="21">
        <v>1</v>
      </c>
      <c r="D19" s="15" t="s">
        <v>2</v>
      </c>
      <c r="E19" s="16" t="s">
        <v>36</v>
      </c>
      <c r="F19" s="2"/>
      <c r="G19" s="13" t="s">
        <v>2</v>
      </c>
      <c r="H19" s="26">
        <v>0.9</v>
      </c>
      <c r="I19" s="26">
        <v>0.7</v>
      </c>
      <c r="J19" s="26">
        <v>-0.20000000000000007</v>
      </c>
    </row>
    <row r="20" spans="1:10" x14ac:dyDescent="0.25">
      <c r="A20" s="3">
        <v>1</v>
      </c>
      <c r="B20" s="14" t="s">
        <v>111</v>
      </c>
      <c r="C20" s="21">
        <v>500</v>
      </c>
      <c r="D20" s="15" t="s">
        <v>2</v>
      </c>
      <c r="E20" s="16" t="s">
        <v>131</v>
      </c>
      <c r="F20" s="2"/>
      <c r="G20" s="13" t="s">
        <v>4</v>
      </c>
      <c r="H20" s="26">
        <v>2</v>
      </c>
      <c r="I20" s="26">
        <v>5</v>
      </c>
      <c r="J20" s="26">
        <v>3</v>
      </c>
    </row>
    <row r="21" spans="1:10" x14ac:dyDescent="0.25">
      <c r="A21" s="3">
        <v>2</v>
      </c>
      <c r="B21" s="14" t="s">
        <v>111</v>
      </c>
      <c r="C21" s="21">
        <v>250</v>
      </c>
      <c r="D21" s="15" t="s">
        <v>2</v>
      </c>
      <c r="E21" s="16" t="s">
        <v>132</v>
      </c>
      <c r="F21" s="2"/>
      <c r="G21" s="13" t="s">
        <v>4</v>
      </c>
      <c r="H21" s="26">
        <v>1</v>
      </c>
      <c r="I21" s="26">
        <v>0.5</v>
      </c>
      <c r="J21" s="26">
        <v>-0.5</v>
      </c>
    </row>
    <row r="22" spans="1:10" x14ac:dyDescent="0.25">
      <c r="A22" s="3">
        <v>4</v>
      </c>
      <c r="B22" s="14" t="s">
        <v>111</v>
      </c>
      <c r="C22" s="21">
        <v>125</v>
      </c>
      <c r="D22" s="15" t="s">
        <v>2</v>
      </c>
      <c r="E22" s="16" t="s">
        <v>133</v>
      </c>
      <c r="F22" s="2"/>
      <c r="G22" s="13" t="s">
        <v>4</v>
      </c>
      <c r="H22" s="26">
        <v>3.7</v>
      </c>
      <c r="I22" s="26">
        <v>3</v>
      </c>
      <c r="J22" s="26">
        <v>-0.70000000000000018</v>
      </c>
    </row>
    <row r="23" spans="1:10" x14ac:dyDescent="0.25">
      <c r="A23" s="3">
        <v>2</v>
      </c>
      <c r="B23" s="14" t="s">
        <v>111</v>
      </c>
      <c r="C23" s="21">
        <v>250</v>
      </c>
      <c r="D23" s="15" t="s">
        <v>2</v>
      </c>
      <c r="E23" s="16" t="s">
        <v>134</v>
      </c>
      <c r="F23" s="2"/>
      <c r="G23" s="13" t="s">
        <v>4</v>
      </c>
      <c r="H23" s="26">
        <v>1.3</v>
      </c>
      <c r="I23" s="26">
        <v>1</v>
      </c>
      <c r="J23" s="26">
        <v>-0.30000000000000004</v>
      </c>
    </row>
    <row r="24" spans="1:10" x14ac:dyDescent="0.25">
      <c r="A24" s="3">
        <v>1</v>
      </c>
      <c r="B24" s="14" t="s">
        <v>111</v>
      </c>
      <c r="C24" s="21">
        <v>250</v>
      </c>
      <c r="D24" s="15" t="s">
        <v>2</v>
      </c>
      <c r="E24" s="16" t="s">
        <v>29</v>
      </c>
      <c r="F24" s="2"/>
      <c r="G24" s="13" t="s">
        <v>3</v>
      </c>
      <c r="H24" s="26">
        <v>0.5</v>
      </c>
      <c r="I24" s="26">
        <v>0.3</v>
      </c>
      <c r="J24" s="26">
        <v>-0.2</v>
      </c>
    </row>
    <row r="25" spans="1:10" x14ac:dyDescent="0.25">
      <c r="A25" s="3">
        <v>1</v>
      </c>
      <c r="B25" s="14" t="s">
        <v>111</v>
      </c>
      <c r="C25" s="21">
        <v>50</v>
      </c>
      <c r="D25" s="15" t="s">
        <v>2</v>
      </c>
      <c r="E25" s="16" t="s">
        <v>108</v>
      </c>
      <c r="F25" s="2"/>
      <c r="G25" s="13" t="s">
        <v>3</v>
      </c>
      <c r="H25" s="26">
        <v>0.2</v>
      </c>
      <c r="I25" s="26">
        <v>0.3</v>
      </c>
      <c r="J25" s="26">
        <v>9.9999999999999978E-2</v>
      </c>
    </row>
    <row r="26" spans="1:10" x14ac:dyDescent="0.25">
      <c r="A26" s="3">
        <v>5</v>
      </c>
      <c r="B26" s="14" t="s">
        <v>111</v>
      </c>
      <c r="C26" s="21">
        <v>1000</v>
      </c>
      <c r="D26" s="15" t="s">
        <v>2</v>
      </c>
      <c r="E26" s="16" t="s">
        <v>32</v>
      </c>
      <c r="F26" s="2"/>
      <c r="G26" s="13" t="s">
        <v>5</v>
      </c>
      <c r="H26" s="26">
        <v>5.5</v>
      </c>
      <c r="I26" s="26">
        <v>5</v>
      </c>
      <c r="J26" s="26">
        <v>-0.5</v>
      </c>
    </row>
    <row r="27" spans="1:10" x14ac:dyDescent="0.25">
      <c r="A27" s="3">
        <v>2</v>
      </c>
      <c r="B27" s="14" t="s">
        <v>111</v>
      </c>
      <c r="C27" s="21">
        <v>1000</v>
      </c>
      <c r="D27" s="15" t="s">
        <v>2</v>
      </c>
      <c r="E27" s="16" t="s">
        <v>73</v>
      </c>
      <c r="F27" s="2"/>
      <c r="G27" s="13" t="s">
        <v>5</v>
      </c>
      <c r="H27" s="26">
        <v>3</v>
      </c>
      <c r="I27" s="26">
        <v>4</v>
      </c>
      <c r="J27" s="26">
        <v>1</v>
      </c>
    </row>
    <row r="28" spans="1:10" x14ac:dyDescent="0.25">
      <c r="A28" s="3">
        <v>2</v>
      </c>
      <c r="B28" s="14" t="s">
        <v>111</v>
      </c>
      <c r="C28" s="21">
        <v>1000</v>
      </c>
      <c r="D28" s="15" t="s">
        <v>2</v>
      </c>
      <c r="E28" s="16" t="s">
        <v>74</v>
      </c>
      <c r="F28" s="2"/>
      <c r="G28" s="13" t="s">
        <v>5</v>
      </c>
      <c r="H28" s="26">
        <v>2</v>
      </c>
      <c r="I28" s="26">
        <v>2</v>
      </c>
      <c r="J28" s="26">
        <v>0</v>
      </c>
    </row>
    <row r="29" spans="1:10" x14ac:dyDescent="0.25">
      <c r="A29" s="3">
        <v>2</v>
      </c>
      <c r="B29" s="14" t="s">
        <v>111</v>
      </c>
      <c r="C29" s="21">
        <v>1000</v>
      </c>
      <c r="D29" s="15" t="s">
        <v>2</v>
      </c>
      <c r="E29" s="16" t="s">
        <v>75</v>
      </c>
      <c r="F29" s="2"/>
      <c r="G29" s="13" t="s">
        <v>5</v>
      </c>
      <c r="H29" s="26">
        <v>1.3</v>
      </c>
      <c r="I29" s="26">
        <v>2</v>
      </c>
      <c r="J29" s="26">
        <v>0.7</v>
      </c>
    </row>
    <row r="30" spans="1:10" x14ac:dyDescent="0.25">
      <c r="A30" s="3">
        <v>2</v>
      </c>
      <c r="B30" s="14" t="s">
        <v>111</v>
      </c>
      <c r="C30" s="21">
        <v>1000</v>
      </c>
      <c r="D30" s="15" t="s">
        <v>2</v>
      </c>
      <c r="E30" s="16" t="s">
        <v>76</v>
      </c>
      <c r="F30" s="2"/>
      <c r="G30" s="13" t="s">
        <v>5</v>
      </c>
      <c r="H30" s="26">
        <v>0.8</v>
      </c>
      <c r="I30" s="26">
        <v>2</v>
      </c>
      <c r="J30" s="26">
        <v>1.2</v>
      </c>
    </row>
    <row r="31" spans="1:10" x14ac:dyDescent="0.25">
      <c r="A31" s="3">
        <v>10</v>
      </c>
      <c r="B31" s="14" t="s">
        <v>111</v>
      </c>
      <c r="C31" s="21">
        <v>100</v>
      </c>
      <c r="D31" s="15" t="s">
        <v>2</v>
      </c>
      <c r="E31" s="16" t="s">
        <v>47</v>
      </c>
      <c r="F31" s="2"/>
      <c r="G31" s="13" t="s">
        <v>5</v>
      </c>
      <c r="H31" s="26">
        <v>1.8</v>
      </c>
      <c r="I31" s="26">
        <v>3</v>
      </c>
      <c r="J31" s="26">
        <v>1.2</v>
      </c>
    </row>
    <row r="32" spans="1:10" x14ac:dyDescent="0.25">
      <c r="A32" s="3">
        <v>10</v>
      </c>
      <c r="B32" s="14" t="s">
        <v>111</v>
      </c>
      <c r="C32" s="21">
        <v>100</v>
      </c>
      <c r="D32" s="15" t="s">
        <v>2</v>
      </c>
      <c r="E32" s="16" t="s">
        <v>48</v>
      </c>
      <c r="F32" s="2"/>
      <c r="G32" s="13" t="s">
        <v>5</v>
      </c>
      <c r="H32" s="26">
        <v>1</v>
      </c>
      <c r="I32" s="26">
        <v>1</v>
      </c>
      <c r="J32" s="26">
        <v>0</v>
      </c>
    </row>
    <row r="33" spans="1:10" x14ac:dyDescent="0.25">
      <c r="A33" s="3">
        <v>2</v>
      </c>
      <c r="B33" s="14" t="s">
        <v>111</v>
      </c>
      <c r="C33" s="21">
        <v>200</v>
      </c>
      <c r="D33" s="15" t="s">
        <v>2</v>
      </c>
      <c r="E33" s="16" t="s">
        <v>25</v>
      </c>
      <c r="F33" s="2"/>
      <c r="G33" s="13" t="s">
        <v>16</v>
      </c>
      <c r="H33" s="26">
        <v>0.7</v>
      </c>
      <c r="I33" s="26">
        <v>0.3</v>
      </c>
      <c r="J33" s="26">
        <v>-0.39999999999999997</v>
      </c>
    </row>
    <row r="34" spans="1:10" x14ac:dyDescent="0.25">
      <c r="A34" s="3">
        <v>2</v>
      </c>
      <c r="B34" s="14" t="s">
        <v>111</v>
      </c>
      <c r="C34" s="21">
        <v>200</v>
      </c>
      <c r="D34" s="15" t="s">
        <v>2</v>
      </c>
      <c r="E34" s="16" t="s">
        <v>26</v>
      </c>
      <c r="F34" s="2"/>
      <c r="G34" s="13" t="s">
        <v>16</v>
      </c>
      <c r="H34" s="26">
        <v>1.5</v>
      </c>
      <c r="I34" s="26">
        <v>1.5</v>
      </c>
      <c r="J34" s="26">
        <v>0</v>
      </c>
    </row>
    <row r="35" spans="1:10" x14ac:dyDescent="0.25">
      <c r="A35" s="3">
        <v>1</v>
      </c>
      <c r="B35" s="14" t="s">
        <v>111</v>
      </c>
      <c r="C35" s="21">
        <v>500</v>
      </c>
      <c r="D35" s="15" t="s">
        <v>2</v>
      </c>
      <c r="E35" s="16" t="s">
        <v>27</v>
      </c>
      <c r="F35" s="2"/>
      <c r="G35" s="13" t="s">
        <v>16</v>
      </c>
      <c r="H35" s="26">
        <v>1.8</v>
      </c>
      <c r="I35" s="26">
        <v>1.7</v>
      </c>
      <c r="J35" s="26">
        <v>-0.10000000000000009</v>
      </c>
    </row>
    <row r="36" spans="1:10" x14ac:dyDescent="0.25">
      <c r="A36" s="3">
        <v>1</v>
      </c>
      <c r="B36" s="14" t="s">
        <v>111</v>
      </c>
      <c r="C36" s="21">
        <v>500</v>
      </c>
      <c r="D36" s="15" t="s">
        <v>2</v>
      </c>
      <c r="E36" s="16" t="s">
        <v>91</v>
      </c>
      <c r="F36" s="2"/>
      <c r="G36" s="13" t="s">
        <v>3</v>
      </c>
      <c r="H36" s="26">
        <v>2.8</v>
      </c>
      <c r="I36" s="26">
        <v>2.2999999999999998</v>
      </c>
      <c r="J36" s="26">
        <v>-0.5</v>
      </c>
    </row>
    <row r="37" spans="1:10" x14ac:dyDescent="0.25">
      <c r="A37" s="3">
        <v>1</v>
      </c>
      <c r="B37" s="14" t="s">
        <v>111</v>
      </c>
      <c r="C37" s="21">
        <v>1000</v>
      </c>
      <c r="D37" s="15" t="s">
        <v>2</v>
      </c>
      <c r="E37" s="16" t="s">
        <v>92</v>
      </c>
      <c r="F37" s="2"/>
      <c r="G37" s="13" t="s">
        <v>3</v>
      </c>
      <c r="H37" s="26">
        <v>1.5</v>
      </c>
      <c r="I37" s="26">
        <v>1.5</v>
      </c>
      <c r="J37" s="26">
        <v>0</v>
      </c>
    </row>
    <row r="38" spans="1:10" x14ac:dyDescent="0.25">
      <c r="A38" s="3">
        <v>1</v>
      </c>
      <c r="B38" s="14" t="s">
        <v>111</v>
      </c>
      <c r="C38" s="21">
        <v>1000</v>
      </c>
      <c r="D38" s="15" t="s">
        <v>2</v>
      </c>
      <c r="E38" s="16" t="s">
        <v>93</v>
      </c>
      <c r="F38" s="2"/>
      <c r="G38" s="13" t="s">
        <v>3</v>
      </c>
      <c r="H38" s="26">
        <v>2</v>
      </c>
      <c r="I38" s="26">
        <v>1.3</v>
      </c>
      <c r="J38" s="26">
        <v>-0.7</v>
      </c>
    </row>
    <row r="39" spans="1:10" x14ac:dyDescent="0.25">
      <c r="A39" s="3">
        <v>1</v>
      </c>
      <c r="B39" s="14" t="s">
        <v>111</v>
      </c>
      <c r="C39" s="21">
        <v>250</v>
      </c>
      <c r="D39" s="15" t="s">
        <v>2</v>
      </c>
      <c r="E39" s="16" t="s">
        <v>94</v>
      </c>
      <c r="F39" s="2"/>
      <c r="G39" s="13" t="s">
        <v>3</v>
      </c>
      <c r="H39" s="26">
        <v>3</v>
      </c>
      <c r="I39" s="26">
        <v>0.7</v>
      </c>
      <c r="J39" s="26">
        <v>-2.2999999999999998</v>
      </c>
    </row>
    <row r="40" spans="1:10" x14ac:dyDescent="0.25">
      <c r="A40" s="3">
        <v>1</v>
      </c>
      <c r="B40" s="14" t="s">
        <v>111</v>
      </c>
      <c r="C40" s="21">
        <v>200</v>
      </c>
      <c r="D40" s="15" t="s">
        <v>2</v>
      </c>
      <c r="E40" s="16" t="s">
        <v>95</v>
      </c>
      <c r="F40" s="2"/>
      <c r="G40" s="13" t="s">
        <v>3</v>
      </c>
      <c r="H40" s="26"/>
      <c r="I40" s="26">
        <v>1.5</v>
      </c>
      <c r="J40" s="26">
        <v>1.5</v>
      </c>
    </row>
    <row r="41" spans="1:10" x14ac:dyDescent="0.25">
      <c r="A41" s="3">
        <v>1</v>
      </c>
      <c r="B41" s="14" t="s">
        <v>111</v>
      </c>
      <c r="C41" s="21">
        <v>1000</v>
      </c>
      <c r="D41" s="15" t="s">
        <v>2</v>
      </c>
      <c r="E41" s="16" t="s">
        <v>22</v>
      </c>
      <c r="F41" s="2"/>
      <c r="G41" s="13" t="s">
        <v>3</v>
      </c>
      <c r="H41" s="26">
        <v>1.3</v>
      </c>
      <c r="I41" s="26">
        <v>1</v>
      </c>
      <c r="J41" s="26">
        <v>-0.30000000000000004</v>
      </c>
    </row>
    <row r="42" spans="1:10" x14ac:dyDescent="0.25">
      <c r="A42" s="3">
        <v>1</v>
      </c>
      <c r="B42" s="14" t="s">
        <v>111</v>
      </c>
      <c r="C42" s="21">
        <v>1000</v>
      </c>
      <c r="D42" s="15" t="s">
        <v>2</v>
      </c>
      <c r="E42" s="16" t="s">
        <v>23</v>
      </c>
      <c r="F42" s="2"/>
      <c r="G42" s="13" t="s">
        <v>3</v>
      </c>
      <c r="H42" s="26">
        <v>1.3</v>
      </c>
      <c r="I42" s="26">
        <v>1</v>
      </c>
      <c r="J42" s="26">
        <v>-0.30000000000000004</v>
      </c>
    </row>
    <row r="43" spans="1:10" x14ac:dyDescent="0.25">
      <c r="A43" s="3">
        <v>1</v>
      </c>
      <c r="B43" s="14" t="s">
        <v>111</v>
      </c>
      <c r="C43" s="21">
        <v>1000</v>
      </c>
      <c r="D43" s="15" t="s">
        <v>2</v>
      </c>
      <c r="E43" s="16" t="s">
        <v>34</v>
      </c>
      <c r="F43" s="2"/>
      <c r="G43" s="13" t="s">
        <v>3</v>
      </c>
      <c r="H43" s="26">
        <v>0.6</v>
      </c>
      <c r="I43" s="26">
        <v>0.5</v>
      </c>
      <c r="J43" s="26">
        <v>-9.9999999999999978E-2</v>
      </c>
    </row>
    <row r="44" spans="1:10" x14ac:dyDescent="0.25">
      <c r="A44" s="3">
        <v>8</v>
      </c>
      <c r="B44" s="14" t="s">
        <v>111</v>
      </c>
      <c r="C44" s="21">
        <v>250</v>
      </c>
      <c r="D44" s="15" t="s">
        <v>2</v>
      </c>
      <c r="E44" s="16" t="s">
        <v>109</v>
      </c>
      <c r="F44" s="2"/>
      <c r="G44" s="13" t="s">
        <v>5</v>
      </c>
      <c r="H44" s="26">
        <v>18</v>
      </c>
      <c r="I44" s="26">
        <v>10</v>
      </c>
      <c r="J44" s="26">
        <v>-8</v>
      </c>
    </row>
    <row r="45" spans="1:10" x14ac:dyDescent="0.25">
      <c r="A45" s="3">
        <v>12</v>
      </c>
      <c r="B45" s="14" t="s">
        <v>111</v>
      </c>
      <c r="C45" s="21">
        <v>500</v>
      </c>
      <c r="D45" s="15" t="s">
        <v>2</v>
      </c>
      <c r="E45" s="16" t="s">
        <v>110</v>
      </c>
      <c r="F45" s="2"/>
      <c r="G45" s="13" t="s">
        <v>3</v>
      </c>
      <c r="H45" s="26">
        <v>6</v>
      </c>
      <c r="I45" s="26">
        <v>0.5</v>
      </c>
      <c r="J45" s="26">
        <v>-5.5</v>
      </c>
    </row>
    <row r="46" spans="1:10" x14ac:dyDescent="0.25">
      <c r="A46" s="3">
        <v>1</v>
      </c>
      <c r="B46" s="14" t="s">
        <v>111</v>
      </c>
      <c r="C46" s="21">
        <v>6</v>
      </c>
      <c r="D46" s="15" t="s">
        <v>2</v>
      </c>
      <c r="E46" s="16" t="s">
        <v>9</v>
      </c>
      <c r="F46" s="2"/>
      <c r="G46" s="13" t="s">
        <v>2</v>
      </c>
      <c r="H46" s="26">
        <v>6</v>
      </c>
      <c r="I46" s="26">
        <v>5</v>
      </c>
      <c r="J46" s="26">
        <v>-1</v>
      </c>
    </row>
    <row r="47" spans="1:10" x14ac:dyDescent="0.25">
      <c r="A47" s="3">
        <v>1</v>
      </c>
      <c r="B47" s="14" t="s">
        <v>111</v>
      </c>
      <c r="C47" s="21">
        <v>100</v>
      </c>
      <c r="D47" s="15" t="s">
        <v>2</v>
      </c>
      <c r="E47" s="16" t="s">
        <v>43</v>
      </c>
      <c r="F47" s="2"/>
      <c r="G47" s="13" t="s">
        <v>38</v>
      </c>
      <c r="H47" s="26">
        <v>0.9</v>
      </c>
      <c r="I47" s="26">
        <v>1</v>
      </c>
      <c r="J47" s="26">
        <v>9.9999999999999978E-2</v>
      </c>
    </row>
    <row r="48" spans="1:10" x14ac:dyDescent="0.25">
      <c r="A48" s="3">
        <v>1</v>
      </c>
      <c r="B48" s="14" t="s">
        <v>111</v>
      </c>
      <c r="C48" s="21">
        <v>50</v>
      </c>
      <c r="D48" s="15" t="s">
        <v>2</v>
      </c>
      <c r="E48" s="16" t="s">
        <v>41</v>
      </c>
      <c r="F48" s="2"/>
      <c r="G48" s="13" t="s">
        <v>38</v>
      </c>
      <c r="H48" s="26">
        <v>0.9</v>
      </c>
      <c r="I48" s="26">
        <v>1</v>
      </c>
      <c r="J48" s="26">
        <v>9.9999999999999978E-2</v>
      </c>
    </row>
    <row r="49" spans="1:10" x14ac:dyDescent="0.25">
      <c r="A49" s="3">
        <v>1</v>
      </c>
      <c r="B49" s="14" t="s">
        <v>111</v>
      </c>
      <c r="C49" s="21">
        <v>4</v>
      </c>
      <c r="D49" s="15" t="s">
        <v>2</v>
      </c>
      <c r="E49" s="16" t="s">
        <v>65</v>
      </c>
      <c r="F49" s="2"/>
      <c r="G49" s="13" t="s">
        <v>2</v>
      </c>
      <c r="H49" s="26">
        <v>3</v>
      </c>
      <c r="I49" s="26">
        <v>2</v>
      </c>
      <c r="J49" s="26">
        <v>-1</v>
      </c>
    </row>
    <row r="50" spans="1:10" x14ac:dyDescent="0.25">
      <c r="A50" s="3">
        <v>1</v>
      </c>
      <c r="B50" s="14" t="s">
        <v>111</v>
      </c>
      <c r="C50" s="21">
        <v>4</v>
      </c>
      <c r="D50" s="15" t="s">
        <v>2</v>
      </c>
      <c r="E50" s="16" t="s">
        <v>28</v>
      </c>
      <c r="F50" s="2"/>
      <c r="G50" s="13" t="s">
        <v>2</v>
      </c>
      <c r="H50" s="26">
        <v>5</v>
      </c>
      <c r="I50" s="26">
        <v>5</v>
      </c>
      <c r="J50" s="26">
        <v>0</v>
      </c>
    </row>
    <row r="51" spans="1:10" x14ac:dyDescent="0.25">
      <c r="A51" s="3">
        <v>1</v>
      </c>
      <c r="B51" s="14" t="s">
        <v>111</v>
      </c>
      <c r="C51" s="21">
        <v>2</v>
      </c>
      <c r="D51" s="15" t="s">
        <v>2</v>
      </c>
      <c r="E51" s="16" t="s">
        <v>31</v>
      </c>
      <c r="F51" s="2"/>
      <c r="G51" s="13" t="s">
        <v>2</v>
      </c>
      <c r="H51" s="26">
        <v>3</v>
      </c>
      <c r="I51" s="26">
        <v>3</v>
      </c>
      <c r="J51" s="26">
        <v>0</v>
      </c>
    </row>
    <row r="52" spans="1:10" x14ac:dyDescent="0.25">
      <c r="A52" s="3">
        <v>1</v>
      </c>
      <c r="B52" s="14" t="s">
        <v>111</v>
      </c>
      <c r="C52" s="21">
        <v>2</v>
      </c>
      <c r="D52" s="15" t="s">
        <v>2</v>
      </c>
      <c r="E52" s="16" t="s">
        <v>8</v>
      </c>
      <c r="F52" s="2"/>
      <c r="G52" s="13" t="s">
        <v>2</v>
      </c>
      <c r="H52" s="26">
        <v>2</v>
      </c>
      <c r="I52" s="26">
        <v>2</v>
      </c>
      <c r="J52" s="26">
        <v>0</v>
      </c>
    </row>
    <row r="53" spans="1:10" x14ac:dyDescent="0.25">
      <c r="A53" s="3">
        <v>1</v>
      </c>
      <c r="B53" s="14" t="s">
        <v>111</v>
      </c>
      <c r="C53" s="21">
        <v>100</v>
      </c>
      <c r="D53" s="15" t="s">
        <v>2</v>
      </c>
      <c r="E53" s="16" t="s">
        <v>52</v>
      </c>
      <c r="F53" s="2"/>
      <c r="G53" s="13" t="s">
        <v>38</v>
      </c>
      <c r="H53" s="26">
        <v>6</v>
      </c>
      <c r="I53" s="26">
        <v>5</v>
      </c>
      <c r="J53" s="26">
        <v>-1</v>
      </c>
    </row>
    <row r="54" spans="1:10" x14ac:dyDescent="0.25">
      <c r="A54" s="3">
        <v>1</v>
      </c>
      <c r="B54" s="14" t="s">
        <v>111</v>
      </c>
      <c r="C54" s="21">
        <v>100</v>
      </c>
      <c r="D54" s="15" t="s">
        <v>2</v>
      </c>
      <c r="E54" s="16" t="s">
        <v>53</v>
      </c>
      <c r="F54" s="2"/>
      <c r="G54" s="13" t="s">
        <v>38</v>
      </c>
      <c r="H54" s="26"/>
      <c r="I54" s="26">
        <v>1</v>
      </c>
      <c r="J54" s="26">
        <v>1</v>
      </c>
    </row>
    <row r="55" spans="1:10" x14ac:dyDescent="0.25">
      <c r="A55" s="3">
        <v>20</v>
      </c>
      <c r="B55" s="14" t="s">
        <v>111</v>
      </c>
      <c r="C55" s="21">
        <v>50</v>
      </c>
      <c r="D55" s="15" t="s">
        <v>2</v>
      </c>
      <c r="E55" s="16" t="s">
        <v>135</v>
      </c>
      <c r="F55" s="2"/>
      <c r="G55" s="13" t="s">
        <v>4</v>
      </c>
      <c r="H55" s="26">
        <v>15</v>
      </c>
      <c r="I55" s="26">
        <v>13</v>
      </c>
      <c r="J55" s="26">
        <v>-2</v>
      </c>
    </row>
    <row r="56" spans="1:10" x14ac:dyDescent="0.25">
      <c r="A56" s="3">
        <v>12</v>
      </c>
      <c r="B56" s="14" t="s">
        <v>111</v>
      </c>
      <c r="C56" s="21">
        <v>50</v>
      </c>
      <c r="D56" s="15" t="s">
        <v>2</v>
      </c>
      <c r="E56" s="16" t="s">
        <v>136</v>
      </c>
      <c r="F56" s="2"/>
      <c r="G56" s="13" t="s">
        <v>4</v>
      </c>
      <c r="H56" s="26">
        <v>9</v>
      </c>
      <c r="I56" s="26">
        <v>9</v>
      </c>
      <c r="J56" s="26">
        <v>0</v>
      </c>
    </row>
    <row r="57" spans="1:10" x14ac:dyDescent="0.25">
      <c r="A57" s="3">
        <v>12</v>
      </c>
      <c r="B57" s="14" t="s">
        <v>111</v>
      </c>
      <c r="C57" s="21">
        <v>50</v>
      </c>
      <c r="D57" s="15" t="s">
        <v>2</v>
      </c>
      <c r="E57" s="16" t="s">
        <v>137</v>
      </c>
      <c r="F57" s="2"/>
      <c r="G57" s="13" t="s">
        <v>4</v>
      </c>
      <c r="H57" s="26">
        <v>5</v>
      </c>
      <c r="I57" s="26">
        <v>5</v>
      </c>
      <c r="J57" s="26">
        <v>0</v>
      </c>
    </row>
    <row r="58" spans="1:10" x14ac:dyDescent="0.25">
      <c r="A58" s="3">
        <v>10</v>
      </c>
      <c r="B58" s="14" t="s">
        <v>111</v>
      </c>
      <c r="C58" s="21">
        <v>100</v>
      </c>
      <c r="D58" s="15" t="s">
        <v>2</v>
      </c>
      <c r="E58" s="16" t="s">
        <v>50</v>
      </c>
      <c r="F58" s="2"/>
      <c r="G58" s="13" t="s">
        <v>4</v>
      </c>
      <c r="H58" s="26">
        <v>12</v>
      </c>
      <c r="I58" s="26">
        <v>13</v>
      </c>
      <c r="J58" s="26">
        <v>1</v>
      </c>
    </row>
    <row r="59" spans="1:10" x14ac:dyDescent="0.25">
      <c r="A59" s="3">
        <v>20</v>
      </c>
      <c r="B59" s="14" t="s">
        <v>111</v>
      </c>
      <c r="C59" s="21">
        <v>50</v>
      </c>
      <c r="D59" s="15" t="s">
        <v>2</v>
      </c>
      <c r="E59" s="16" t="s">
        <v>125</v>
      </c>
      <c r="F59" s="2"/>
      <c r="G59" s="13" t="s">
        <v>4</v>
      </c>
      <c r="H59" s="26">
        <v>17</v>
      </c>
      <c r="I59" s="26">
        <v>14</v>
      </c>
      <c r="J59" s="26">
        <v>-3</v>
      </c>
    </row>
    <row r="60" spans="1:10" x14ac:dyDescent="0.25">
      <c r="A60" s="3">
        <v>15</v>
      </c>
      <c r="B60" s="14" t="s">
        <v>111</v>
      </c>
      <c r="C60" s="21">
        <v>40</v>
      </c>
      <c r="D60" s="15" t="s">
        <v>2</v>
      </c>
      <c r="E60" s="16" t="s">
        <v>126</v>
      </c>
      <c r="F60" s="2"/>
      <c r="G60" s="13" t="s">
        <v>4</v>
      </c>
      <c r="H60" s="26">
        <v>18</v>
      </c>
      <c r="I60" s="26">
        <v>18</v>
      </c>
      <c r="J60" s="26">
        <v>0</v>
      </c>
    </row>
    <row r="61" spans="1:10" x14ac:dyDescent="0.25">
      <c r="A61" s="3">
        <v>20</v>
      </c>
      <c r="B61" s="14" t="s">
        <v>111</v>
      </c>
      <c r="C61" s="21">
        <v>50</v>
      </c>
      <c r="D61" s="15" t="s">
        <v>2</v>
      </c>
      <c r="E61" s="16" t="s">
        <v>51</v>
      </c>
      <c r="F61" s="2"/>
      <c r="G61" s="13" t="s">
        <v>4</v>
      </c>
      <c r="H61" s="26">
        <v>5</v>
      </c>
      <c r="I61" s="26">
        <v>5</v>
      </c>
      <c r="J61" s="26">
        <v>0</v>
      </c>
    </row>
    <row r="62" spans="1:10" x14ac:dyDescent="0.25">
      <c r="A62" s="3">
        <v>1</v>
      </c>
      <c r="B62" s="14" t="s">
        <v>111</v>
      </c>
      <c r="C62" s="21">
        <v>1000</v>
      </c>
      <c r="D62" s="15" t="s">
        <v>2</v>
      </c>
      <c r="E62" s="16" t="s">
        <v>123</v>
      </c>
      <c r="F62" s="2"/>
      <c r="G62" s="13" t="s">
        <v>3</v>
      </c>
      <c r="H62" s="26">
        <v>1.3</v>
      </c>
      <c r="I62" s="26">
        <v>1.5</v>
      </c>
      <c r="J62" s="26">
        <v>0.19999999999999996</v>
      </c>
    </row>
    <row r="63" spans="1:10" x14ac:dyDescent="0.25">
      <c r="A63" s="3">
        <v>6</v>
      </c>
      <c r="B63" s="14" t="s">
        <v>111</v>
      </c>
      <c r="C63" s="21">
        <v>600</v>
      </c>
      <c r="D63" s="15" t="s">
        <v>2</v>
      </c>
      <c r="E63" s="16" t="s">
        <v>139</v>
      </c>
      <c r="F63" s="2"/>
      <c r="G63" s="13" t="s">
        <v>38</v>
      </c>
      <c r="H63" s="26">
        <v>3</v>
      </c>
      <c r="I63" s="26">
        <v>1</v>
      </c>
      <c r="J63" s="26">
        <v>-2</v>
      </c>
    </row>
    <row r="64" spans="1:10" x14ac:dyDescent="0.25">
      <c r="A64" s="3">
        <v>12</v>
      </c>
      <c r="B64" s="14" t="s">
        <v>111</v>
      </c>
      <c r="C64" s="21">
        <v>500</v>
      </c>
      <c r="D64" s="15" t="s">
        <v>2</v>
      </c>
      <c r="E64" s="16" t="s">
        <v>175</v>
      </c>
      <c r="F64" s="2"/>
      <c r="G64" s="13" t="s">
        <v>38</v>
      </c>
      <c r="H64" s="26">
        <v>1</v>
      </c>
      <c r="I64" s="26">
        <v>1</v>
      </c>
      <c r="J64" s="26">
        <v>0</v>
      </c>
    </row>
    <row r="65" spans="1:10" x14ac:dyDescent="0.25">
      <c r="A65" s="3">
        <v>1</v>
      </c>
      <c r="B65" s="14" t="s">
        <v>111</v>
      </c>
      <c r="C65" s="21">
        <v>12</v>
      </c>
      <c r="D65" s="15" t="s">
        <v>141</v>
      </c>
      <c r="E65" s="16" t="s">
        <v>142</v>
      </c>
      <c r="F65" s="2"/>
      <c r="G65" s="13" t="s">
        <v>2</v>
      </c>
      <c r="H65" s="26">
        <v>8</v>
      </c>
      <c r="I65" s="26">
        <v>8</v>
      </c>
      <c r="J65" s="26">
        <v>0</v>
      </c>
    </row>
    <row r="66" spans="1:10" x14ac:dyDescent="0.25">
      <c r="A66" s="3">
        <v>4</v>
      </c>
      <c r="B66" s="14" t="s">
        <v>111</v>
      </c>
      <c r="C66" s="21">
        <v>128</v>
      </c>
      <c r="D66" s="15" t="s">
        <v>144</v>
      </c>
      <c r="E66" s="16" t="s">
        <v>145</v>
      </c>
      <c r="F66" s="2"/>
      <c r="G66" s="13" t="s">
        <v>2</v>
      </c>
      <c r="H66" s="26">
        <v>5.5</v>
      </c>
      <c r="I66" s="26">
        <v>4</v>
      </c>
      <c r="J66" s="26">
        <v>-1.5</v>
      </c>
    </row>
    <row r="67" spans="1:10" x14ac:dyDescent="0.25">
      <c r="A67" s="3">
        <v>3</v>
      </c>
      <c r="B67" s="14" t="s">
        <v>111</v>
      </c>
      <c r="C67" s="21">
        <v>80</v>
      </c>
      <c r="D67" s="15" t="s">
        <v>144</v>
      </c>
      <c r="E67" s="16" t="s">
        <v>147</v>
      </c>
      <c r="F67" s="2"/>
      <c r="G67" s="13" t="s">
        <v>2</v>
      </c>
      <c r="H67" s="26">
        <v>2.2999999999999998</v>
      </c>
      <c r="I67" s="26">
        <v>2</v>
      </c>
      <c r="J67" s="26">
        <v>-0.29999999999999982</v>
      </c>
    </row>
    <row r="68" spans="1:10" x14ac:dyDescent="0.25">
      <c r="A68" s="3">
        <v>8</v>
      </c>
      <c r="B68" s="14" t="s">
        <v>111</v>
      </c>
      <c r="C68" s="21">
        <v>64</v>
      </c>
      <c r="D68" s="15" t="s">
        <v>144</v>
      </c>
      <c r="E68" s="16" t="s">
        <v>149</v>
      </c>
      <c r="F68" s="2"/>
      <c r="G68" s="13" t="s">
        <v>2</v>
      </c>
      <c r="H68" s="26">
        <v>7.5</v>
      </c>
      <c r="I68" s="26">
        <v>6</v>
      </c>
      <c r="J68" s="26">
        <v>-1.5</v>
      </c>
    </row>
    <row r="69" spans="1:10" x14ac:dyDescent="0.25">
      <c r="A69" s="3">
        <v>20</v>
      </c>
      <c r="B69" s="14" t="s">
        <v>111</v>
      </c>
      <c r="C69" s="21">
        <v>25</v>
      </c>
      <c r="D69" s="15" t="s">
        <v>2</v>
      </c>
      <c r="E69" s="16" t="s">
        <v>151</v>
      </c>
      <c r="F69" s="2"/>
      <c r="G69" s="13" t="s">
        <v>2</v>
      </c>
      <c r="H69" s="26">
        <v>3</v>
      </c>
      <c r="I69" s="26">
        <v>1</v>
      </c>
      <c r="J69" s="26">
        <v>-2</v>
      </c>
    </row>
    <row r="70" spans="1:10" x14ac:dyDescent="0.25">
      <c r="A70" s="3">
        <v>10</v>
      </c>
      <c r="B70" s="14" t="s">
        <v>111</v>
      </c>
      <c r="C70" s="21">
        <v>25</v>
      </c>
      <c r="D70" s="15" t="s">
        <v>2</v>
      </c>
      <c r="E70" s="16" t="s">
        <v>153</v>
      </c>
      <c r="F70" s="2"/>
      <c r="G70" s="13" t="s">
        <v>2</v>
      </c>
      <c r="H70" s="26">
        <v>3</v>
      </c>
      <c r="I70" s="26">
        <v>3</v>
      </c>
      <c r="J70" s="26">
        <v>0</v>
      </c>
    </row>
    <row r="71" spans="1:10" x14ac:dyDescent="0.25">
      <c r="A71" s="3">
        <v>1</v>
      </c>
      <c r="B71" s="14" t="s">
        <v>111</v>
      </c>
      <c r="C71" s="21">
        <v>12</v>
      </c>
      <c r="D71" s="15" t="s">
        <v>2</v>
      </c>
      <c r="E71" s="16" t="s">
        <v>155</v>
      </c>
      <c r="F71" s="2"/>
      <c r="G71" s="13" t="s">
        <v>2</v>
      </c>
      <c r="H71" s="26">
        <v>2</v>
      </c>
      <c r="I71" s="26">
        <v>1</v>
      </c>
      <c r="J71" s="26">
        <v>-1</v>
      </c>
    </row>
    <row r="72" spans="1:10" x14ac:dyDescent="0.25">
      <c r="A72" s="3">
        <v>1</v>
      </c>
      <c r="B72" s="14" t="s">
        <v>111</v>
      </c>
      <c r="C72" s="21">
        <v>12</v>
      </c>
      <c r="D72" s="15" t="s">
        <v>2</v>
      </c>
      <c r="E72" s="16" t="s">
        <v>157</v>
      </c>
      <c r="F72" s="2"/>
      <c r="G72" s="13" t="s">
        <v>2</v>
      </c>
      <c r="H72" s="26">
        <v>6</v>
      </c>
      <c r="I72" s="26">
        <v>6</v>
      </c>
      <c r="J72" s="26">
        <v>0</v>
      </c>
    </row>
    <row r="73" spans="1:10" x14ac:dyDescent="0.25">
      <c r="A73" s="3">
        <v>20</v>
      </c>
      <c r="B73" s="14" t="s">
        <v>111</v>
      </c>
      <c r="C73" s="21">
        <v>50</v>
      </c>
      <c r="D73" s="15" t="s">
        <v>2</v>
      </c>
      <c r="E73" s="16" t="s">
        <v>159</v>
      </c>
      <c r="F73" s="2"/>
      <c r="G73" s="13" t="s">
        <v>4</v>
      </c>
      <c r="H73" s="26">
        <v>19</v>
      </c>
      <c r="I73" s="26">
        <v>18</v>
      </c>
      <c r="J73" s="26">
        <v>-1</v>
      </c>
    </row>
    <row r="74" spans="1:10" x14ac:dyDescent="0.25">
      <c r="A74" s="3">
        <v>20</v>
      </c>
      <c r="B74" s="14" t="s">
        <v>111</v>
      </c>
      <c r="C74" s="21">
        <v>50</v>
      </c>
      <c r="D74" s="15" t="s">
        <v>2</v>
      </c>
      <c r="E74" s="16" t="s">
        <v>161</v>
      </c>
      <c r="F74" s="2"/>
      <c r="G74" s="13" t="s">
        <v>4</v>
      </c>
      <c r="H74" s="26">
        <v>23</v>
      </c>
      <c r="I74" s="26">
        <v>23</v>
      </c>
      <c r="J74" s="26">
        <v>0</v>
      </c>
    </row>
    <row r="75" spans="1:10" x14ac:dyDescent="0.25">
      <c r="A75" s="3">
        <v>10</v>
      </c>
      <c r="B75" s="14" t="s">
        <v>111</v>
      </c>
      <c r="C75" s="21">
        <v>100</v>
      </c>
      <c r="D75" s="15" t="s">
        <v>2</v>
      </c>
      <c r="E75" s="16" t="s">
        <v>163</v>
      </c>
      <c r="F75" s="2"/>
      <c r="G75" s="13" t="s">
        <v>4</v>
      </c>
      <c r="H75" s="26">
        <v>9</v>
      </c>
      <c r="I75" s="26">
        <v>10</v>
      </c>
      <c r="J75" s="26">
        <v>1</v>
      </c>
    </row>
    <row r="76" spans="1:10" x14ac:dyDescent="0.25">
      <c r="A76" s="3">
        <v>5</v>
      </c>
      <c r="B76" s="14" t="s">
        <v>111</v>
      </c>
      <c r="C76" s="21">
        <v>1000</v>
      </c>
      <c r="D76" s="15" t="s">
        <v>2</v>
      </c>
      <c r="E76" s="16" t="s">
        <v>165</v>
      </c>
      <c r="F76" s="2"/>
      <c r="G76" s="13" t="s">
        <v>38</v>
      </c>
      <c r="H76" s="26">
        <v>5.5</v>
      </c>
      <c r="I76" s="26">
        <v>5</v>
      </c>
      <c r="J76" s="26">
        <v>-0.5</v>
      </c>
    </row>
    <row r="77" spans="1:10" x14ac:dyDescent="0.25">
      <c r="A77" s="3">
        <v>5</v>
      </c>
      <c r="B77" s="14" t="s">
        <v>111</v>
      </c>
      <c r="C77" s="21">
        <v>1000</v>
      </c>
      <c r="D77" s="15" t="s">
        <v>2</v>
      </c>
      <c r="E77" s="16" t="s">
        <v>167</v>
      </c>
      <c r="F77" s="2"/>
      <c r="G77" s="13" t="s">
        <v>38</v>
      </c>
      <c r="H77" s="26">
        <v>7</v>
      </c>
      <c r="I77" s="26">
        <v>7</v>
      </c>
      <c r="J77" s="26">
        <v>0</v>
      </c>
    </row>
    <row r="78" spans="1:10" x14ac:dyDescent="0.25">
      <c r="A78" s="3">
        <v>5</v>
      </c>
      <c r="B78" s="14" t="s">
        <v>111</v>
      </c>
      <c r="C78" s="21">
        <v>1000</v>
      </c>
      <c r="D78" s="15" t="s">
        <v>2</v>
      </c>
      <c r="E78" s="16" t="s">
        <v>169</v>
      </c>
      <c r="F78" s="2"/>
      <c r="G78" s="13" t="s">
        <v>38</v>
      </c>
      <c r="H78" s="26">
        <v>5.7</v>
      </c>
      <c r="I78" s="26">
        <v>6</v>
      </c>
      <c r="J78" s="26">
        <v>0.29999999999999982</v>
      </c>
    </row>
    <row r="79" spans="1:10" x14ac:dyDescent="0.25">
      <c r="A79" s="3">
        <v>1</v>
      </c>
      <c r="B79" s="14" t="s">
        <v>111</v>
      </c>
      <c r="C79" s="21">
        <v>2000</v>
      </c>
      <c r="D79" s="15" t="s">
        <v>2</v>
      </c>
      <c r="E79" s="16" t="s">
        <v>171</v>
      </c>
      <c r="F79" s="2"/>
      <c r="G79" s="13" t="s">
        <v>38</v>
      </c>
      <c r="H79" s="26">
        <v>0.5</v>
      </c>
      <c r="I79" s="26">
        <v>0.9</v>
      </c>
      <c r="J79" s="26">
        <v>0.4</v>
      </c>
    </row>
    <row r="80" spans="1:10" x14ac:dyDescent="0.25">
      <c r="A80" s="3">
        <v>1</v>
      </c>
      <c r="B80" s="14" t="s">
        <v>111</v>
      </c>
      <c r="C80" s="21">
        <v>40</v>
      </c>
      <c r="D80" s="15" t="s">
        <v>2</v>
      </c>
      <c r="E80" s="16" t="s">
        <v>173</v>
      </c>
      <c r="F80" s="2"/>
      <c r="G80" s="13" t="s">
        <v>2</v>
      </c>
      <c r="H80" s="26">
        <v>37</v>
      </c>
      <c r="I80" s="26">
        <v>38</v>
      </c>
      <c r="J80" s="26">
        <v>1</v>
      </c>
    </row>
  </sheetData>
  <mergeCells count="2">
    <mergeCell ref="A1:D1"/>
    <mergeCell ref="F1:G1"/>
  </mergeCells>
  <pageMargins left="0.24" right="0.24" top="0.96" bottom="0.6" header="0.3" footer="0.24"/>
  <pageSetup orientation="portrait" r:id="rId1"/>
  <headerFooter>
    <oddHeader>&amp;L&amp;"Times New Roman,Bold"&amp;16NORTH
&amp;C&amp;"Times New Roman,Bold"&amp;18LEONARD PAPER
&amp;R&amp;"Times New Roman,Bold"&amp;16TUE FOR WED-CH&amp;"Times New Roman,Regular"&amp;11
&amp;8Printed &amp;D &amp;T</oddHeader>
    <oddFooter>&amp;C&amp;"Times New Roman,Regular"&amp;8&amp;Z&amp;F
(G Rev 3/12/2025)&amp;R&amp;"Times New Roman,Regular"&amp;8Page &amp;P of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8470-B6A0-4CF8-A20F-EBE51F1C6F33}">
  <sheetPr codeName="Sheet4"/>
  <dimension ref="A1:AA82"/>
  <sheetViews>
    <sheetView zoomScaleNormal="100" workbookViewId="0">
      <selection activeCell="L45" sqref="L45"/>
    </sheetView>
  </sheetViews>
  <sheetFormatPr defaultRowHeight="15" x14ac:dyDescent="0.25"/>
  <cols>
    <col min="1" max="1" width="4.28515625" customWidth="1"/>
    <col min="2" max="2" width="1.7109375" bestFit="1" customWidth="1"/>
    <col min="3" max="3" width="4.85546875" customWidth="1"/>
    <col min="4" max="4" width="3.140625" bestFit="1" customWidth="1"/>
    <col min="5" max="5" width="21.7109375" bestFit="1" customWidth="1"/>
    <col min="6" max="6" width="3.85546875" bestFit="1" customWidth="1"/>
    <col min="7" max="11" width="7.140625" style="19" customWidth="1"/>
    <col min="12" max="12" width="7.140625" style="35" customWidth="1"/>
    <col min="13" max="14" width="5.5703125" style="19" customWidth="1"/>
    <col min="15" max="15" width="7.42578125" style="19" bestFit="1" customWidth="1"/>
    <col min="16" max="16" width="7.42578125" style="19" customWidth="1"/>
    <col min="17" max="17" width="7.42578125" style="35" customWidth="1"/>
    <col min="18" max="18" width="7.42578125" style="19" customWidth="1"/>
    <col min="19" max="19" width="7.42578125" style="31" customWidth="1"/>
    <col min="20" max="20" width="5.5703125" style="35" bestFit="1" customWidth="1"/>
    <col min="21" max="21" width="7.42578125" style="19" customWidth="1"/>
    <col min="22" max="22" width="12.42578125" style="19" customWidth="1"/>
    <col min="23" max="23" width="5" style="19" customWidth="1"/>
    <col min="24" max="24" width="3.85546875" customWidth="1"/>
    <col min="26" max="26" width="4" bestFit="1" customWidth="1"/>
    <col min="27" max="27" width="4.140625" bestFit="1" customWidth="1"/>
  </cols>
  <sheetData>
    <row r="1" spans="1:27" x14ac:dyDescent="0.25">
      <c r="J1" s="19" t="s">
        <v>182</v>
      </c>
    </row>
    <row r="2" spans="1:27" x14ac:dyDescent="0.25">
      <c r="G2" s="30">
        <v>45727</v>
      </c>
      <c r="H2" s="30">
        <v>45728</v>
      </c>
      <c r="I2" s="30">
        <v>45728</v>
      </c>
      <c r="J2" s="30">
        <v>45727</v>
      </c>
      <c r="K2" s="30">
        <v>45734</v>
      </c>
      <c r="L2" s="36"/>
      <c r="M2" s="30"/>
      <c r="N2" s="30"/>
      <c r="O2" s="30">
        <v>45735</v>
      </c>
      <c r="P2" s="30">
        <v>45742</v>
      </c>
      <c r="Q2" s="36"/>
      <c r="R2" s="30"/>
      <c r="S2" s="32">
        <v>45748</v>
      </c>
      <c r="T2" s="36"/>
      <c r="U2" s="30"/>
    </row>
    <row r="3" spans="1:27" x14ac:dyDescent="0.25">
      <c r="A3" s="114" t="s">
        <v>89</v>
      </c>
      <c r="B3" s="115"/>
      <c r="C3" s="115"/>
      <c r="D3" s="116"/>
      <c r="E3" s="27" t="s">
        <v>90</v>
      </c>
      <c r="F3" s="29"/>
      <c r="G3" s="25" t="s">
        <v>178</v>
      </c>
      <c r="H3" s="25" t="s">
        <v>1</v>
      </c>
      <c r="I3" s="25" t="s">
        <v>179</v>
      </c>
      <c r="J3" s="25" t="s">
        <v>182</v>
      </c>
      <c r="K3" s="25" t="s">
        <v>187</v>
      </c>
      <c r="L3" s="37" t="s">
        <v>183</v>
      </c>
      <c r="M3" s="117" t="s">
        <v>0</v>
      </c>
      <c r="N3" s="118"/>
      <c r="O3" s="25" t="s">
        <v>184</v>
      </c>
      <c r="P3" s="25" t="s">
        <v>187</v>
      </c>
      <c r="Q3" s="37" t="s">
        <v>183</v>
      </c>
      <c r="R3" s="25" t="s">
        <v>1</v>
      </c>
      <c r="S3" s="33" t="s">
        <v>187</v>
      </c>
      <c r="T3" s="37" t="s">
        <v>183</v>
      </c>
      <c r="U3" s="25" t="s">
        <v>1</v>
      </c>
      <c r="V3" s="25" t="s">
        <v>7</v>
      </c>
      <c r="W3" s="25" t="s">
        <v>0</v>
      </c>
      <c r="X3" s="23"/>
      <c r="Z3" t="s">
        <v>188</v>
      </c>
    </row>
    <row r="4" spans="1:27" x14ac:dyDescent="0.25">
      <c r="A4" s="3">
        <v>10</v>
      </c>
      <c r="B4" s="14" t="s">
        <v>111</v>
      </c>
      <c r="C4" s="21">
        <v>250</v>
      </c>
      <c r="D4" s="15" t="s">
        <v>2</v>
      </c>
      <c r="E4" s="28" t="s">
        <v>98</v>
      </c>
      <c r="F4" s="13" t="s">
        <v>3</v>
      </c>
      <c r="G4" s="26">
        <v>4</v>
      </c>
      <c r="H4" s="26">
        <v>4</v>
      </c>
      <c r="I4" s="26">
        <v>8</v>
      </c>
      <c r="J4" s="26">
        <v>8</v>
      </c>
      <c r="K4" s="26">
        <v>4.5</v>
      </c>
      <c r="L4" s="38">
        <v>3.5</v>
      </c>
      <c r="M4" s="26">
        <v>8</v>
      </c>
      <c r="N4" s="26" t="s">
        <v>3</v>
      </c>
      <c r="O4" s="26">
        <v>7</v>
      </c>
      <c r="P4" s="26">
        <v>6</v>
      </c>
      <c r="Q4" s="38">
        <v>5.5</v>
      </c>
      <c r="R4" s="26"/>
      <c r="S4" s="34">
        <v>3</v>
      </c>
      <c r="T4" s="38">
        <v>8.5</v>
      </c>
      <c r="U4" s="26"/>
      <c r="V4" s="1" t="s">
        <v>21</v>
      </c>
      <c r="W4" s="26"/>
      <c r="X4" s="13" t="s">
        <v>3</v>
      </c>
      <c r="Z4">
        <v>10</v>
      </c>
      <c r="AA4" t="s">
        <v>3</v>
      </c>
    </row>
    <row r="5" spans="1:27" x14ac:dyDescent="0.25">
      <c r="A5" s="3">
        <v>20</v>
      </c>
      <c r="B5" s="14" t="s">
        <v>111</v>
      </c>
      <c r="C5" s="21">
        <v>125</v>
      </c>
      <c r="D5" s="15" t="s">
        <v>2</v>
      </c>
      <c r="E5" s="28" t="s">
        <v>99</v>
      </c>
      <c r="F5" s="13" t="s">
        <v>3</v>
      </c>
      <c r="G5" s="26">
        <v>4</v>
      </c>
      <c r="H5" s="26">
        <v>4</v>
      </c>
      <c r="I5" s="26">
        <v>8</v>
      </c>
      <c r="J5" s="26">
        <v>8</v>
      </c>
      <c r="K5" s="26">
        <v>4.5</v>
      </c>
      <c r="L5" s="38">
        <v>3.5</v>
      </c>
      <c r="M5" s="26">
        <v>8</v>
      </c>
      <c r="N5" s="26" t="s">
        <v>3</v>
      </c>
      <c r="O5" s="26">
        <v>7</v>
      </c>
      <c r="P5" s="26">
        <v>6</v>
      </c>
      <c r="Q5" s="38">
        <v>5.5</v>
      </c>
      <c r="R5" s="26"/>
      <c r="S5" s="34">
        <v>3</v>
      </c>
      <c r="T5" s="38">
        <v>8.5</v>
      </c>
      <c r="U5" s="26"/>
      <c r="V5" s="1" t="s">
        <v>20</v>
      </c>
      <c r="W5" s="26"/>
      <c r="X5" s="13" t="s">
        <v>3</v>
      </c>
      <c r="Z5">
        <v>10</v>
      </c>
      <c r="AA5" t="s">
        <v>3</v>
      </c>
    </row>
    <row r="6" spans="1:27" x14ac:dyDescent="0.25">
      <c r="A6" s="3">
        <v>10</v>
      </c>
      <c r="B6" s="14" t="s">
        <v>111</v>
      </c>
      <c r="C6" s="21">
        <v>250</v>
      </c>
      <c r="D6" s="15" t="s">
        <v>2</v>
      </c>
      <c r="E6" s="28" t="s">
        <v>100</v>
      </c>
      <c r="F6" s="13" t="s">
        <v>4</v>
      </c>
      <c r="G6" s="26">
        <v>13</v>
      </c>
      <c r="H6" s="26"/>
      <c r="I6" s="26">
        <v>13</v>
      </c>
      <c r="J6" s="26">
        <v>13</v>
      </c>
      <c r="K6" s="26">
        <v>10</v>
      </c>
      <c r="L6" s="38">
        <v>3</v>
      </c>
      <c r="M6" s="26">
        <v>8</v>
      </c>
      <c r="N6" s="26" t="s">
        <v>4</v>
      </c>
      <c r="O6" s="26"/>
      <c r="P6" s="26">
        <v>7</v>
      </c>
      <c r="Q6" s="38">
        <v>3</v>
      </c>
      <c r="R6" s="26"/>
      <c r="S6" s="34">
        <v>5</v>
      </c>
      <c r="T6" s="38">
        <v>5</v>
      </c>
      <c r="U6" s="26"/>
      <c r="V6" s="1" t="s">
        <v>60</v>
      </c>
      <c r="W6" s="26"/>
      <c r="X6" s="13" t="s">
        <v>4</v>
      </c>
      <c r="Z6">
        <v>6</v>
      </c>
      <c r="AA6" t="s">
        <v>4</v>
      </c>
    </row>
    <row r="7" spans="1:27" x14ac:dyDescent="0.25">
      <c r="A7" s="3">
        <v>20</v>
      </c>
      <c r="B7" s="14" t="s">
        <v>111</v>
      </c>
      <c r="C7" s="21">
        <v>125</v>
      </c>
      <c r="D7" s="15" t="s">
        <v>2</v>
      </c>
      <c r="E7" s="28" t="s">
        <v>101</v>
      </c>
      <c r="F7" s="13" t="s">
        <v>4</v>
      </c>
      <c r="G7" s="26">
        <v>8</v>
      </c>
      <c r="H7" s="26"/>
      <c r="I7" s="26">
        <v>8</v>
      </c>
      <c r="J7" s="26">
        <v>8</v>
      </c>
      <c r="K7" s="26">
        <v>5</v>
      </c>
      <c r="L7" s="38">
        <v>3</v>
      </c>
      <c r="M7" s="26">
        <v>20</v>
      </c>
      <c r="N7" s="26" t="s">
        <v>4</v>
      </c>
      <c r="O7" s="26">
        <v>1</v>
      </c>
      <c r="P7" s="26">
        <v>19</v>
      </c>
      <c r="Q7" s="38">
        <v>6</v>
      </c>
      <c r="R7" s="26"/>
      <c r="S7" s="34">
        <v>19</v>
      </c>
      <c r="T7" s="38">
        <v>6</v>
      </c>
      <c r="U7" s="26"/>
      <c r="V7" s="1" t="s">
        <v>61</v>
      </c>
      <c r="W7" s="26"/>
      <c r="X7" s="13" t="s">
        <v>4</v>
      </c>
      <c r="Z7">
        <v>12</v>
      </c>
      <c r="AA7" t="s">
        <v>4</v>
      </c>
    </row>
    <row r="8" spans="1:27" x14ac:dyDescent="0.25">
      <c r="A8" s="3">
        <v>10</v>
      </c>
      <c r="B8" s="14" t="s">
        <v>111</v>
      </c>
      <c r="C8" s="21">
        <v>250</v>
      </c>
      <c r="D8" s="15" t="s">
        <v>2</v>
      </c>
      <c r="E8" s="28" t="s">
        <v>102</v>
      </c>
      <c r="F8" s="13" t="s">
        <v>4</v>
      </c>
      <c r="G8" s="26">
        <v>7</v>
      </c>
      <c r="H8" s="26">
        <v>20</v>
      </c>
      <c r="I8" s="26">
        <v>15</v>
      </c>
      <c r="J8" s="26">
        <v>27</v>
      </c>
      <c r="K8" s="26">
        <v>12</v>
      </c>
      <c r="L8" s="38">
        <v>15</v>
      </c>
      <c r="M8" s="26">
        <v>18</v>
      </c>
      <c r="N8" s="26" t="s">
        <v>4</v>
      </c>
      <c r="O8" s="26">
        <v>1</v>
      </c>
      <c r="P8" s="26">
        <v>8</v>
      </c>
      <c r="Q8" s="38">
        <v>14</v>
      </c>
      <c r="R8" s="26"/>
      <c r="S8" s="34">
        <v>14</v>
      </c>
      <c r="T8" s="38">
        <v>8</v>
      </c>
      <c r="U8" s="26"/>
      <c r="V8" s="1" t="s">
        <v>62</v>
      </c>
      <c r="W8" s="26"/>
      <c r="X8" s="13" t="s">
        <v>4</v>
      </c>
      <c r="Z8">
        <v>10</v>
      </c>
      <c r="AA8" t="s">
        <v>4</v>
      </c>
    </row>
    <row r="9" spans="1:27" x14ac:dyDescent="0.25">
      <c r="A9" s="3">
        <v>20</v>
      </c>
      <c r="B9" s="14" t="s">
        <v>111</v>
      </c>
      <c r="C9" s="21">
        <v>125</v>
      </c>
      <c r="D9" s="15" t="s">
        <v>2</v>
      </c>
      <c r="E9" s="28" t="s">
        <v>103</v>
      </c>
      <c r="F9" s="13" t="s">
        <v>4</v>
      </c>
      <c r="G9" s="26">
        <v>22</v>
      </c>
      <c r="H9" s="26"/>
      <c r="I9" s="26">
        <v>21</v>
      </c>
      <c r="J9" s="26">
        <v>22</v>
      </c>
      <c r="K9" s="26">
        <v>22</v>
      </c>
      <c r="L9" s="38">
        <v>0</v>
      </c>
      <c r="M9" s="26">
        <v>18</v>
      </c>
      <c r="N9" s="26" t="s">
        <v>4</v>
      </c>
      <c r="O9" s="26"/>
      <c r="P9" s="26">
        <v>21</v>
      </c>
      <c r="Q9" s="38">
        <v>1</v>
      </c>
      <c r="R9" s="26"/>
      <c r="S9" s="34">
        <v>20</v>
      </c>
      <c r="T9" s="38">
        <v>2</v>
      </c>
      <c r="U9" s="26"/>
      <c r="V9" s="1" t="s">
        <v>63</v>
      </c>
      <c r="W9" s="26"/>
      <c r="X9" s="13" t="s">
        <v>4</v>
      </c>
      <c r="Z9">
        <v>3</v>
      </c>
      <c r="AA9" t="s">
        <v>4</v>
      </c>
    </row>
    <row r="10" spans="1:27" x14ac:dyDescent="0.25">
      <c r="A10" s="3">
        <v>1</v>
      </c>
      <c r="B10" s="14" t="s">
        <v>111</v>
      </c>
      <c r="C10" s="21">
        <v>250</v>
      </c>
      <c r="D10" s="15" t="s">
        <v>2</v>
      </c>
      <c r="E10" s="28" t="s">
        <v>104</v>
      </c>
      <c r="F10" s="13" t="s">
        <v>3</v>
      </c>
      <c r="G10" s="26">
        <v>2</v>
      </c>
      <c r="H10" s="26">
        <v>1</v>
      </c>
      <c r="I10" s="26">
        <v>3</v>
      </c>
      <c r="J10" s="26">
        <v>3</v>
      </c>
      <c r="K10" s="26">
        <v>2.1</v>
      </c>
      <c r="L10" s="38">
        <v>0.89999999999999991</v>
      </c>
      <c r="M10" s="26">
        <v>3</v>
      </c>
      <c r="N10" s="26" t="s">
        <v>3</v>
      </c>
      <c r="O10" s="26">
        <v>3</v>
      </c>
      <c r="P10" s="26">
        <v>3</v>
      </c>
      <c r="Q10" s="38">
        <v>2.0999999999999996</v>
      </c>
      <c r="R10" s="26"/>
      <c r="S10" s="34">
        <v>3</v>
      </c>
      <c r="T10" s="38">
        <v>2.0999999999999996</v>
      </c>
      <c r="U10" s="26"/>
      <c r="V10" s="1" t="s">
        <v>10</v>
      </c>
      <c r="W10" s="26"/>
      <c r="X10" s="13" t="s">
        <v>3</v>
      </c>
      <c r="Z10">
        <v>4</v>
      </c>
      <c r="AA10" t="s">
        <v>3</v>
      </c>
    </row>
    <row r="11" spans="1:27" x14ac:dyDescent="0.25">
      <c r="A11" s="3">
        <v>4</v>
      </c>
      <c r="B11" s="14" t="s">
        <v>111</v>
      </c>
      <c r="C11" s="21">
        <v>150</v>
      </c>
      <c r="D11" s="15" t="s">
        <v>2</v>
      </c>
      <c r="E11" s="28" t="s">
        <v>127</v>
      </c>
      <c r="F11" s="13" t="s">
        <v>4</v>
      </c>
      <c r="G11" s="26">
        <v>1</v>
      </c>
      <c r="H11" s="26">
        <v>4</v>
      </c>
      <c r="I11" s="26">
        <v>3</v>
      </c>
      <c r="J11" s="26">
        <v>5</v>
      </c>
      <c r="K11" s="26">
        <v>4</v>
      </c>
      <c r="L11" s="38">
        <v>1</v>
      </c>
      <c r="M11" s="26">
        <v>2</v>
      </c>
      <c r="N11" s="26" t="s">
        <v>4</v>
      </c>
      <c r="O11" s="26"/>
      <c r="P11" s="26">
        <v>3</v>
      </c>
      <c r="Q11" s="38">
        <v>1</v>
      </c>
      <c r="R11" s="26"/>
      <c r="S11" s="34">
        <v>1.1000000000000001</v>
      </c>
      <c r="T11" s="38"/>
      <c r="U11" s="26"/>
      <c r="V11" s="1" t="s">
        <v>71</v>
      </c>
      <c r="W11" s="26"/>
      <c r="X11" s="13" t="s">
        <v>4</v>
      </c>
      <c r="Z11">
        <v>2</v>
      </c>
      <c r="AA11" t="s">
        <v>4</v>
      </c>
    </row>
    <row r="12" spans="1:27" x14ac:dyDescent="0.25">
      <c r="A12" s="3">
        <v>1</v>
      </c>
      <c r="B12" s="14" t="s">
        <v>111</v>
      </c>
      <c r="C12" s="21">
        <v>150</v>
      </c>
      <c r="D12" s="15" t="s">
        <v>2</v>
      </c>
      <c r="E12" s="28" t="s">
        <v>106</v>
      </c>
      <c r="F12" s="13" t="s">
        <v>3</v>
      </c>
      <c r="G12" s="26">
        <v>1</v>
      </c>
      <c r="H12" s="26">
        <v>1</v>
      </c>
      <c r="I12" s="26">
        <v>2</v>
      </c>
      <c r="J12" s="26">
        <v>2</v>
      </c>
      <c r="K12" s="26">
        <v>0.7</v>
      </c>
      <c r="L12" s="38">
        <v>1.3</v>
      </c>
      <c r="M12" s="26">
        <v>2</v>
      </c>
      <c r="N12" s="26" t="s">
        <v>3</v>
      </c>
      <c r="O12" s="26">
        <v>3</v>
      </c>
      <c r="P12" s="26">
        <v>1.4</v>
      </c>
      <c r="Q12" s="38">
        <v>2.3000000000000003</v>
      </c>
      <c r="R12" s="26"/>
      <c r="S12" s="34">
        <v>0</v>
      </c>
      <c r="T12" s="38">
        <v>3.7</v>
      </c>
      <c r="U12" s="26"/>
      <c r="V12" s="1" t="s">
        <v>70</v>
      </c>
      <c r="W12" s="26"/>
      <c r="X12" s="13" t="s">
        <v>3</v>
      </c>
      <c r="Z12">
        <v>5</v>
      </c>
      <c r="AA12" t="s">
        <v>3</v>
      </c>
    </row>
    <row r="13" spans="1:27" x14ac:dyDescent="0.25">
      <c r="A13" s="3">
        <v>4</v>
      </c>
      <c r="B13" s="14" t="s">
        <v>111</v>
      </c>
      <c r="C13" s="21">
        <v>63</v>
      </c>
      <c r="D13" s="15" t="s">
        <v>2</v>
      </c>
      <c r="E13" s="28" t="s">
        <v>128</v>
      </c>
      <c r="F13" s="13" t="s">
        <v>4</v>
      </c>
      <c r="G13" s="26">
        <v>5</v>
      </c>
      <c r="H13" s="26"/>
      <c r="I13" s="26">
        <v>0.5</v>
      </c>
      <c r="J13" s="26">
        <v>5</v>
      </c>
      <c r="K13" s="26">
        <v>5.5</v>
      </c>
      <c r="L13" s="38">
        <v>-0.5</v>
      </c>
      <c r="M13" s="26">
        <v>2</v>
      </c>
      <c r="N13" s="26" t="s">
        <v>4</v>
      </c>
      <c r="O13" s="26"/>
      <c r="P13" s="26">
        <v>5</v>
      </c>
      <c r="Q13" s="38">
        <v>0.5</v>
      </c>
      <c r="R13" s="26"/>
      <c r="S13" s="34">
        <v>4.0999999999999996</v>
      </c>
      <c r="T13" s="38">
        <v>1.4000000000000004</v>
      </c>
      <c r="U13" s="26"/>
      <c r="V13" s="1" t="s">
        <v>112</v>
      </c>
      <c r="W13" s="26"/>
      <c r="X13" s="13" t="s">
        <v>4</v>
      </c>
      <c r="Z13">
        <v>2</v>
      </c>
      <c r="AA13" t="s">
        <v>4</v>
      </c>
    </row>
    <row r="14" spans="1:27" x14ac:dyDescent="0.25">
      <c r="A14" s="3">
        <v>4</v>
      </c>
      <c r="B14" s="14" t="s">
        <v>111</v>
      </c>
      <c r="C14" s="21">
        <v>63</v>
      </c>
      <c r="D14" s="15" t="s">
        <v>2</v>
      </c>
      <c r="E14" s="28" t="s">
        <v>129</v>
      </c>
      <c r="F14" s="13" t="s">
        <v>4</v>
      </c>
      <c r="G14" s="26">
        <v>4</v>
      </c>
      <c r="H14" s="26"/>
      <c r="I14" s="26">
        <v>3.5</v>
      </c>
      <c r="J14" s="26">
        <v>4</v>
      </c>
      <c r="K14" s="26">
        <v>3.5</v>
      </c>
      <c r="L14" s="38">
        <v>0.5</v>
      </c>
      <c r="M14" s="26">
        <v>2</v>
      </c>
      <c r="N14" s="26" t="s">
        <v>4</v>
      </c>
      <c r="O14" s="26"/>
      <c r="P14" s="26">
        <v>2.2999999999999998</v>
      </c>
      <c r="Q14" s="38">
        <v>1.2000000000000002</v>
      </c>
      <c r="R14" s="26"/>
      <c r="S14" s="34">
        <v>1.5</v>
      </c>
      <c r="T14" s="38">
        <v>2</v>
      </c>
      <c r="U14" s="26"/>
      <c r="V14" s="1" t="s">
        <v>113</v>
      </c>
      <c r="W14" s="26"/>
      <c r="X14" s="13" t="s">
        <v>4</v>
      </c>
      <c r="Z14">
        <v>3</v>
      </c>
      <c r="AA14" t="s">
        <v>4</v>
      </c>
    </row>
    <row r="15" spans="1:27" x14ac:dyDescent="0.25">
      <c r="A15" s="3">
        <v>4</v>
      </c>
      <c r="B15" s="14" t="s">
        <v>111</v>
      </c>
      <c r="C15" s="21">
        <v>63</v>
      </c>
      <c r="D15" s="15" t="s">
        <v>2</v>
      </c>
      <c r="E15" s="28" t="s">
        <v>130</v>
      </c>
      <c r="F15" s="13" t="s">
        <v>4</v>
      </c>
      <c r="G15" s="26">
        <v>1</v>
      </c>
      <c r="H15" s="26">
        <v>4</v>
      </c>
      <c r="I15" s="26">
        <v>0.5</v>
      </c>
      <c r="J15" s="26">
        <v>5</v>
      </c>
      <c r="K15" s="26">
        <v>4.5</v>
      </c>
      <c r="L15" s="38">
        <v>0.5</v>
      </c>
      <c r="M15" s="26">
        <v>2</v>
      </c>
      <c r="N15" s="26" t="s">
        <v>4</v>
      </c>
      <c r="O15" s="26"/>
      <c r="P15" s="26">
        <v>2.5</v>
      </c>
      <c r="Q15" s="38">
        <v>2</v>
      </c>
      <c r="R15" s="26"/>
      <c r="S15" s="34">
        <v>1.7</v>
      </c>
      <c r="T15" s="38">
        <v>2.8</v>
      </c>
      <c r="U15" s="26"/>
      <c r="V15" s="1" t="s">
        <v>114</v>
      </c>
      <c r="W15" s="26"/>
      <c r="X15" s="13" t="s">
        <v>4</v>
      </c>
      <c r="Z15">
        <v>3</v>
      </c>
      <c r="AA15" t="s">
        <v>4</v>
      </c>
    </row>
    <row r="16" spans="1:27" x14ac:dyDescent="0.25">
      <c r="A16" s="3">
        <v>2</v>
      </c>
      <c r="B16" s="14" t="s">
        <v>111</v>
      </c>
      <c r="C16" s="21">
        <v>125</v>
      </c>
      <c r="D16" s="15" t="s">
        <v>2</v>
      </c>
      <c r="E16" s="28" t="s">
        <v>107</v>
      </c>
      <c r="F16" s="13" t="s">
        <v>4</v>
      </c>
      <c r="G16" s="26">
        <v>0.5</v>
      </c>
      <c r="H16" s="26">
        <v>2</v>
      </c>
      <c r="I16" s="26">
        <v>2.2999999999999998</v>
      </c>
      <c r="J16" s="26">
        <v>2.5</v>
      </c>
      <c r="K16" s="26">
        <v>2.2999999999999998</v>
      </c>
      <c r="L16" s="38">
        <v>0.20000000000000018</v>
      </c>
      <c r="M16" s="26">
        <v>2</v>
      </c>
      <c r="N16" s="26" t="s">
        <v>4</v>
      </c>
      <c r="O16" s="26"/>
      <c r="P16" s="26">
        <v>1.5</v>
      </c>
      <c r="Q16" s="38">
        <v>0.79999999999999982</v>
      </c>
      <c r="R16" s="26"/>
      <c r="S16" s="34">
        <v>1</v>
      </c>
      <c r="T16" s="38">
        <v>1.2999999999999998</v>
      </c>
      <c r="U16" s="26"/>
      <c r="V16" s="1" t="s">
        <v>35</v>
      </c>
      <c r="W16" s="26"/>
      <c r="X16" s="13" t="s">
        <v>4</v>
      </c>
      <c r="Z16">
        <v>2</v>
      </c>
      <c r="AA16" t="s">
        <v>4</v>
      </c>
    </row>
    <row r="17" spans="1:27" x14ac:dyDescent="0.25">
      <c r="A17" s="3">
        <v>1</v>
      </c>
      <c r="B17" s="14" t="s">
        <v>111</v>
      </c>
      <c r="C17" s="21">
        <v>100</v>
      </c>
      <c r="D17" s="15" t="s">
        <v>2</v>
      </c>
      <c r="E17" s="28" t="s">
        <v>105</v>
      </c>
      <c r="F17" s="13" t="s">
        <v>3</v>
      </c>
      <c r="G17" s="26">
        <v>0.7</v>
      </c>
      <c r="H17" s="26"/>
      <c r="I17" s="26">
        <v>0.1</v>
      </c>
      <c r="J17" s="26">
        <v>0.7</v>
      </c>
      <c r="K17" s="26">
        <v>1.5</v>
      </c>
      <c r="L17" s="38">
        <v>-0.8</v>
      </c>
      <c r="M17" s="26">
        <v>0.5</v>
      </c>
      <c r="N17" s="26" t="s">
        <v>3</v>
      </c>
      <c r="O17" s="26">
        <v>1</v>
      </c>
      <c r="P17" s="26">
        <v>2</v>
      </c>
      <c r="Q17" s="38">
        <v>0.5</v>
      </c>
      <c r="R17" s="26"/>
      <c r="S17" s="34">
        <v>2</v>
      </c>
      <c r="T17" s="38">
        <v>0.5</v>
      </c>
      <c r="U17" s="26"/>
      <c r="V17" s="1" t="s">
        <v>24</v>
      </c>
      <c r="W17" s="26"/>
      <c r="X17" s="13" t="s">
        <v>3</v>
      </c>
      <c r="Z17">
        <v>1</v>
      </c>
      <c r="AA17" t="s">
        <v>3</v>
      </c>
    </row>
    <row r="18" spans="1:27" x14ac:dyDescent="0.25">
      <c r="A18" s="3">
        <v>1</v>
      </c>
      <c r="B18" s="14" t="s">
        <v>111</v>
      </c>
      <c r="C18" s="21">
        <v>5000</v>
      </c>
      <c r="D18" s="15" t="s">
        <v>2</v>
      </c>
      <c r="E18" s="28" t="s">
        <v>49</v>
      </c>
      <c r="F18" s="13" t="s">
        <v>5</v>
      </c>
      <c r="G18" s="26">
        <v>0.5</v>
      </c>
      <c r="H18" s="26">
        <v>1</v>
      </c>
      <c r="I18" s="26">
        <v>1.1000000000000001</v>
      </c>
      <c r="J18" s="26">
        <v>1.5</v>
      </c>
      <c r="K18" s="26">
        <v>0.8</v>
      </c>
      <c r="L18" s="38">
        <v>0.7</v>
      </c>
      <c r="M18" s="26">
        <v>1</v>
      </c>
      <c r="N18" s="26" t="s">
        <v>5</v>
      </c>
      <c r="O18" s="26">
        <v>1</v>
      </c>
      <c r="P18" s="26">
        <v>1.2</v>
      </c>
      <c r="Q18" s="38">
        <v>0.60000000000000009</v>
      </c>
      <c r="R18" s="26"/>
      <c r="S18" s="34">
        <v>1</v>
      </c>
      <c r="T18" s="38">
        <v>0.8</v>
      </c>
      <c r="U18" s="26"/>
      <c r="V18" s="1" t="s">
        <v>58</v>
      </c>
      <c r="W18" s="26"/>
      <c r="X18" s="13" t="s">
        <v>5</v>
      </c>
      <c r="Z18">
        <v>1</v>
      </c>
      <c r="AA18" t="s">
        <v>5</v>
      </c>
    </row>
    <row r="19" spans="1:27" x14ac:dyDescent="0.25">
      <c r="A19" s="3">
        <v>1</v>
      </c>
      <c r="B19" s="14" t="s">
        <v>111</v>
      </c>
      <c r="C19" s="21">
        <v>1000</v>
      </c>
      <c r="D19" s="15" t="s">
        <v>2</v>
      </c>
      <c r="E19" s="28" t="s">
        <v>37</v>
      </c>
      <c r="F19" s="13" t="s">
        <v>38</v>
      </c>
      <c r="G19" s="26">
        <v>0.7</v>
      </c>
      <c r="H19" s="26">
        <v>2</v>
      </c>
      <c r="I19" s="26">
        <v>1</v>
      </c>
      <c r="J19" s="26">
        <v>2.7</v>
      </c>
      <c r="K19" s="26">
        <v>1.4</v>
      </c>
      <c r="L19" s="38">
        <v>1.3000000000000003</v>
      </c>
      <c r="M19" s="26">
        <v>2.5</v>
      </c>
      <c r="N19" s="26" t="s">
        <v>38</v>
      </c>
      <c r="O19" s="26">
        <v>2</v>
      </c>
      <c r="P19" s="26">
        <v>1.5</v>
      </c>
      <c r="Q19" s="38">
        <v>1.9</v>
      </c>
      <c r="R19" s="26"/>
      <c r="S19" s="34">
        <v>0.5</v>
      </c>
      <c r="T19" s="38">
        <v>2.9</v>
      </c>
      <c r="U19" s="26"/>
      <c r="V19" s="1" t="s">
        <v>56</v>
      </c>
      <c r="W19" s="26"/>
      <c r="X19" s="13" t="s">
        <v>38</v>
      </c>
      <c r="Z19">
        <v>4</v>
      </c>
      <c r="AA19" t="s">
        <v>38</v>
      </c>
    </row>
    <row r="20" spans="1:27" x14ac:dyDescent="0.25">
      <c r="A20" s="3">
        <v>1</v>
      </c>
      <c r="B20" s="14" t="s">
        <v>111</v>
      </c>
      <c r="C20" s="21">
        <v>1</v>
      </c>
      <c r="D20" s="15" t="s">
        <v>2</v>
      </c>
      <c r="E20" s="28" t="s">
        <v>40</v>
      </c>
      <c r="F20" s="13" t="s">
        <v>2</v>
      </c>
      <c r="G20" s="26">
        <v>0.5</v>
      </c>
      <c r="H20" s="26">
        <v>1</v>
      </c>
      <c r="I20" s="26">
        <v>1.1000000000000001</v>
      </c>
      <c r="J20" s="26">
        <v>1.5</v>
      </c>
      <c r="K20" s="26">
        <v>1.2</v>
      </c>
      <c r="L20" s="38">
        <v>0.30000000000000004</v>
      </c>
      <c r="M20" s="26">
        <v>0.5</v>
      </c>
      <c r="N20" s="26" t="s">
        <v>2</v>
      </c>
      <c r="O20" s="26">
        <v>1</v>
      </c>
      <c r="P20" s="26">
        <v>2</v>
      </c>
      <c r="Q20" s="38">
        <v>0.20000000000000018</v>
      </c>
      <c r="R20" s="26"/>
      <c r="S20" s="34">
        <v>1</v>
      </c>
      <c r="T20" s="38">
        <v>1.2000000000000002</v>
      </c>
      <c r="U20" s="26"/>
      <c r="V20" s="1" t="s">
        <v>83</v>
      </c>
      <c r="W20" s="26"/>
      <c r="X20" s="13" t="s">
        <v>2</v>
      </c>
      <c r="Z20">
        <v>2</v>
      </c>
      <c r="AA20" t="s">
        <v>2</v>
      </c>
    </row>
    <row r="21" spans="1:27" x14ac:dyDescent="0.25">
      <c r="A21" s="3">
        <v>1</v>
      </c>
      <c r="B21" s="14" t="s">
        <v>111</v>
      </c>
      <c r="C21" s="21">
        <v>1</v>
      </c>
      <c r="D21" s="15" t="s">
        <v>2</v>
      </c>
      <c r="E21" s="28" t="s">
        <v>36</v>
      </c>
      <c r="F21" s="13" t="s">
        <v>2</v>
      </c>
      <c r="G21" s="26">
        <v>0.7</v>
      </c>
      <c r="H21" s="26">
        <v>1</v>
      </c>
      <c r="I21" s="26">
        <v>1.1000000000000001</v>
      </c>
      <c r="J21" s="26">
        <v>1</v>
      </c>
      <c r="K21" s="26">
        <v>1.1000000000000001</v>
      </c>
      <c r="L21" s="38">
        <v>-0.10000000000000009</v>
      </c>
      <c r="M21" s="26">
        <v>1</v>
      </c>
      <c r="N21" s="26" t="s">
        <v>2</v>
      </c>
      <c r="O21" s="26">
        <v>1</v>
      </c>
      <c r="P21" s="26">
        <v>1.3</v>
      </c>
      <c r="Q21" s="38">
        <v>0.8</v>
      </c>
      <c r="R21" s="26"/>
      <c r="S21" s="34">
        <v>0.5</v>
      </c>
      <c r="T21" s="38">
        <v>1.6</v>
      </c>
      <c r="U21" s="26"/>
      <c r="V21" s="1" t="s">
        <v>82</v>
      </c>
      <c r="W21" s="26"/>
      <c r="X21" s="13" t="s">
        <v>2</v>
      </c>
      <c r="Z21">
        <v>2</v>
      </c>
      <c r="AA21" t="s">
        <v>2</v>
      </c>
    </row>
    <row r="22" spans="1:27" x14ac:dyDescent="0.25">
      <c r="A22" s="3">
        <v>6</v>
      </c>
      <c r="B22" s="14" t="s">
        <v>111</v>
      </c>
      <c r="C22" s="21">
        <v>500</v>
      </c>
      <c r="D22" s="15" t="s">
        <v>2</v>
      </c>
      <c r="E22" s="28" t="s">
        <v>131</v>
      </c>
      <c r="F22" s="13" t="s">
        <v>4</v>
      </c>
      <c r="G22" s="26">
        <v>5</v>
      </c>
      <c r="H22" s="26"/>
      <c r="I22" s="26">
        <v>0.5</v>
      </c>
      <c r="J22" s="26">
        <v>5</v>
      </c>
      <c r="K22" s="26">
        <v>5.6</v>
      </c>
      <c r="L22" s="38">
        <v>-0.59999999999999964</v>
      </c>
      <c r="M22" s="26">
        <v>1.5</v>
      </c>
      <c r="N22" s="26" t="s">
        <v>4</v>
      </c>
      <c r="O22" s="26"/>
      <c r="P22" s="26">
        <v>1.3</v>
      </c>
      <c r="Q22" s="38">
        <v>4.3</v>
      </c>
      <c r="R22" s="26"/>
      <c r="S22" s="34">
        <v>1.3</v>
      </c>
      <c r="T22" s="38"/>
      <c r="U22" s="26"/>
      <c r="V22" s="1" t="s">
        <v>115</v>
      </c>
      <c r="W22" s="26"/>
      <c r="X22" s="13" t="s">
        <v>4</v>
      </c>
      <c r="Z22" s="39">
        <v>1.5</v>
      </c>
      <c r="AA22" t="s">
        <v>4</v>
      </c>
    </row>
    <row r="23" spans="1:27" x14ac:dyDescent="0.25">
      <c r="A23" s="3">
        <v>2</v>
      </c>
      <c r="B23" s="14" t="s">
        <v>111</v>
      </c>
      <c r="C23" s="21">
        <v>250</v>
      </c>
      <c r="D23" s="15" t="s">
        <v>2</v>
      </c>
      <c r="E23" s="28" t="s">
        <v>132</v>
      </c>
      <c r="F23" s="13" t="s">
        <v>4</v>
      </c>
      <c r="G23" s="26">
        <v>0.5</v>
      </c>
      <c r="H23" s="26">
        <v>2</v>
      </c>
      <c r="I23" s="26">
        <v>0.2</v>
      </c>
      <c r="J23" s="26">
        <v>2</v>
      </c>
      <c r="K23" s="26">
        <v>3</v>
      </c>
      <c r="L23" s="38">
        <v>-1</v>
      </c>
      <c r="M23" s="26">
        <v>1.5</v>
      </c>
      <c r="N23" s="26" t="s">
        <v>4</v>
      </c>
      <c r="O23" s="26"/>
      <c r="P23" s="26">
        <v>2</v>
      </c>
      <c r="Q23" s="38">
        <v>1</v>
      </c>
      <c r="R23" s="26"/>
      <c r="S23" s="34">
        <v>1.1000000000000001</v>
      </c>
      <c r="T23" s="38"/>
      <c r="U23" s="26"/>
      <c r="V23" s="1" t="s">
        <v>116</v>
      </c>
      <c r="W23" s="26"/>
      <c r="X23" s="13" t="s">
        <v>4</v>
      </c>
      <c r="Z23" s="39">
        <v>1.5</v>
      </c>
      <c r="AA23" t="s">
        <v>4</v>
      </c>
    </row>
    <row r="24" spans="1:27" x14ac:dyDescent="0.25">
      <c r="A24" s="3">
        <v>4</v>
      </c>
      <c r="B24" s="14" t="s">
        <v>111</v>
      </c>
      <c r="C24" s="21">
        <v>125</v>
      </c>
      <c r="D24" s="15" t="s">
        <v>2</v>
      </c>
      <c r="E24" s="28" t="s">
        <v>133</v>
      </c>
      <c r="F24" s="13" t="s">
        <v>4</v>
      </c>
      <c r="G24" s="26">
        <v>3</v>
      </c>
      <c r="H24" s="26"/>
      <c r="I24" s="26">
        <v>3</v>
      </c>
      <c r="J24" s="26">
        <v>3</v>
      </c>
      <c r="K24" s="26">
        <v>3</v>
      </c>
      <c r="L24" s="38">
        <v>0</v>
      </c>
      <c r="M24" s="26">
        <v>4</v>
      </c>
      <c r="N24" s="26" t="s">
        <v>4</v>
      </c>
      <c r="O24" s="26"/>
      <c r="P24" s="26">
        <v>2.1</v>
      </c>
      <c r="Q24" s="38">
        <v>0.89999999999999991</v>
      </c>
      <c r="R24" s="26"/>
      <c r="S24" s="34">
        <v>0.1</v>
      </c>
      <c r="T24" s="38"/>
      <c r="U24" s="26"/>
      <c r="V24" s="1" t="s">
        <v>59</v>
      </c>
      <c r="W24" s="26"/>
      <c r="X24" s="13" t="s">
        <v>4</v>
      </c>
      <c r="Z24" s="39">
        <v>4</v>
      </c>
      <c r="AA24" t="s">
        <v>4</v>
      </c>
    </row>
    <row r="25" spans="1:27" x14ac:dyDescent="0.25">
      <c r="A25" s="3">
        <v>2</v>
      </c>
      <c r="B25" s="14" t="s">
        <v>111</v>
      </c>
      <c r="C25" s="21">
        <v>250</v>
      </c>
      <c r="D25" s="15" t="s">
        <v>2</v>
      </c>
      <c r="E25" s="28" t="s">
        <v>134</v>
      </c>
      <c r="F25" s="13" t="s">
        <v>4</v>
      </c>
      <c r="G25" s="26">
        <v>1</v>
      </c>
      <c r="H25" s="26"/>
      <c r="I25" s="26">
        <v>3</v>
      </c>
      <c r="J25" s="26">
        <v>1</v>
      </c>
      <c r="K25" s="26">
        <v>1</v>
      </c>
      <c r="L25" s="38">
        <v>0</v>
      </c>
      <c r="M25" s="26">
        <v>1</v>
      </c>
      <c r="N25" s="26" t="s">
        <v>4</v>
      </c>
      <c r="O25" s="26">
        <v>1</v>
      </c>
      <c r="P25" s="26">
        <v>2</v>
      </c>
      <c r="Q25" s="38">
        <v>1</v>
      </c>
      <c r="R25" s="26"/>
      <c r="S25" s="34">
        <v>1</v>
      </c>
      <c r="T25" s="38"/>
      <c r="U25" s="26"/>
      <c r="V25" s="1" t="s">
        <v>19</v>
      </c>
      <c r="W25" s="26"/>
      <c r="X25" s="13" t="s">
        <v>4</v>
      </c>
      <c r="Z25" s="39">
        <v>1</v>
      </c>
      <c r="AA25" t="s">
        <v>4</v>
      </c>
    </row>
    <row r="26" spans="1:27" x14ac:dyDescent="0.25">
      <c r="A26" s="3">
        <v>1</v>
      </c>
      <c r="B26" s="14" t="s">
        <v>111</v>
      </c>
      <c r="C26" s="21">
        <v>250</v>
      </c>
      <c r="D26" s="15" t="s">
        <v>2</v>
      </c>
      <c r="E26" s="28" t="s">
        <v>29</v>
      </c>
      <c r="F26" s="13" t="s">
        <v>3</v>
      </c>
      <c r="G26" s="26">
        <v>0.3</v>
      </c>
      <c r="H26" s="26">
        <v>1</v>
      </c>
      <c r="I26" s="26">
        <v>1.1000000000000001</v>
      </c>
      <c r="J26" s="26">
        <v>1</v>
      </c>
      <c r="K26" s="26">
        <v>1.2</v>
      </c>
      <c r="L26" s="38">
        <v>-0.19999999999999996</v>
      </c>
      <c r="M26" s="26">
        <v>0.5</v>
      </c>
      <c r="N26" s="26" t="s">
        <v>3</v>
      </c>
      <c r="O26" s="26">
        <v>1</v>
      </c>
      <c r="P26" s="26">
        <v>2</v>
      </c>
      <c r="Q26" s="38">
        <v>0.20000000000000018</v>
      </c>
      <c r="R26" s="26"/>
      <c r="S26" s="34">
        <v>2</v>
      </c>
      <c r="T26" s="38">
        <v>0.20000000000000018</v>
      </c>
      <c r="U26" s="26"/>
      <c r="V26" s="1" t="s">
        <v>30</v>
      </c>
      <c r="W26" s="26"/>
      <c r="X26" s="13" t="s">
        <v>3</v>
      </c>
      <c r="Z26">
        <v>0.5</v>
      </c>
      <c r="AA26" t="s">
        <v>3</v>
      </c>
    </row>
    <row r="27" spans="1:27" x14ac:dyDescent="0.25">
      <c r="A27" s="3">
        <v>1</v>
      </c>
      <c r="B27" s="14" t="s">
        <v>111</v>
      </c>
      <c r="C27" s="21">
        <v>50</v>
      </c>
      <c r="D27" s="15" t="s">
        <v>2</v>
      </c>
      <c r="E27" s="28" t="s">
        <v>108</v>
      </c>
      <c r="F27" s="13" t="s">
        <v>3</v>
      </c>
      <c r="G27" s="26">
        <v>0.3</v>
      </c>
      <c r="H27" s="26">
        <v>1</v>
      </c>
      <c r="I27" s="26">
        <v>2</v>
      </c>
      <c r="J27" s="26">
        <v>1</v>
      </c>
      <c r="K27" s="26">
        <v>0.5</v>
      </c>
      <c r="L27" s="38">
        <v>0.5</v>
      </c>
      <c r="M27" s="26">
        <v>0.5</v>
      </c>
      <c r="N27" s="26" t="s">
        <v>3</v>
      </c>
      <c r="O27" s="26">
        <v>1</v>
      </c>
      <c r="P27" s="26">
        <v>1</v>
      </c>
      <c r="Q27" s="38">
        <v>0.5</v>
      </c>
      <c r="R27" s="26"/>
      <c r="S27" s="34">
        <v>0.5</v>
      </c>
      <c r="T27" s="38">
        <v>1</v>
      </c>
      <c r="U27" s="26"/>
      <c r="V27" s="1" t="s">
        <v>87</v>
      </c>
      <c r="W27" s="26"/>
      <c r="X27" s="13" t="s">
        <v>3</v>
      </c>
      <c r="Z27">
        <v>1.5</v>
      </c>
      <c r="AA27" t="s">
        <v>3</v>
      </c>
    </row>
    <row r="28" spans="1:27" x14ac:dyDescent="0.25">
      <c r="A28" s="3">
        <v>5</v>
      </c>
      <c r="B28" s="14" t="s">
        <v>111</v>
      </c>
      <c r="C28" s="21">
        <v>1000</v>
      </c>
      <c r="D28" s="15" t="s">
        <v>2</v>
      </c>
      <c r="E28" s="28" t="s">
        <v>32</v>
      </c>
      <c r="F28" s="13" t="s">
        <v>5</v>
      </c>
      <c r="G28" s="26">
        <v>5</v>
      </c>
      <c r="H28" s="26">
        <v>5</v>
      </c>
      <c r="I28" s="26">
        <v>10</v>
      </c>
      <c r="J28" s="26">
        <v>5</v>
      </c>
      <c r="K28" s="26">
        <v>9.5</v>
      </c>
      <c r="L28" s="38">
        <v>-4.5</v>
      </c>
      <c r="M28" s="26">
        <v>1</v>
      </c>
      <c r="N28" s="26" t="s">
        <v>5</v>
      </c>
      <c r="O28" s="26"/>
      <c r="P28" s="26">
        <v>4</v>
      </c>
      <c r="Q28" s="38">
        <v>5.5</v>
      </c>
      <c r="R28" s="26"/>
      <c r="S28" s="34">
        <v>2.2999999999999998</v>
      </c>
      <c r="T28" s="38">
        <v>7.2</v>
      </c>
      <c r="U28" s="26"/>
      <c r="V28" s="1" t="s">
        <v>69</v>
      </c>
      <c r="W28" s="26"/>
      <c r="X28" s="13" t="s">
        <v>5</v>
      </c>
      <c r="Z28">
        <v>10</v>
      </c>
      <c r="AA28" t="s">
        <v>5</v>
      </c>
    </row>
    <row r="29" spans="1:27" x14ac:dyDescent="0.25">
      <c r="A29" s="3">
        <v>2</v>
      </c>
      <c r="B29" s="14" t="s">
        <v>111</v>
      </c>
      <c r="C29" s="21">
        <v>1000</v>
      </c>
      <c r="D29" s="15" t="s">
        <v>2</v>
      </c>
      <c r="E29" s="28" t="s">
        <v>73</v>
      </c>
      <c r="F29" s="13" t="s">
        <v>5</v>
      </c>
      <c r="G29" s="26">
        <v>4</v>
      </c>
      <c r="H29" s="26"/>
      <c r="I29" s="26">
        <v>5</v>
      </c>
      <c r="J29" s="26">
        <v>4</v>
      </c>
      <c r="K29" s="26">
        <v>2.5</v>
      </c>
      <c r="L29" s="38">
        <v>1.5</v>
      </c>
      <c r="M29" s="26">
        <v>1</v>
      </c>
      <c r="N29" s="26" t="s">
        <v>5</v>
      </c>
      <c r="O29" s="26">
        <v>1</v>
      </c>
      <c r="P29" s="26">
        <v>3.3</v>
      </c>
      <c r="Q29" s="38">
        <v>1.2000000000000002</v>
      </c>
      <c r="R29" s="26"/>
      <c r="S29" s="34">
        <v>3.1</v>
      </c>
      <c r="T29" s="38">
        <v>1.4</v>
      </c>
      <c r="U29" s="26"/>
      <c r="V29" s="1" t="s">
        <v>78</v>
      </c>
      <c r="W29" s="26"/>
      <c r="X29" s="13" t="s">
        <v>5</v>
      </c>
      <c r="Z29">
        <v>2</v>
      </c>
      <c r="AA29" t="s">
        <v>5</v>
      </c>
    </row>
    <row r="30" spans="1:27" x14ac:dyDescent="0.25">
      <c r="A30" s="3">
        <v>2</v>
      </c>
      <c r="B30" s="14" t="s">
        <v>111</v>
      </c>
      <c r="C30" s="21">
        <v>1000</v>
      </c>
      <c r="D30" s="15" t="s">
        <v>2</v>
      </c>
      <c r="E30" s="28" t="s">
        <v>74</v>
      </c>
      <c r="F30" s="13" t="s">
        <v>5</v>
      </c>
      <c r="G30" s="26">
        <v>2</v>
      </c>
      <c r="H30" s="26"/>
      <c r="I30" s="26">
        <v>5.2</v>
      </c>
      <c r="J30" s="26">
        <v>2</v>
      </c>
      <c r="K30" s="26">
        <v>1.5</v>
      </c>
      <c r="L30" s="38">
        <v>0.5</v>
      </c>
      <c r="M30" s="26">
        <v>1</v>
      </c>
      <c r="N30" s="26" t="s">
        <v>5</v>
      </c>
      <c r="O30" s="26">
        <v>1</v>
      </c>
      <c r="P30" s="26">
        <v>2.1</v>
      </c>
      <c r="Q30" s="38">
        <v>1.4</v>
      </c>
      <c r="R30" s="26"/>
      <c r="S30" s="34">
        <v>1.3</v>
      </c>
      <c r="T30" s="38">
        <v>2.2000000000000002</v>
      </c>
      <c r="U30" s="26"/>
      <c r="V30" s="1" t="s">
        <v>79</v>
      </c>
      <c r="W30" s="26"/>
      <c r="X30" s="13" t="s">
        <v>5</v>
      </c>
      <c r="Z30">
        <v>3</v>
      </c>
      <c r="AA30" t="s">
        <v>5</v>
      </c>
    </row>
    <row r="31" spans="1:27" x14ac:dyDescent="0.25">
      <c r="A31" s="3">
        <v>2</v>
      </c>
      <c r="B31" s="14" t="s">
        <v>111</v>
      </c>
      <c r="C31" s="21">
        <v>1000</v>
      </c>
      <c r="D31" s="15" t="s">
        <v>2</v>
      </c>
      <c r="E31" s="28" t="s">
        <v>75</v>
      </c>
      <c r="F31" s="13" t="s">
        <v>5</v>
      </c>
      <c r="G31" s="26">
        <v>2</v>
      </c>
      <c r="H31" s="26"/>
      <c r="I31" s="26">
        <v>7</v>
      </c>
      <c r="J31" s="26">
        <v>2</v>
      </c>
      <c r="K31" s="26">
        <v>1.4</v>
      </c>
      <c r="L31" s="38">
        <v>0.60000000000000009</v>
      </c>
      <c r="M31" s="26">
        <v>1</v>
      </c>
      <c r="N31" s="26" t="s">
        <v>5</v>
      </c>
      <c r="O31" s="26">
        <v>1</v>
      </c>
      <c r="P31" s="26">
        <v>2.4</v>
      </c>
      <c r="Q31" s="38">
        <v>1</v>
      </c>
      <c r="R31" s="26"/>
      <c r="S31" s="34">
        <v>1.7</v>
      </c>
      <c r="T31" s="38">
        <v>1.7</v>
      </c>
      <c r="U31" s="26"/>
      <c r="V31" s="1" t="s">
        <v>80</v>
      </c>
      <c r="W31" s="26"/>
      <c r="X31" s="13" t="s">
        <v>5</v>
      </c>
      <c r="Z31">
        <v>2</v>
      </c>
      <c r="AA31" t="s">
        <v>5</v>
      </c>
    </row>
    <row r="32" spans="1:27" x14ac:dyDescent="0.25">
      <c r="A32" s="3">
        <v>2</v>
      </c>
      <c r="B32" s="14" t="s">
        <v>111</v>
      </c>
      <c r="C32" s="21">
        <v>1000</v>
      </c>
      <c r="D32" s="15" t="s">
        <v>2</v>
      </c>
      <c r="E32" s="28" t="s">
        <v>76</v>
      </c>
      <c r="F32" s="13" t="s">
        <v>5</v>
      </c>
      <c r="G32" s="26">
        <v>2</v>
      </c>
      <c r="H32" s="26"/>
      <c r="I32" s="26">
        <v>1</v>
      </c>
      <c r="J32" s="26">
        <v>2</v>
      </c>
      <c r="K32" s="26">
        <v>1.4</v>
      </c>
      <c r="L32" s="38">
        <v>0.60000000000000009</v>
      </c>
      <c r="M32" s="26">
        <v>1</v>
      </c>
      <c r="N32" s="26" t="s">
        <v>5</v>
      </c>
      <c r="O32" s="26">
        <v>1</v>
      </c>
      <c r="P32" s="26">
        <v>2.2999999999999998</v>
      </c>
      <c r="Q32" s="38">
        <v>1.1000000000000001</v>
      </c>
      <c r="R32" s="26"/>
      <c r="S32" s="34">
        <v>2</v>
      </c>
      <c r="T32" s="38">
        <v>1.4</v>
      </c>
      <c r="U32" s="26"/>
      <c r="V32" s="1" t="s">
        <v>77</v>
      </c>
      <c r="W32" s="26"/>
      <c r="X32" s="13" t="s">
        <v>5</v>
      </c>
      <c r="Z32">
        <v>2</v>
      </c>
      <c r="AA32" t="s">
        <v>5</v>
      </c>
    </row>
    <row r="33" spans="1:27" x14ac:dyDescent="0.25">
      <c r="A33" s="3">
        <v>10</v>
      </c>
      <c r="B33" s="14" t="s">
        <v>111</v>
      </c>
      <c r="C33" s="21">
        <v>100</v>
      </c>
      <c r="D33" s="15" t="s">
        <v>2</v>
      </c>
      <c r="E33" s="28" t="s">
        <v>47</v>
      </c>
      <c r="F33" s="13" t="s">
        <v>5</v>
      </c>
      <c r="G33" s="26">
        <v>3</v>
      </c>
      <c r="H33" s="26"/>
      <c r="I33" s="26">
        <v>2.1</v>
      </c>
      <c r="J33" s="26">
        <v>3</v>
      </c>
      <c r="K33" s="26">
        <v>22</v>
      </c>
      <c r="L33" s="38">
        <v>-19</v>
      </c>
      <c r="M33" s="26">
        <v>2</v>
      </c>
      <c r="N33" s="26" t="s">
        <v>5</v>
      </c>
      <c r="O33" s="26"/>
      <c r="P33" s="26">
        <v>13</v>
      </c>
      <c r="Q33" s="38">
        <v>9</v>
      </c>
      <c r="R33" s="26"/>
      <c r="S33" s="34">
        <v>14</v>
      </c>
      <c r="T33" s="38">
        <v>8</v>
      </c>
      <c r="U33" s="26"/>
      <c r="V33" s="1" t="s">
        <v>45</v>
      </c>
      <c r="W33" s="26"/>
      <c r="X33" s="13" t="s">
        <v>5</v>
      </c>
      <c r="Z33">
        <v>10</v>
      </c>
      <c r="AA33" t="s">
        <v>5</v>
      </c>
    </row>
    <row r="34" spans="1:27" x14ac:dyDescent="0.25">
      <c r="A34" s="3">
        <v>10</v>
      </c>
      <c r="B34" s="14" t="s">
        <v>111</v>
      </c>
      <c r="C34" s="21">
        <v>100</v>
      </c>
      <c r="D34" s="15" t="s">
        <v>2</v>
      </c>
      <c r="E34" s="28" t="s">
        <v>48</v>
      </c>
      <c r="F34" s="13" t="s">
        <v>5</v>
      </c>
      <c r="G34" s="26">
        <v>1</v>
      </c>
      <c r="H34" s="26"/>
      <c r="I34" s="26">
        <v>1</v>
      </c>
      <c r="J34" s="26">
        <v>1</v>
      </c>
      <c r="K34" s="26">
        <v>7</v>
      </c>
      <c r="L34" s="38">
        <v>-6</v>
      </c>
      <c r="M34" s="26">
        <v>1</v>
      </c>
      <c r="N34" s="26" t="s">
        <v>5</v>
      </c>
      <c r="O34" s="26"/>
      <c r="P34" s="26">
        <v>6</v>
      </c>
      <c r="Q34" s="38">
        <v>1</v>
      </c>
      <c r="R34" s="26"/>
      <c r="S34" s="34">
        <v>6</v>
      </c>
      <c r="T34" s="38">
        <v>1</v>
      </c>
      <c r="U34" s="26"/>
      <c r="V34" s="1" t="s">
        <v>46</v>
      </c>
      <c r="W34" s="26"/>
      <c r="X34" s="13" t="s">
        <v>5</v>
      </c>
      <c r="Z34">
        <v>2</v>
      </c>
      <c r="AA34" t="s">
        <v>5</v>
      </c>
    </row>
    <row r="35" spans="1:27" x14ac:dyDescent="0.25">
      <c r="A35" s="3">
        <v>1</v>
      </c>
      <c r="B35" s="14" t="s">
        <v>111</v>
      </c>
      <c r="C35" s="21">
        <v>400</v>
      </c>
      <c r="D35" s="15" t="s">
        <v>2</v>
      </c>
      <c r="E35" s="28" t="s">
        <v>25</v>
      </c>
      <c r="F35" s="13" t="s">
        <v>16</v>
      </c>
      <c r="G35" s="26">
        <v>0.3</v>
      </c>
      <c r="H35" s="26">
        <v>2</v>
      </c>
      <c r="I35" s="26">
        <v>1.5</v>
      </c>
      <c r="J35" s="26">
        <v>2.2999999999999998</v>
      </c>
      <c r="K35" s="26">
        <v>0.4</v>
      </c>
      <c r="L35" s="38">
        <v>1.9</v>
      </c>
      <c r="M35" s="26">
        <v>1.5</v>
      </c>
      <c r="N35" s="26" t="s">
        <v>16</v>
      </c>
      <c r="O35" s="26">
        <v>4</v>
      </c>
      <c r="P35" s="26">
        <v>3</v>
      </c>
      <c r="Q35" s="38">
        <v>1.4000000000000004</v>
      </c>
      <c r="R35" s="26"/>
      <c r="S35" s="34">
        <v>4</v>
      </c>
      <c r="T35" s="38">
        <v>0.40000000000000036</v>
      </c>
      <c r="U35" s="26"/>
      <c r="V35" s="1" t="s">
        <v>12</v>
      </c>
      <c r="W35" s="26"/>
      <c r="X35" s="13" t="s">
        <v>16</v>
      </c>
      <c r="Z35">
        <v>1</v>
      </c>
      <c r="AA35" t="s">
        <v>16</v>
      </c>
    </row>
    <row r="36" spans="1:27" x14ac:dyDescent="0.25">
      <c r="A36" s="3">
        <v>1</v>
      </c>
      <c r="B36" s="14" t="s">
        <v>111</v>
      </c>
      <c r="C36" s="21">
        <v>400</v>
      </c>
      <c r="D36" s="15" t="s">
        <v>2</v>
      </c>
      <c r="E36" s="28" t="s">
        <v>26</v>
      </c>
      <c r="F36" s="13" t="s">
        <v>16</v>
      </c>
      <c r="G36" s="26">
        <v>1.5</v>
      </c>
      <c r="H36" s="26">
        <v>2</v>
      </c>
      <c r="I36" s="26">
        <v>1</v>
      </c>
      <c r="J36" s="26">
        <v>3.1</v>
      </c>
      <c r="K36" s="26">
        <v>1.9</v>
      </c>
      <c r="L36" s="38">
        <v>1.2000000000000002</v>
      </c>
      <c r="M36" s="26">
        <v>2</v>
      </c>
      <c r="N36" s="26" t="s">
        <v>16</v>
      </c>
      <c r="O36" s="26">
        <v>2</v>
      </c>
      <c r="P36" s="26">
        <v>2.8</v>
      </c>
      <c r="Q36" s="38">
        <v>1.1000000000000001</v>
      </c>
      <c r="R36" s="26"/>
      <c r="S36" s="34">
        <v>1</v>
      </c>
      <c r="T36" s="38">
        <v>2.9</v>
      </c>
      <c r="U36" s="26"/>
      <c r="V36" s="1" t="s">
        <v>11</v>
      </c>
      <c r="W36" s="26"/>
      <c r="X36" s="13" t="s">
        <v>16</v>
      </c>
      <c r="Z36">
        <v>3.5</v>
      </c>
      <c r="AA36" t="s">
        <v>16</v>
      </c>
    </row>
    <row r="37" spans="1:27" x14ac:dyDescent="0.25">
      <c r="A37" s="3">
        <v>1</v>
      </c>
      <c r="B37" s="14" t="s">
        <v>111</v>
      </c>
      <c r="C37" s="21">
        <v>500</v>
      </c>
      <c r="D37" s="15" t="s">
        <v>2</v>
      </c>
      <c r="E37" s="28" t="s">
        <v>27</v>
      </c>
      <c r="F37" s="13" t="s">
        <v>16</v>
      </c>
      <c r="G37" s="26">
        <v>1.7</v>
      </c>
      <c r="H37" s="26">
        <v>1</v>
      </c>
      <c r="I37" s="26">
        <v>2</v>
      </c>
      <c r="J37" s="26">
        <v>2.1</v>
      </c>
      <c r="K37" s="26">
        <v>2.5</v>
      </c>
      <c r="L37" s="38">
        <v>-0.39999999999999991</v>
      </c>
      <c r="M37" s="26">
        <v>2</v>
      </c>
      <c r="N37" s="26" t="s">
        <v>16</v>
      </c>
      <c r="O37" s="26">
        <v>3</v>
      </c>
      <c r="P37" s="26">
        <v>4</v>
      </c>
      <c r="Q37" s="38">
        <v>1.5</v>
      </c>
      <c r="R37" s="26"/>
      <c r="S37" s="34">
        <v>3.2</v>
      </c>
      <c r="T37" s="38">
        <v>2.2999999999999998</v>
      </c>
      <c r="U37" s="26"/>
      <c r="V37" s="1" t="s">
        <v>138</v>
      </c>
      <c r="W37" s="26"/>
      <c r="X37" s="13" t="s">
        <v>16</v>
      </c>
      <c r="Z37">
        <v>3</v>
      </c>
      <c r="AA37" t="s">
        <v>16</v>
      </c>
    </row>
    <row r="38" spans="1:27" x14ac:dyDescent="0.25">
      <c r="A38" s="3">
        <v>1</v>
      </c>
      <c r="B38" s="14" t="s">
        <v>111</v>
      </c>
      <c r="C38" s="21">
        <v>500</v>
      </c>
      <c r="D38" s="15" t="s">
        <v>2</v>
      </c>
      <c r="E38" s="28" t="s">
        <v>91</v>
      </c>
      <c r="F38" s="13" t="s">
        <v>3</v>
      </c>
      <c r="G38" s="26">
        <v>2.2999999999999998</v>
      </c>
      <c r="H38" s="26">
        <v>1</v>
      </c>
      <c r="I38" s="26">
        <v>1.1000000000000001</v>
      </c>
      <c r="J38" s="26">
        <v>3.3</v>
      </c>
      <c r="K38" s="26">
        <v>2.5</v>
      </c>
      <c r="L38" s="38">
        <v>0.79999999999999982</v>
      </c>
      <c r="M38" s="26">
        <v>3</v>
      </c>
      <c r="N38" s="26" t="s">
        <v>3</v>
      </c>
      <c r="O38" s="26">
        <v>1</v>
      </c>
      <c r="P38" s="26">
        <v>2</v>
      </c>
      <c r="Q38" s="38">
        <v>1.5</v>
      </c>
      <c r="R38" s="26"/>
      <c r="S38" s="34">
        <v>0.2</v>
      </c>
      <c r="T38" s="38">
        <v>3.3</v>
      </c>
      <c r="U38" s="26"/>
      <c r="V38" s="1" t="s">
        <v>55</v>
      </c>
      <c r="W38" s="26"/>
      <c r="X38" s="13" t="s">
        <v>3</v>
      </c>
      <c r="Z38">
        <v>4</v>
      </c>
      <c r="AA38" t="s">
        <v>3</v>
      </c>
    </row>
    <row r="39" spans="1:27" x14ac:dyDescent="0.25">
      <c r="A39" s="3">
        <v>1</v>
      </c>
      <c r="B39" s="14" t="s">
        <v>111</v>
      </c>
      <c r="C39" s="21">
        <v>1000</v>
      </c>
      <c r="D39" s="15" t="s">
        <v>2</v>
      </c>
      <c r="E39" s="28" t="s">
        <v>92</v>
      </c>
      <c r="F39" s="13" t="s">
        <v>3</v>
      </c>
      <c r="G39" s="26">
        <v>1.5</v>
      </c>
      <c r="H39" s="26"/>
      <c r="I39" s="26">
        <v>2.5</v>
      </c>
      <c r="J39" s="26">
        <v>1.5</v>
      </c>
      <c r="K39" s="26">
        <v>1</v>
      </c>
      <c r="L39" s="38">
        <v>0.5</v>
      </c>
      <c r="M39" s="26">
        <v>2</v>
      </c>
      <c r="N39" s="26" t="s">
        <v>3</v>
      </c>
      <c r="O39" s="26"/>
      <c r="P39" s="26">
        <v>0.3</v>
      </c>
      <c r="Q39" s="38">
        <v>0.7</v>
      </c>
      <c r="R39" s="26"/>
      <c r="S39" s="34">
        <v>0.1</v>
      </c>
      <c r="T39" s="38">
        <v>0.9</v>
      </c>
      <c r="U39" s="26"/>
      <c r="V39" s="1" t="s">
        <v>57</v>
      </c>
      <c r="W39" s="26"/>
      <c r="X39" s="13" t="s">
        <v>3</v>
      </c>
      <c r="Z39">
        <v>1.5</v>
      </c>
      <c r="AA39" t="s">
        <v>3</v>
      </c>
    </row>
    <row r="40" spans="1:27" x14ac:dyDescent="0.25">
      <c r="A40" s="3">
        <v>1</v>
      </c>
      <c r="B40" s="14" t="s">
        <v>111</v>
      </c>
      <c r="C40" s="21">
        <v>1000</v>
      </c>
      <c r="D40" s="15" t="s">
        <v>2</v>
      </c>
      <c r="E40" s="28" t="s">
        <v>93</v>
      </c>
      <c r="F40" s="13" t="s">
        <v>3</v>
      </c>
      <c r="G40" s="26">
        <v>1.3</v>
      </c>
      <c r="H40" s="26">
        <v>1</v>
      </c>
      <c r="I40" s="26">
        <v>1</v>
      </c>
      <c r="J40" s="26">
        <v>2.2999999999999998</v>
      </c>
      <c r="K40" s="26">
        <v>2.5</v>
      </c>
      <c r="L40" s="38">
        <v>-0.20000000000000018</v>
      </c>
      <c r="M40" s="26">
        <v>1.5</v>
      </c>
      <c r="N40" s="26" t="s">
        <v>3</v>
      </c>
      <c r="O40" s="26"/>
      <c r="P40" s="26">
        <v>1.4</v>
      </c>
      <c r="Q40" s="38">
        <v>1.1000000000000001</v>
      </c>
      <c r="R40" s="26"/>
      <c r="S40" s="34">
        <v>0.3</v>
      </c>
      <c r="T40" s="38">
        <v>2.2000000000000002</v>
      </c>
      <c r="U40" s="26"/>
      <c r="V40" s="1" t="s">
        <v>39</v>
      </c>
      <c r="W40" s="26"/>
      <c r="X40" s="13" t="s">
        <v>3</v>
      </c>
      <c r="Z40">
        <v>3</v>
      </c>
      <c r="AA40" t="s">
        <v>3</v>
      </c>
    </row>
    <row r="41" spans="1:27" x14ac:dyDescent="0.25">
      <c r="A41" s="3">
        <v>1</v>
      </c>
      <c r="B41" s="14" t="s">
        <v>111</v>
      </c>
      <c r="C41" s="21">
        <v>250</v>
      </c>
      <c r="D41" s="15" t="s">
        <v>2</v>
      </c>
      <c r="E41" s="28" t="s">
        <v>94</v>
      </c>
      <c r="F41" s="13" t="s">
        <v>3</v>
      </c>
      <c r="G41" s="26">
        <v>0.7</v>
      </c>
      <c r="H41" s="26"/>
      <c r="I41" s="26">
        <v>2.2999999999999998</v>
      </c>
      <c r="J41" s="26">
        <v>0.7</v>
      </c>
      <c r="K41" s="26">
        <v>1.1000000000000001</v>
      </c>
      <c r="L41" s="38">
        <v>-0.40000000000000013</v>
      </c>
      <c r="M41" s="26">
        <v>0.5</v>
      </c>
      <c r="N41" s="26" t="s">
        <v>3</v>
      </c>
      <c r="O41" s="26"/>
      <c r="P41" s="26">
        <v>1</v>
      </c>
      <c r="Q41" s="38">
        <v>0.10000000000000009</v>
      </c>
      <c r="R41" s="26"/>
      <c r="S41" s="34">
        <v>1</v>
      </c>
      <c r="T41" s="38">
        <v>0.10000000000000009</v>
      </c>
      <c r="U41" s="26"/>
      <c r="V41" s="1" t="s">
        <v>68</v>
      </c>
      <c r="W41" s="26"/>
      <c r="X41" s="13" t="s">
        <v>3</v>
      </c>
      <c r="Z41">
        <v>0.3</v>
      </c>
      <c r="AA41" t="s">
        <v>3</v>
      </c>
    </row>
    <row r="42" spans="1:27" x14ac:dyDescent="0.25">
      <c r="A42" s="3">
        <v>1</v>
      </c>
      <c r="B42" s="14" t="s">
        <v>111</v>
      </c>
      <c r="C42" s="21">
        <v>200</v>
      </c>
      <c r="D42" s="15" t="s">
        <v>2</v>
      </c>
      <c r="E42" s="28" t="s">
        <v>95</v>
      </c>
      <c r="F42" s="13" t="s">
        <v>3</v>
      </c>
      <c r="G42" s="26">
        <v>1.5</v>
      </c>
      <c r="H42" s="26"/>
      <c r="I42" s="26">
        <v>2.5</v>
      </c>
      <c r="J42" s="26">
        <v>1.5</v>
      </c>
      <c r="K42" s="26">
        <v>1.6</v>
      </c>
      <c r="L42" s="38">
        <v>-0.10000000000000009</v>
      </c>
      <c r="M42" s="26">
        <v>0.3</v>
      </c>
      <c r="N42" s="26" t="s">
        <v>3</v>
      </c>
      <c r="O42" s="26"/>
      <c r="P42" s="26">
        <v>1.4</v>
      </c>
      <c r="Q42" s="38">
        <v>0.20000000000000018</v>
      </c>
      <c r="R42" s="26"/>
      <c r="S42" s="34">
        <v>1.5</v>
      </c>
      <c r="T42" s="38">
        <v>0.10000000000000009</v>
      </c>
      <c r="U42" s="26"/>
      <c r="V42" s="1" t="s">
        <v>81</v>
      </c>
      <c r="W42" s="26"/>
      <c r="X42" s="13" t="s">
        <v>3</v>
      </c>
      <c r="Z42">
        <v>0.3</v>
      </c>
      <c r="AA42" t="s">
        <v>3</v>
      </c>
    </row>
    <row r="43" spans="1:27" x14ac:dyDescent="0.25">
      <c r="A43" s="3">
        <v>1</v>
      </c>
      <c r="B43" s="14" t="s">
        <v>111</v>
      </c>
      <c r="C43" s="21">
        <v>1000</v>
      </c>
      <c r="D43" s="15" t="s">
        <v>2</v>
      </c>
      <c r="E43" s="28" t="s">
        <v>22</v>
      </c>
      <c r="F43" s="13" t="s">
        <v>3</v>
      </c>
      <c r="G43" s="26">
        <v>1</v>
      </c>
      <c r="H43" s="26">
        <v>1</v>
      </c>
      <c r="I43" s="26">
        <v>2</v>
      </c>
      <c r="J43" s="26">
        <v>2</v>
      </c>
      <c r="K43" s="26">
        <v>1.3</v>
      </c>
      <c r="L43" s="38">
        <v>0.7</v>
      </c>
      <c r="M43" s="26">
        <v>2</v>
      </c>
      <c r="N43" s="26" t="s">
        <v>3</v>
      </c>
      <c r="O43" s="26">
        <v>2</v>
      </c>
      <c r="P43" s="26">
        <v>2.5</v>
      </c>
      <c r="Q43" s="38">
        <v>0.79999999999999982</v>
      </c>
      <c r="R43" s="26"/>
      <c r="S43" s="34">
        <v>2</v>
      </c>
      <c r="T43" s="38">
        <v>1.2999999999999998</v>
      </c>
      <c r="U43" s="26"/>
      <c r="V43" s="1" t="s">
        <v>96</v>
      </c>
      <c r="W43" s="26"/>
      <c r="X43" s="13" t="s">
        <v>3</v>
      </c>
      <c r="Z43">
        <v>2</v>
      </c>
      <c r="AA43" t="s">
        <v>3</v>
      </c>
    </row>
    <row r="44" spans="1:27" x14ac:dyDescent="0.25">
      <c r="A44" s="3">
        <v>1</v>
      </c>
      <c r="B44" s="14" t="s">
        <v>111</v>
      </c>
      <c r="C44" s="21">
        <v>1000</v>
      </c>
      <c r="D44" s="15" t="s">
        <v>2</v>
      </c>
      <c r="E44" s="28" t="s">
        <v>23</v>
      </c>
      <c r="F44" s="13" t="s">
        <v>3</v>
      </c>
      <c r="G44" s="26">
        <v>1</v>
      </c>
      <c r="H44" s="26">
        <v>1</v>
      </c>
      <c r="I44" s="26">
        <v>1</v>
      </c>
      <c r="J44" s="26">
        <v>2</v>
      </c>
      <c r="K44" s="26">
        <v>1.8</v>
      </c>
      <c r="L44" s="38">
        <v>0.19999999999999996</v>
      </c>
      <c r="M44" s="26">
        <v>1.5</v>
      </c>
      <c r="N44" s="26" t="s">
        <v>3</v>
      </c>
      <c r="O44" s="26">
        <v>2</v>
      </c>
      <c r="P44" s="26">
        <v>3</v>
      </c>
      <c r="Q44" s="38">
        <v>0.79999999999999982</v>
      </c>
      <c r="R44" s="26"/>
      <c r="S44" s="34">
        <v>2.1</v>
      </c>
      <c r="T44" s="38">
        <v>1.6999999999999997</v>
      </c>
      <c r="U44" s="26"/>
      <c r="V44" s="1" t="s">
        <v>97</v>
      </c>
      <c r="W44" s="26"/>
      <c r="X44" s="13" t="s">
        <v>3</v>
      </c>
      <c r="Z44">
        <v>2</v>
      </c>
      <c r="AA44" t="s">
        <v>3</v>
      </c>
    </row>
    <row r="45" spans="1:27" x14ac:dyDescent="0.25">
      <c r="A45" s="3">
        <v>1</v>
      </c>
      <c r="B45" s="14" t="s">
        <v>111</v>
      </c>
      <c r="C45" s="21">
        <v>1000</v>
      </c>
      <c r="D45" s="15" t="s">
        <v>2</v>
      </c>
      <c r="E45" s="28" t="s">
        <v>34</v>
      </c>
      <c r="F45" s="13" t="s">
        <v>3</v>
      </c>
      <c r="G45" s="26">
        <v>0.5</v>
      </c>
      <c r="H45" s="26"/>
      <c r="I45" s="26">
        <v>0.5</v>
      </c>
      <c r="J45" s="26">
        <v>0.5</v>
      </c>
      <c r="K45" s="26">
        <v>0.4</v>
      </c>
      <c r="L45" s="38">
        <v>9.9999999999999978E-2</v>
      </c>
      <c r="M45" s="26">
        <v>0.5</v>
      </c>
      <c r="N45" s="26" t="s">
        <v>3</v>
      </c>
      <c r="O45" s="26">
        <v>1</v>
      </c>
      <c r="P45" s="26">
        <v>1.3</v>
      </c>
      <c r="Q45" s="38">
        <v>9.9999999999999867E-2</v>
      </c>
      <c r="R45" s="26"/>
      <c r="S45" s="34">
        <v>1</v>
      </c>
      <c r="T45" s="38">
        <v>0.39999999999999991</v>
      </c>
      <c r="U45" s="26"/>
      <c r="V45" s="1" t="s">
        <v>117</v>
      </c>
      <c r="W45" s="26"/>
      <c r="X45" s="13" t="s">
        <v>3</v>
      </c>
      <c r="Z45">
        <v>0.5</v>
      </c>
      <c r="AA45" t="s">
        <v>3</v>
      </c>
    </row>
    <row r="46" spans="1:27" x14ac:dyDescent="0.25">
      <c r="A46" s="3">
        <v>20</v>
      </c>
      <c r="B46" s="14" t="s">
        <v>111</v>
      </c>
      <c r="C46" s="21">
        <v>100</v>
      </c>
      <c r="D46" s="15" t="s">
        <v>2</v>
      </c>
      <c r="E46" s="28" t="s">
        <v>109</v>
      </c>
      <c r="F46" s="13" t="s">
        <v>5</v>
      </c>
      <c r="G46" s="26">
        <v>10</v>
      </c>
      <c r="H46" s="26">
        <v>16</v>
      </c>
      <c r="I46" s="26">
        <v>2</v>
      </c>
      <c r="J46" s="26">
        <v>26</v>
      </c>
      <c r="K46" s="26">
        <v>31</v>
      </c>
      <c r="L46" s="38">
        <v>-5</v>
      </c>
      <c r="M46" s="26">
        <v>24</v>
      </c>
      <c r="N46" s="26" t="s">
        <v>5</v>
      </c>
      <c r="O46" s="26">
        <v>4</v>
      </c>
      <c r="P46" s="26">
        <v>4.0999999999999996</v>
      </c>
      <c r="Q46" s="38">
        <v>106.9</v>
      </c>
      <c r="R46" s="26"/>
      <c r="S46" s="34">
        <v>3</v>
      </c>
      <c r="T46" s="38">
        <v>108</v>
      </c>
      <c r="U46" s="26"/>
      <c r="V46" s="1" t="s">
        <v>64</v>
      </c>
      <c r="W46" s="26"/>
      <c r="X46" s="13" t="s">
        <v>5</v>
      </c>
      <c r="Z46">
        <v>60</v>
      </c>
      <c r="AA46" t="s">
        <v>5</v>
      </c>
    </row>
    <row r="47" spans="1:27" x14ac:dyDescent="0.25">
      <c r="A47" s="3">
        <v>12</v>
      </c>
      <c r="B47" s="14" t="s">
        <v>111</v>
      </c>
      <c r="C47" s="21">
        <v>500</v>
      </c>
      <c r="D47" s="15" t="s">
        <v>2</v>
      </c>
      <c r="E47" s="28" t="s">
        <v>110</v>
      </c>
      <c r="F47" s="13" t="s">
        <v>3</v>
      </c>
      <c r="G47" s="26">
        <v>0.5</v>
      </c>
      <c r="H47" s="26">
        <v>60</v>
      </c>
      <c r="I47" s="26">
        <v>5</v>
      </c>
      <c r="J47" s="26">
        <v>5</v>
      </c>
      <c r="K47" s="26">
        <v>2.2000000000000002</v>
      </c>
      <c r="L47" s="38">
        <v>2.8</v>
      </c>
      <c r="M47" s="26">
        <v>6</v>
      </c>
      <c r="N47" s="26" t="s">
        <v>3</v>
      </c>
      <c r="O47" s="26">
        <v>7</v>
      </c>
      <c r="P47" s="26">
        <v>5.0999999999999996</v>
      </c>
      <c r="Q47" s="38">
        <v>4.0999999999999996</v>
      </c>
      <c r="R47" s="26"/>
      <c r="S47" s="34">
        <v>1</v>
      </c>
      <c r="T47" s="38">
        <v>85.2</v>
      </c>
      <c r="U47" s="26"/>
      <c r="V47" s="1" t="s">
        <v>72</v>
      </c>
      <c r="W47" s="26"/>
      <c r="X47" s="13" t="s">
        <v>3</v>
      </c>
      <c r="Z47">
        <v>6</v>
      </c>
      <c r="AA47" t="s">
        <v>3</v>
      </c>
    </row>
    <row r="48" spans="1:27" x14ac:dyDescent="0.25">
      <c r="A48" s="3">
        <v>1</v>
      </c>
      <c r="B48" s="14" t="s">
        <v>111</v>
      </c>
      <c r="C48" s="21">
        <v>6</v>
      </c>
      <c r="D48" s="15" t="s">
        <v>2</v>
      </c>
      <c r="E48" s="28" t="s">
        <v>9</v>
      </c>
      <c r="F48" s="13" t="s">
        <v>2</v>
      </c>
      <c r="G48" s="26">
        <v>5</v>
      </c>
      <c r="H48" s="26">
        <v>1</v>
      </c>
      <c r="I48" s="26">
        <v>8</v>
      </c>
      <c r="J48" s="26">
        <v>6</v>
      </c>
      <c r="K48" s="26">
        <v>2</v>
      </c>
      <c r="L48" s="38">
        <v>4</v>
      </c>
      <c r="M48" s="26">
        <v>8</v>
      </c>
      <c r="N48" s="26" t="s">
        <v>2</v>
      </c>
      <c r="O48" s="26">
        <v>2</v>
      </c>
      <c r="P48" s="26">
        <v>9.3000000000000007</v>
      </c>
      <c r="Q48" s="38">
        <v>4.6999999999999993</v>
      </c>
      <c r="R48" s="26"/>
      <c r="S48" s="34">
        <v>1</v>
      </c>
      <c r="T48" s="38">
        <v>13</v>
      </c>
      <c r="U48" s="26"/>
      <c r="V48" s="1" t="s">
        <v>15</v>
      </c>
      <c r="W48" s="26"/>
      <c r="X48" s="13" t="s">
        <v>2</v>
      </c>
      <c r="Z48">
        <v>18</v>
      </c>
      <c r="AA48" t="s">
        <v>2</v>
      </c>
    </row>
    <row r="49" spans="1:27" x14ac:dyDescent="0.25">
      <c r="A49" s="3">
        <v>1</v>
      </c>
      <c r="B49" s="14" t="s">
        <v>111</v>
      </c>
      <c r="C49" s="21">
        <v>100</v>
      </c>
      <c r="D49" s="15" t="s">
        <v>2</v>
      </c>
      <c r="E49" s="28" t="s">
        <v>43</v>
      </c>
      <c r="F49" s="13" t="s">
        <v>38</v>
      </c>
      <c r="G49" s="26">
        <v>1</v>
      </c>
      <c r="H49" s="26">
        <v>1</v>
      </c>
      <c r="I49" s="26">
        <v>0.3</v>
      </c>
      <c r="J49" s="26">
        <v>2</v>
      </c>
      <c r="K49" s="26">
        <v>1</v>
      </c>
      <c r="L49" s="38">
        <v>1</v>
      </c>
      <c r="M49" s="26">
        <v>0.3</v>
      </c>
      <c r="N49" s="26" t="s">
        <v>38</v>
      </c>
      <c r="O49" s="26"/>
      <c r="P49" s="26">
        <v>1.3</v>
      </c>
      <c r="Q49" s="38">
        <v>-0.30000000000000004</v>
      </c>
      <c r="R49" s="26"/>
      <c r="S49" s="34">
        <v>1.1000000000000001</v>
      </c>
      <c r="T49" s="38">
        <v>-0.10000000000000009</v>
      </c>
      <c r="U49" s="26"/>
      <c r="V49" s="1" t="s">
        <v>44</v>
      </c>
      <c r="W49" s="26"/>
      <c r="X49" s="13" t="s">
        <v>38</v>
      </c>
      <c r="Z49">
        <v>0.3</v>
      </c>
      <c r="AA49" t="s">
        <v>38</v>
      </c>
    </row>
    <row r="50" spans="1:27" x14ac:dyDescent="0.25">
      <c r="A50" s="3">
        <v>1</v>
      </c>
      <c r="B50" s="14" t="s">
        <v>111</v>
      </c>
      <c r="C50" s="21">
        <v>50</v>
      </c>
      <c r="D50" s="15" t="s">
        <v>2</v>
      </c>
      <c r="E50" s="28" t="s">
        <v>41</v>
      </c>
      <c r="F50" s="13" t="s">
        <v>38</v>
      </c>
      <c r="G50" s="26">
        <v>1</v>
      </c>
      <c r="H50" s="26"/>
      <c r="I50" s="26">
        <v>0.1</v>
      </c>
      <c r="J50" s="26">
        <v>1</v>
      </c>
      <c r="K50" s="26">
        <v>1</v>
      </c>
      <c r="L50" s="38">
        <v>0</v>
      </c>
      <c r="M50" s="26">
        <v>0.5</v>
      </c>
      <c r="N50" s="26" t="s">
        <v>38</v>
      </c>
      <c r="O50" s="26"/>
      <c r="P50" s="26">
        <v>1</v>
      </c>
      <c r="Q50" s="38">
        <v>0</v>
      </c>
      <c r="R50" s="26"/>
      <c r="S50" s="34">
        <v>0.3</v>
      </c>
      <c r="T50" s="38">
        <v>0.7</v>
      </c>
      <c r="U50" s="26"/>
      <c r="V50" s="1" t="s">
        <v>42</v>
      </c>
      <c r="W50" s="26"/>
      <c r="X50" s="13" t="s">
        <v>38</v>
      </c>
      <c r="Z50">
        <v>0.5</v>
      </c>
      <c r="AA50" t="s">
        <v>38</v>
      </c>
    </row>
    <row r="51" spans="1:27" x14ac:dyDescent="0.25">
      <c r="A51" s="3">
        <v>1</v>
      </c>
      <c r="B51" s="14" t="s">
        <v>111</v>
      </c>
      <c r="C51" s="21">
        <v>4</v>
      </c>
      <c r="D51" s="15" t="s">
        <v>2</v>
      </c>
      <c r="E51" s="28" t="s">
        <v>65</v>
      </c>
      <c r="F51" s="13" t="s">
        <v>2</v>
      </c>
      <c r="G51" s="26">
        <v>2</v>
      </c>
      <c r="H51" s="26"/>
      <c r="I51" s="26">
        <v>8</v>
      </c>
      <c r="J51" s="26">
        <v>2</v>
      </c>
      <c r="K51" s="26">
        <v>1.5</v>
      </c>
      <c r="L51" s="38">
        <v>0.5</v>
      </c>
      <c r="M51" s="26">
        <v>5</v>
      </c>
      <c r="N51" s="26" t="s">
        <v>2</v>
      </c>
      <c r="O51" s="26">
        <v>2</v>
      </c>
      <c r="P51" s="26">
        <v>1</v>
      </c>
      <c r="Q51" s="38">
        <v>8.5</v>
      </c>
      <c r="R51" s="26"/>
      <c r="S51" s="34">
        <v>1</v>
      </c>
      <c r="T51" s="38">
        <v>8.5</v>
      </c>
      <c r="U51" s="26"/>
      <c r="V51" s="1" t="s">
        <v>66</v>
      </c>
      <c r="W51" s="26"/>
      <c r="X51" s="13" t="s">
        <v>2</v>
      </c>
      <c r="Z51">
        <v>10</v>
      </c>
      <c r="AA51" t="s">
        <v>2</v>
      </c>
    </row>
    <row r="52" spans="1:27" x14ac:dyDescent="0.25">
      <c r="A52" s="3">
        <v>1</v>
      </c>
      <c r="B52" s="14" t="s">
        <v>111</v>
      </c>
      <c r="C52" s="21">
        <v>4</v>
      </c>
      <c r="D52" s="15" t="s">
        <v>2</v>
      </c>
      <c r="E52" s="28" t="s">
        <v>28</v>
      </c>
      <c r="F52" s="13" t="s">
        <v>2</v>
      </c>
      <c r="G52" s="26">
        <v>5</v>
      </c>
      <c r="H52" s="26"/>
      <c r="I52" s="26">
        <v>2</v>
      </c>
      <c r="J52" s="26">
        <v>5</v>
      </c>
      <c r="K52" s="26">
        <v>5.3</v>
      </c>
      <c r="L52" s="38">
        <v>-0.29999999999999982</v>
      </c>
      <c r="M52" s="26">
        <v>3</v>
      </c>
      <c r="N52" s="26" t="s">
        <v>2</v>
      </c>
      <c r="O52" s="26">
        <v>1</v>
      </c>
      <c r="P52" s="26">
        <v>7.1</v>
      </c>
      <c r="Q52" s="38">
        <v>2.2000000000000011</v>
      </c>
      <c r="R52" s="26"/>
      <c r="S52" s="34">
        <v>6.1</v>
      </c>
      <c r="T52" s="38">
        <v>3.2000000000000011</v>
      </c>
      <c r="U52" s="26"/>
      <c r="V52" s="1" t="s">
        <v>67</v>
      </c>
      <c r="W52" s="26"/>
      <c r="X52" s="13" t="s">
        <v>2</v>
      </c>
      <c r="Z52">
        <v>4</v>
      </c>
      <c r="AA52" t="s">
        <v>2</v>
      </c>
    </row>
    <row r="53" spans="1:27" x14ac:dyDescent="0.25">
      <c r="A53" s="3">
        <v>1</v>
      </c>
      <c r="B53" s="14" t="s">
        <v>111</v>
      </c>
      <c r="C53" s="21">
        <v>2</v>
      </c>
      <c r="D53" s="15" t="s">
        <v>2</v>
      </c>
      <c r="E53" s="28" t="s">
        <v>31</v>
      </c>
      <c r="F53" s="13" t="s">
        <v>2</v>
      </c>
      <c r="G53" s="26">
        <v>3</v>
      </c>
      <c r="H53" s="26"/>
      <c r="I53" s="26">
        <v>3</v>
      </c>
      <c r="J53" s="26">
        <v>3</v>
      </c>
      <c r="K53" s="26">
        <v>3</v>
      </c>
      <c r="L53" s="38">
        <v>0</v>
      </c>
      <c r="M53" s="26">
        <v>2</v>
      </c>
      <c r="N53" s="26" t="s">
        <v>2</v>
      </c>
      <c r="O53" s="26"/>
      <c r="P53" s="26">
        <v>3</v>
      </c>
      <c r="Q53" s="38">
        <v>0</v>
      </c>
      <c r="R53" s="26"/>
      <c r="S53" s="34">
        <v>3</v>
      </c>
      <c r="T53" s="38">
        <v>0</v>
      </c>
      <c r="U53" s="26"/>
      <c r="V53" s="1" t="s">
        <v>13</v>
      </c>
      <c r="W53" s="26"/>
      <c r="X53" s="13" t="s">
        <v>2</v>
      </c>
      <c r="Z53">
        <v>2</v>
      </c>
      <c r="AA53" t="s">
        <v>2</v>
      </c>
    </row>
    <row r="54" spans="1:27" x14ac:dyDescent="0.25">
      <c r="A54" s="3">
        <v>1</v>
      </c>
      <c r="B54" s="14" t="s">
        <v>111</v>
      </c>
      <c r="C54" s="21">
        <v>2</v>
      </c>
      <c r="D54" s="15" t="s">
        <v>2</v>
      </c>
      <c r="E54" s="28" t="s">
        <v>8</v>
      </c>
      <c r="F54" s="13" t="s">
        <v>2</v>
      </c>
      <c r="G54" s="26">
        <v>2</v>
      </c>
      <c r="H54" s="26"/>
      <c r="I54" s="26">
        <v>2</v>
      </c>
      <c r="J54" s="26">
        <v>2</v>
      </c>
      <c r="K54" s="26">
        <v>1</v>
      </c>
      <c r="L54" s="38">
        <v>1</v>
      </c>
      <c r="M54" s="26">
        <v>3</v>
      </c>
      <c r="N54" s="26" t="s">
        <v>2</v>
      </c>
      <c r="O54" s="26"/>
      <c r="P54" s="26">
        <v>1</v>
      </c>
      <c r="Q54" s="38">
        <v>0</v>
      </c>
      <c r="R54" s="26"/>
      <c r="S54" s="34">
        <v>1</v>
      </c>
      <c r="T54" s="38">
        <v>0</v>
      </c>
      <c r="U54" s="26"/>
      <c r="V54" s="1" t="s">
        <v>14</v>
      </c>
      <c r="W54" s="26"/>
      <c r="X54" s="13" t="s">
        <v>2</v>
      </c>
      <c r="Z54">
        <v>0</v>
      </c>
      <c r="AA54" t="s">
        <v>2</v>
      </c>
    </row>
    <row r="55" spans="1:27" x14ac:dyDescent="0.25">
      <c r="A55" s="3">
        <v>1</v>
      </c>
      <c r="B55" s="14" t="s">
        <v>111</v>
      </c>
      <c r="C55" s="21">
        <v>100</v>
      </c>
      <c r="D55" s="15" t="s">
        <v>2</v>
      </c>
      <c r="E55" s="28" t="s">
        <v>52</v>
      </c>
      <c r="F55" s="13" t="s">
        <v>38</v>
      </c>
      <c r="G55" s="26">
        <v>5</v>
      </c>
      <c r="H55" s="26">
        <v>2</v>
      </c>
      <c r="I55" s="26">
        <v>5</v>
      </c>
      <c r="J55" s="26">
        <v>7</v>
      </c>
      <c r="K55" s="26">
        <v>2.5</v>
      </c>
      <c r="L55" s="38">
        <v>4.5</v>
      </c>
      <c r="M55" s="26">
        <v>6</v>
      </c>
      <c r="N55" s="26" t="s">
        <v>38</v>
      </c>
      <c r="O55" s="26">
        <v>10</v>
      </c>
      <c r="P55" s="26">
        <v>6</v>
      </c>
      <c r="Q55" s="38">
        <v>6.5</v>
      </c>
      <c r="R55" s="26"/>
      <c r="S55" s="34">
        <v>0</v>
      </c>
      <c r="T55" s="38">
        <v>12.5</v>
      </c>
      <c r="U55" s="26"/>
      <c r="V55" s="1" t="s">
        <v>85</v>
      </c>
      <c r="W55" s="26"/>
      <c r="X55" s="13" t="s">
        <v>38</v>
      </c>
      <c r="Z55">
        <v>12</v>
      </c>
      <c r="AA55" t="s">
        <v>38</v>
      </c>
    </row>
    <row r="56" spans="1:27" x14ac:dyDescent="0.25">
      <c r="A56" s="3">
        <v>1</v>
      </c>
      <c r="B56" s="14" t="s">
        <v>111</v>
      </c>
      <c r="C56" s="21">
        <v>100</v>
      </c>
      <c r="D56" s="15" t="s">
        <v>2</v>
      </c>
      <c r="E56" s="28" t="s">
        <v>53</v>
      </c>
      <c r="F56" s="13" t="s">
        <v>38</v>
      </c>
      <c r="G56" s="26">
        <v>1</v>
      </c>
      <c r="H56" s="26">
        <v>6</v>
      </c>
      <c r="I56" s="26">
        <v>6</v>
      </c>
      <c r="J56" s="26">
        <v>7</v>
      </c>
      <c r="K56" s="26">
        <v>2</v>
      </c>
      <c r="L56" s="38">
        <v>5</v>
      </c>
      <c r="M56" s="26">
        <v>6</v>
      </c>
      <c r="N56" s="26" t="s">
        <v>38</v>
      </c>
      <c r="O56" s="26">
        <v>10</v>
      </c>
      <c r="P56" s="26">
        <v>8</v>
      </c>
      <c r="Q56" s="38">
        <v>4</v>
      </c>
      <c r="R56" s="26"/>
      <c r="S56" s="34">
        <v>3</v>
      </c>
      <c r="T56" s="38">
        <v>9</v>
      </c>
      <c r="U56" s="26"/>
      <c r="V56" s="1" t="s">
        <v>86</v>
      </c>
      <c r="W56" s="26"/>
      <c r="X56" s="13" t="s">
        <v>38</v>
      </c>
      <c r="Z56">
        <v>10</v>
      </c>
      <c r="AA56" t="s">
        <v>38</v>
      </c>
    </row>
    <row r="57" spans="1:27" x14ac:dyDescent="0.25">
      <c r="A57" s="3">
        <v>20</v>
      </c>
      <c r="B57" s="14" t="s">
        <v>111</v>
      </c>
      <c r="C57" s="21">
        <v>50</v>
      </c>
      <c r="D57" s="15" t="s">
        <v>2</v>
      </c>
      <c r="E57" s="28" t="s">
        <v>135</v>
      </c>
      <c r="F57" s="13" t="s">
        <v>4</v>
      </c>
      <c r="G57" s="26">
        <v>13</v>
      </c>
      <c r="H57" s="26"/>
      <c r="I57" s="26">
        <v>14</v>
      </c>
      <c r="J57" s="26">
        <v>13</v>
      </c>
      <c r="K57" s="26">
        <v>12</v>
      </c>
      <c r="L57" s="38">
        <v>1</v>
      </c>
      <c r="M57" s="26">
        <v>6</v>
      </c>
      <c r="N57" s="26" t="s">
        <v>4</v>
      </c>
      <c r="O57" s="26"/>
      <c r="P57" s="26">
        <v>9.1999999999999993</v>
      </c>
      <c r="Q57" s="38">
        <v>2.8000000000000007</v>
      </c>
      <c r="R57" s="26"/>
      <c r="S57" s="34">
        <v>5</v>
      </c>
      <c r="T57" s="38">
        <v>7</v>
      </c>
      <c r="U57" s="26"/>
      <c r="V57" s="1" t="s">
        <v>118</v>
      </c>
      <c r="W57" s="26"/>
      <c r="X57" s="13" t="s">
        <v>4</v>
      </c>
      <c r="Z57">
        <v>10</v>
      </c>
      <c r="AA57" t="s">
        <v>4</v>
      </c>
    </row>
    <row r="58" spans="1:27" x14ac:dyDescent="0.25">
      <c r="A58" s="3">
        <v>12</v>
      </c>
      <c r="B58" s="14" t="s">
        <v>111</v>
      </c>
      <c r="C58" s="21">
        <v>50</v>
      </c>
      <c r="D58" s="15" t="s">
        <v>2</v>
      </c>
      <c r="E58" s="28" t="s">
        <v>136</v>
      </c>
      <c r="F58" s="13" t="s">
        <v>4</v>
      </c>
      <c r="G58" s="26">
        <v>9</v>
      </c>
      <c r="H58" s="26"/>
      <c r="I58" s="26">
        <v>8</v>
      </c>
      <c r="J58" s="26">
        <v>9</v>
      </c>
      <c r="K58" s="26">
        <v>7</v>
      </c>
      <c r="L58" s="38">
        <v>2</v>
      </c>
      <c r="M58" s="26">
        <v>6</v>
      </c>
      <c r="N58" s="26" t="s">
        <v>4</v>
      </c>
      <c r="O58" s="26">
        <v>1</v>
      </c>
      <c r="P58" s="26">
        <v>17.100000000000001</v>
      </c>
      <c r="Q58" s="38">
        <v>1.8999999999999986</v>
      </c>
      <c r="R58" s="26"/>
      <c r="S58" s="34">
        <v>16</v>
      </c>
      <c r="T58" s="38">
        <v>3</v>
      </c>
      <c r="U58" s="26"/>
      <c r="V58" s="1" t="s">
        <v>119</v>
      </c>
      <c r="W58" s="26"/>
      <c r="X58" s="13" t="s">
        <v>4</v>
      </c>
      <c r="Z58">
        <v>6</v>
      </c>
      <c r="AA58" t="s">
        <v>4</v>
      </c>
    </row>
    <row r="59" spans="1:27" x14ac:dyDescent="0.25">
      <c r="A59" s="3">
        <v>12</v>
      </c>
      <c r="B59" s="14" t="s">
        <v>111</v>
      </c>
      <c r="C59" s="21">
        <v>50</v>
      </c>
      <c r="D59" s="15" t="s">
        <v>2</v>
      </c>
      <c r="E59" s="28" t="s">
        <v>137</v>
      </c>
      <c r="F59" s="13" t="s">
        <v>4</v>
      </c>
      <c r="G59" s="26">
        <v>5</v>
      </c>
      <c r="H59" s="26"/>
      <c r="I59" s="26">
        <v>4</v>
      </c>
      <c r="J59" s="26">
        <v>5</v>
      </c>
      <c r="K59" s="26">
        <v>4</v>
      </c>
      <c r="L59" s="38">
        <v>1</v>
      </c>
      <c r="M59" s="26">
        <v>3</v>
      </c>
      <c r="N59" s="26" t="s">
        <v>4</v>
      </c>
      <c r="O59" s="26">
        <v>1</v>
      </c>
      <c r="P59" s="26">
        <v>12.3</v>
      </c>
      <c r="Q59" s="38">
        <v>3.6999999999999993</v>
      </c>
      <c r="R59" s="26"/>
      <c r="S59" s="34">
        <v>12</v>
      </c>
      <c r="T59" s="38">
        <v>4</v>
      </c>
      <c r="U59" s="26"/>
      <c r="V59" s="1" t="s">
        <v>120</v>
      </c>
      <c r="W59" s="26"/>
      <c r="X59" s="13" t="s">
        <v>4</v>
      </c>
      <c r="Z59">
        <v>7</v>
      </c>
      <c r="AA59" t="s">
        <v>4</v>
      </c>
    </row>
    <row r="60" spans="1:27" x14ac:dyDescent="0.25">
      <c r="A60" s="3">
        <v>10</v>
      </c>
      <c r="B60" s="14" t="s">
        <v>111</v>
      </c>
      <c r="C60" s="21">
        <v>100</v>
      </c>
      <c r="D60" s="15" t="s">
        <v>2</v>
      </c>
      <c r="E60" s="28" t="s">
        <v>50</v>
      </c>
      <c r="F60" s="13" t="s">
        <v>4</v>
      </c>
      <c r="G60" s="26">
        <v>13</v>
      </c>
      <c r="H60" s="26"/>
      <c r="I60" s="26">
        <v>12</v>
      </c>
      <c r="J60" s="26">
        <v>13</v>
      </c>
      <c r="K60" s="26">
        <v>9.5</v>
      </c>
      <c r="L60" s="38">
        <v>3.5</v>
      </c>
      <c r="M60" s="26">
        <v>4</v>
      </c>
      <c r="N60" s="26" t="s">
        <v>4</v>
      </c>
      <c r="O60" s="26">
        <v>1</v>
      </c>
      <c r="P60" s="26">
        <v>17</v>
      </c>
      <c r="Q60" s="38">
        <v>2.5</v>
      </c>
      <c r="R60" s="26"/>
      <c r="S60" s="34">
        <v>14.2</v>
      </c>
      <c r="T60" s="38">
        <v>5.3000000000000007</v>
      </c>
      <c r="U60" s="26"/>
      <c r="V60" s="1" t="s">
        <v>54</v>
      </c>
      <c r="W60" s="26"/>
      <c r="X60" s="13" t="s">
        <v>4</v>
      </c>
      <c r="Z60">
        <v>8</v>
      </c>
      <c r="AA60" t="s">
        <v>4</v>
      </c>
    </row>
    <row r="61" spans="1:27" x14ac:dyDescent="0.25">
      <c r="A61" s="3">
        <v>20</v>
      </c>
      <c r="B61" s="14" t="s">
        <v>111</v>
      </c>
      <c r="C61" s="21">
        <v>50</v>
      </c>
      <c r="D61" s="15" t="s">
        <v>2</v>
      </c>
      <c r="E61" s="28" t="s">
        <v>125</v>
      </c>
      <c r="F61" s="13" t="s">
        <v>4</v>
      </c>
      <c r="G61" s="26">
        <v>14</v>
      </c>
      <c r="H61" s="26"/>
      <c r="I61" s="26">
        <v>17</v>
      </c>
      <c r="J61" s="26">
        <v>14</v>
      </c>
      <c r="K61" s="26">
        <v>13</v>
      </c>
      <c r="L61" s="38">
        <v>1</v>
      </c>
      <c r="M61" s="26">
        <v>6</v>
      </c>
      <c r="N61" s="26" t="s">
        <v>4</v>
      </c>
      <c r="O61" s="26"/>
      <c r="P61" s="26">
        <v>7.3</v>
      </c>
      <c r="Q61" s="38">
        <v>5.7</v>
      </c>
      <c r="R61" s="26"/>
      <c r="S61" s="34">
        <v>2.5</v>
      </c>
      <c r="T61" s="38">
        <v>10.5</v>
      </c>
      <c r="U61" s="26"/>
      <c r="V61" s="1" t="s">
        <v>121</v>
      </c>
      <c r="W61" s="26"/>
      <c r="X61" s="13" t="s">
        <v>4</v>
      </c>
      <c r="Z61">
        <v>15</v>
      </c>
      <c r="AA61" t="s">
        <v>4</v>
      </c>
    </row>
    <row r="62" spans="1:27" x14ac:dyDescent="0.25">
      <c r="A62" s="3">
        <v>15</v>
      </c>
      <c r="B62" s="14" t="s">
        <v>111</v>
      </c>
      <c r="C62" s="21">
        <v>40</v>
      </c>
      <c r="D62" s="15" t="s">
        <v>2</v>
      </c>
      <c r="E62" s="28" t="s">
        <v>126</v>
      </c>
      <c r="F62" s="13" t="s">
        <v>4</v>
      </c>
      <c r="G62" s="26">
        <v>18</v>
      </c>
      <c r="H62" s="26"/>
      <c r="I62" s="26">
        <v>15</v>
      </c>
      <c r="J62" s="26">
        <v>18</v>
      </c>
      <c r="K62" s="26">
        <v>14.5</v>
      </c>
      <c r="L62" s="38">
        <v>3.5</v>
      </c>
      <c r="M62" s="26">
        <v>6</v>
      </c>
      <c r="N62" s="26" t="s">
        <v>4</v>
      </c>
      <c r="O62" s="26"/>
      <c r="P62" s="26">
        <v>12.3</v>
      </c>
      <c r="Q62" s="38">
        <v>2.1999999999999993</v>
      </c>
      <c r="R62" s="26"/>
      <c r="S62" s="34">
        <v>11</v>
      </c>
      <c r="T62" s="38">
        <v>3.5</v>
      </c>
      <c r="U62" s="26"/>
      <c r="V62" s="1" t="s">
        <v>122</v>
      </c>
      <c r="W62" s="26"/>
      <c r="X62" s="13" t="s">
        <v>4</v>
      </c>
      <c r="Z62">
        <v>6</v>
      </c>
      <c r="AA62" t="s">
        <v>4</v>
      </c>
    </row>
    <row r="63" spans="1:27" x14ac:dyDescent="0.25">
      <c r="A63" s="3">
        <v>20</v>
      </c>
      <c r="B63" s="14" t="s">
        <v>111</v>
      </c>
      <c r="C63" s="21">
        <v>50</v>
      </c>
      <c r="D63" s="15" t="s">
        <v>2</v>
      </c>
      <c r="E63" s="28" t="s">
        <v>51</v>
      </c>
      <c r="F63" s="13" t="s">
        <v>4</v>
      </c>
      <c r="G63" s="26">
        <v>5</v>
      </c>
      <c r="H63" s="26"/>
      <c r="I63" s="26">
        <v>5</v>
      </c>
      <c r="J63" s="26">
        <v>5</v>
      </c>
      <c r="K63" s="26">
        <v>3.5</v>
      </c>
      <c r="L63" s="38">
        <v>1.5</v>
      </c>
      <c r="M63" s="26">
        <v>4</v>
      </c>
      <c r="N63" s="26" t="s">
        <v>4</v>
      </c>
      <c r="O63" s="26">
        <v>1</v>
      </c>
      <c r="P63" s="26">
        <v>10</v>
      </c>
      <c r="Q63" s="38">
        <v>13.5</v>
      </c>
      <c r="R63" s="26"/>
      <c r="S63" s="34">
        <v>8.1</v>
      </c>
      <c r="T63" s="38">
        <v>15.4</v>
      </c>
      <c r="U63" s="26"/>
      <c r="V63" s="1" t="s">
        <v>84</v>
      </c>
      <c r="W63" s="26"/>
      <c r="X63" s="13" t="s">
        <v>4</v>
      </c>
      <c r="Z63">
        <v>20</v>
      </c>
      <c r="AA63" t="s">
        <v>4</v>
      </c>
    </row>
    <row r="64" spans="1:27" x14ac:dyDescent="0.25">
      <c r="A64" s="3">
        <v>1</v>
      </c>
      <c r="B64" s="14" t="s">
        <v>111</v>
      </c>
      <c r="C64" s="21">
        <v>1000</v>
      </c>
      <c r="D64" s="15" t="s">
        <v>2</v>
      </c>
      <c r="E64" s="28" t="s">
        <v>123</v>
      </c>
      <c r="F64" s="13" t="s">
        <v>3</v>
      </c>
      <c r="G64" s="26">
        <v>1.5</v>
      </c>
      <c r="H64" s="26"/>
      <c r="I64" s="26">
        <v>1.3</v>
      </c>
      <c r="J64" s="26">
        <v>1.5</v>
      </c>
      <c r="K64" s="26">
        <v>1.1000000000000001</v>
      </c>
      <c r="L64" s="38">
        <v>0.39999999999999991</v>
      </c>
      <c r="M64" s="26">
        <v>1</v>
      </c>
      <c r="N64" s="26" t="s">
        <v>3</v>
      </c>
      <c r="O64" s="26"/>
      <c r="P64" s="26">
        <v>1.2</v>
      </c>
      <c r="Q64" s="38">
        <v>-9.9999999999999867E-2</v>
      </c>
      <c r="R64" s="26"/>
      <c r="S64" s="34">
        <v>1</v>
      </c>
      <c r="T64" s="38">
        <v>0.10000000000000009</v>
      </c>
      <c r="U64" s="26"/>
      <c r="V64" s="1" t="s">
        <v>124</v>
      </c>
      <c r="W64" s="26"/>
      <c r="X64" s="13" t="s">
        <v>3</v>
      </c>
      <c r="Z64">
        <v>0.5</v>
      </c>
      <c r="AA64" t="s">
        <v>3</v>
      </c>
    </row>
    <row r="65" spans="1:27" x14ac:dyDescent="0.25">
      <c r="A65" s="3">
        <v>6</v>
      </c>
      <c r="B65" s="14" t="s">
        <v>111</v>
      </c>
      <c r="C65" s="21">
        <v>600</v>
      </c>
      <c r="D65" s="15" t="s">
        <v>2</v>
      </c>
      <c r="E65" s="28" t="s">
        <v>139</v>
      </c>
      <c r="F65" s="13" t="s">
        <v>38</v>
      </c>
      <c r="G65" s="26">
        <v>1</v>
      </c>
      <c r="H65" s="26">
        <v>6</v>
      </c>
      <c r="I65" s="26">
        <v>6</v>
      </c>
      <c r="J65" s="26">
        <v>7</v>
      </c>
      <c r="K65" s="26">
        <v>5.9</v>
      </c>
      <c r="L65" s="38">
        <v>1.0999999999999996</v>
      </c>
      <c r="M65" s="26">
        <v>2</v>
      </c>
      <c r="N65" s="26" t="s">
        <v>38</v>
      </c>
      <c r="O65" s="26"/>
      <c r="P65" s="26">
        <v>4</v>
      </c>
      <c r="Q65" s="38">
        <v>1.9000000000000004</v>
      </c>
      <c r="R65" s="26"/>
      <c r="S65" s="34">
        <v>2.5</v>
      </c>
      <c r="T65" s="38">
        <v>3.4000000000000004</v>
      </c>
      <c r="U65" s="26"/>
      <c r="V65" s="1" t="s">
        <v>140</v>
      </c>
      <c r="W65" s="26"/>
      <c r="X65" s="13" t="s">
        <v>38</v>
      </c>
      <c r="Z65">
        <v>4</v>
      </c>
      <c r="AA65" t="s">
        <v>38</v>
      </c>
    </row>
    <row r="66" spans="1:27" x14ac:dyDescent="0.25">
      <c r="A66" s="3">
        <v>12</v>
      </c>
      <c r="B66" s="14" t="s">
        <v>111</v>
      </c>
      <c r="C66" s="21">
        <v>500</v>
      </c>
      <c r="D66" s="15" t="s">
        <v>2</v>
      </c>
      <c r="E66" s="28" t="s">
        <v>175</v>
      </c>
      <c r="F66" s="13" t="s">
        <v>38</v>
      </c>
      <c r="G66" s="26">
        <v>1</v>
      </c>
      <c r="H66" s="26"/>
      <c r="I66" s="26">
        <v>1</v>
      </c>
      <c r="J66" s="26">
        <v>1</v>
      </c>
      <c r="K66" s="26">
        <v>0.5</v>
      </c>
      <c r="L66" s="38">
        <v>0.5</v>
      </c>
      <c r="M66" s="26">
        <v>1</v>
      </c>
      <c r="N66" s="26" t="s">
        <v>38</v>
      </c>
      <c r="O66" s="26">
        <v>1</v>
      </c>
      <c r="P66" s="26">
        <v>10</v>
      </c>
      <c r="Q66" s="38">
        <v>2.5</v>
      </c>
      <c r="R66" s="26"/>
      <c r="S66" s="34">
        <v>9.1</v>
      </c>
      <c r="T66" s="38">
        <v>3.4000000000000004</v>
      </c>
      <c r="U66" s="26"/>
      <c r="V66" s="1" t="s">
        <v>176</v>
      </c>
      <c r="W66" s="26"/>
      <c r="X66" s="13" t="s">
        <v>38</v>
      </c>
      <c r="Z66">
        <v>4</v>
      </c>
      <c r="AA66" t="s">
        <v>38</v>
      </c>
    </row>
    <row r="67" spans="1:27" x14ac:dyDescent="0.25">
      <c r="A67" s="3">
        <v>1</v>
      </c>
      <c r="B67" s="14" t="s">
        <v>111</v>
      </c>
      <c r="C67" s="21">
        <v>12</v>
      </c>
      <c r="D67" s="15" t="s">
        <v>141</v>
      </c>
      <c r="E67" s="28" t="s">
        <v>142</v>
      </c>
      <c r="F67" s="13" t="s">
        <v>2</v>
      </c>
      <c r="G67" s="26">
        <v>8</v>
      </c>
      <c r="H67" s="26"/>
      <c r="I67" s="26">
        <v>6</v>
      </c>
      <c r="J67" s="26">
        <v>8</v>
      </c>
      <c r="K67" s="26">
        <v>0</v>
      </c>
      <c r="L67" s="38">
        <v>8</v>
      </c>
      <c r="M67" s="26">
        <v>7</v>
      </c>
      <c r="N67" s="26" t="s">
        <v>2</v>
      </c>
      <c r="O67" s="26">
        <v>2</v>
      </c>
      <c r="P67" s="26">
        <v>5</v>
      </c>
      <c r="Q67" s="38">
        <v>19</v>
      </c>
      <c r="R67" s="26"/>
      <c r="S67" s="34">
        <v>2</v>
      </c>
      <c r="T67" s="38">
        <v>22</v>
      </c>
      <c r="U67" s="26"/>
      <c r="V67" s="1" t="s">
        <v>143</v>
      </c>
      <c r="W67" s="26"/>
      <c r="X67" s="13" t="s">
        <v>2</v>
      </c>
      <c r="Z67">
        <v>26</v>
      </c>
      <c r="AA67" t="s">
        <v>2</v>
      </c>
    </row>
    <row r="68" spans="1:27" x14ac:dyDescent="0.25">
      <c r="A68" s="3">
        <v>4</v>
      </c>
      <c r="B68" s="14" t="s">
        <v>111</v>
      </c>
      <c r="C68" s="21">
        <v>128</v>
      </c>
      <c r="D68" s="15" t="s">
        <v>144</v>
      </c>
      <c r="E68" s="28" t="s">
        <v>145</v>
      </c>
      <c r="F68" s="13" t="s">
        <v>2</v>
      </c>
      <c r="G68" s="26">
        <v>4</v>
      </c>
      <c r="H68" s="26"/>
      <c r="I68" s="26">
        <v>5</v>
      </c>
      <c r="J68" s="26">
        <v>4</v>
      </c>
      <c r="K68" s="26">
        <v>3.5</v>
      </c>
      <c r="L68" s="38">
        <v>0.5</v>
      </c>
      <c r="M68" s="26">
        <v>1</v>
      </c>
      <c r="N68" s="26" t="s">
        <v>2</v>
      </c>
      <c r="O68" s="26"/>
      <c r="P68" s="26">
        <v>4.0999999999999996</v>
      </c>
      <c r="Q68" s="38">
        <v>-0.59999999999999964</v>
      </c>
      <c r="R68" s="26"/>
      <c r="S68" s="34">
        <v>4</v>
      </c>
      <c r="T68" s="38">
        <v>-0.5</v>
      </c>
      <c r="U68" s="26"/>
      <c r="V68" s="1" t="s">
        <v>146</v>
      </c>
      <c r="W68" s="26"/>
      <c r="X68" s="13" t="s">
        <v>2</v>
      </c>
      <c r="Z68">
        <v>0.5</v>
      </c>
      <c r="AA68" t="s">
        <v>2</v>
      </c>
    </row>
    <row r="69" spans="1:27" x14ac:dyDescent="0.25">
      <c r="A69" s="3">
        <v>3</v>
      </c>
      <c r="B69" s="14" t="s">
        <v>111</v>
      </c>
      <c r="C69" s="21">
        <v>80</v>
      </c>
      <c r="D69" s="15" t="s">
        <v>144</v>
      </c>
      <c r="E69" s="28" t="s">
        <v>147</v>
      </c>
      <c r="F69" s="13" t="s">
        <v>2</v>
      </c>
      <c r="G69" s="26">
        <v>2</v>
      </c>
      <c r="H69" s="26"/>
      <c r="I69" s="26">
        <v>7</v>
      </c>
      <c r="J69" s="26">
        <v>2</v>
      </c>
      <c r="K69" s="26">
        <v>1</v>
      </c>
      <c r="L69" s="38">
        <v>1</v>
      </c>
      <c r="M69" s="26">
        <v>1</v>
      </c>
      <c r="N69" s="26" t="s">
        <v>2</v>
      </c>
      <c r="O69" s="26">
        <v>1</v>
      </c>
      <c r="P69" s="26">
        <v>3.5</v>
      </c>
      <c r="Q69" s="38">
        <v>0.5</v>
      </c>
      <c r="R69" s="26"/>
      <c r="S69" s="34">
        <v>3</v>
      </c>
      <c r="T69" s="38">
        <v>1</v>
      </c>
      <c r="U69" s="26"/>
      <c r="V69" s="1" t="s">
        <v>148</v>
      </c>
      <c r="W69" s="26"/>
      <c r="X69" s="13" t="s">
        <v>2</v>
      </c>
      <c r="Z69">
        <v>1</v>
      </c>
      <c r="AA69" t="s">
        <v>2</v>
      </c>
    </row>
    <row r="70" spans="1:27" x14ac:dyDescent="0.25">
      <c r="A70" s="3">
        <v>8</v>
      </c>
      <c r="B70" s="14" t="s">
        <v>111</v>
      </c>
      <c r="C70" s="21">
        <v>64</v>
      </c>
      <c r="D70" s="15" t="s">
        <v>144</v>
      </c>
      <c r="E70" s="28" t="s">
        <v>149</v>
      </c>
      <c r="F70" s="13" t="s">
        <v>2</v>
      </c>
      <c r="G70" s="26">
        <v>6</v>
      </c>
      <c r="H70" s="26"/>
      <c r="I70" s="26">
        <v>6</v>
      </c>
      <c r="J70" s="26">
        <v>6</v>
      </c>
      <c r="K70" s="26">
        <v>7</v>
      </c>
      <c r="L70" s="38">
        <v>-1</v>
      </c>
      <c r="M70" s="26">
        <v>1</v>
      </c>
      <c r="N70" s="26" t="s">
        <v>2</v>
      </c>
      <c r="O70" s="26"/>
      <c r="P70" s="26">
        <v>6.7</v>
      </c>
      <c r="Q70" s="38">
        <v>0.29999999999999982</v>
      </c>
      <c r="R70" s="26"/>
      <c r="S70" s="34">
        <v>7</v>
      </c>
      <c r="T70" s="38">
        <v>0</v>
      </c>
      <c r="U70" s="26"/>
      <c r="V70" s="1" t="s">
        <v>150</v>
      </c>
      <c r="W70" s="26"/>
      <c r="X70" s="13" t="s">
        <v>2</v>
      </c>
      <c r="Z70">
        <v>1</v>
      </c>
      <c r="AA70" t="s">
        <v>2</v>
      </c>
    </row>
    <row r="71" spans="1:27" x14ac:dyDescent="0.25">
      <c r="A71" s="3">
        <v>20</v>
      </c>
      <c r="B71" s="14" t="s">
        <v>111</v>
      </c>
      <c r="C71" s="21">
        <v>25</v>
      </c>
      <c r="D71" s="15" t="s">
        <v>2</v>
      </c>
      <c r="E71" s="28" t="s">
        <v>151</v>
      </c>
      <c r="F71" s="13" t="s">
        <v>2</v>
      </c>
      <c r="G71" s="26">
        <v>1</v>
      </c>
      <c r="H71" s="26">
        <v>20</v>
      </c>
      <c r="I71" s="26">
        <v>10</v>
      </c>
      <c r="J71" s="26">
        <v>21</v>
      </c>
      <c r="K71" s="26">
        <v>22</v>
      </c>
      <c r="L71" s="38">
        <v>-1</v>
      </c>
      <c r="M71" s="26">
        <v>5</v>
      </c>
      <c r="N71" s="26" t="s">
        <v>2</v>
      </c>
      <c r="O71" s="26"/>
      <c r="P71" s="26">
        <v>21</v>
      </c>
      <c r="Q71" s="38">
        <v>1</v>
      </c>
      <c r="R71" s="26"/>
      <c r="S71" s="34">
        <v>25</v>
      </c>
      <c r="T71" s="38">
        <v>-3</v>
      </c>
      <c r="U71" s="26"/>
      <c r="V71" s="1" t="s">
        <v>152</v>
      </c>
      <c r="W71" s="26"/>
      <c r="X71" s="13" t="s">
        <v>2</v>
      </c>
      <c r="Z71">
        <v>5</v>
      </c>
      <c r="AA71" t="s">
        <v>2</v>
      </c>
    </row>
    <row r="72" spans="1:27" x14ac:dyDescent="0.25">
      <c r="A72" s="3">
        <v>10</v>
      </c>
      <c r="B72" s="14" t="s">
        <v>111</v>
      </c>
      <c r="C72" s="21">
        <v>25</v>
      </c>
      <c r="D72" s="15" t="s">
        <v>2</v>
      </c>
      <c r="E72" s="28" t="s">
        <v>153</v>
      </c>
      <c r="F72" s="13" t="s">
        <v>2</v>
      </c>
      <c r="G72" s="26">
        <v>3</v>
      </c>
      <c r="H72" s="26">
        <v>10</v>
      </c>
      <c r="I72" s="26">
        <v>1.5</v>
      </c>
      <c r="J72" s="26">
        <v>13</v>
      </c>
      <c r="K72" s="26">
        <v>4</v>
      </c>
      <c r="L72" s="38">
        <v>9</v>
      </c>
      <c r="M72" s="26">
        <v>8</v>
      </c>
      <c r="N72" s="26" t="s">
        <v>2</v>
      </c>
      <c r="O72" s="26">
        <v>2</v>
      </c>
      <c r="P72" s="26">
        <v>14</v>
      </c>
      <c r="Q72" s="38">
        <v>10</v>
      </c>
      <c r="R72" s="26"/>
      <c r="S72" s="34">
        <v>8</v>
      </c>
      <c r="T72" s="38">
        <v>16</v>
      </c>
      <c r="U72" s="26"/>
      <c r="V72" s="1" t="s">
        <v>154</v>
      </c>
      <c r="W72" s="26"/>
      <c r="X72" s="13" t="s">
        <v>2</v>
      </c>
      <c r="Z72">
        <v>20</v>
      </c>
      <c r="AA72" t="s">
        <v>2</v>
      </c>
    </row>
    <row r="73" spans="1:27" x14ac:dyDescent="0.25">
      <c r="A73" s="3">
        <v>1</v>
      </c>
      <c r="B73" s="14" t="s">
        <v>111</v>
      </c>
      <c r="C73" s="21">
        <v>12</v>
      </c>
      <c r="D73" s="15" t="s">
        <v>2</v>
      </c>
      <c r="E73" s="28" t="s">
        <v>155</v>
      </c>
      <c r="F73" s="13" t="s">
        <v>2</v>
      </c>
      <c r="G73" s="26">
        <v>1</v>
      </c>
      <c r="H73" s="26"/>
      <c r="I73" s="26">
        <v>3</v>
      </c>
      <c r="J73" s="26">
        <v>1</v>
      </c>
      <c r="K73" s="26">
        <v>1</v>
      </c>
      <c r="L73" s="38">
        <v>0</v>
      </c>
      <c r="M73" s="26">
        <v>1</v>
      </c>
      <c r="N73" s="26" t="s">
        <v>2</v>
      </c>
      <c r="O73" s="26">
        <v>1</v>
      </c>
      <c r="P73" s="26">
        <v>1</v>
      </c>
      <c r="Q73" s="38">
        <v>12</v>
      </c>
      <c r="R73" s="26"/>
      <c r="S73" s="34">
        <v>12</v>
      </c>
      <c r="T73" s="38">
        <v>1</v>
      </c>
      <c r="U73" s="26"/>
      <c r="V73" s="1" t="s">
        <v>156</v>
      </c>
      <c r="W73" s="26"/>
      <c r="X73" s="13" t="s">
        <v>2</v>
      </c>
      <c r="Z73">
        <v>2</v>
      </c>
      <c r="AA73" t="s">
        <v>2</v>
      </c>
    </row>
    <row r="74" spans="1:27" x14ac:dyDescent="0.25">
      <c r="A74" s="3">
        <v>1</v>
      </c>
      <c r="B74" s="14" t="s">
        <v>111</v>
      </c>
      <c r="C74" s="21">
        <v>12</v>
      </c>
      <c r="D74" s="15" t="s">
        <v>2</v>
      </c>
      <c r="E74" s="28" t="s">
        <v>157</v>
      </c>
      <c r="F74" s="13" t="s">
        <v>2</v>
      </c>
      <c r="G74" s="26">
        <v>6</v>
      </c>
      <c r="H74" s="26"/>
      <c r="I74" s="26">
        <v>6</v>
      </c>
      <c r="J74" s="26">
        <v>6</v>
      </c>
      <c r="K74" s="26">
        <v>4</v>
      </c>
      <c r="L74" s="38">
        <v>2</v>
      </c>
      <c r="M74" s="26">
        <v>6</v>
      </c>
      <c r="N74" s="26" t="s">
        <v>2</v>
      </c>
      <c r="O74" s="26">
        <v>1</v>
      </c>
      <c r="P74" s="26">
        <v>13</v>
      </c>
      <c r="Q74" s="38">
        <v>3</v>
      </c>
      <c r="R74" s="26"/>
      <c r="S74" s="34">
        <v>11</v>
      </c>
      <c r="T74" s="38">
        <v>5</v>
      </c>
      <c r="U74" s="26"/>
      <c r="V74" s="1" t="s">
        <v>158</v>
      </c>
      <c r="W74" s="26"/>
      <c r="X74" s="13" t="s">
        <v>2</v>
      </c>
      <c r="Z74">
        <v>8</v>
      </c>
      <c r="AA74" t="s">
        <v>2</v>
      </c>
    </row>
    <row r="75" spans="1:27" x14ac:dyDescent="0.25">
      <c r="A75" s="3">
        <v>20</v>
      </c>
      <c r="B75" s="14" t="s">
        <v>111</v>
      </c>
      <c r="C75" s="21">
        <v>50</v>
      </c>
      <c r="D75" s="15" t="s">
        <v>2</v>
      </c>
      <c r="E75" s="28" t="s">
        <v>159</v>
      </c>
      <c r="F75" s="13" t="s">
        <v>4</v>
      </c>
      <c r="G75" s="26">
        <v>18</v>
      </c>
      <c r="H75" s="26"/>
      <c r="I75" s="26">
        <v>18</v>
      </c>
      <c r="J75" s="26">
        <v>18</v>
      </c>
      <c r="K75" s="26">
        <v>15</v>
      </c>
      <c r="L75" s="38">
        <v>3</v>
      </c>
      <c r="M75" s="26">
        <v>10</v>
      </c>
      <c r="N75" s="26" t="s">
        <v>4</v>
      </c>
      <c r="O75" s="26"/>
      <c r="P75" s="26">
        <v>11</v>
      </c>
      <c r="Q75" s="38">
        <v>4</v>
      </c>
      <c r="R75" s="26"/>
      <c r="S75" s="34">
        <v>8</v>
      </c>
      <c r="T75" s="38">
        <v>7</v>
      </c>
      <c r="U75" s="26"/>
      <c r="V75" s="1" t="s">
        <v>160</v>
      </c>
      <c r="W75" s="26"/>
      <c r="X75" s="13" t="s">
        <v>4</v>
      </c>
      <c r="Z75">
        <v>10</v>
      </c>
      <c r="AA75" t="s">
        <v>4</v>
      </c>
    </row>
    <row r="76" spans="1:27" x14ac:dyDescent="0.25">
      <c r="A76" s="3">
        <v>20</v>
      </c>
      <c r="B76" s="14" t="s">
        <v>111</v>
      </c>
      <c r="C76" s="21">
        <v>50</v>
      </c>
      <c r="D76" s="15" t="s">
        <v>2</v>
      </c>
      <c r="E76" s="28" t="s">
        <v>161</v>
      </c>
      <c r="F76" s="13" t="s">
        <v>4</v>
      </c>
      <c r="G76" s="26">
        <v>23</v>
      </c>
      <c r="H76" s="26"/>
      <c r="I76" s="26">
        <v>23</v>
      </c>
      <c r="J76" s="26">
        <v>23</v>
      </c>
      <c r="K76" s="26">
        <v>20</v>
      </c>
      <c r="L76" s="38">
        <v>3</v>
      </c>
      <c r="M76" s="26">
        <v>10</v>
      </c>
      <c r="N76" s="26" t="s">
        <v>4</v>
      </c>
      <c r="O76" s="26"/>
      <c r="P76" s="26">
        <v>18</v>
      </c>
      <c r="Q76" s="38">
        <v>2</v>
      </c>
      <c r="R76" s="26"/>
      <c r="S76" s="34">
        <v>15</v>
      </c>
      <c r="T76" s="38">
        <v>5</v>
      </c>
      <c r="U76" s="26"/>
      <c r="V76" s="1" t="s">
        <v>162</v>
      </c>
      <c r="W76" s="26"/>
      <c r="X76" s="13" t="s">
        <v>4</v>
      </c>
      <c r="Z76">
        <v>10</v>
      </c>
      <c r="AA76" t="s">
        <v>4</v>
      </c>
    </row>
    <row r="77" spans="1:27" x14ac:dyDescent="0.25">
      <c r="A77" s="3">
        <v>10</v>
      </c>
      <c r="B77" s="14" t="s">
        <v>111</v>
      </c>
      <c r="C77" s="21">
        <v>100</v>
      </c>
      <c r="D77" s="15" t="s">
        <v>2</v>
      </c>
      <c r="E77" s="28" t="s">
        <v>163</v>
      </c>
      <c r="F77" s="13" t="s">
        <v>4</v>
      </c>
      <c r="G77" s="26">
        <v>10</v>
      </c>
      <c r="H77" s="26"/>
      <c r="I77" s="26">
        <v>16</v>
      </c>
      <c r="J77" s="26">
        <v>10</v>
      </c>
      <c r="K77" s="26">
        <v>7</v>
      </c>
      <c r="L77" s="38">
        <v>3</v>
      </c>
      <c r="M77" s="26">
        <v>5</v>
      </c>
      <c r="N77" s="26" t="s">
        <v>4</v>
      </c>
      <c r="O77" s="26">
        <v>1</v>
      </c>
      <c r="P77" s="26">
        <v>14</v>
      </c>
      <c r="Q77" s="38">
        <v>3</v>
      </c>
      <c r="R77" s="26"/>
      <c r="S77" s="34">
        <v>10</v>
      </c>
      <c r="T77" s="38">
        <v>7</v>
      </c>
      <c r="U77" s="26"/>
      <c r="V77" s="1" t="s">
        <v>164</v>
      </c>
      <c r="W77" s="26"/>
      <c r="X77" s="13" t="s">
        <v>4</v>
      </c>
      <c r="Z77">
        <v>10</v>
      </c>
      <c r="AA77" t="s">
        <v>4</v>
      </c>
    </row>
    <row r="78" spans="1:27" x14ac:dyDescent="0.25">
      <c r="A78" s="3">
        <v>5</v>
      </c>
      <c r="B78" s="14" t="s">
        <v>111</v>
      </c>
      <c r="C78" s="21">
        <v>1000</v>
      </c>
      <c r="D78" s="15" t="s">
        <v>2</v>
      </c>
      <c r="E78" s="28" t="s">
        <v>165</v>
      </c>
      <c r="F78" s="13" t="s">
        <v>38</v>
      </c>
      <c r="G78" s="26">
        <v>5</v>
      </c>
      <c r="H78" s="26"/>
      <c r="I78" s="26">
        <v>1</v>
      </c>
      <c r="J78" s="26">
        <v>5</v>
      </c>
      <c r="K78" s="26">
        <v>4</v>
      </c>
      <c r="L78" s="38">
        <v>1</v>
      </c>
      <c r="M78" s="26">
        <v>1</v>
      </c>
      <c r="N78" s="26" t="s">
        <v>38</v>
      </c>
      <c r="O78" s="26"/>
      <c r="P78" s="26">
        <v>4</v>
      </c>
      <c r="Q78" s="38">
        <v>0</v>
      </c>
      <c r="R78" s="26"/>
      <c r="S78" s="34">
        <v>3</v>
      </c>
      <c r="T78" s="38">
        <v>1</v>
      </c>
      <c r="U78" s="26"/>
      <c r="V78" s="1" t="s">
        <v>166</v>
      </c>
      <c r="W78" s="26"/>
      <c r="X78" s="13" t="s">
        <v>38</v>
      </c>
      <c r="Z78">
        <v>3</v>
      </c>
      <c r="AA78" t="s">
        <v>38</v>
      </c>
    </row>
    <row r="79" spans="1:27" x14ac:dyDescent="0.25">
      <c r="A79" s="3">
        <v>5</v>
      </c>
      <c r="B79" s="14" t="s">
        <v>111</v>
      </c>
      <c r="C79" s="21">
        <v>1000</v>
      </c>
      <c r="D79" s="15" t="s">
        <v>2</v>
      </c>
      <c r="E79" s="28" t="s">
        <v>167</v>
      </c>
      <c r="F79" s="13" t="s">
        <v>38</v>
      </c>
      <c r="G79" s="26">
        <v>7</v>
      </c>
      <c r="H79" s="26"/>
      <c r="I79" s="26">
        <v>2</v>
      </c>
      <c r="J79" s="26">
        <v>7</v>
      </c>
      <c r="K79" s="26">
        <v>7</v>
      </c>
      <c r="L79" s="38">
        <v>0</v>
      </c>
      <c r="M79" s="26">
        <v>2</v>
      </c>
      <c r="N79" s="26" t="s">
        <v>38</v>
      </c>
      <c r="O79" s="26"/>
      <c r="P79" s="26">
        <v>6</v>
      </c>
      <c r="Q79" s="38">
        <v>1</v>
      </c>
      <c r="R79" s="26"/>
      <c r="S79" s="34">
        <v>6.5</v>
      </c>
      <c r="T79" s="38">
        <v>0.5</v>
      </c>
      <c r="U79" s="26"/>
      <c r="V79" s="1" t="s">
        <v>168</v>
      </c>
      <c r="W79" s="26"/>
      <c r="X79" s="13" t="s">
        <v>38</v>
      </c>
      <c r="Z79">
        <v>3</v>
      </c>
      <c r="AA79" t="s">
        <v>38</v>
      </c>
    </row>
    <row r="80" spans="1:27" x14ac:dyDescent="0.25">
      <c r="A80" s="3">
        <v>5</v>
      </c>
      <c r="B80" s="14" t="s">
        <v>111</v>
      </c>
      <c r="C80" s="21">
        <v>1000</v>
      </c>
      <c r="D80" s="15" t="s">
        <v>2</v>
      </c>
      <c r="E80" s="28" t="s">
        <v>169</v>
      </c>
      <c r="F80" s="13" t="s">
        <v>38</v>
      </c>
      <c r="G80" s="26">
        <v>6</v>
      </c>
      <c r="H80" s="26"/>
      <c r="I80" s="26">
        <v>2</v>
      </c>
      <c r="J80" s="26">
        <v>6</v>
      </c>
      <c r="K80" s="26">
        <v>5</v>
      </c>
      <c r="L80" s="38">
        <v>1</v>
      </c>
      <c r="M80" s="26">
        <v>2</v>
      </c>
      <c r="N80" s="26" t="s">
        <v>38</v>
      </c>
      <c r="O80" s="26"/>
      <c r="P80" s="26">
        <v>4</v>
      </c>
      <c r="Q80" s="38">
        <v>1</v>
      </c>
      <c r="R80" s="26"/>
      <c r="S80" s="34">
        <v>3.3</v>
      </c>
      <c r="T80" s="38">
        <v>1.7000000000000002</v>
      </c>
      <c r="U80" s="26"/>
      <c r="V80" s="1" t="s">
        <v>170</v>
      </c>
      <c r="W80" s="26"/>
      <c r="X80" s="13" t="s">
        <v>38</v>
      </c>
      <c r="Z80">
        <v>5</v>
      </c>
      <c r="AA80" t="s">
        <v>38</v>
      </c>
    </row>
    <row r="81" spans="1:27" x14ac:dyDescent="0.25">
      <c r="A81" s="3">
        <v>1</v>
      </c>
      <c r="B81" s="14" t="s">
        <v>111</v>
      </c>
      <c r="C81" s="21">
        <v>2000</v>
      </c>
      <c r="D81" s="15" t="s">
        <v>2</v>
      </c>
      <c r="E81" s="28" t="s">
        <v>171</v>
      </c>
      <c r="F81" s="13" t="s">
        <v>38</v>
      </c>
      <c r="G81" s="26">
        <v>0.9</v>
      </c>
      <c r="H81" s="26"/>
      <c r="I81" s="26">
        <v>1</v>
      </c>
      <c r="J81" s="26">
        <v>0.9</v>
      </c>
      <c r="K81" s="26">
        <v>0.7</v>
      </c>
      <c r="L81" s="38">
        <v>0.20000000000000007</v>
      </c>
      <c r="M81" s="26">
        <v>0.5</v>
      </c>
      <c r="N81" s="26" t="s">
        <v>38</v>
      </c>
      <c r="O81" s="26">
        <v>1</v>
      </c>
      <c r="P81" s="26">
        <v>3</v>
      </c>
      <c r="Q81" s="38">
        <v>-1.3</v>
      </c>
      <c r="R81" s="26"/>
      <c r="S81" s="34">
        <v>1</v>
      </c>
      <c r="T81" s="38">
        <v>0.7</v>
      </c>
      <c r="U81" s="26"/>
      <c r="V81" s="1" t="s">
        <v>172</v>
      </c>
      <c r="W81" s="26"/>
      <c r="X81" s="13" t="s">
        <v>38</v>
      </c>
      <c r="Z81">
        <v>0.5</v>
      </c>
      <c r="AA81" t="s">
        <v>38</v>
      </c>
    </row>
    <row r="82" spans="1:27" x14ac:dyDescent="0.25">
      <c r="A82" s="3">
        <v>1</v>
      </c>
      <c r="B82" s="14" t="s">
        <v>111</v>
      </c>
      <c r="C82" s="21">
        <v>40</v>
      </c>
      <c r="D82" s="15" t="s">
        <v>2</v>
      </c>
      <c r="E82" s="28" t="s">
        <v>173</v>
      </c>
      <c r="F82" s="13" t="s">
        <v>2</v>
      </c>
      <c r="G82" s="26">
        <v>38</v>
      </c>
      <c r="H82" s="26"/>
      <c r="I82" s="26">
        <v>10</v>
      </c>
      <c r="J82" s="26">
        <v>38</v>
      </c>
      <c r="K82" s="26">
        <v>31</v>
      </c>
      <c r="L82" s="38">
        <v>7</v>
      </c>
      <c r="M82" s="26">
        <v>8</v>
      </c>
      <c r="N82" s="26" t="s">
        <v>2</v>
      </c>
      <c r="O82" s="26"/>
      <c r="P82" s="26">
        <v>21</v>
      </c>
      <c r="Q82" s="38">
        <v>10</v>
      </c>
      <c r="R82" s="26"/>
      <c r="S82" s="34">
        <v>12</v>
      </c>
      <c r="T82" s="38">
        <v>19</v>
      </c>
      <c r="U82" s="26"/>
      <c r="V82" s="1" t="s">
        <v>174</v>
      </c>
      <c r="W82" s="26"/>
      <c r="X82" s="13" t="s">
        <v>2</v>
      </c>
      <c r="Z82">
        <v>24</v>
      </c>
      <c r="AA82" t="s">
        <v>2</v>
      </c>
    </row>
  </sheetData>
  <mergeCells count="2">
    <mergeCell ref="A3:D3"/>
    <mergeCell ref="M3:N3"/>
  </mergeCells>
  <pageMargins left="0.248" right="0.248" top="1.0416666666666667" bottom="0.6" header="0.3" footer="0.248"/>
  <pageSetup orientation="portrait" r:id="rId1"/>
  <headerFooter>
    <oddHeader>&amp;L&amp;"Times New Roman,Bold"&amp;16NORTH
&amp;C&amp;"Times New Roman,Bold"&amp;16LEONARD PAPER&amp;18
&amp;11Inventory - Tue, 11AM&amp;R&amp;"Times New Roman,Bold"&amp;16TUE FOR WED-CH&amp;"Times New Roman,Regular"&amp;11
&amp;8Printed &amp;D &amp;T</oddHeader>
    <oddFooter>&amp;C&amp;"Times New Roman,Regular"&amp;8REP: MJ LEONARD CELL: 410-458-6136 - EMAIL: mjleonard@leonardpaper.com
Store Forms - Documents/Chantilly/INVENTORY ORDER FORMS/&amp;F(GV Rev.2/24/25)&amp;R&amp;"Times New Roman,Regular"&amp;8Page &amp;P of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4842-80C4-400A-8BAD-872C172F9656}">
  <sheetPr codeName="Sheet5"/>
  <dimension ref="A1:O83"/>
  <sheetViews>
    <sheetView zoomScaleNormal="100" workbookViewId="0">
      <selection activeCell="L45" sqref="L45"/>
    </sheetView>
  </sheetViews>
  <sheetFormatPr defaultRowHeight="15" x14ac:dyDescent="0.25"/>
  <cols>
    <col min="1" max="1" width="4.28515625" customWidth="1"/>
    <col min="2" max="2" width="1.7109375" bestFit="1" customWidth="1"/>
    <col min="3" max="3" width="4.85546875" customWidth="1"/>
    <col min="4" max="4" width="3.140625" bestFit="1" customWidth="1"/>
    <col min="5" max="5" width="21.7109375" bestFit="1" customWidth="1"/>
    <col min="6" max="6" width="11.5703125" bestFit="1" customWidth="1"/>
    <col min="7" max="7" width="3.85546875" bestFit="1" customWidth="1"/>
    <col min="8" max="8" width="7.140625" style="19" customWidth="1"/>
    <col min="9" max="9" width="6.42578125" style="19" customWidth="1"/>
    <col min="10" max="10" width="6.85546875" style="19" bestFit="1" customWidth="1"/>
    <col min="11" max="11" width="6.42578125" customWidth="1"/>
    <col min="12" max="14" width="6.28515625" style="19" bestFit="1" customWidth="1"/>
    <col min="15" max="15" width="6.42578125" style="19" customWidth="1"/>
  </cols>
  <sheetData>
    <row r="1" spans="1:15" x14ac:dyDescent="0.25">
      <c r="M1" s="31"/>
    </row>
    <row r="2" spans="1:15" x14ac:dyDescent="0.25">
      <c r="F2" s="4"/>
      <c r="M2" s="31"/>
    </row>
    <row r="3" spans="1:15" ht="15" customHeight="1" x14ac:dyDescent="0.25">
      <c r="F3" s="7"/>
      <c r="H3" s="30">
        <v>45734</v>
      </c>
      <c r="I3" s="30"/>
      <c r="J3" s="30">
        <v>45770</v>
      </c>
      <c r="M3" s="31"/>
      <c r="O3" s="119" t="s">
        <v>203</v>
      </c>
    </row>
    <row r="4" spans="1:15" s="4" customFormat="1" ht="12.75" x14ac:dyDescent="0.2">
      <c r="A4" s="114" t="s">
        <v>89</v>
      </c>
      <c r="B4" s="115"/>
      <c r="C4" s="115"/>
      <c r="D4" s="116"/>
      <c r="E4" s="22" t="s">
        <v>90</v>
      </c>
      <c r="F4" s="23" t="s">
        <v>7</v>
      </c>
      <c r="G4" s="23"/>
      <c r="H4" s="13" t="s">
        <v>187</v>
      </c>
      <c r="I4" s="13" t="s">
        <v>1</v>
      </c>
      <c r="J4" s="13" t="s">
        <v>187</v>
      </c>
      <c r="K4" s="13" t="s">
        <v>183</v>
      </c>
      <c r="L4" s="1" t="s">
        <v>200</v>
      </c>
      <c r="M4" s="48" t="s">
        <v>201</v>
      </c>
      <c r="N4" s="1" t="s">
        <v>202</v>
      </c>
      <c r="O4" s="120"/>
    </row>
    <row r="5" spans="1:15" x14ac:dyDescent="0.25">
      <c r="A5" s="3">
        <v>10</v>
      </c>
      <c r="B5" s="14" t="s">
        <v>111</v>
      </c>
      <c r="C5" s="21">
        <v>250</v>
      </c>
      <c r="D5" s="15" t="s">
        <v>2</v>
      </c>
      <c r="E5" s="16" t="s">
        <v>98</v>
      </c>
      <c r="F5" s="1" t="s">
        <v>21</v>
      </c>
      <c r="G5" s="13" t="s">
        <v>3</v>
      </c>
      <c r="H5" s="26">
        <v>4.5</v>
      </c>
      <c r="I5" s="26">
        <v>23</v>
      </c>
      <c r="J5" s="26">
        <v>5.0999999999999996</v>
      </c>
      <c r="K5" s="38">
        <v>22.4</v>
      </c>
      <c r="L5" s="51">
        <v>5.6</v>
      </c>
      <c r="M5" s="52">
        <v>12</v>
      </c>
      <c r="N5" s="51"/>
      <c r="O5" s="26">
        <v>11</v>
      </c>
    </row>
    <row r="6" spans="1:15" x14ac:dyDescent="0.25">
      <c r="A6" s="3">
        <v>20</v>
      </c>
      <c r="B6" s="14" t="s">
        <v>111</v>
      </c>
      <c r="C6" s="21">
        <v>125</v>
      </c>
      <c r="D6" s="15" t="s">
        <v>2</v>
      </c>
      <c r="E6" s="16" t="s">
        <v>99</v>
      </c>
      <c r="F6" s="1" t="s">
        <v>20</v>
      </c>
      <c r="G6" s="13" t="s">
        <v>3</v>
      </c>
      <c r="H6" s="26">
        <v>4.5</v>
      </c>
      <c r="I6" s="26">
        <v>23</v>
      </c>
      <c r="J6" s="26">
        <v>5.0999999999999996</v>
      </c>
      <c r="K6" s="38">
        <v>22.4</v>
      </c>
      <c r="L6" s="51">
        <v>5.6</v>
      </c>
      <c r="M6" s="52">
        <v>12</v>
      </c>
      <c r="N6" s="51"/>
      <c r="O6" s="26">
        <v>11</v>
      </c>
    </row>
    <row r="7" spans="1:15" x14ac:dyDescent="0.25">
      <c r="A7" s="3">
        <v>10</v>
      </c>
      <c r="B7" s="14" t="s">
        <v>111</v>
      </c>
      <c r="C7" s="21">
        <v>250</v>
      </c>
      <c r="D7" s="15" t="s">
        <v>2</v>
      </c>
      <c r="E7" s="16" t="s">
        <v>100</v>
      </c>
      <c r="F7" s="1" t="s">
        <v>60</v>
      </c>
      <c r="G7" s="13" t="s">
        <v>4</v>
      </c>
      <c r="H7" s="26">
        <v>10</v>
      </c>
      <c r="I7" s="26">
        <v>2</v>
      </c>
      <c r="J7" s="26">
        <v>16</v>
      </c>
      <c r="K7" s="38">
        <v>14</v>
      </c>
      <c r="L7" s="51">
        <v>3.5</v>
      </c>
      <c r="M7" s="52">
        <v>8</v>
      </c>
      <c r="N7" s="51"/>
      <c r="O7" s="26">
        <v>7</v>
      </c>
    </row>
    <row r="8" spans="1:15" x14ac:dyDescent="0.25">
      <c r="A8" s="44">
        <v>20</v>
      </c>
      <c r="B8" s="45" t="s">
        <v>111</v>
      </c>
      <c r="C8" s="46">
        <v>125</v>
      </c>
      <c r="D8" s="15" t="s">
        <v>2</v>
      </c>
      <c r="E8" s="16" t="s">
        <v>101</v>
      </c>
      <c r="F8" s="1" t="s">
        <v>61</v>
      </c>
      <c r="G8" s="13" t="s">
        <v>4</v>
      </c>
      <c r="H8" s="26">
        <v>5</v>
      </c>
      <c r="I8" s="26">
        <v>3</v>
      </c>
      <c r="J8" s="26">
        <v>9</v>
      </c>
      <c r="K8" s="38">
        <v>56</v>
      </c>
      <c r="L8" s="51">
        <v>14</v>
      </c>
      <c r="M8" s="52">
        <v>30</v>
      </c>
      <c r="N8" s="51"/>
      <c r="O8" s="26">
        <v>12</v>
      </c>
    </row>
    <row r="9" spans="1:15" x14ac:dyDescent="0.25">
      <c r="A9" s="44">
        <v>10</v>
      </c>
      <c r="B9" s="45" t="s">
        <v>111</v>
      </c>
      <c r="C9" s="46">
        <v>250</v>
      </c>
      <c r="D9" s="15" t="s">
        <v>2</v>
      </c>
      <c r="E9" s="16" t="s">
        <v>102</v>
      </c>
      <c r="F9" s="1" t="s">
        <v>62</v>
      </c>
      <c r="G9" s="13" t="s">
        <v>4</v>
      </c>
      <c r="H9" s="26">
        <v>12</v>
      </c>
      <c r="I9" s="26">
        <v>2</v>
      </c>
      <c r="J9" s="26">
        <v>11.1</v>
      </c>
      <c r="K9" s="38">
        <v>20.9</v>
      </c>
      <c r="L9" s="51">
        <v>5.2249999999999996</v>
      </c>
      <c r="M9" s="52">
        <v>12</v>
      </c>
      <c r="N9" s="51"/>
      <c r="O9" s="26">
        <v>10</v>
      </c>
    </row>
    <row r="10" spans="1:15" x14ac:dyDescent="0.25">
      <c r="A10" s="44">
        <v>20</v>
      </c>
      <c r="B10" s="45" t="s">
        <v>111</v>
      </c>
      <c r="C10" s="46">
        <v>125</v>
      </c>
      <c r="D10" s="15" t="s">
        <v>2</v>
      </c>
      <c r="E10" s="16" t="s">
        <v>103</v>
      </c>
      <c r="F10" s="1" t="s">
        <v>63</v>
      </c>
      <c r="G10" s="13" t="s">
        <v>4</v>
      </c>
      <c r="H10" s="26">
        <v>22</v>
      </c>
      <c r="I10" s="26">
        <v>1</v>
      </c>
      <c r="J10" s="26">
        <v>39.1</v>
      </c>
      <c r="K10" s="38">
        <v>2.8999999999999986</v>
      </c>
      <c r="L10" s="51">
        <v>0.72499999999999964</v>
      </c>
      <c r="M10" s="51"/>
      <c r="N10" s="53">
        <v>4</v>
      </c>
      <c r="O10" s="26">
        <v>3</v>
      </c>
    </row>
    <row r="11" spans="1:15" x14ac:dyDescent="0.25">
      <c r="A11" s="3">
        <v>1</v>
      </c>
      <c r="B11" s="14" t="s">
        <v>111</v>
      </c>
      <c r="C11" s="21">
        <v>250</v>
      </c>
      <c r="D11" s="15" t="s">
        <v>2</v>
      </c>
      <c r="E11" s="16" t="s">
        <v>104</v>
      </c>
      <c r="F11" s="1" t="s">
        <v>199</v>
      </c>
      <c r="G11" s="13" t="s">
        <v>3</v>
      </c>
      <c r="H11" s="26">
        <v>2.1</v>
      </c>
      <c r="I11" s="26">
        <v>6</v>
      </c>
      <c r="J11" s="26">
        <v>3</v>
      </c>
      <c r="K11" s="38">
        <v>5.0999999999999996</v>
      </c>
      <c r="L11" s="51">
        <v>1.2749999999999999</v>
      </c>
      <c r="M11" s="52">
        <v>4</v>
      </c>
      <c r="N11" s="51"/>
      <c r="O11" s="26">
        <v>4</v>
      </c>
    </row>
    <row r="12" spans="1:15" x14ac:dyDescent="0.25">
      <c r="A12" s="3">
        <v>4</v>
      </c>
      <c r="B12" s="14" t="s">
        <v>111</v>
      </c>
      <c r="C12" s="21">
        <v>150</v>
      </c>
      <c r="D12" s="15" t="s">
        <v>2</v>
      </c>
      <c r="E12" s="16" t="s">
        <v>127</v>
      </c>
      <c r="F12" s="1" t="s">
        <v>71</v>
      </c>
      <c r="G12" s="13" t="s">
        <v>4</v>
      </c>
      <c r="H12" s="26">
        <v>4</v>
      </c>
      <c r="I12" s="26">
        <v>2</v>
      </c>
      <c r="J12" s="26">
        <v>5.0999999999999996</v>
      </c>
      <c r="K12" s="38">
        <v>6.9</v>
      </c>
      <c r="L12" s="51">
        <v>1.7250000000000001</v>
      </c>
      <c r="M12" s="52">
        <v>4</v>
      </c>
      <c r="N12" s="51"/>
      <c r="O12" s="26">
        <v>2</v>
      </c>
    </row>
    <row r="13" spans="1:15" x14ac:dyDescent="0.25">
      <c r="A13" s="3">
        <v>1</v>
      </c>
      <c r="B13" s="14" t="s">
        <v>111</v>
      </c>
      <c r="C13" s="21">
        <v>150</v>
      </c>
      <c r="D13" s="15" t="s">
        <v>2</v>
      </c>
      <c r="E13" s="16" t="s">
        <v>106</v>
      </c>
      <c r="F13" s="1" t="s">
        <v>70</v>
      </c>
      <c r="G13" s="13" t="s">
        <v>3</v>
      </c>
      <c r="H13" s="26">
        <v>0.7</v>
      </c>
      <c r="I13" s="26">
        <v>12</v>
      </c>
      <c r="J13" s="26">
        <v>3.5</v>
      </c>
      <c r="K13" s="38">
        <v>9.1999999999999993</v>
      </c>
      <c r="L13" s="51">
        <v>2.2999999999999998</v>
      </c>
      <c r="M13" s="52">
        <v>5</v>
      </c>
      <c r="N13" s="51"/>
      <c r="O13" s="26">
        <v>5</v>
      </c>
    </row>
    <row r="14" spans="1:15" x14ac:dyDescent="0.25">
      <c r="A14" s="3">
        <v>4</v>
      </c>
      <c r="B14" s="14" t="s">
        <v>111</v>
      </c>
      <c r="C14" s="21">
        <v>63</v>
      </c>
      <c r="D14" s="15" t="s">
        <v>2</v>
      </c>
      <c r="E14" s="16" t="s">
        <v>128</v>
      </c>
      <c r="F14" s="1" t="s">
        <v>112</v>
      </c>
      <c r="G14" s="13" t="s">
        <v>4</v>
      </c>
      <c r="H14" s="26">
        <v>5.5</v>
      </c>
      <c r="I14" s="26"/>
      <c r="J14" s="26">
        <v>3.1</v>
      </c>
      <c r="K14" s="38">
        <v>2.4</v>
      </c>
      <c r="L14" s="51">
        <v>0.6</v>
      </c>
      <c r="M14" s="51"/>
      <c r="N14" s="53">
        <v>4</v>
      </c>
      <c r="O14" s="26">
        <v>3</v>
      </c>
    </row>
    <row r="15" spans="1:15" x14ac:dyDescent="0.25">
      <c r="A15" s="3">
        <v>4</v>
      </c>
      <c r="B15" s="14" t="s">
        <v>111</v>
      </c>
      <c r="C15" s="21">
        <v>63</v>
      </c>
      <c r="D15" s="15" t="s">
        <v>2</v>
      </c>
      <c r="E15" s="16" t="s">
        <v>129</v>
      </c>
      <c r="F15" s="1" t="s">
        <v>113</v>
      </c>
      <c r="G15" s="13" t="s">
        <v>4</v>
      </c>
      <c r="H15" s="26">
        <v>3.5</v>
      </c>
      <c r="I15" s="26">
        <v>1</v>
      </c>
      <c r="J15" s="26">
        <v>3.3</v>
      </c>
      <c r="K15" s="38">
        <v>4.2</v>
      </c>
      <c r="L15" s="51">
        <v>1.05</v>
      </c>
      <c r="M15" s="52">
        <v>3</v>
      </c>
      <c r="N15" s="51"/>
      <c r="O15" s="26">
        <v>3</v>
      </c>
    </row>
    <row r="16" spans="1:15" x14ac:dyDescent="0.25">
      <c r="A16" s="3">
        <v>4</v>
      </c>
      <c r="B16" s="14" t="s">
        <v>111</v>
      </c>
      <c r="C16" s="21">
        <v>63</v>
      </c>
      <c r="D16" s="15" t="s">
        <v>2</v>
      </c>
      <c r="E16" s="16" t="s">
        <v>130</v>
      </c>
      <c r="F16" s="1" t="s">
        <v>114</v>
      </c>
      <c r="G16" s="13" t="s">
        <v>4</v>
      </c>
      <c r="H16" s="26">
        <v>4.5</v>
      </c>
      <c r="I16" s="26">
        <v>1</v>
      </c>
      <c r="J16" s="26">
        <v>2.1</v>
      </c>
      <c r="K16" s="38">
        <v>6.4</v>
      </c>
      <c r="L16" s="51">
        <v>1.6</v>
      </c>
      <c r="M16" s="52">
        <v>4</v>
      </c>
      <c r="N16" s="51"/>
      <c r="O16" s="26">
        <v>3</v>
      </c>
    </row>
    <row r="17" spans="1:15" x14ac:dyDescent="0.25">
      <c r="A17" s="3">
        <v>2</v>
      </c>
      <c r="B17" s="14" t="s">
        <v>111</v>
      </c>
      <c r="C17" s="21">
        <v>125</v>
      </c>
      <c r="D17" s="15" t="s">
        <v>2</v>
      </c>
      <c r="E17" s="16" t="s">
        <v>107</v>
      </c>
      <c r="F17" s="1" t="s">
        <v>35</v>
      </c>
      <c r="G17" s="13" t="s">
        <v>4</v>
      </c>
      <c r="H17" s="26">
        <v>2.2999999999999998</v>
      </c>
      <c r="I17" s="26">
        <v>2</v>
      </c>
      <c r="J17" s="26">
        <v>2.4</v>
      </c>
      <c r="K17" s="38">
        <v>3.9</v>
      </c>
      <c r="L17" s="51">
        <v>0.97499999999999998</v>
      </c>
      <c r="M17" s="52">
        <v>2</v>
      </c>
      <c r="N17" s="51"/>
      <c r="O17" s="26">
        <v>2</v>
      </c>
    </row>
    <row r="18" spans="1:15" x14ac:dyDescent="0.25">
      <c r="A18" s="3">
        <v>1</v>
      </c>
      <c r="B18" s="14" t="s">
        <v>111</v>
      </c>
      <c r="C18" s="21">
        <v>100</v>
      </c>
      <c r="D18" s="15" t="s">
        <v>2</v>
      </c>
      <c r="E18" s="16" t="s">
        <v>105</v>
      </c>
      <c r="F18" s="1" t="s">
        <v>24</v>
      </c>
      <c r="G18" s="13" t="s">
        <v>3</v>
      </c>
      <c r="H18" s="26">
        <v>1.5</v>
      </c>
      <c r="I18" s="26">
        <v>2</v>
      </c>
      <c r="J18" s="26">
        <v>2.1</v>
      </c>
      <c r="K18" s="38">
        <v>1.4</v>
      </c>
      <c r="L18" s="51">
        <v>0.35</v>
      </c>
      <c r="M18" s="51"/>
      <c r="N18" s="53">
        <v>2</v>
      </c>
      <c r="O18" s="26">
        <v>0.5</v>
      </c>
    </row>
    <row r="19" spans="1:15" x14ac:dyDescent="0.25">
      <c r="A19" s="3">
        <v>1</v>
      </c>
      <c r="B19" s="14" t="s">
        <v>111</v>
      </c>
      <c r="C19" s="21">
        <v>5000</v>
      </c>
      <c r="D19" s="15" t="s">
        <v>2</v>
      </c>
      <c r="E19" s="16" t="s">
        <v>49</v>
      </c>
      <c r="F19" s="1" t="s">
        <v>58</v>
      </c>
      <c r="G19" s="13" t="s">
        <v>5</v>
      </c>
      <c r="H19" s="26">
        <v>0.8</v>
      </c>
      <c r="I19" s="26">
        <v>3</v>
      </c>
      <c r="J19" s="26">
        <v>1.5</v>
      </c>
      <c r="K19" s="38">
        <v>2.2999999999999998</v>
      </c>
      <c r="L19" s="51">
        <v>0.57499999999999996</v>
      </c>
      <c r="M19" s="51"/>
      <c r="N19" s="53">
        <v>3</v>
      </c>
      <c r="O19" s="26">
        <v>0.9</v>
      </c>
    </row>
    <row r="20" spans="1:15" x14ac:dyDescent="0.25">
      <c r="A20" s="3">
        <v>1</v>
      </c>
      <c r="B20" s="14" t="s">
        <v>111</v>
      </c>
      <c r="C20" s="21">
        <v>1000</v>
      </c>
      <c r="D20" s="15" t="s">
        <v>2</v>
      </c>
      <c r="E20" s="16" t="s">
        <v>37</v>
      </c>
      <c r="F20" s="1" t="s">
        <v>56</v>
      </c>
      <c r="G20" s="13" t="s">
        <v>38</v>
      </c>
      <c r="H20" s="26">
        <v>1.4</v>
      </c>
      <c r="I20" s="26">
        <v>8</v>
      </c>
      <c r="J20" s="26">
        <v>2.2000000000000002</v>
      </c>
      <c r="K20" s="38">
        <v>7.2</v>
      </c>
      <c r="L20" s="51">
        <v>1.8</v>
      </c>
      <c r="M20" s="52">
        <v>5</v>
      </c>
      <c r="N20" s="51"/>
      <c r="O20" s="26">
        <v>2.5</v>
      </c>
    </row>
    <row r="21" spans="1:15" x14ac:dyDescent="0.25">
      <c r="A21" s="3">
        <v>1</v>
      </c>
      <c r="B21" s="14" t="s">
        <v>111</v>
      </c>
      <c r="C21" s="21">
        <v>1</v>
      </c>
      <c r="D21" s="15" t="s">
        <v>2</v>
      </c>
      <c r="E21" s="16" t="s">
        <v>40</v>
      </c>
      <c r="F21" s="1" t="s">
        <v>83</v>
      </c>
      <c r="G21" s="13" t="s">
        <v>2</v>
      </c>
      <c r="H21" s="26">
        <v>1.2</v>
      </c>
      <c r="I21" s="26">
        <v>2</v>
      </c>
      <c r="J21" s="26">
        <v>2.2999999999999998</v>
      </c>
      <c r="K21" s="38">
        <v>0.90000000000000036</v>
      </c>
      <c r="L21" s="51">
        <v>0.22500000000000009</v>
      </c>
      <c r="M21" s="51"/>
      <c r="N21" s="53">
        <v>1.5</v>
      </c>
      <c r="O21" s="26">
        <v>1.2</v>
      </c>
    </row>
    <row r="22" spans="1:15" x14ac:dyDescent="0.25">
      <c r="A22" s="3">
        <v>1</v>
      </c>
      <c r="B22" s="14" t="s">
        <v>111</v>
      </c>
      <c r="C22" s="21">
        <v>1</v>
      </c>
      <c r="D22" s="15" t="s">
        <v>2</v>
      </c>
      <c r="E22" s="16" t="s">
        <v>36</v>
      </c>
      <c r="F22" s="1" t="s">
        <v>82</v>
      </c>
      <c r="G22" s="13" t="s">
        <v>2</v>
      </c>
      <c r="H22" s="26">
        <v>1.1000000000000001</v>
      </c>
      <c r="I22" s="26">
        <v>4</v>
      </c>
      <c r="J22" s="26">
        <v>1.4</v>
      </c>
      <c r="K22" s="38">
        <v>3.6999999999999997</v>
      </c>
      <c r="L22" s="51">
        <v>0.92499999999999993</v>
      </c>
      <c r="M22" s="52">
        <v>3</v>
      </c>
      <c r="N22" s="51"/>
      <c r="O22" s="26">
        <v>1.5</v>
      </c>
    </row>
    <row r="23" spans="1:15" x14ac:dyDescent="0.25">
      <c r="A23" s="3">
        <v>6</v>
      </c>
      <c r="B23" s="14" t="s">
        <v>111</v>
      </c>
      <c r="C23" s="21">
        <v>500</v>
      </c>
      <c r="D23" s="15" t="s">
        <v>2</v>
      </c>
      <c r="E23" s="16" t="s">
        <v>131</v>
      </c>
      <c r="F23" s="1" t="s">
        <v>115</v>
      </c>
      <c r="G23" s="13" t="s">
        <v>4</v>
      </c>
      <c r="H23" s="26">
        <v>5.6</v>
      </c>
      <c r="I23" s="26">
        <v>1</v>
      </c>
      <c r="J23" s="26">
        <v>3</v>
      </c>
      <c r="K23" s="38">
        <v>8.6</v>
      </c>
      <c r="L23" s="51">
        <v>2.15</v>
      </c>
      <c r="M23" s="52">
        <v>6</v>
      </c>
      <c r="N23" s="51"/>
      <c r="O23" s="26">
        <v>1.5</v>
      </c>
    </row>
    <row r="24" spans="1:15" x14ac:dyDescent="0.25">
      <c r="A24" s="3">
        <v>2</v>
      </c>
      <c r="B24" s="14" t="s">
        <v>111</v>
      </c>
      <c r="C24" s="21">
        <v>250</v>
      </c>
      <c r="D24" s="15" t="s">
        <v>2</v>
      </c>
      <c r="E24" s="16" t="s">
        <v>132</v>
      </c>
      <c r="F24" s="1" t="s">
        <v>116</v>
      </c>
      <c r="G24" s="13" t="s">
        <v>4</v>
      </c>
      <c r="H24" s="26">
        <v>3</v>
      </c>
      <c r="I24" s="26">
        <v>2</v>
      </c>
      <c r="J24" s="26">
        <v>3.8</v>
      </c>
      <c r="K24" s="38">
        <v>3.2</v>
      </c>
      <c r="L24" s="51">
        <v>0.8</v>
      </c>
      <c r="M24" s="52">
        <v>2</v>
      </c>
      <c r="N24" s="51"/>
      <c r="O24" s="26">
        <v>1.5</v>
      </c>
    </row>
    <row r="25" spans="1:15" x14ac:dyDescent="0.25">
      <c r="A25" s="3">
        <v>4</v>
      </c>
      <c r="B25" s="14" t="s">
        <v>111</v>
      </c>
      <c r="C25" s="21">
        <v>125</v>
      </c>
      <c r="D25" s="15" t="s">
        <v>2</v>
      </c>
      <c r="E25" s="16" t="s">
        <v>133</v>
      </c>
      <c r="F25" s="1" t="s">
        <v>59</v>
      </c>
      <c r="G25" s="13" t="s">
        <v>4</v>
      </c>
      <c r="H25" s="26">
        <v>3</v>
      </c>
      <c r="I25" s="26">
        <v>3</v>
      </c>
      <c r="J25" s="26">
        <v>7.1</v>
      </c>
      <c r="K25" s="38">
        <v>7.9</v>
      </c>
      <c r="L25" s="51">
        <v>1.9750000000000001</v>
      </c>
      <c r="M25" s="52">
        <v>4</v>
      </c>
      <c r="N25" s="51"/>
      <c r="O25" s="26">
        <v>4</v>
      </c>
    </row>
    <row r="26" spans="1:15" x14ac:dyDescent="0.25">
      <c r="A26" s="3">
        <v>2</v>
      </c>
      <c r="B26" s="14" t="s">
        <v>111</v>
      </c>
      <c r="C26" s="21">
        <v>250</v>
      </c>
      <c r="D26" s="15" t="s">
        <v>2</v>
      </c>
      <c r="E26" s="16" t="s">
        <v>134</v>
      </c>
      <c r="F26" s="1" t="s">
        <v>19</v>
      </c>
      <c r="G26" s="13" t="s">
        <v>4</v>
      </c>
      <c r="H26" s="26">
        <v>1</v>
      </c>
      <c r="I26" s="26">
        <v>4</v>
      </c>
      <c r="J26" s="26">
        <v>6.1</v>
      </c>
      <c r="K26" s="38">
        <v>2.9000000000000004</v>
      </c>
      <c r="L26" s="51">
        <v>0.72500000000000009</v>
      </c>
      <c r="M26" s="52">
        <v>2</v>
      </c>
      <c r="N26" s="51"/>
      <c r="O26" s="26">
        <v>1</v>
      </c>
    </row>
    <row r="27" spans="1:15" x14ac:dyDescent="0.25">
      <c r="A27" s="3">
        <v>1</v>
      </c>
      <c r="B27" s="14" t="s">
        <v>111</v>
      </c>
      <c r="C27" s="21">
        <v>250</v>
      </c>
      <c r="D27" s="15" t="s">
        <v>2</v>
      </c>
      <c r="E27" s="16" t="s">
        <v>29</v>
      </c>
      <c r="F27" s="1" t="s">
        <v>30</v>
      </c>
      <c r="G27" s="13" t="s">
        <v>3</v>
      </c>
      <c r="H27" s="26">
        <v>1.2</v>
      </c>
      <c r="I27" s="26">
        <v>2</v>
      </c>
      <c r="J27" s="26">
        <v>2.2999999999999998</v>
      </c>
      <c r="K27" s="38">
        <v>0.90000000000000036</v>
      </c>
      <c r="L27" s="51">
        <v>0.22500000000000009</v>
      </c>
      <c r="M27" s="51"/>
      <c r="N27" s="53">
        <v>1.5</v>
      </c>
      <c r="O27" s="26">
        <v>0.5</v>
      </c>
    </row>
    <row r="28" spans="1:15" x14ac:dyDescent="0.25">
      <c r="A28" s="3">
        <v>1</v>
      </c>
      <c r="B28" s="14" t="s">
        <v>111</v>
      </c>
      <c r="C28" s="21">
        <v>50</v>
      </c>
      <c r="D28" s="15" t="s">
        <v>2</v>
      </c>
      <c r="E28" s="16" t="s">
        <v>108</v>
      </c>
      <c r="F28" s="1" t="s">
        <v>87</v>
      </c>
      <c r="G28" s="13" t="s">
        <v>3</v>
      </c>
      <c r="H28" s="26">
        <v>0.5</v>
      </c>
      <c r="I28" s="26">
        <v>4</v>
      </c>
      <c r="J28" s="26">
        <v>1.3</v>
      </c>
      <c r="K28" s="38">
        <v>3.2</v>
      </c>
      <c r="L28" s="51">
        <v>0.8</v>
      </c>
      <c r="M28" s="52">
        <v>2</v>
      </c>
      <c r="N28" s="51"/>
      <c r="O28" s="26">
        <v>1</v>
      </c>
    </row>
    <row r="29" spans="1:15" x14ac:dyDescent="0.25">
      <c r="A29" s="3">
        <v>5</v>
      </c>
      <c r="B29" s="14" t="s">
        <v>111</v>
      </c>
      <c r="C29" s="21">
        <v>1000</v>
      </c>
      <c r="D29" s="15" t="s">
        <v>2</v>
      </c>
      <c r="E29" s="16" t="s">
        <v>32</v>
      </c>
      <c r="F29" s="1" t="s">
        <v>69</v>
      </c>
      <c r="G29" s="13" t="s">
        <v>5</v>
      </c>
      <c r="H29" s="26">
        <v>9.5</v>
      </c>
      <c r="I29" s="26">
        <v>4</v>
      </c>
      <c r="J29" s="26">
        <v>9.1</v>
      </c>
      <c r="K29" s="38">
        <v>20.399999999999999</v>
      </c>
      <c r="L29" s="51">
        <v>5.0999999999999996</v>
      </c>
      <c r="M29" s="52">
        <v>15</v>
      </c>
      <c r="N29" s="51"/>
      <c r="O29" s="26">
        <v>10</v>
      </c>
    </row>
    <row r="30" spans="1:15" x14ac:dyDescent="0.25">
      <c r="A30" s="3">
        <v>2</v>
      </c>
      <c r="B30" s="14" t="s">
        <v>111</v>
      </c>
      <c r="C30" s="21">
        <v>1000</v>
      </c>
      <c r="D30" s="15" t="s">
        <v>2</v>
      </c>
      <c r="E30" s="16" t="s">
        <v>73</v>
      </c>
      <c r="F30" s="1" t="s">
        <v>78</v>
      </c>
      <c r="G30" s="13" t="s">
        <v>5</v>
      </c>
      <c r="H30" s="26">
        <v>2.5</v>
      </c>
      <c r="I30" s="26">
        <v>2</v>
      </c>
      <c r="J30" s="26">
        <v>3.1</v>
      </c>
      <c r="K30" s="38">
        <v>3.4</v>
      </c>
      <c r="L30" s="51">
        <v>0.85</v>
      </c>
      <c r="M30" s="52">
        <v>2</v>
      </c>
      <c r="N30" s="51"/>
      <c r="O30" s="26">
        <v>2</v>
      </c>
    </row>
    <row r="31" spans="1:15" x14ac:dyDescent="0.25">
      <c r="A31" s="3">
        <v>2</v>
      </c>
      <c r="B31" s="14" t="s">
        <v>111</v>
      </c>
      <c r="C31" s="21">
        <v>1000</v>
      </c>
      <c r="D31" s="15" t="s">
        <v>2</v>
      </c>
      <c r="E31" s="16" t="s">
        <v>74</v>
      </c>
      <c r="F31" s="1" t="s">
        <v>79</v>
      </c>
      <c r="G31" s="13" t="s">
        <v>5</v>
      </c>
      <c r="H31" s="26">
        <v>1.5</v>
      </c>
      <c r="I31" s="26">
        <v>3</v>
      </c>
      <c r="J31" s="26">
        <v>2.1</v>
      </c>
      <c r="K31" s="38">
        <v>5.4</v>
      </c>
      <c r="L31" s="51">
        <v>1.35</v>
      </c>
      <c r="M31" s="52">
        <v>3</v>
      </c>
      <c r="N31" s="51"/>
      <c r="O31" s="26">
        <v>3</v>
      </c>
    </row>
    <row r="32" spans="1:15" x14ac:dyDescent="0.25">
      <c r="A32" s="3">
        <v>2</v>
      </c>
      <c r="B32" s="14" t="s">
        <v>111</v>
      </c>
      <c r="C32" s="21">
        <v>1000</v>
      </c>
      <c r="D32" s="15" t="s">
        <v>2</v>
      </c>
      <c r="E32" s="16" t="s">
        <v>75</v>
      </c>
      <c r="F32" s="1" t="s">
        <v>80</v>
      </c>
      <c r="G32" s="13" t="s">
        <v>5</v>
      </c>
      <c r="H32" s="26">
        <v>1.4</v>
      </c>
      <c r="I32" s="26">
        <v>2</v>
      </c>
      <c r="J32" s="26">
        <v>2.1</v>
      </c>
      <c r="K32" s="38">
        <v>3.3000000000000003</v>
      </c>
      <c r="L32" s="51">
        <v>0.82500000000000007</v>
      </c>
      <c r="M32" s="52">
        <v>2</v>
      </c>
      <c r="N32" s="51"/>
      <c r="O32" s="26">
        <v>2</v>
      </c>
    </row>
    <row r="33" spans="1:15" x14ac:dyDescent="0.25">
      <c r="A33" s="3">
        <v>2</v>
      </c>
      <c r="B33" s="14" t="s">
        <v>111</v>
      </c>
      <c r="C33" s="21">
        <v>1000</v>
      </c>
      <c r="D33" s="15" t="s">
        <v>2</v>
      </c>
      <c r="E33" s="16" t="s">
        <v>76</v>
      </c>
      <c r="F33" s="1" t="s">
        <v>77</v>
      </c>
      <c r="G33" s="13" t="s">
        <v>5</v>
      </c>
      <c r="H33" s="26">
        <v>1.4</v>
      </c>
      <c r="I33" s="26">
        <v>1</v>
      </c>
      <c r="J33" s="26">
        <v>1</v>
      </c>
      <c r="K33" s="38">
        <v>2.4</v>
      </c>
      <c r="L33" s="51">
        <v>0.6</v>
      </c>
      <c r="M33" s="52">
        <v>2</v>
      </c>
      <c r="N33" s="51"/>
      <c r="O33" s="26">
        <v>2</v>
      </c>
    </row>
    <row r="34" spans="1:15" x14ac:dyDescent="0.25">
      <c r="A34" s="3">
        <v>10</v>
      </c>
      <c r="B34" s="14" t="s">
        <v>111</v>
      </c>
      <c r="C34" s="21">
        <v>100</v>
      </c>
      <c r="D34" s="15" t="s">
        <v>2</v>
      </c>
      <c r="E34" s="16" t="s">
        <v>47</v>
      </c>
      <c r="F34" s="1" t="s">
        <v>45</v>
      </c>
      <c r="G34" s="13" t="s">
        <v>5</v>
      </c>
      <c r="H34" s="26">
        <v>22</v>
      </c>
      <c r="I34" s="26">
        <v>1</v>
      </c>
      <c r="J34" s="26">
        <v>11</v>
      </c>
      <c r="K34" s="38">
        <v>21</v>
      </c>
      <c r="L34" s="51">
        <v>5.25</v>
      </c>
      <c r="M34" s="52">
        <v>12</v>
      </c>
      <c r="N34" s="51"/>
      <c r="O34" s="26">
        <v>10</v>
      </c>
    </row>
    <row r="35" spans="1:15" x14ac:dyDescent="0.25">
      <c r="A35" s="3">
        <v>10</v>
      </c>
      <c r="B35" s="14" t="s">
        <v>111</v>
      </c>
      <c r="C35" s="21">
        <v>100</v>
      </c>
      <c r="D35" s="15" t="s">
        <v>2</v>
      </c>
      <c r="E35" s="16" t="s">
        <v>48</v>
      </c>
      <c r="F35" s="1" t="s">
        <v>46</v>
      </c>
      <c r="G35" s="13" t="s">
        <v>5</v>
      </c>
      <c r="H35" s="26">
        <v>7</v>
      </c>
      <c r="I35" s="26">
        <v>1</v>
      </c>
      <c r="J35" s="26">
        <v>6</v>
      </c>
      <c r="K35" s="38">
        <v>11</v>
      </c>
      <c r="L35" s="51">
        <v>2.75</v>
      </c>
      <c r="M35" s="51"/>
      <c r="N35" s="53">
        <v>12</v>
      </c>
      <c r="O35" s="26">
        <v>2</v>
      </c>
    </row>
    <row r="36" spans="1:15" x14ac:dyDescent="0.25">
      <c r="A36" s="3">
        <v>1</v>
      </c>
      <c r="B36" s="14" t="s">
        <v>111</v>
      </c>
      <c r="C36" s="21">
        <v>400</v>
      </c>
      <c r="D36" s="15" t="s">
        <v>2</v>
      </c>
      <c r="E36" s="16" t="s">
        <v>25</v>
      </c>
      <c r="F36" s="1" t="s">
        <v>12</v>
      </c>
      <c r="G36" s="13" t="s">
        <v>16</v>
      </c>
      <c r="H36" s="26">
        <v>0.4</v>
      </c>
      <c r="I36" s="26">
        <v>6</v>
      </c>
      <c r="J36" s="26">
        <v>1.4</v>
      </c>
      <c r="K36" s="38">
        <v>5</v>
      </c>
      <c r="L36" s="51">
        <v>1.25</v>
      </c>
      <c r="M36" s="52">
        <v>3</v>
      </c>
      <c r="N36" s="51"/>
      <c r="O36" s="26">
        <v>1</v>
      </c>
    </row>
    <row r="37" spans="1:15" x14ac:dyDescent="0.25">
      <c r="A37" s="3">
        <v>1</v>
      </c>
      <c r="B37" s="14" t="s">
        <v>111</v>
      </c>
      <c r="C37" s="21">
        <v>400</v>
      </c>
      <c r="D37" s="15" t="s">
        <v>2</v>
      </c>
      <c r="E37" s="16" t="s">
        <v>26</v>
      </c>
      <c r="F37" s="1" t="s">
        <v>11</v>
      </c>
      <c r="G37" s="13" t="s">
        <v>16</v>
      </c>
      <c r="H37" s="26">
        <v>1.9</v>
      </c>
      <c r="I37" s="26">
        <v>5</v>
      </c>
      <c r="J37" s="26">
        <v>3.1</v>
      </c>
      <c r="K37" s="38">
        <v>3.8000000000000003</v>
      </c>
      <c r="L37" s="51">
        <v>0.95000000000000007</v>
      </c>
      <c r="M37" s="52">
        <v>2</v>
      </c>
      <c r="N37" s="51"/>
      <c r="O37" s="26">
        <v>3</v>
      </c>
    </row>
    <row r="38" spans="1:15" x14ac:dyDescent="0.25">
      <c r="A38" s="3">
        <v>1</v>
      </c>
      <c r="B38" s="14" t="s">
        <v>111</v>
      </c>
      <c r="C38" s="21">
        <v>500</v>
      </c>
      <c r="D38" s="15" t="s">
        <v>2</v>
      </c>
      <c r="E38" s="16" t="s">
        <v>27</v>
      </c>
      <c r="F38" s="1" t="s">
        <v>138</v>
      </c>
      <c r="G38" s="13" t="s">
        <v>16</v>
      </c>
      <c r="H38" s="26">
        <v>2.5</v>
      </c>
      <c r="I38" s="26">
        <v>6</v>
      </c>
      <c r="J38" s="26">
        <v>3.4</v>
      </c>
      <c r="K38" s="38">
        <v>5.0999999999999996</v>
      </c>
      <c r="L38" s="51">
        <v>1.2749999999999999</v>
      </c>
      <c r="M38" s="52">
        <v>3</v>
      </c>
      <c r="N38" s="51"/>
      <c r="O38" s="26">
        <v>3</v>
      </c>
    </row>
    <row r="39" spans="1:15" x14ac:dyDescent="0.25">
      <c r="A39" s="3">
        <v>1</v>
      </c>
      <c r="B39" s="14" t="s">
        <v>111</v>
      </c>
      <c r="C39" s="21">
        <v>500</v>
      </c>
      <c r="D39" s="15" t="s">
        <v>2</v>
      </c>
      <c r="E39" s="16" t="s">
        <v>91</v>
      </c>
      <c r="F39" s="1" t="s">
        <v>55</v>
      </c>
      <c r="G39" s="13" t="s">
        <v>3</v>
      </c>
      <c r="H39" s="26">
        <v>2.5</v>
      </c>
      <c r="I39" s="26">
        <v>9</v>
      </c>
      <c r="J39" s="26">
        <v>3.2</v>
      </c>
      <c r="K39" s="38">
        <v>8.3000000000000007</v>
      </c>
      <c r="L39" s="51">
        <v>2.0750000000000002</v>
      </c>
      <c r="M39" s="52">
        <v>5</v>
      </c>
      <c r="N39" s="51"/>
      <c r="O39" s="26">
        <v>4</v>
      </c>
    </row>
    <row r="40" spans="1:15" x14ac:dyDescent="0.25">
      <c r="A40" s="3">
        <v>1</v>
      </c>
      <c r="B40" s="14" t="s">
        <v>111</v>
      </c>
      <c r="C40" s="21">
        <v>1000</v>
      </c>
      <c r="D40" s="15" t="s">
        <v>2</v>
      </c>
      <c r="E40" s="16" t="s">
        <v>92</v>
      </c>
      <c r="F40" s="1" t="s">
        <v>57</v>
      </c>
      <c r="G40" s="13" t="s">
        <v>3</v>
      </c>
      <c r="H40" s="26">
        <v>1</v>
      </c>
      <c r="I40" s="26">
        <v>3</v>
      </c>
      <c r="J40" s="26">
        <v>1.8</v>
      </c>
      <c r="K40" s="38">
        <v>2.2000000000000002</v>
      </c>
      <c r="L40" s="51">
        <v>0.55000000000000004</v>
      </c>
      <c r="M40" s="52">
        <v>1</v>
      </c>
      <c r="N40" s="51"/>
      <c r="O40" s="26">
        <v>1</v>
      </c>
    </row>
    <row r="41" spans="1:15" x14ac:dyDescent="0.25">
      <c r="A41" s="3">
        <v>1</v>
      </c>
      <c r="B41" s="14" t="s">
        <v>111</v>
      </c>
      <c r="C41" s="21">
        <v>1000</v>
      </c>
      <c r="D41" s="15" t="s">
        <v>2</v>
      </c>
      <c r="E41" s="16" t="s">
        <v>93</v>
      </c>
      <c r="F41" s="1" t="s">
        <v>39</v>
      </c>
      <c r="G41" s="13" t="s">
        <v>3</v>
      </c>
      <c r="H41" s="26">
        <v>2.5</v>
      </c>
      <c r="I41" s="26">
        <v>4</v>
      </c>
      <c r="J41" s="26">
        <v>2.1</v>
      </c>
      <c r="K41" s="38">
        <v>4.4000000000000004</v>
      </c>
      <c r="L41" s="51">
        <v>1.1000000000000001</v>
      </c>
      <c r="M41" s="52">
        <v>3</v>
      </c>
      <c r="N41" s="51"/>
      <c r="O41" s="26">
        <v>3</v>
      </c>
    </row>
    <row r="42" spans="1:15" x14ac:dyDescent="0.25">
      <c r="A42" s="3">
        <v>1</v>
      </c>
      <c r="B42" s="14" t="s">
        <v>111</v>
      </c>
      <c r="C42" s="21">
        <v>250</v>
      </c>
      <c r="D42" s="15" t="s">
        <v>2</v>
      </c>
      <c r="E42" s="16" t="s">
        <v>94</v>
      </c>
      <c r="F42" s="1" t="s">
        <v>68</v>
      </c>
      <c r="G42" s="13" t="s">
        <v>3</v>
      </c>
      <c r="H42" s="26">
        <v>1.1000000000000001</v>
      </c>
      <c r="I42" s="26">
        <v>1</v>
      </c>
      <c r="J42" s="26">
        <v>0.3</v>
      </c>
      <c r="K42" s="38">
        <v>1.8</v>
      </c>
      <c r="L42" s="51">
        <v>0.45</v>
      </c>
      <c r="M42" s="51"/>
      <c r="N42" s="53">
        <v>2</v>
      </c>
      <c r="O42" s="26">
        <v>0.2</v>
      </c>
    </row>
    <row r="43" spans="1:15" x14ac:dyDescent="0.25">
      <c r="A43" s="3">
        <v>1</v>
      </c>
      <c r="B43" s="14" t="s">
        <v>111</v>
      </c>
      <c r="C43" s="21">
        <v>200</v>
      </c>
      <c r="D43" s="15" t="s">
        <v>2</v>
      </c>
      <c r="E43" s="16" t="s">
        <v>95</v>
      </c>
      <c r="F43" s="1" t="s">
        <v>81</v>
      </c>
      <c r="G43" s="13" t="s">
        <v>3</v>
      </c>
      <c r="H43" s="26">
        <v>1.6</v>
      </c>
      <c r="I43" s="26"/>
      <c r="J43" s="26">
        <v>1.1000000000000001</v>
      </c>
      <c r="K43" s="38">
        <v>0.5</v>
      </c>
      <c r="L43" s="51">
        <v>0.125</v>
      </c>
      <c r="M43" s="51"/>
      <c r="N43" s="53">
        <v>0.5</v>
      </c>
      <c r="O43" s="26">
        <v>0.2</v>
      </c>
    </row>
    <row r="44" spans="1:15" x14ac:dyDescent="0.25">
      <c r="A44" s="3">
        <v>1</v>
      </c>
      <c r="B44" s="14" t="s">
        <v>111</v>
      </c>
      <c r="C44" s="21">
        <v>1000</v>
      </c>
      <c r="D44" s="15" t="s">
        <v>2</v>
      </c>
      <c r="E44" s="16" t="s">
        <v>22</v>
      </c>
      <c r="F44" s="1" t="s">
        <v>96</v>
      </c>
      <c r="G44" s="13" t="s">
        <v>3</v>
      </c>
      <c r="H44" s="26">
        <v>1.3</v>
      </c>
      <c r="I44" s="26">
        <v>4</v>
      </c>
      <c r="J44" s="26">
        <v>1.1000000000000001</v>
      </c>
      <c r="K44" s="38">
        <v>4.1999999999999993</v>
      </c>
      <c r="L44" s="51">
        <v>1.0499999999999998</v>
      </c>
      <c r="M44" s="52">
        <v>3</v>
      </c>
      <c r="N44" s="51"/>
      <c r="O44" s="26">
        <v>2</v>
      </c>
    </row>
    <row r="45" spans="1:15" x14ac:dyDescent="0.25">
      <c r="A45" s="3">
        <v>1</v>
      </c>
      <c r="B45" s="14" t="s">
        <v>111</v>
      </c>
      <c r="C45" s="21">
        <v>1000</v>
      </c>
      <c r="D45" s="15" t="s">
        <v>2</v>
      </c>
      <c r="E45" s="16" t="s">
        <v>23</v>
      </c>
      <c r="F45" s="1" t="s">
        <v>97</v>
      </c>
      <c r="G45" s="13" t="s">
        <v>3</v>
      </c>
      <c r="H45" s="26">
        <v>1.8</v>
      </c>
      <c r="I45" s="26">
        <v>4</v>
      </c>
      <c r="J45" s="26">
        <v>1</v>
      </c>
      <c r="K45" s="38">
        <v>4.8</v>
      </c>
      <c r="L45" s="51">
        <v>1.2</v>
      </c>
      <c r="M45" s="52">
        <v>3</v>
      </c>
      <c r="N45" s="51"/>
      <c r="O45" s="26">
        <v>2</v>
      </c>
    </row>
    <row r="46" spans="1:15" x14ac:dyDescent="0.25">
      <c r="A46" s="3">
        <v>1</v>
      </c>
      <c r="B46" s="14" t="s">
        <v>111</v>
      </c>
      <c r="C46" s="21">
        <v>1000</v>
      </c>
      <c r="D46" s="15" t="s">
        <v>2</v>
      </c>
      <c r="E46" s="16" t="s">
        <v>34</v>
      </c>
      <c r="F46" s="1" t="s">
        <v>117</v>
      </c>
      <c r="G46" s="13" t="s">
        <v>3</v>
      </c>
      <c r="H46" s="26">
        <v>0.4</v>
      </c>
      <c r="I46" s="26">
        <v>1</v>
      </c>
      <c r="J46" s="26">
        <v>1.2</v>
      </c>
      <c r="K46" s="38">
        <v>0.19999999999999996</v>
      </c>
      <c r="L46" s="51">
        <v>4.9999999999999989E-2</v>
      </c>
      <c r="M46" s="51"/>
      <c r="N46" s="53">
        <v>0.5</v>
      </c>
      <c r="O46" s="26">
        <v>0.5</v>
      </c>
    </row>
    <row r="47" spans="1:15" x14ac:dyDescent="0.25">
      <c r="A47" s="44">
        <v>20</v>
      </c>
      <c r="B47" s="45" t="s">
        <v>111</v>
      </c>
      <c r="C47" s="46">
        <v>100</v>
      </c>
      <c r="D47" s="47" t="s">
        <v>2</v>
      </c>
      <c r="E47" s="43" t="s">
        <v>109</v>
      </c>
      <c r="F47" s="48" t="s">
        <v>64</v>
      </c>
      <c r="G47" s="49" t="s">
        <v>5</v>
      </c>
      <c r="H47" s="34">
        <v>31</v>
      </c>
      <c r="I47" s="34">
        <v>17</v>
      </c>
      <c r="J47" s="34">
        <v>245</v>
      </c>
      <c r="K47" s="50">
        <v>126</v>
      </c>
      <c r="L47" s="51">
        <v>31.5</v>
      </c>
      <c r="M47" s="52">
        <v>60</v>
      </c>
      <c r="N47" s="51"/>
      <c r="O47" s="26">
        <v>60</v>
      </c>
    </row>
    <row r="48" spans="1:15" x14ac:dyDescent="0.25">
      <c r="A48" s="3">
        <v>12</v>
      </c>
      <c r="B48" s="14" t="s">
        <v>111</v>
      </c>
      <c r="C48" s="21">
        <v>500</v>
      </c>
      <c r="D48" s="15" t="s">
        <v>2</v>
      </c>
      <c r="E48" s="16" t="s">
        <v>110</v>
      </c>
      <c r="F48" s="1" t="s">
        <v>72</v>
      </c>
      <c r="G48" s="13" t="s">
        <v>3</v>
      </c>
      <c r="H48" s="26">
        <v>2.2000000000000002</v>
      </c>
      <c r="I48" s="26">
        <v>20</v>
      </c>
      <c r="J48" s="26">
        <v>4</v>
      </c>
      <c r="K48" s="38">
        <v>18.2</v>
      </c>
      <c r="L48" s="51">
        <v>4.55</v>
      </c>
      <c r="M48" s="52">
        <v>10</v>
      </c>
      <c r="N48" s="51"/>
      <c r="O48" s="26">
        <v>6</v>
      </c>
    </row>
    <row r="49" spans="1:15" x14ac:dyDescent="0.25">
      <c r="A49" s="3">
        <v>1</v>
      </c>
      <c r="B49" s="14" t="s">
        <v>111</v>
      </c>
      <c r="C49" s="21">
        <v>6</v>
      </c>
      <c r="D49" s="15" t="s">
        <v>2</v>
      </c>
      <c r="E49" s="16" t="s">
        <v>9</v>
      </c>
      <c r="F49" s="1" t="s">
        <v>15</v>
      </c>
      <c r="G49" s="13" t="s">
        <v>2</v>
      </c>
      <c r="H49" s="26">
        <v>2</v>
      </c>
      <c r="I49" s="26">
        <v>8</v>
      </c>
      <c r="J49" s="26">
        <v>18</v>
      </c>
      <c r="K49" s="38">
        <v>32</v>
      </c>
      <c r="L49" s="51">
        <v>8</v>
      </c>
      <c r="M49" s="52">
        <v>18</v>
      </c>
      <c r="N49" s="51"/>
      <c r="O49" s="26">
        <v>18</v>
      </c>
    </row>
    <row r="50" spans="1:15" x14ac:dyDescent="0.25">
      <c r="A50" s="3">
        <v>1</v>
      </c>
      <c r="B50" s="14" t="s">
        <v>111</v>
      </c>
      <c r="C50" s="21">
        <v>100</v>
      </c>
      <c r="D50" s="15" t="s">
        <v>2</v>
      </c>
      <c r="E50" s="16" t="s">
        <v>43</v>
      </c>
      <c r="F50" s="1" t="s">
        <v>44</v>
      </c>
      <c r="G50" s="13" t="s">
        <v>38</v>
      </c>
      <c r="H50" s="26">
        <v>1</v>
      </c>
      <c r="I50" s="26"/>
      <c r="J50" s="26">
        <v>0.7</v>
      </c>
      <c r="K50" s="38">
        <v>0.30000000000000004</v>
      </c>
      <c r="L50" s="51">
        <v>7.5000000000000011E-2</v>
      </c>
      <c r="M50" s="51"/>
      <c r="N50" s="53">
        <v>0.5</v>
      </c>
      <c r="O50" s="26">
        <v>0.3</v>
      </c>
    </row>
    <row r="51" spans="1:15" x14ac:dyDescent="0.25">
      <c r="A51" s="3">
        <v>1</v>
      </c>
      <c r="B51" s="14" t="s">
        <v>111</v>
      </c>
      <c r="C51" s="21">
        <v>50</v>
      </c>
      <c r="D51" s="15" t="s">
        <v>2</v>
      </c>
      <c r="E51" s="16" t="s">
        <v>41</v>
      </c>
      <c r="F51" s="1" t="s">
        <v>42</v>
      </c>
      <c r="G51" s="13" t="s">
        <v>38</v>
      </c>
      <c r="H51" s="26">
        <v>1</v>
      </c>
      <c r="I51" s="26">
        <v>1</v>
      </c>
      <c r="J51" s="26">
        <v>1.2</v>
      </c>
      <c r="K51" s="38">
        <v>0.8</v>
      </c>
      <c r="L51" s="51">
        <v>0.2</v>
      </c>
      <c r="M51" s="51"/>
      <c r="N51" s="53">
        <v>1</v>
      </c>
      <c r="O51" s="26">
        <v>0.5</v>
      </c>
    </row>
    <row r="52" spans="1:15" x14ac:dyDescent="0.25">
      <c r="A52" s="3">
        <v>1</v>
      </c>
      <c r="B52" s="14" t="s">
        <v>111</v>
      </c>
      <c r="C52" s="21">
        <v>4</v>
      </c>
      <c r="D52" s="15" t="s">
        <v>2</v>
      </c>
      <c r="E52" s="16" t="s">
        <v>65</v>
      </c>
      <c r="F52" s="1" t="s">
        <v>189</v>
      </c>
      <c r="G52" s="13" t="s">
        <v>2</v>
      </c>
      <c r="H52" s="26">
        <v>1.5</v>
      </c>
      <c r="I52" s="26">
        <v>4</v>
      </c>
      <c r="J52" s="26">
        <v>5.0999999999999996</v>
      </c>
      <c r="K52" s="38">
        <v>12.4</v>
      </c>
      <c r="L52" s="51">
        <v>3.1</v>
      </c>
      <c r="M52" s="52">
        <v>6</v>
      </c>
      <c r="N52" s="51"/>
      <c r="O52" s="26">
        <v>10</v>
      </c>
    </row>
    <row r="53" spans="1:15" x14ac:dyDescent="0.25">
      <c r="A53" s="3">
        <v>1</v>
      </c>
      <c r="B53" s="14" t="s">
        <v>111</v>
      </c>
      <c r="C53" s="21">
        <v>4</v>
      </c>
      <c r="D53" s="15" t="s">
        <v>2</v>
      </c>
      <c r="E53" s="16" t="s">
        <v>28</v>
      </c>
      <c r="F53" s="1" t="s">
        <v>67</v>
      </c>
      <c r="G53" s="13" t="s">
        <v>2</v>
      </c>
      <c r="H53" s="26">
        <v>5.3</v>
      </c>
      <c r="I53" s="26">
        <v>1</v>
      </c>
      <c r="J53" s="26">
        <v>3.1</v>
      </c>
      <c r="K53" s="38">
        <v>6.2000000000000011</v>
      </c>
      <c r="L53" s="51">
        <v>1.5500000000000003</v>
      </c>
      <c r="M53" s="51"/>
      <c r="N53" s="53">
        <v>6</v>
      </c>
      <c r="O53" s="26">
        <v>4</v>
      </c>
    </row>
    <row r="54" spans="1:15" x14ac:dyDescent="0.25">
      <c r="A54" s="3">
        <v>1</v>
      </c>
      <c r="B54" s="14" t="s">
        <v>111</v>
      </c>
      <c r="C54" s="21">
        <v>2</v>
      </c>
      <c r="D54" s="15" t="s">
        <v>2</v>
      </c>
      <c r="E54" s="16" t="s">
        <v>31</v>
      </c>
      <c r="F54" s="1" t="s">
        <v>13</v>
      </c>
      <c r="G54" s="13" t="s">
        <v>2</v>
      </c>
      <c r="H54" s="26">
        <v>3</v>
      </c>
      <c r="I54" s="26">
        <v>2</v>
      </c>
      <c r="J54" s="26">
        <v>4</v>
      </c>
      <c r="K54" s="38">
        <v>3</v>
      </c>
      <c r="L54" s="51">
        <v>0.75</v>
      </c>
      <c r="M54" s="51"/>
      <c r="N54" s="53">
        <v>2</v>
      </c>
      <c r="O54" s="26">
        <v>2</v>
      </c>
    </row>
    <row r="55" spans="1:15" x14ac:dyDescent="0.25">
      <c r="A55" s="3">
        <v>1</v>
      </c>
      <c r="B55" s="14" t="s">
        <v>111</v>
      </c>
      <c r="C55" s="21">
        <v>2</v>
      </c>
      <c r="D55" s="15" t="s">
        <v>2</v>
      </c>
      <c r="E55" s="16" t="s">
        <v>8</v>
      </c>
      <c r="F55" s="1" t="s">
        <v>14</v>
      </c>
      <c r="G55" s="13" t="s">
        <v>2</v>
      </c>
      <c r="H55" s="26">
        <v>1</v>
      </c>
      <c r="I55" s="26">
        <v>1</v>
      </c>
      <c r="J55" s="26">
        <v>2</v>
      </c>
      <c r="K55" s="38">
        <v>1</v>
      </c>
      <c r="L55" s="51">
        <v>0.25</v>
      </c>
      <c r="M55" s="54"/>
      <c r="N55" s="54"/>
      <c r="O55" s="26">
        <v>1</v>
      </c>
    </row>
    <row r="56" spans="1:15" x14ac:dyDescent="0.25">
      <c r="A56" s="3">
        <v>1</v>
      </c>
      <c r="B56" s="14" t="s">
        <v>111</v>
      </c>
      <c r="C56" s="21">
        <v>100</v>
      </c>
      <c r="D56" s="15" t="s">
        <v>2</v>
      </c>
      <c r="E56" s="16" t="s">
        <v>52</v>
      </c>
      <c r="F56" s="1" t="s">
        <v>185</v>
      </c>
      <c r="G56" s="13" t="s">
        <v>38</v>
      </c>
      <c r="H56" s="26">
        <v>2.5</v>
      </c>
      <c r="I56" s="26">
        <v>23</v>
      </c>
      <c r="J56" s="26">
        <v>0.1</v>
      </c>
      <c r="K56" s="38">
        <v>25.4</v>
      </c>
      <c r="L56" s="51">
        <v>6.35</v>
      </c>
      <c r="M56" s="52">
        <v>10</v>
      </c>
      <c r="N56" s="51"/>
      <c r="O56" s="26">
        <v>12</v>
      </c>
    </row>
    <row r="57" spans="1:15" x14ac:dyDescent="0.25">
      <c r="A57" s="3">
        <v>1</v>
      </c>
      <c r="B57" s="14" t="s">
        <v>111</v>
      </c>
      <c r="C57" s="21">
        <v>100</v>
      </c>
      <c r="D57" s="15" t="s">
        <v>2</v>
      </c>
      <c r="E57" s="16" t="s">
        <v>53</v>
      </c>
      <c r="F57" s="1" t="s">
        <v>186</v>
      </c>
      <c r="G57" s="13" t="s">
        <v>38</v>
      </c>
      <c r="H57" s="26">
        <v>2</v>
      </c>
      <c r="I57" s="26">
        <v>17</v>
      </c>
      <c r="J57" s="26">
        <v>0.1</v>
      </c>
      <c r="K57" s="38">
        <v>18.899999999999999</v>
      </c>
      <c r="L57" s="51">
        <v>4.7249999999999996</v>
      </c>
      <c r="M57" s="52">
        <v>10</v>
      </c>
      <c r="N57" s="51"/>
      <c r="O57" s="26">
        <v>10</v>
      </c>
    </row>
    <row r="58" spans="1:15" x14ac:dyDescent="0.25">
      <c r="A58" s="3">
        <v>20</v>
      </c>
      <c r="B58" s="14" t="s">
        <v>111</v>
      </c>
      <c r="C58" s="21">
        <v>50</v>
      </c>
      <c r="D58" s="15" t="s">
        <v>2</v>
      </c>
      <c r="E58" s="16" t="s">
        <v>135</v>
      </c>
      <c r="F58" s="1" t="s">
        <v>118</v>
      </c>
      <c r="G58" s="13" t="s">
        <v>4</v>
      </c>
      <c r="H58" s="26">
        <v>12</v>
      </c>
      <c r="I58" s="26">
        <v>1</v>
      </c>
      <c r="J58" s="26">
        <v>18.100000000000001</v>
      </c>
      <c r="K58" s="38">
        <v>13.899999999999999</v>
      </c>
      <c r="L58" s="51">
        <v>3.4749999999999996</v>
      </c>
      <c r="M58" s="51"/>
      <c r="N58" s="53">
        <v>16</v>
      </c>
      <c r="O58" s="26">
        <v>10</v>
      </c>
    </row>
    <row r="59" spans="1:15" x14ac:dyDescent="0.25">
      <c r="A59" s="3">
        <v>12</v>
      </c>
      <c r="B59" s="14" t="s">
        <v>111</v>
      </c>
      <c r="C59" s="21">
        <v>50</v>
      </c>
      <c r="D59" s="15" t="s">
        <v>2</v>
      </c>
      <c r="E59" s="16" t="s">
        <v>136</v>
      </c>
      <c r="F59" s="1" t="s">
        <v>119</v>
      </c>
      <c r="G59" s="13" t="s">
        <v>4</v>
      </c>
      <c r="H59" s="26">
        <v>7</v>
      </c>
      <c r="I59" s="26">
        <v>2</v>
      </c>
      <c r="J59" s="26">
        <v>20.100000000000001</v>
      </c>
      <c r="K59" s="38">
        <v>10.899999999999999</v>
      </c>
      <c r="L59" s="51">
        <v>2.7249999999999996</v>
      </c>
      <c r="M59" s="51"/>
      <c r="N59" s="53">
        <v>12</v>
      </c>
      <c r="O59" s="26">
        <v>4</v>
      </c>
    </row>
    <row r="60" spans="1:15" x14ac:dyDescent="0.25">
      <c r="A60" s="3">
        <v>12</v>
      </c>
      <c r="B60" s="14" t="s">
        <v>111</v>
      </c>
      <c r="C60" s="21">
        <v>50</v>
      </c>
      <c r="D60" s="15" t="s">
        <v>2</v>
      </c>
      <c r="E60" s="16" t="s">
        <v>137</v>
      </c>
      <c r="F60" s="1" t="s">
        <v>120</v>
      </c>
      <c r="G60" s="13" t="s">
        <v>4</v>
      </c>
      <c r="H60" s="26">
        <v>4</v>
      </c>
      <c r="I60" s="26">
        <v>1</v>
      </c>
      <c r="J60" s="26">
        <v>6</v>
      </c>
      <c r="K60" s="38">
        <v>10</v>
      </c>
      <c r="L60" s="51">
        <v>2.5</v>
      </c>
      <c r="M60" s="51"/>
      <c r="N60" s="53">
        <v>12</v>
      </c>
      <c r="O60" s="26">
        <v>6</v>
      </c>
    </row>
    <row r="61" spans="1:15" x14ac:dyDescent="0.25">
      <c r="A61" s="3">
        <v>10</v>
      </c>
      <c r="B61" s="14" t="s">
        <v>111</v>
      </c>
      <c r="C61" s="21">
        <v>100</v>
      </c>
      <c r="D61" s="15" t="s">
        <v>2</v>
      </c>
      <c r="E61" s="16" t="s">
        <v>50</v>
      </c>
      <c r="F61" s="1" t="s">
        <v>54</v>
      </c>
      <c r="G61" s="13" t="s">
        <v>4</v>
      </c>
      <c r="H61" s="26">
        <v>9.5</v>
      </c>
      <c r="I61" s="26">
        <v>2</v>
      </c>
      <c r="J61" s="26">
        <v>6.1</v>
      </c>
      <c r="K61" s="38">
        <v>23.4</v>
      </c>
      <c r="L61" s="51">
        <v>5.85</v>
      </c>
      <c r="M61" s="52">
        <v>15</v>
      </c>
      <c r="N61" s="51"/>
      <c r="O61" s="26">
        <v>8</v>
      </c>
    </row>
    <row r="62" spans="1:15" x14ac:dyDescent="0.25">
      <c r="A62" s="3">
        <v>20</v>
      </c>
      <c r="B62" s="14" t="s">
        <v>111</v>
      </c>
      <c r="C62" s="21">
        <v>50</v>
      </c>
      <c r="D62" s="15" t="s">
        <v>2</v>
      </c>
      <c r="E62" s="16" t="s">
        <v>125</v>
      </c>
      <c r="F62" s="1" t="s">
        <v>121</v>
      </c>
      <c r="G62" s="13" t="s">
        <v>4</v>
      </c>
      <c r="H62" s="26">
        <v>13</v>
      </c>
      <c r="I62" s="26"/>
      <c r="J62" s="26">
        <v>10</v>
      </c>
      <c r="K62" s="38">
        <v>3</v>
      </c>
      <c r="L62" s="51">
        <v>0.75</v>
      </c>
      <c r="M62" s="51"/>
      <c r="N62" s="53">
        <v>6</v>
      </c>
      <c r="O62" s="26">
        <v>10</v>
      </c>
    </row>
    <row r="63" spans="1:15" x14ac:dyDescent="0.25">
      <c r="A63" s="3">
        <v>15</v>
      </c>
      <c r="B63" s="14" t="s">
        <v>111</v>
      </c>
      <c r="C63" s="21">
        <v>40</v>
      </c>
      <c r="D63" s="15" t="s">
        <v>2</v>
      </c>
      <c r="E63" s="16" t="s">
        <v>126</v>
      </c>
      <c r="F63" s="1" t="s">
        <v>122</v>
      </c>
      <c r="G63" s="13" t="s">
        <v>4</v>
      </c>
      <c r="H63" s="26">
        <v>14.5</v>
      </c>
      <c r="I63" s="26">
        <v>1</v>
      </c>
      <c r="J63" s="26">
        <v>18.100000000000001</v>
      </c>
      <c r="K63" s="38">
        <v>11.399999999999999</v>
      </c>
      <c r="L63" s="51">
        <v>2.8499999999999996</v>
      </c>
      <c r="M63" s="51"/>
      <c r="N63" s="53">
        <v>15</v>
      </c>
      <c r="O63" s="26">
        <v>4</v>
      </c>
    </row>
    <row r="64" spans="1:15" x14ac:dyDescent="0.25">
      <c r="A64" s="3">
        <v>20</v>
      </c>
      <c r="B64" s="14" t="s">
        <v>111</v>
      </c>
      <c r="C64" s="21">
        <v>50</v>
      </c>
      <c r="D64" s="15" t="s">
        <v>2</v>
      </c>
      <c r="E64" s="16" t="s">
        <v>51</v>
      </c>
      <c r="F64" s="1" t="s">
        <v>84</v>
      </c>
      <c r="G64" s="13" t="s">
        <v>4</v>
      </c>
      <c r="H64" s="26">
        <v>3.5</v>
      </c>
      <c r="I64" s="26">
        <v>3</v>
      </c>
      <c r="J64" s="26">
        <v>20</v>
      </c>
      <c r="K64" s="38">
        <v>43.5</v>
      </c>
      <c r="L64" s="51">
        <v>10.875</v>
      </c>
      <c r="M64" s="52">
        <v>24</v>
      </c>
      <c r="N64" s="51"/>
      <c r="O64" s="26">
        <v>20</v>
      </c>
    </row>
    <row r="65" spans="1:15" x14ac:dyDescent="0.25">
      <c r="A65" s="3">
        <v>1</v>
      </c>
      <c r="B65" s="14" t="s">
        <v>111</v>
      </c>
      <c r="C65" s="21">
        <v>1000</v>
      </c>
      <c r="D65" s="15" t="s">
        <v>2</v>
      </c>
      <c r="E65" s="16" t="s">
        <v>123</v>
      </c>
      <c r="F65" s="1" t="s">
        <v>124</v>
      </c>
      <c r="G65" s="13" t="s">
        <v>3</v>
      </c>
      <c r="H65" s="26">
        <v>1.1000000000000001</v>
      </c>
      <c r="I65" s="26">
        <v>1</v>
      </c>
      <c r="J65" s="26">
        <v>1.2</v>
      </c>
      <c r="K65" s="38">
        <v>0.90000000000000013</v>
      </c>
      <c r="L65" s="51">
        <v>0.22500000000000003</v>
      </c>
      <c r="M65" s="51"/>
      <c r="N65" s="53">
        <v>1.5</v>
      </c>
      <c r="O65" s="26">
        <v>0.3</v>
      </c>
    </row>
    <row r="66" spans="1:15" x14ac:dyDescent="0.25">
      <c r="A66" s="3">
        <v>6</v>
      </c>
      <c r="B66" s="14" t="s">
        <v>111</v>
      </c>
      <c r="C66" s="21">
        <v>600</v>
      </c>
      <c r="D66" s="15" t="s">
        <v>2</v>
      </c>
      <c r="E66" s="16" t="s">
        <v>139</v>
      </c>
      <c r="F66" s="1" t="s">
        <v>140</v>
      </c>
      <c r="G66" s="13" t="s">
        <v>38</v>
      </c>
      <c r="H66" s="26">
        <v>5.9</v>
      </c>
      <c r="I66" s="26">
        <v>1</v>
      </c>
      <c r="J66" s="26">
        <v>4</v>
      </c>
      <c r="K66" s="38">
        <v>7.9</v>
      </c>
      <c r="L66" s="51">
        <v>1.9750000000000001</v>
      </c>
      <c r="M66" s="52">
        <v>6</v>
      </c>
      <c r="N66" s="51"/>
      <c r="O66" s="26">
        <v>4</v>
      </c>
    </row>
    <row r="67" spans="1:15" x14ac:dyDescent="0.25">
      <c r="A67" s="3">
        <v>12</v>
      </c>
      <c r="B67" s="14" t="s">
        <v>111</v>
      </c>
      <c r="C67" s="21">
        <v>500</v>
      </c>
      <c r="D67" s="15" t="s">
        <v>2</v>
      </c>
      <c r="E67" s="16" t="s">
        <v>175</v>
      </c>
      <c r="F67" s="1" t="s">
        <v>176</v>
      </c>
      <c r="G67" s="13" t="s">
        <v>38</v>
      </c>
      <c r="H67" s="26">
        <v>0.5</v>
      </c>
      <c r="I67" s="26">
        <v>1</v>
      </c>
      <c r="J67" s="26">
        <v>5.0999999999999996</v>
      </c>
      <c r="K67" s="38">
        <v>7.4</v>
      </c>
      <c r="L67" s="51">
        <v>1.85</v>
      </c>
      <c r="M67" s="51"/>
      <c r="N67" s="53">
        <v>8</v>
      </c>
      <c r="O67" s="26">
        <v>4</v>
      </c>
    </row>
    <row r="68" spans="1:15" x14ac:dyDescent="0.25">
      <c r="A68" s="3">
        <v>1</v>
      </c>
      <c r="B68" s="14" t="s">
        <v>111</v>
      </c>
      <c r="C68" s="21">
        <v>12</v>
      </c>
      <c r="D68" s="15" t="s">
        <v>141</v>
      </c>
      <c r="E68" s="16" t="s">
        <v>142</v>
      </c>
      <c r="F68" s="1" t="s">
        <v>143</v>
      </c>
      <c r="G68" s="13" t="s">
        <v>2</v>
      </c>
      <c r="H68" s="26">
        <v>0</v>
      </c>
      <c r="I68" s="26">
        <v>4</v>
      </c>
      <c r="J68" s="26">
        <v>16</v>
      </c>
      <c r="K68" s="38">
        <v>32</v>
      </c>
      <c r="L68" s="51">
        <v>8</v>
      </c>
      <c r="M68" s="52">
        <v>20</v>
      </c>
      <c r="N68" s="51"/>
      <c r="O68" s="26">
        <v>24</v>
      </c>
    </row>
    <row r="69" spans="1:15" x14ac:dyDescent="0.25">
      <c r="A69" s="3">
        <v>4</v>
      </c>
      <c r="B69" s="14" t="s">
        <v>111</v>
      </c>
      <c r="C69" s="21">
        <v>128</v>
      </c>
      <c r="D69" s="15" t="s">
        <v>144</v>
      </c>
      <c r="E69" s="16" t="s">
        <v>145</v>
      </c>
      <c r="F69" s="1" t="s">
        <v>146</v>
      </c>
      <c r="G69" s="13" t="s">
        <v>2</v>
      </c>
      <c r="H69" s="26">
        <v>3.5</v>
      </c>
      <c r="I69" s="26"/>
      <c r="J69" s="26">
        <v>3.1</v>
      </c>
      <c r="K69" s="38">
        <v>0.39999999999999991</v>
      </c>
      <c r="L69" s="51">
        <v>9.9999999999999978E-2</v>
      </c>
      <c r="M69" s="51"/>
      <c r="N69" s="53">
        <v>1</v>
      </c>
      <c r="O69" s="26">
        <v>0.5</v>
      </c>
    </row>
    <row r="70" spans="1:15" x14ac:dyDescent="0.25">
      <c r="A70" s="3">
        <v>3</v>
      </c>
      <c r="B70" s="14" t="s">
        <v>111</v>
      </c>
      <c r="C70" s="21">
        <v>80</v>
      </c>
      <c r="D70" s="15" t="s">
        <v>144</v>
      </c>
      <c r="E70" s="16" t="s">
        <v>147</v>
      </c>
      <c r="F70" s="1" t="s">
        <v>148</v>
      </c>
      <c r="G70" s="13" t="s">
        <v>2</v>
      </c>
      <c r="H70" s="26">
        <v>1</v>
      </c>
      <c r="I70" s="26">
        <v>1</v>
      </c>
      <c r="J70" s="26">
        <v>1</v>
      </c>
      <c r="K70" s="38">
        <v>3</v>
      </c>
      <c r="L70" s="51">
        <v>0.75</v>
      </c>
      <c r="M70" s="51"/>
      <c r="N70" s="53">
        <v>3</v>
      </c>
      <c r="O70" s="26">
        <v>1</v>
      </c>
    </row>
    <row r="71" spans="1:15" x14ac:dyDescent="0.25">
      <c r="A71" s="3">
        <v>8</v>
      </c>
      <c r="B71" s="14" t="s">
        <v>111</v>
      </c>
      <c r="C71" s="21">
        <v>64</v>
      </c>
      <c r="D71" s="15" t="s">
        <v>144</v>
      </c>
      <c r="E71" s="16" t="s">
        <v>149</v>
      </c>
      <c r="F71" s="1" t="s">
        <v>150</v>
      </c>
      <c r="G71" s="13" t="s">
        <v>2</v>
      </c>
      <c r="H71" s="26">
        <v>7</v>
      </c>
      <c r="I71" s="26"/>
      <c r="J71" s="26">
        <v>4.0999999999999996</v>
      </c>
      <c r="K71" s="38">
        <v>2.9000000000000004</v>
      </c>
      <c r="L71" s="51">
        <v>0.72500000000000009</v>
      </c>
      <c r="M71" s="51"/>
      <c r="N71" s="53">
        <v>4</v>
      </c>
      <c r="O71" s="26">
        <v>1</v>
      </c>
    </row>
    <row r="72" spans="1:15" x14ac:dyDescent="0.25">
      <c r="A72" s="3">
        <v>20</v>
      </c>
      <c r="B72" s="14" t="s">
        <v>111</v>
      </c>
      <c r="C72" s="21">
        <v>25</v>
      </c>
      <c r="D72" s="15" t="s">
        <v>2</v>
      </c>
      <c r="E72" s="16" t="s">
        <v>151</v>
      </c>
      <c r="F72" s="1" t="s">
        <v>152</v>
      </c>
      <c r="G72" s="13" t="s">
        <v>2</v>
      </c>
      <c r="H72" s="26">
        <v>22</v>
      </c>
      <c r="I72" s="26"/>
      <c r="J72" s="26">
        <v>15</v>
      </c>
      <c r="K72" s="38">
        <v>7</v>
      </c>
      <c r="L72" s="51">
        <v>1.75</v>
      </c>
      <c r="M72" s="51"/>
      <c r="N72" s="53">
        <v>10</v>
      </c>
      <c r="O72" s="26">
        <v>5</v>
      </c>
    </row>
    <row r="73" spans="1:15" x14ac:dyDescent="0.25">
      <c r="A73" s="3">
        <v>10</v>
      </c>
      <c r="B73" s="14" t="s">
        <v>111</v>
      </c>
      <c r="C73" s="21">
        <v>25</v>
      </c>
      <c r="D73" s="15" t="s">
        <v>2</v>
      </c>
      <c r="E73" s="16" t="s">
        <v>153</v>
      </c>
      <c r="F73" s="1" t="s">
        <v>154</v>
      </c>
      <c r="G73" s="13" t="s">
        <v>2</v>
      </c>
      <c r="H73" s="26">
        <v>4</v>
      </c>
      <c r="I73" s="26">
        <v>4</v>
      </c>
      <c r="J73" s="26">
        <v>8</v>
      </c>
      <c r="K73" s="38">
        <v>36</v>
      </c>
      <c r="L73" s="51">
        <v>9</v>
      </c>
      <c r="M73" s="52">
        <v>20</v>
      </c>
      <c r="N73" s="51"/>
      <c r="O73" s="26">
        <v>20</v>
      </c>
    </row>
    <row r="74" spans="1:15" x14ac:dyDescent="0.25">
      <c r="A74" s="3">
        <v>1</v>
      </c>
      <c r="B74" s="14" t="s">
        <v>111</v>
      </c>
      <c r="C74" s="21">
        <v>12</v>
      </c>
      <c r="D74" s="15" t="s">
        <v>2</v>
      </c>
      <c r="E74" s="16" t="s">
        <v>155</v>
      </c>
      <c r="F74" s="1" t="s">
        <v>156</v>
      </c>
      <c r="G74" s="13" t="s">
        <v>2</v>
      </c>
      <c r="H74" s="26">
        <v>1</v>
      </c>
      <c r="I74" s="26">
        <v>1</v>
      </c>
      <c r="J74" s="26">
        <v>7</v>
      </c>
      <c r="K74" s="38">
        <v>6</v>
      </c>
      <c r="L74" s="51">
        <v>1.5</v>
      </c>
      <c r="M74" s="51"/>
      <c r="N74" s="53">
        <v>6</v>
      </c>
      <c r="O74" s="26">
        <v>1</v>
      </c>
    </row>
    <row r="75" spans="1:15" x14ac:dyDescent="0.25">
      <c r="A75" s="3">
        <v>1</v>
      </c>
      <c r="B75" s="14" t="s">
        <v>111</v>
      </c>
      <c r="C75" s="21">
        <v>12</v>
      </c>
      <c r="D75" s="15" t="s">
        <v>2</v>
      </c>
      <c r="E75" s="16" t="s">
        <v>157</v>
      </c>
      <c r="F75" s="1" t="s">
        <v>158</v>
      </c>
      <c r="G75" s="13" t="s">
        <v>2</v>
      </c>
      <c r="H75" s="26">
        <v>4</v>
      </c>
      <c r="I75" s="26">
        <v>2</v>
      </c>
      <c r="J75" s="26">
        <v>16</v>
      </c>
      <c r="K75" s="38">
        <v>12</v>
      </c>
      <c r="L75" s="51">
        <v>3</v>
      </c>
      <c r="M75" s="52">
        <v>6</v>
      </c>
      <c r="N75" s="51"/>
      <c r="O75" s="26">
        <v>8</v>
      </c>
    </row>
    <row r="76" spans="1:15" x14ac:dyDescent="0.25">
      <c r="A76" s="3">
        <v>20</v>
      </c>
      <c r="B76" s="14" t="s">
        <v>111</v>
      </c>
      <c r="C76" s="21">
        <v>50</v>
      </c>
      <c r="D76" s="15" t="s">
        <v>2</v>
      </c>
      <c r="E76" s="16" t="s">
        <v>159</v>
      </c>
      <c r="F76" s="1" t="s">
        <v>160</v>
      </c>
      <c r="G76" s="13" t="s">
        <v>4</v>
      </c>
      <c r="H76" s="26">
        <v>15</v>
      </c>
      <c r="I76" s="26">
        <v>1</v>
      </c>
      <c r="J76" s="26">
        <v>17</v>
      </c>
      <c r="K76" s="38">
        <v>18</v>
      </c>
      <c r="L76" s="51">
        <v>4.5</v>
      </c>
      <c r="M76" s="51"/>
      <c r="N76" s="53">
        <v>20</v>
      </c>
      <c r="O76" s="26">
        <v>10</v>
      </c>
    </row>
    <row r="77" spans="1:15" x14ac:dyDescent="0.25">
      <c r="A77" s="3">
        <v>20</v>
      </c>
      <c r="B77" s="14" t="s">
        <v>111</v>
      </c>
      <c r="C77" s="21">
        <v>50</v>
      </c>
      <c r="D77" s="15" t="s">
        <v>2</v>
      </c>
      <c r="E77" s="16" t="s">
        <v>161</v>
      </c>
      <c r="F77" s="1" t="s">
        <v>162</v>
      </c>
      <c r="G77" s="13" t="s">
        <v>4</v>
      </c>
      <c r="H77" s="26">
        <v>20</v>
      </c>
      <c r="I77" s="26">
        <v>1</v>
      </c>
      <c r="J77" s="26">
        <v>27</v>
      </c>
      <c r="K77" s="38">
        <v>13</v>
      </c>
      <c r="L77" s="51">
        <v>3.25</v>
      </c>
      <c r="M77" s="51"/>
      <c r="N77" s="53">
        <v>16</v>
      </c>
      <c r="O77" s="26">
        <v>10</v>
      </c>
    </row>
    <row r="78" spans="1:15" x14ac:dyDescent="0.25">
      <c r="A78" s="3">
        <v>10</v>
      </c>
      <c r="B78" s="14" t="s">
        <v>111</v>
      </c>
      <c r="C78" s="21">
        <v>100</v>
      </c>
      <c r="D78" s="15" t="s">
        <v>2</v>
      </c>
      <c r="E78" s="16" t="s">
        <v>163</v>
      </c>
      <c r="F78" s="1" t="s">
        <v>164</v>
      </c>
      <c r="G78" s="13" t="s">
        <v>4</v>
      </c>
      <c r="H78" s="26">
        <v>7</v>
      </c>
      <c r="I78" s="26">
        <v>3</v>
      </c>
      <c r="J78" s="26">
        <v>23</v>
      </c>
      <c r="K78" s="38">
        <v>14</v>
      </c>
      <c r="L78" s="51">
        <v>3.5</v>
      </c>
      <c r="M78" s="52">
        <v>8</v>
      </c>
      <c r="N78" s="51"/>
      <c r="O78" s="26">
        <v>10</v>
      </c>
    </row>
    <row r="79" spans="1:15" x14ac:dyDescent="0.25">
      <c r="A79" s="3">
        <v>5</v>
      </c>
      <c r="B79" s="14" t="s">
        <v>111</v>
      </c>
      <c r="C79" s="21">
        <v>1000</v>
      </c>
      <c r="D79" s="15" t="s">
        <v>2</v>
      </c>
      <c r="E79" s="16" t="s">
        <v>165</v>
      </c>
      <c r="F79" s="1" t="s">
        <v>166</v>
      </c>
      <c r="G79" s="13" t="s">
        <v>38</v>
      </c>
      <c r="H79" s="26">
        <v>4</v>
      </c>
      <c r="I79" s="26">
        <v>1</v>
      </c>
      <c r="J79" s="26">
        <v>6</v>
      </c>
      <c r="K79" s="38">
        <v>3</v>
      </c>
      <c r="L79" s="51">
        <v>0.75</v>
      </c>
      <c r="M79" s="51"/>
      <c r="N79" s="53">
        <v>4</v>
      </c>
      <c r="O79" s="26">
        <v>3</v>
      </c>
    </row>
    <row r="80" spans="1:15" x14ac:dyDescent="0.25">
      <c r="A80" s="3">
        <v>5</v>
      </c>
      <c r="B80" s="14" t="s">
        <v>111</v>
      </c>
      <c r="C80" s="21">
        <v>1000</v>
      </c>
      <c r="D80" s="15" t="s">
        <v>2</v>
      </c>
      <c r="E80" s="16" t="s">
        <v>167</v>
      </c>
      <c r="F80" s="1" t="s">
        <v>168</v>
      </c>
      <c r="G80" s="13" t="s">
        <v>38</v>
      </c>
      <c r="H80" s="26">
        <v>7</v>
      </c>
      <c r="I80" s="26">
        <v>1</v>
      </c>
      <c r="J80" s="26">
        <v>9</v>
      </c>
      <c r="K80" s="38">
        <v>3</v>
      </c>
      <c r="L80" s="51">
        <v>0.75</v>
      </c>
      <c r="M80" s="51"/>
      <c r="N80" s="53">
        <v>4</v>
      </c>
      <c r="O80" s="26">
        <v>3</v>
      </c>
    </row>
    <row r="81" spans="1:15" x14ac:dyDescent="0.25">
      <c r="A81" s="3">
        <v>5</v>
      </c>
      <c r="B81" s="14" t="s">
        <v>111</v>
      </c>
      <c r="C81" s="21">
        <v>1000</v>
      </c>
      <c r="D81" s="15" t="s">
        <v>2</v>
      </c>
      <c r="E81" s="16" t="s">
        <v>169</v>
      </c>
      <c r="F81" s="1" t="s">
        <v>170</v>
      </c>
      <c r="G81" s="13" t="s">
        <v>38</v>
      </c>
      <c r="H81" s="26">
        <v>5</v>
      </c>
      <c r="I81" s="26">
        <v>2</v>
      </c>
      <c r="J81" s="26">
        <v>10.1</v>
      </c>
      <c r="K81" s="38">
        <v>4.9000000000000004</v>
      </c>
      <c r="L81" s="51">
        <v>1.2250000000000001</v>
      </c>
      <c r="M81" s="52">
        <v>3</v>
      </c>
      <c r="N81" s="51"/>
      <c r="O81" s="26">
        <v>5</v>
      </c>
    </row>
    <row r="82" spans="1:15" x14ac:dyDescent="0.25">
      <c r="A82" s="3">
        <v>1</v>
      </c>
      <c r="B82" s="14" t="s">
        <v>111</v>
      </c>
      <c r="C82" s="21">
        <v>2000</v>
      </c>
      <c r="D82" s="15" t="s">
        <v>2</v>
      </c>
      <c r="E82" s="16" t="s">
        <v>171</v>
      </c>
      <c r="F82" s="1" t="s">
        <v>172</v>
      </c>
      <c r="G82" s="13" t="s">
        <v>38</v>
      </c>
      <c r="H82" s="26">
        <v>0.7</v>
      </c>
      <c r="I82" s="26">
        <v>1</v>
      </c>
      <c r="J82" s="26">
        <v>1.3</v>
      </c>
      <c r="K82" s="38">
        <v>0.39999999999999991</v>
      </c>
      <c r="L82" s="51">
        <v>9.9999999999999978E-2</v>
      </c>
      <c r="M82" s="51"/>
      <c r="N82" s="53">
        <v>0.5</v>
      </c>
      <c r="O82" s="26">
        <v>0.1</v>
      </c>
    </row>
    <row r="83" spans="1:15" x14ac:dyDescent="0.25">
      <c r="A83" s="3">
        <v>1</v>
      </c>
      <c r="B83" s="14" t="s">
        <v>111</v>
      </c>
      <c r="C83" s="21">
        <v>40</v>
      </c>
      <c r="D83" s="15" t="s">
        <v>2</v>
      </c>
      <c r="E83" s="16" t="s">
        <v>173</v>
      </c>
      <c r="F83" s="1" t="s">
        <v>174</v>
      </c>
      <c r="G83" s="13" t="s">
        <v>2</v>
      </c>
      <c r="H83" s="26">
        <v>31</v>
      </c>
      <c r="I83" s="26">
        <v>1</v>
      </c>
      <c r="J83" s="26">
        <v>22</v>
      </c>
      <c r="K83" s="38">
        <v>49</v>
      </c>
      <c r="L83" s="51">
        <v>12.25</v>
      </c>
      <c r="M83" s="52">
        <v>30</v>
      </c>
      <c r="N83" s="51"/>
      <c r="O83" s="26">
        <v>24</v>
      </c>
    </row>
  </sheetData>
  <mergeCells count="2">
    <mergeCell ref="A4:D4"/>
    <mergeCell ref="O3:O4"/>
  </mergeCells>
  <pageMargins left="0.248" right="0.248" top="1.0416666666666667" bottom="0.6" header="0.3" footer="0.248"/>
  <pageSetup orientation="portrait" r:id="rId1"/>
  <headerFooter>
    <oddHeader>&amp;L&amp;"Times New Roman,Bold"&amp;16NORTH
&amp;C&amp;"Times New Roman,Bold"&amp;16LEONARD PAPER&amp;18
&amp;11Inventory - Tue, 11AM&amp;R&amp;"Times New Roman,Bold"&amp;16TUE FOR WED-CH&amp;"Times New Roman,Regular"&amp;11
&amp;8Printed &amp;D &amp;T</oddHeader>
    <oddFooter>&amp;C&amp;"Times New Roman,Regular"&amp;8REP: MJ LEONARD CELL: 410-458-6136 - EMAIL: mjleonard@leonardpaper.com
Store Forms - Documents/Chantilly/INVENTORY ORDER FORMS/&amp;F(GV Rev.2/24/25)&amp;R&amp;"Times New Roman,Regular"&amp;8Page &amp;P of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CA5C-6906-44D4-A29A-72F7B15F149D}">
  <sheetPr codeName="Sheet6"/>
  <dimension ref="A1:V96"/>
  <sheetViews>
    <sheetView topLeftCell="A4" zoomScale="115" zoomScaleNormal="115" workbookViewId="0">
      <selection activeCell="I28" sqref="I28"/>
    </sheetView>
  </sheetViews>
  <sheetFormatPr defaultRowHeight="12.75" x14ac:dyDescent="0.2"/>
  <cols>
    <col min="1" max="1" width="3" style="4" bestFit="1" customWidth="1"/>
    <col min="2" max="2" width="1.7109375" style="4" bestFit="1" customWidth="1"/>
    <col min="3" max="3" width="5" style="4" bestFit="1" customWidth="1"/>
    <col min="4" max="4" width="3.140625" style="4" bestFit="1" customWidth="1"/>
    <col min="5" max="5" width="21.7109375" style="4" bestFit="1" customWidth="1"/>
    <col min="6" max="6" width="4.7109375" style="4" bestFit="1" customWidth="1"/>
    <col min="7" max="7" width="4" style="4" bestFit="1" customWidth="1"/>
    <col min="8" max="8" width="3.5703125" style="4" bestFit="1" customWidth="1"/>
    <col min="9" max="9" width="12.42578125" style="4" bestFit="1" customWidth="1"/>
    <col min="10" max="10" width="4.7109375" style="59" bestFit="1" customWidth="1"/>
    <col min="11" max="11" width="4.42578125" style="4" bestFit="1" customWidth="1"/>
    <col min="12" max="12" width="5.140625" style="59" customWidth="1"/>
    <col min="13" max="13" width="4.7109375" style="59" bestFit="1" customWidth="1"/>
    <col min="14" max="14" width="4.42578125" style="4" bestFit="1" customWidth="1"/>
    <col min="15" max="15" width="5.140625" style="69" customWidth="1"/>
    <col min="16" max="16" width="5.7109375" style="59" bestFit="1" customWidth="1"/>
    <col min="17" max="17" width="4.42578125" style="4" bestFit="1" customWidth="1"/>
    <col min="18" max="18" width="5.140625" style="4" customWidth="1"/>
    <col min="19" max="19" width="5.7109375" style="59" bestFit="1" customWidth="1"/>
    <col min="20" max="20" width="4.42578125" style="4" bestFit="1" customWidth="1"/>
    <col min="21" max="21" width="5.140625" style="59" customWidth="1"/>
    <col min="22" max="22" width="5.140625" style="4" customWidth="1"/>
    <col min="23" max="16384" width="9.140625" style="4"/>
  </cols>
  <sheetData>
    <row r="1" spans="1:22" x14ac:dyDescent="0.2">
      <c r="J1" s="5"/>
      <c r="L1" s="5"/>
      <c r="M1" s="5"/>
      <c r="O1" s="64"/>
      <c r="P1" s="5"/>
      <c r="S1" s="5" t="s">
        <v>207</v>
      </c>
      <c r="U1" s="5"/>
    </row>
    <row r="2" spans="1:22" s="7" customFormat="1" x14ac:dyDescent="0.2">
      <c r="J2" s="70">
        <v>45916</v>
      </c>
      <c r="L2" s="70"/>
      <c r="M2" s="70">
        <v>45930</v>
      </c>
      <c r="O2" s="71"/>
      <c r="P2" s="70">
        <v>45944</v>
      </c>
      <c r="R2" s="70"/>
      <c r="S2" s="70">
        <v>45958</v>
      </c>
      <c r="U2" s="70"/>
      <c r="V2" s="70"/>
    </row>
    <row r="3" spans="1:22" x14ac:dyDescent="0.2">
      <c r="A3" s="114" t="s">
        <v>89</v>
      </c>
      <c r="B3" s="115"/>
      <c r="C3" s="115"/>
      <c r="D3" s="115"/>
      <c r="E3" s="22" t="s">
        <v>190</v>
      </c>
      <c r="F3" s="29" t="s">
        <v>204</v>
      </c>
      <c r="G3" s="121" t="s">
        <v>0</v>
      </c>
      <c r="H3" s="121"/>
      <c r="I3" s="23" t="s">
        <v>7</v>
      </c>
      <c r="J3" s="23" t="s">
        <v>187</v>
      </c>
      <c r="K3" s="23" t="s">
        <v>1</v>
      </c>
      <c r="L3" s="23"/>
      <c r="M3" s="23" t="s">
        <v>187</v>
      </c>
      <c r="N3" s="23" t="s">
        <v>1</v>
      </c>
      <c r="O3" s="65" t="s">
        <v>208</v>
      </c>
      <c r="P3" s="23" t="s">
        <v>187</v>
      </c>
      <c r="Q3" s="23" t="s">
        <v>1</v>
      </c>
      <c r="R3" s="23"/>
      <c r="S3" s="23" t="s">
        <v>187</v>
      </c>
      <c r="T3" s="23" t="s">
        <v>1</v>
      </c>
      <c r="U3" s="23"/>
      <c r="V3" s="23"/>
    </row>
    <row r="4" spans="1:22" x14ac:dyDescent="0.2">
      <c r="A4" s="3">
        <v>10</v>
      </c>
      <c r="B4" s="14" t="s">
        <v>111</v>
      </c>
      <c r="C4" s="21">
        <v>250</v>
      </c>
      <c r="D4" s="15" t="s">
        <v>2</v>
      </c>
      <c r="E4" s="16" t="s">
        <v>100</v>
      </c>
      <c r="F4" s="13" t="s">
        <v>4</v>
      </c>
      <c r="G4" s="3">
        <v>8</v>
      </c>
      <c r="H4" s="15" t="s">
        <v>4</v>
      </c>
      <c r="I4" s="1" t="s">
        <v>60</v>
      </c>
      <c r="J4" s="41">
        <v>13</v>
      </c>
      <c r="K4" s="42">
        <v>0</v>
      </c>
      <c r="L4" s="41"/>
      <c r="M4" s="41">
        <v>1</v>
      </c>
      <c r="N4" s="42">
        <v>1</v>
      </c>
      <c r="O4" s="66">
        <f>(K4*A4)+J4-M4</f>
        <v>12</v>
      </c>
      <c r="P4" s="41">
        <v>5</v>
      </c>
      <c r="Q4" s="42">
        <v>1</v>
      </c>
      <c r="R4" s="42"/>
      <c r="S4" s="41">
        <v>7</v>
      </c>
      <c r="T4" s="42">
        <v>1</v>
      </c>
      <c r="U4" s="41"/>
      <c r="V4" s="42"/>
    </row>
    <row r="5" spans="1:22" x14ac:dyDescent="0.2">
      <c r="A5" s="3">
        <v>25</v>
      </c>
      <c r="B5" s="14" t="s">
        <v>111</v>
      </c>
      <c r="C5" s="21">
        <v>100</v>
      </c>
      <c r="D5" s="15" t="s">
        <v>2</v>
      </c>
      <c r="E5" s="16" t="s">
        <v>101</v>
      </c>
      <c r="F5" s="13" t="s">
        <v>4</v>
      </c>
      <c r="G5" s="3">
        <v>30</v>
      </c>
      <c r="H5" s="15" t="s">
        <v>4</v>
      </c>
      <c r="I5" s="1" t="s">
        <v>61</v>
      </c>
      <c r="J5" s="41">
        <v>15</v>
      </c>
      <c r="K5" s="42">
        <v>1</v>
      </c>
      <c r="L5" s="41"/>
      <c r="M5" s="41">
        <v>58</v>
      </c>
      <c r="N5" s="42"/>
      <c r="O5" s="66">
        <f>(K5*A5)+J5-M5</f>
        <v>-18</v>
      </c>
      <c r="P5" s="41">
        <v>51</v>
      </c>
      <c r="Q5" s="42"/>
      <c r="R5" s="42"/>
      <c r="S5" s="41">
        <v>30</v>
      </c>
      <c r="T5" s="42"/>
      <c r="U5" s="41"/>
      <c r="V5" s="42"/>
    </row>
    <row r="6" spans="1:22" x14ac:dyDescent="0.2">
      <c r="A6" s="3">
        <v>20</v>
      </c>
      <c r="B6" s="14" t="s">
        <v>111</v>
      </c>
      <c r="C6" s="21">
        <v>125</v>
      </c>
      <c r="D6" s="15" t="s">
        <v>2</v>
      </c>
      <c r="E6" s="16" t="s">
        <v>102</v>
      </c>
      <c r="F6" s="13" t="s">
        <v>4</v>
      </c>
      <c r="G6" s="3">
        <v>12</v>
      </c>
      <c r="H6" s="15" t="s">
        <v>4</v>
      </c>
      <c r="I6" s="1" t="s">
        <v>62</v>
      </c>
      <c r="J6" s="41">
        <v>6</v>
      </c>
      <c r="K6" s="42">
        <v>1</v>
      </c>
      <c r="L6" s="41"/>
      <c r="M6" s="41">
        <v>8</v>
      </c>
      <c r="N6" s="42">
        <v>1</v>
      </c>
      <c r="O6" s="66">
        <f>(K6*A6)+J6-M6</f>
        <v>18</v>
      </c>
      <c r="P6" s="41">
        <v>9</v>
      </c>
      <c r="Q6" s="42">
        <v>1</v>
      </c>
      <c r="R6" s="42"/>
      <c r="S6" s="41">
        <v>9</v>
      </c>
      <c r="T6" s="42">
        <v>1</v>
      </c>
      <c r="U6" s="41"/>
      <c r="V6" s="42"/>
    </row>
    <row r="7" spans="1:22" x14ac:dyDescent="0.2">
      <c r="A7" s="114" t="s">
        <v>89</v>
      </c>
      <c r="B7" s="115"/>
      <c r="C7" s="115"/>
      <c r="D7" s="115"/>
      <c r="E7" s="40" t="s">
        <v>191</v>
      </c>
      <c r="F7" s="29" t="s">
        <v>204</v>
      </c>
      <c r="G7" s="121" t="s">
        <v>0</v>
      </c>
      <c r="H7" s="121"/>
      <c r="I7" s="23" t="s">
        <v>7</v>
      </c>
      <c r="J7" s="57"/>
      <c r="K7" s="23"/>
      <c r="L7" s="57"/>
      <c r="M7" s="57"/>
      <c r="N7" s="23"/>
      <c r="O7" s="67"/>
      <c r="P7" s="57"/>
      <c r="Q7" s="23"/>
      <c r="R7" s="23"/>
      <c r="S7" s="57"/>
      <c r="T7" s="23"/>
      <c r="U7" s="57"/>
      <c r="V7" s="23"/>
    </row>
    <row r="8" spans="1:22" x14ac:dyDescent="0.2">
      <c r="A8" s="3">
        <v>10</v>
      </c>
      <c r="B8" s="14" t="s">
        <v>111</v>
      </c>
      <c r="C8" s="21">
        <v>100</v>
      </c>
      <c r="D8" s="15" t="s">
        <v>2</v>
      </c>
      <c r="E8" s="16" t="s">
        <v>163</v>
      </c>
      <c r="F8" s="13" t="s">
        <v>4</v>
      </c>
      <c r="G8" s="3">
        <v>8</v>
      </c>
      <c r="H8" s="15" t="s">
        <v>4</v>
      </c>
      <c r="I8" s="1" t="s">
        <v>164</v>
      </c>
      <c r="J8" s="41">
        <v>7</v>
      </c>
      <c r="K8" s="42">
        <v>1</v>
      </c>
      <c r="L8" s="41"/>
      <c r="M8" s="41">
        <v>11</v>
      </c>
      <c r="N8" s="42"/>
      <c r="O8" s="66">
        <f>(K8*A8)+J8-M8</f>
        <v>6</v>
      </c>
      <c r="P8" s="41">
        <v>7</v>
      </c>
      <c r="Q8" s="42">
        <v>1</v>
      </c>
      <c r="R8" s="42"/>
      <c r="S8" s="41">
        <v>11</v>
      </c>
      <c r="T8" s="42"/>
      <c r="U8" s="41"/>
      <c r="V8" s="42"/>
    </row>
    <row r="9" spans="1:22" x14ac:dyDescent="0.2">
      <c r="A9" s="3">
        <v>1</v>
      </c>
      <c r="B9" s="14" t="s">
        <v>111</v>
      </c>
      <c r="C9" s="21">
        <v>250</v>
      </c>
      <c r="D9" s="15" t="s">
        <v>2</v>
      </c>
      <c r="E9" s="16" t="s">
        <v>104</v>
      </c>
      <c r="F9" s="13" t="s">
        <v>3</v>
      </c>
      <c r="G9" s="3">
        <v>4</v>
      </c>
      <c r="H9" s="15" t="s">
        <v>3</v>
      </c>
      <c r="I9" s="1" t="s">
        <v>199</v>
      </c>
      <c r="J9" s="41">
        <v>2</v>
      </c>
      <c r="K9" s="42">
        <v>2</v>
      </c>
      <c r="L9" s="41"/>
      <c r="M9" s="41">
        <v>2.5</v>
      </c>
      <c r="N9" s="42">
        <v>2</v>
      </c>
      <c r="O9" s="66"/>
      <c r="P9" s="41">
        <v>2</v>
      </c>
      <c r="Q9" s="42">
        <v>1</v>
      </c>
      <c r="R9" s="42"/>
      <c r="S9" s="41">
        <v>1</v>
      </c>
      <c r="T9" s="42">
        <v>2</v>
      </c>
      <c r="U9" s="41"/>
      <c r="V9" s="42"/>
    </row>
    <row r="10" spans="1:22" x14ac:dyDescent="0.2">
      <c r="A10" s="3">
        <v>4</v>
      </c>
      <c r="B10" s="14" t="s">
        <v>111</v>
      </c>
      <c r="C10" s="21">
        <v>150</v>
      </c>
      <c r="D10" s="15" t="s">
        <v>2</v>
      </c>
      <c r="E10" s="16" t="s">
        <v>127</v>
      </c>
      <c r="F10" s="13" t="s">
        <v>4</v>
      </c>
      <c r="G10" s="3">
        <v>4</v>
      </c>
      <c r="H10" s="15" t="s">
        <v>4</v>
      </c>
      <c r="I10" s="1" t="s">
        <v>71</v>
      </c>
      <c r="J10" s="41">
        <v>0.1</v>
      </c>
      <c r="K10" s="42">
        <v>1</v>
      </c>
      <c r="L10" s="41"/>
      <c r="M10" s="41">
        <v>1</v>
      </c>
      <c r="N10" s="42">
        <v>1</v>
      </c>
      <c r="O10" s="66">
        <f>(K10*A10)+J10-M10</f>
        <v>3.0999999999999996</v>
      </c>
      <c r="P10" s="41">
        <v>1</v>
      </c>
      <c r="Q10" s="42">
        <v>1</v>
      </c>
      <c r="R10" s="42"/>
      <c r="S10" s="41">
        <v>2</v>
      </c>
      <c r="T10" s="42">
        <v>1</v>
      </c>
      <c r="U10" s="41"/>
      <c r="V10" s="42"/>
    </row>
    <row r="11" spans="1:22" x14ac:dyDescent="0.2">
      <c r="A11" s="3">
        <v>1</v>
      </c>
      <c r="B11" s="14" t="s">
        <v>111</v>
      </c>
      <c r="C11" s="21">
        <v>150</v>
      </c>
      <c r="D11" s="15" t="s">
        <v>2</v>
      </c>
      <c r="E11" s="16" t="s">
        <v>106</v>
      </c>
      <c r="F11" s="13" t="s">
        <v>3</v>
      </c>
      <c r="G11" s="3">
        <v>5</v>
      </c>
      <c r="H11" s="15" t="s">
        <v>3</v>
      </c>
      <c r="I11" s="1" t="s">
        <v>70</v>
      </c>
      <c r="J11" s="41">
        <v>2</v>
      </c>
      <c r="K11" s="42">
        <v>3</v>
      </c>
      <c r="L11" s="41"/>
      <c r="M11" s="41">
        <v>1.3</v>
      </c>
      <c r="N11" s="42">
        <v>3</v>
      </c>
      <c r="O11" s="66"/>
      <c r="P11" s="41">
        <v>1</v>
      </c>
      <c r="Q11" s="42">
        <v>4</v>
      </c>
      <c r="R11" s="42"/>
      <c r="S11" s="41">
        <v>1</v>
      </c>
      <c r="T11" s="42">
        <v>4</v>
      </c>
      <c r="U11" s="41"/>
      <c r="V11" s="42"/>
    </row>
    <row r="12" spans="1:22" x14ac:dyDescent="0.2">
      <c r="A12" s="3">
        <v>4</v>
      </c>
      <c r="B12" s="14" t="s">
        <v>111</v>
      </c>
      <c r="C12" s="21">
        <v>63</v>
      </c>
      <c r="D12" s="15" t="s">
        <v>2</v>
      </c>
      <c r="E12" s="16" t="s">
        <v>129</v>
      </c>
      <c r="F12" s="13" t="s">
        <v>4</v>
      </c>
      <c r="G12" s="3">
        <v>3</v>
      </c>
      <c r="H12" s="15" t="s">
        <v>4</v>
      </c>
      <c r="I12" s="1" t="s">
        <v>113</v>
      </c>
      <c r="J12" s="41">
        <v>3</v>
      </c>
      <c r="K12" s="42">
        <v>0</v>
      </c>
      <c r="L12" s="41"/>
      <c r="M12" s="41">
        <v>2</v>
      </c>
      <c r="N12" s="42">
        <v>1</v>
      </c>
      <c r="O12" s="66">
        <f>(K12*A12)+J12-M12</f>
        <v>1</v>
      </c>
      <c r="P12" s="41">
        <v>4</v>
      </c>
      <c r="Q12" s="42">
        <v>0</v>
      </c>
      <c r="R12" s="42"/>
      <c r="S12" s="41">
        <v>3</v>
      </c>
      <c r="T12" s="42"/>
      <c r="U12" s="41"/>
      <c r="V12" s="42"/>
    </row>
    <row r="13" spans="1:22" x14ac:dyDescent="0.2">
      <c r="A13" s="3">
        <v>4</v>
      </c>
      <c r="B13" s="14" t="s">
        <v>111</v>
      </c>
      <c r="C13" s="21">
        <v>63</v>
      </c>
      <c r="D13" s="15" t="s">
        <v>2</v>
      </c>
      <c r="E13" s="16" t="s">
        <v>130</v>
      </c>
      <c r="F13" s="13" t="s">
        <v>4</v>
      </c>
      <c r="G13" s="3">
        <v>4</v>
      </c>
      <c r="H13" s="15" t="s">
        <v>4</v>
      </c>
      <c r="I13" s="1" t="s">
        <v>114</v>
      </c>
      <c r="J13" s="41">
        <v>2.5</v>
      </c>
      <c r="K13" s="42">
        <v>1</v>
      </c>
      <c r="L13" s="41"/>
      <c r="M13" s="41">
        <v>4</v>
      </c>
      <c r="N13" s="42"/>
      <c r="O13" s="66">
        <f>(K13*A13)+J13-M13</f>
        <v>2.5</v>
      </c>
      <c r="P13" s="41">
        <v>1.7</v>
      </c>
      <c r="Q13" s="42">
        <v>1</v>
      </c>
      <c r="R13" s="42"/>
      <c r="S13" s="41">
        <v>3</v>
      </c>
      <c r="T13" s="42"/>
      <c r="U13" s="41"/>
      <c r="V13" s="42"/>
    </row>
    <row r="14" spans="1:22" x14ac:dyDescent="0.2">
      <c r="A14" s="3">
        <v>2</v>
      </c>
      <c r="B14" s="14" t="s">
        <v>111</v>
      </c>
      <c r="C14" s="21">
        <v>125</v>
      </c>
      <c r="D14" s="15" t="s">
        <v>2</v>
      </c>
      <c r="E14" s="16" t="s">
        <v>107</v>
      </c>
      <c r="F14" s="13" t="s">
        <v>4</v>
      </c>
      <c r="G14" s="3">
        <v>2</v>
      </c>
      <c r="H14" s="15" t="s">
        <v>4</v>
      </c>
      <c r="I14" s="1" t="s">
        <v>35</v>
      </c>
      <c r="J14" s="41">
        <v>0.3</v>
      </c>
      <c r="K14" s="42">
        <v>1</v>
      </c>
      <c r="L14" s="41"/>
      <c r="M14" s="41">
        <v>0.3</v>
      </c>
      <c r="N14" s="42">
        <v>1</v>
      </c>
      <c r="O14" s="66">
        <f>(K14*A14)+J14-M14</f>
        <v>1.9999999999999998</v>
      </c>
      <c r="P14" s="41">
        <v>3.7</v>
      </c>
      <c r="Q14" s="42">
        <v>0</v>
      </c>
      <c r="R14" s="42"/>
      <c r="S14" s="41">
        <v>2.5</v>
      </c>
      <c r="T14" s="42"/>
      <c r="U14" s="41"/>
      <c r="V14" s="42"/>
    </row>
    <row r="15" spans="1:22" x14ac:dyDescent="0.2">
      <c r="A15" s="3">
        <v>1</v>
      </c>
      <c r="B15" s="14" t="s">
        <v>111</v>
      </c>
      <c r="C15" s="21">
        <v>500</v>
      </c>
      <c r="D15" s="15" t="s">
        <v>2</v>
      </c>
      <c r="E15" s="43" t="s">
        <v>131</v>
      </c>
      <c r="F15" s="13" t="s">
        <v>4</v>
      </c>
      <c r="G15" s="3">
        <v>3</v>
      </c>
      <c r="H15" s="15" t="s">
        <v>4</v>
      </c>
      <c r="I15" s="1" t="s">
        <v>115</v>
      </c>
      <c r="J15" s="41">
        <v>4</v>
      </c>
      <c r="K15" s="42">
        <v>0</v>
      </c>
      <c r="L15" s="41"/>
      <c r="M15" s="41">
        <v>2</v>
      </c>
      <c r="N15" s="42">
        <v>1</v>
      </c>
      <c r="O15" s="66"/>
      <c r="P15" s="41">
        <v>4</v>
      </c>
      <c r="Q15" s="42">
        <v>1</v>
      </c>
      <c r="R15" s="42"/>
      <c r="S15" s="41">
        <v>6</v>
      </c>
      <c r="T15" s="42"/>
      <c r="U15" s="41"/>
      <c r="V15" s="42"/>
    </row>
    <row r="16" spans="1:22" x14ac:dyDescent="0.2">
      <c r="A16" s="3">
        <v>2</v>
      </c>
      <c r="B16" s="14" t="s">
        <v>111</v>
      </c>
      <c r="C16" s="21">
        <v>250</v>
      </c>
      <c r="D16" s="15" t="s">
        <v>2</v>
      </c>
      <c r="E16" s="16" t="s">
        <v>132</v>
      </c>
      <c r="F16" s="13" t="s">
        <v>4</v>
      </c>
      <c r="G16" s="3">
        <v>2</v>
      </c>
      <c r="H16" s="15" t="s">
        <v>4</v>
      </c>
      <c r="I16" s="1" t="s">
        <v>116</v>
      </c>
      <c r="J16" s="41">
        <v>1</v>
      </c>
      <c r="K16" s="42">
        <v>1</v>
      </c>
      <c r="L16" s="41"/>
      <c r="M16" s="41">
        <v>1</v>
      </c>
      <c r="N16" s="42"/>
      <c r="O16" s="66">
        <f>(K16*A16)+J16-M16</f>
        <v>2</v>
      </c>
      <c r="P16" s="41">
        <v>1</v>
      </c>
      <c r="Q16" s="42">
        <v>1</v>
      </c>
      <c r="R16" s="42"/>
      <c r="S16" s="41">
        <v>2</v>
      </c>
      <c r="T16" s="42"/>
      <c r="U16" s="41"/>
      <c r="V16" s="42"/>
    </row>
    <row r="17" spans="1:22" x14ac:dyDescent="0.2">
      <c r="A17" s="3">
        <v>4</v>
      </c>
      <c r="B17" s="14" t="s">
        <v>111</v>
      </c>
      <c r="C17" s="21">
        <v>125</v>
      </c>
      <c r="D17" s="15" t="s">
        <v>2</v>
      </c>
      <c r="E17" s="43" t="s">
        <v>133</v>
      </c>
      <c r="F17" s="13" t="s">
        <v>4</v>
      </c>
      <c r="G17" s="3">
        <v>4</v>
      </c>
      <c r="H17" s="15" t="s">
        <v>4</v>
      </c>
      <c r="I17" s="1" t="s">
        <v>59</v>
      </c>
      <c r="J17" s="41">
        <v>4</v>
      </c>
      <c r="K17" s="42">
        <v>0</v>
      </c>
      <c r="L17" s="41"/>
      <c r="M17" s="41">
        <v>2.2999999999999998</v>
      </c>
      <c r="N17" s="42">
        <v>1</v>
      </c>
      <c r="O17" s="66">
        <f>(K17*A17)+J17-M17</f>
        <v>1.7000000000000002</v>
      </c>
      <c r="P17" s="41">
        <v>3.3</v>
      </c>
      <c r="Q17" s="42">
        <v>0</v>
      </c>
      <c r="R17" s="42"/>
      <c r="S17" s="41">
        <v>1</v>
      </c>
      <c r="T17" s="42">
        <v>1</v>
      </c>
      <c r="U17" s="41"/>
      <c r="V17" s="42"/>
    </row>
    <row r="18" spans="1:22" x14ac:dyDescent="0.2">
      <c r="A18" s="3">
        <v>2</v>
      </c>
      <c r="B18" s="14" t="s">
        <v>111</v>
      </c>
      <c r="C18" s="21">
        <v>250</v>
      </c>
      <c r="D18" s="15" t="s">
        <v>2</v>
      </c>
      <c r="E18" s="16" t="s">
        <v>134</v>
      </c>
      <c r="F18" s="13" t="s">
        <v>4</v>
      </c>
      <c r="G18" s="3">
        <v>2</v>
      </c>
      <c r="H18" s="15" t="s">
        <v>4</v>
      </c>
      <c r="I18" s="1" t="s">
        <v>19</v>
      </c>
      <c r="J18" s="41">
        <v>2</v>
      </c>
      <c r="K18" s="42">
        <v>0</v>
      </c>
      <c r="L18" s="41"/>
      <c r="M18" s="41">
        <v>1</v>
      </c>
      <c r="N18" s="42">
        <v>1</v>
      </c>
      <c r="O18" s="66">
        <f>(K18*A18)+J18-M18</f>
        <v>1</v>
      </c>
      <c r="P18" s="41">
        <v>2</v>
      </c>
      <c r="Q18" s="42">
        <v>0</v>
      </c>
      <c r="R18" s="42"/>
      <c r="S18" s="41">
        <v>1</v>
      </c>
      <c r="T18" s="42">
        <v>1</v>
      </c>
      <c r="U18" s="41"/>
      <c r="V18" s="42"/>
    </row>
    <row r="19" spans="1:22" x14ac:dyDescent="0.2">
      <c r="A19" s="3">
        <v>1</v>
      </c>
      <c r="B19" s="14" t="s">
        <v>111</v>
      </c>
      <c r="C19" s="21">
        <v>50</v>
      </c>
      <c r="D19" s="15" t="s">
        <v>2</v>
      </c>
      <c r="E19" s="16" t="s">
        <v>108</v>
      </c>
      <c r="F19" s="13" t="s">
        <v>3</v>
      </c>
      <c r="G19" s="3">
        <v>2</v>
      </c>
      <c r="H19" s="15" t="s">
        <v>3</v>
      </c>
      <c r="I19" s="1" t="s">
        <v>87</v>
      </c>
      <c r="J19" s="41">
        <v>1.7</v>
      </c>
      <c r="K19" s="42">
        <v>0</v>
      </c>
      <c r="L19" s="41"/>
      <c r="M19" s="41">
        <v>0.7</v>
      </c>
      <c r="N19" s="42">
        <v>1</v>
      </c>
      <c r="O19" s="66"/>
      <c r="P19" s="41">
        <v>1</v>
      </c>
      <c r="Q19" s="42">
        <v>1</v>
      </c>
      <c r="R19" s="42"/>
      <c r="S19" s="41">
        <v>1</v>
      </c>
      <c r="T19" s="42">
        <v>1</v>
      </c>
      <c r="U19" s="41"/>
      <c r="V19" s="42"/>
    </row>
    <row r="20" spans="1:22" x14ac:dyDescent="0.2">
      <c r="A20" s="114" t="s">
        <v>89</v>
      </c>
      <c r="B20" s="115"/>
      <c r="C20" s="115"/>
      <c r="D20" s="115"/>
      <c r="E20" s="40" t="s">
        <v>192</v>
      </c>
      <c r="F20" s="29" t="s">
        <v>204</v>
      </c>
      <c r="G20" s="121" t="s">
        <v>0</v>
      </c>
      <c r="H20" s="121"/>
      <c r="I20" s="23" t="s">
        <v>7</v>
      </c>
      <c r="J20" s="57"/>
      <c r="K20" s="23"/>
      <c r="L20" s="57"/>
      <c r="M20" s="57"/>
      <c r="N20" s="23"/>
      <c r="O20" s="67"/>
      <c r="P20" s="57"/>
      <c r="Q20" s="23"/>
      <c r="R20" s="23"/>
      <c r="S20" s="57"/>
      <c r="T20" s="23"/>
      <c r="U20" s="57"/>
      <c r="V20" s="23"/>
    </row>
    <row r="21" spans="1:22" x14ac:dyDescent="0.2">
      <c r="A21" s="3">
        <v>1</v>
      </c>
      <c r="B21" s="14" t="s">
        <v>111</v>
      </c>
      <c r="C21" s="21">
        <v>1000</v>
      </c>
      <c r="D21" s="15" t="s">
        <v>2</v>
      </c>
      <c r="E21" s="16" t="s">
        <v>37</v>
      </c>
      <c r="F21" s="13" t="s">
        <v>38</v>
      </c>
      <c r="G21" s="3">
        <v>5</v>
      </c>
      <c r="H21" s="15" t="s">
        <v>38</v>
      </c>
      <c r="I21" s="1" t="s">
        <v>56</v>
      </c>
      <c r="J21" s="41">
        <v>1</v>
      </c>
      <c r="K21" s="42">
        <v>3</v>
      </c>
      <c r="L21" s="41"/>
      <c r="M21" s="41">
        <v>3</v>
      </c>
      <c r="N21" s="42">
        <v>1</v>
      </c>
      <c r="O21" s="66"/>
      <c r="P21" s="41">
        <v>2</v>
      </c>
      <c r="Q21" s="42">
        <v>2</v>
      </c>
      <c r="R21" s="42"/>
      <c r="S21" s="41">
        <v>1</v>
      </c>
      <c r="T21" s="42">
        <v>3</v>
      </c>
      <c r="U21" s="41"/>
      <c r="V21" s="42"/>
    </row>
    <row r="22" spans="1:22" x14ac:dyDescent="0.2">
      <c r="A22" s="3">
        <v>1</v>
      </c>
      <c r="B22" s="14" t="s">
        <v>111</v>
      </c>
      <c r="C22" s="21">
        <v>1</v>
      </c>
      <c r="D22" s="15" t="s">
        <v>2</v>
      </c>
      <c r="E22" s="16" t="s">
        <v>36</v>
      </c>
      <c r="F22" s="13" t="s">
        <v>2</v>
      </c>
      <c r="G22" s="3">
        <v>3</v>
      </c>
      <c r="H22" s="15" t="s">
        <v>2</v>
      </c>
      <c r="I22" s="1" t="s">
        <v>82</v>
      </c>
      <c r="J22" s="41">
        <v>1.3</v>
      </c>
      <c r="K22" s="42">
        <v>2</v>
      </c>
      <c r="L22" s="41"/>
      <c r="M22" s="41">
        <v>2</v>
      </c>
      <c r="N22" s="42">
        <v>1</v>
      </c>
      <c r="O22" s="66"/>
      <c r="P22" s="41">
        <v>2.5</v>
      </c>
      <c r="Q22" s="42">
        <v>1</v>
      </c>
      <c r="R22" s="42"/>
      <c r="S22" s="41">
        <v>2.7</v>
      </c>
      <c r="T22" s="42"/>
      <c r="U22" s="41"/>
      <c r="V22" s="42"/>
    </row>
    <row r="23" spans="1:22" x14ac:dyDescent="0.2">
      <c r="A23" s="114" t="s">
        <v>89</v>
      </c>
      <c r="B23" s="115"/>
      <c r="C23" s="115"/>
      <c r="D23" s="115"/>
      <c r="E23" s="40" t="s">
        <v>194</v>
      </c>
      <c r="F23" s="29" t="s">
        <v>204</v>
      </c>
      <c r="G23" s="121" t="s">
        <v>0</v>
      </c>
      <c r="H23" s="121"/>
      <c r="I23" s="23" t="s">
        <v>7</v>
      </c>
      <c r="J23" s="57"/>
      <c r="K23" s="23"/>
      <c r="L23" s="57"/>
      <c r="M23" s="57"/>
      <c r="N23" s="23"/>
      <c r="O23" s="67"/>
      <c r="P23" s="57"/>
      <c r="Q23" s="23"/>
      <c r="R23" s="23"/>
      <c r="S23" s="57"/>
      <c r="T23" s="23"/>
      <c r="U23" s="57"/>
      <c r="V23" s="23"/>
    </row>
    <row r="24" spans="1:22" x14ac:dyDescent="0.2">
      <c r="A24" s="3">
        <v>10</v>
      </c>
      <c r="B24" s="14" t="s">
        <v>111</v>
      </c>
      <c r="C24" s="21">
        <v>100</v>
      </c>
      <c r="D24" s="15" t="s">
        <v>2</v>
      </c>
      <c r="E24" s="16" t="s">
        <v>47</v>
      </c>
      <c r="F24" s="13" t="s">
        <v>5</v>
      </c>
      <c r="G24" s="3">
        <v>12</v>
      </c>
      <c r="H24" s="15" t="s">
        <v>5</v>
      </c>
      <c r="I24" s="1" t="s">
        <v>45</v>
      </c>
      <c r="J24" s="41">
        <v>0.1</v>
      </c>
      <c r="K24" s="42">
        <v>1</v>
      </c>
      <c r="L24" s="41"/>
      <c r="M24" s="41">
        <v>0.3</v>
      </c>
      <c r="N24" s="42">
        <v>1</v>
      </c>
      <c r="O24" s="66">
        <f>(K24*A24)+J24-M24</f>
        <v>9.7999999999999989</v>
      </c>
      <c r="P24" s="41">
        <v>9</v>
      </c>
      <c r="Q24" s="42">
        <v>1</v>
      </c>
      <c r="R24" s="42"/>
      <c r="S24" s="41">
        <v>1</v>
      </c>
      <c r="T24" s="42">
        <v>1</v>
      </c>
      <c r="U24" s="41"/>
      <c r="V24" s="42"/>
    </row>
    <row r="25" spans="1:22" x14ac:dyDescent="0.2">
      <c r="A25" s="3">
        <v>2</v>
      </c>
      <c r="B25" s="14" t="s">
        <v>111</v>
      </c>
      <c r="C25" s="21">
        <v>200</v>
      </c>
      <c r="D25" s="15" t="s">
        <v>2</v>
      </c>
      <c r="E25" s="16" t="s">
        <v>25</v>
      </c>
      <c r="F25" s="13" t="s">
        <v>16</v>
      </c>
      <c r="G25" s="3">
        <v>3</v>
      </c>
      <c r="H25" s="15" t="s">
        <v>16</v>
      </c>
      <c r="I25" s="1" t="s">
        <v>12</v>
      </c>
      <c r="J25" s="41">
        <v>1</v>
      </c>
      <c r="K25" s="42">
        <v>1</v>
      </c>
      <c r="L25" s="41"/>
      <c r="M25" s="41">
        <v>0.3</v>
      </c>
      <c r="N25" s="42">
        <v>1</v>
      </c>
      <c r="O25" s="66">
        <f>(K25*A25)+J25-M25</f>
        <v>2.7</v>
      </c>
      <c r="P25" s="41">
        <v>0.1</v>
      </c>
      <c r="Q25" s="42">
        <v>3</v>
      </c>
      <c r="R25" s="42"/>
      <c r="S25" s="41">
        <v>1</v>
      </c>
      <c r="T25" s="42">
        <v>1</v>
      </c>
      <c r="U25" s="41"/>
      <c r="V25" s="42"/>
    </row>
    <row r="26" spans="1:22" x14ac:dyDescent="0.2">
      <c r="A26" s="3">
        <v>2</v>
      </c>
      <c r="B26" s="14" t="s">
        <v>111</v>
      </c>
      <c r="C26" s="21">
        <v>200</v>
      </c>
      <c r="D26" s="15" t="s">
        <v>2</v>
      </c>
      <c r="E26" s="16" t="s">
        <v>26</v>
      </c>
      <c r="F26" s="13" t="s">
        <v>16</v>
      </c>
      <c r="G26" s="3">
        <v>2</v>
      </c>
      <c r="H26" s="15" t="s">
        <v>16</v>
      </c>
      <c r="I26" s="1" t="s">
        <v>11</v>
      </c>
      <c r="J26" s="41">
        <v>1</v>
      </c>
      <c r="K26" s="42">
        <v>1</v>
      </c>
      <c r="L26" s="41"/>
      <c r="M26" s="41">
        <v>1.5</v>
      </c>
      <c r="N26" s="42">
        <v>1</v>
      </c>
      <c r="O26" s="66">
        <f>(K26*A26)+J26-M26</f>
        <v>1.5</v>
      </c>
      <c r="P26" s="41">
        <v>1.5</v>
      </c>
      <c r="Q26" s="42">
        <v>1</v>
      </c>
      <c r="R26" s="42"/>
      <c r="S26" s="41">
        <v>0.5</v>
      </c>
      <c r="T26" s="42">
        <v>2</v>
      </c>
      <c r="U26" s="41"/>
      <c r="V26" s="42"/>
    </row>
    <row r="27" spans="1:22" x14ac:dyDescent="0.2">
      <c r="A27" s="3">
        <v>1</v>
      </c>
      <c r="B27" s="14" t="s">
        <v>111</v>
      </c>
      <c r="C27" s="21">
        <v>500</v>
      </c>
      <c r="D27" s="15" t="s">
        <v>2</v>
      </c>
      <c r="E27" s="16" t="s">
        <v>27</v>
      </c>
      <c r="F27" s="13" t="s">
        <v>16</v>
      </c>
      <c r="G27" s="3">
        <v>3</v>
      </c>
      <c r="H27" s="15" t="s">
        <v>16</v>
      </c>
      <c r="I27" s="1" t="s">
        <v>138</v>
      </c>
      <c r="J27" s="41">
        <v>1.5</v>
      </c>
      <c r="K27" s="42">
        <v>2</v>
      </c>
      <c r="L27" s="41"/>
      <c r="M27" s="41">
        <v>1.5</v>
      </c>
      <c r="N27" s="42">
        <v>2</v>
      </c>
      <c r="O27" s="66"/>
      <c r="P27" s="41">
        <v>1.5</v>
      </c>
      <c r="Q27" s="42">
        <v>2</v>
      </c>
      <c r="R27" s="42"/>
      <c r="S27" s="41">
        <v>1.7</v>
      </c>
      <c r="T27" s="42">
        <v>1</v>
      </c>
      <c r="U27" s="41"/>
      <c r="V27" s="42"/>
    </row>
    <row r="28" spans="1:22" x14ac:dyDescent="0.2">
      <c r="A28" s="3">
        <v>1</v>
      </c>
      <c r="B28" s="14" t="s">
        <v>111</v>
      </c>
      <c r="C28" s="21">
        <v>500</v>
      </c>
      <c r="D28" s="15" t="s">
        <v>2</v>
      </c>
      <c r="E28" s="16" t="s">
        <v>91</v>
      </c>
      <c r="F28" s="13" t="s">
        <v>3</v>
      </c>
      <c r="G28" s="3">
        <v>5</v>
      </c>
      <c r="H28" s="15" t="s">
        <v>3</v>
      </c>
      <c r="I28" s="1" t="s">
        <v>55</v>
      </c>
      <c r="J28" s="41">
        <v>1</v>
      </c>
      <c r="K28" s="42">
        <v>3</v>
      </c>
      <c r="L28" s="41"/>
      <c r="M28" s="41">
        <v>1.1000000000000001</v>
      </c>
      <c r="N28" s="42">
        <v>3</v>
      </c>
      <c r="O28" s="66"/>
      <c r="P28" s="41">
        <v>1.3</v>
      </c>
      <c r="Q28" s="42">
        <v>3</v>
      </c>
      <c r="R28" s="42"/>
      <c r="S28" s="41">
        <v>1</v>
      </c>
      <c r="T28" s="42">
        <v>3</v>
      </c>
      <c r="U28" s="41"/>
      <c r="V28" s="42"/>
    </row>
    <row r="29" spans="1:22" x14ac:dyDescent="0.2">
      <c r="A29" s="3">
        <v>1</v>
      </c>
      <c r="B29" s="14" t="s">
        <v>111</v>
      </c>
      <c r="C29" s="21">
        <v>1000</v>
      </c>
      <c r="D29" s="15" t="s">
        <v>2</v>
      </c>
      <c r="E29" s="16" t="s">
        <v>92</v>
      </c>
      <c r="F29" s="13" t="s">
        <v>3</v>
      </c>
      <c r="G29" s="3">
        <v>1</v>
      </c>
      <c r="H29" s="15" t="s">
        <v>3</v>
      </c>
      <c r="I29" s="1" t="s">
        <v>57</v>
      </c>
      <c r="J29" s="41">
        <v>0.7</v>
      </c>
      <c r="K29" s="42">
        <v>1</v>
      </c>
      <c r="L29" s="41"/>
      <c r="M29" s="41">
        <v>1.1000000000000001</v>
      </c>
      <c r="N29" s="42">
        <v>1</v>
      </c>
      <c r="O29" s="66"/>
      <c r="P29" s="41">
        <v>1.1000000000000001</v>
      </c>
      <c r="Q29" s="42">
        <v>1</v>
      </c>
      <c r="R29" s="42"/>
      <c r="S29" s="41">
        <v>0.5</v>
      </c>
      <c r="T29" s="42">
        <v>1</v>
      </c>
      <c r="U29" s="41"/>
      <c r="V29" s="42"/>
    </row>
    <row r="30" spans="1:22" x14ac:dyDescent="0.2">
      <c r="A30" s="3">
        <v>1</v>
      </c>
      <c r="B30" s="14" t="s">
        <v>111</v>
      </c>
      <c r="C30" s="21">
        <v>1000</v>
      </c>
      <c r="D30" s="15" t="s">
        <v>2</v>
      </c>
      <c r="E30" s="16" t="s">
        <v>93</v>
      </c>
      <c r="F30" s="13" t="s">
        <v>3</v>
      </c>
      <c r="G30" s="3">
        <v>3</v>
      </c>
      <c r="H30" s="15" t="s">
        <v>3</v>
      </c>
      <c r="I30" s="1" t="s">
        <v>39</v>
      </c>
      <c r="J30" s="41">
        <v>0.7</v>
      </c>
      <c r="K30" s="42">
        <v>2</v>
      </c>
      <c r="L30" s="41"/>
      <c r="M30" s="41">
        <v>0.5</v>
      </c>
      <c r="N30" s="42">
        <v>3</v>
      </c>
      <c r="O30" s="66"/>
      <c r="P30" s="41">
        <v>1.5</v>
      </c>
      <c r="Q30" s="42">
        <v>2</v>
      </c>
      <c r="R30" s="42"/>
      <c r="S30" s="41">
        <v>1.5</v>
      </c>
      <c r="T30" s="42">
        <v>2</v>
      </c>
      <c r="U30" s="41"/>
      <c r="V30" s="42"/>
    </row>
    <row r="31" spans="1:22" x14ac:dyDescent="0.2">
      <c r="A31" s="114" t="s">
        <v>89</v>
      </c>
      <c r="B31" s="115"/>
      <c r="C31" s="115"/>
      <c r="D31" s="115"/>
      <c r="E31" s="40" t="s">
        <v>197</v>
      </c>
      <c r="F31" s="29" t="s">
        <v>204</v>
      </c>
      <c r="G31" s="121" t="s">
        <v>0</v>
      </c>
      <c r="H31" s="121"/>
      <c r="I31" s="23" t="s">
        <v>7</v>
      </c>
      <c r="J31" s="57"/>
      <c r="K31" s="23"/>
      <c r="L31" s="57"/>
      <c r="M31" s="57"/>
      <c r="N31" s="23"/>
      <c r="O31" s="67"/>
      <c r="P31" s="57"/>
      <c r="Q31" s="23"/>
      <c r="R31" s="23"/>
      <c r="S31" s="57"/>
      <c r="T31" s="23"/>
      <c r="U31" s="57"/>
      <c r="V31" s="23"/>
    </row>
    <row r="32" spans="1:22" x14ac:dyDescent="0.2">
      <c r="A32" s="3">
        <v>1</v>
      </c>
      <c r="B32" s="14" t="s">
        <v>111</v>
      </c>
      <c r="C32" s="21">
        <v>1000</v>
      </c>
      <c r="D32" s="15" t="s">
        <v>2</v>
      </c>
      <c r="E32" s="16" t="s">
        <v>22</v>
      </c>
      <c r="F32" s="13" t="s">
        <v>3</v>
      </c>
      <c r="G32" s="3">
        <v>3</v>
      </c>
      <c r="H32" s="15" t="s">
        <v>3</v>
      </c>
      <c r="I32" s="1" t="s">
        <v>96</v>
      </c>
      <c r="J32" s="41">
        <v>2</v>
      </c>
      <c r="K32" s="42">
        <v>1</v>
      </c>
      <c r="L32" s="41"/>
      <c r="M32" s="41">
        <v>1.7</v>
      </c>
      <c r="N32" s="42">
        <v>1</v>
      </c>
      <c r="O32" s="66"/>
      <c r="P32" s="41">
        <v>1.1000000000000001</v>
      </c>
      <c r="Q32" s="42">
        <v>2</v>
      </c>
      <c r="R32" s="42"/>
      <c r="S32" s="41">
        <v>1.3</v>
      </c>
      <c r="T32" s="42">
        <v>2</v>
      </c>
      <c r="U32" s="41"/>
      <c r="V32" s="42"/>
    </row>
    <row r="33" spans="1:22" x14ac:dyDescent="0.2">
      <c r="A33" s="3">
        <v>1</v>
      </c>
      <c r="B33" s="14" t="s">
        <v>111</v>
      </c>
      <c r="C33" s="21">
        <v>1000</v>
      </c>
      <c r="D33" s="15" t="s">
        <v>2</v>
      </c>
      <c r="E33" s="16" t="s">
        <v>23</v>
      </c>
      <c r="F33" s="13" t="s">
        <v>3</v>
      </c>
      <c r="G33" s="3">
        <v>3</v>
      </c>
      <c r="H33" s="15" t="s">
        <v>3</v>
      </c>
      <c r="I33" s="1" t="s">
        <v>97</v>
      </c>
      <c r="J33" s="41">
        <v>1.3</v>
      </c>
      <c r="K33" s="42">
        <v>1</v>
      </c>
      <c r="L33" s="41"/>
      <c r="M33" s="41">
        <v>1.1000000000000001</v>
      </c>
      <c r="N33" s="42">
        <v>1</v>
      </c>
      <c r="O33" s="66"/>
      <c r="P33" s="41">
        <v>0.1</v>
      </c>
      <c r="Q33" s="42">
        <v>3</v>
      </c>
      <c r="R33" s="42"/>
      <c r="S33" s="41">
        <v>1.7</v>
      </c>
      <c r="T33" s="42">
        <v>1</v>
      </c>
      <c r="U33" s="41"/>
      <c r="V33" s="42"/>
    </row>
    <row r="34" spans="1:22" x14ac:dyDescent="0.2">
      <c r="A34" s="3">
        <v>20</v>
      </c>
      <c r="B34" s="14" t="s">
        <v>111</v>
      </c>
      <c r="C34" s="21">
        <v>100</v>
      </c>
      <c r="D34" s="15" t="s">
        <v>2</v>
      </c>
      <c r="E34" s="16" t="s">
        <v>109</v>
      </c>
      <c r="F34" s="13" t="s">
        <v>5</v>
      </c>
      <c r="G34" s="3">
        <v>60</v>
      </c>
      <c r="H34" s="15" t="s">
        <v>5</v>
      </c>
      <c r="I34" s="1" t="s">
        <v>64</v>
      </c>
      <c r="J34" s="41">
        <v>30</v>
      </c>
      <c r="K34" s="42">
        <v>3</v>
      </c>
      <c r="L34" s="41"/>
      <c r="M34" s="41">
        <v>2</v>
      </c>
      <c r="N34" s="42">
        <v>2</v>
      </c>
      <c r="O34" s="66">
        <f>(K34*A34)+J34-M34</f>
        <v>88</v>
      </c>
      <c r="P34" s="41">
        <v>26</v>
      </c>
      <c r="Q34" s="42">
        <v>3</v>
      </c>
      <c r="R34" s="42"/>
      <c r="S34" s="41">
        <v>2</v>
      </c>
      <c r="T34" s="42">
        <v>2</v>
      </c>
      <c r="U34" s="41"/>
      <c r="V34" s="42"/>
    </row>
    <row r="35" spans="1:22" x14ac:dyDescent="0.2">
      <c r="A35" s="3">
        <v>12</v>
      </c>
      <c r="B35" s="14" t="s">
        <v>111</v>
      </c>
      <c r="C35" s="21">
        <v>500</v>
      </c>
      <c r="D35" s="15" t="s">
        <v>2</v>
      </c>
      <c r="E35" s="16" t="s">
        <v>110</v>
      </c>
      <c r="F35" s="13" t="s">
        <v>3</v>
      </c>
      <c r="G35" s="3">
        <v>10</v>
      </c>
      <c r="H35" s="15" t="s">
        <v>3</v>
      </c>
      <c r="I35" s="1" t="s">
        <v>72</v>
      </c>
      <c r="J35" s="41">
        <v>1</v>
      </c>
      <c r="K35" s="42">
        <v>7</v>
      </c>
      <c r="L35" s="41"/>
      <c r="M35" s="41">
        <v>1.3</v>
      </c>
      <c r="N35" s="42">
        <v>7</v>
      </c>
      <c r="O35" s="66">
        <f>(K35*A35)+J35-M35</f>
        <v>83.7</v>
      </c>
      <c r="P35" s="41">
        <v>1.7</v>
      </c>
      <c r="Q35" s="42">
        <v>7</v>
      </c>
      <c r="R35" s="42"/>
      <c r="S35" s="41">
        <v>0.7</v>
      </c>
      <c r="T35" s="42">
        <v>7</v>
      </c>
      <c r="U35" s="41"/>
      <c r="V35" s="42"/>
    </row>
    <row r="36" spans="1:22" x14ac:dyDescent="0.2">
      <c r="A36" s="114" t="s">
        <v>89</v>
      </c>
      <c r="B36" s="115"/>
      <c r="C36" s="115"/>
      <c r="D36" s="115"/>
      <c r="E36" s="40" t="s">
        <v>193</v>
      </c>
      <c r="F36" s="29" t="s">
        <v>204</v>
      </c>
      <c r="G36" s="121" t="s">
        <v>0</v>
      </c>
      <c r="H36" s="121"/>
      <c r="I36" s="23" t="s">
        <v>7</v>
      </c>
      <c r="J36" s="57"/>
      <c r="K36" s="23"/>
      <c r="L36" s="57"/>
      <c r="M36" s="57"/>
      <c r="N36" s="23"/>
      <c r="O36" s="67"/>
      <c r="P36" s="57"/>
      <c r="Q36" s="23"/>
      <c r="R36" s="23"/>
      <c r="S36" s="57"/>
      <c r="T36" s="23"/>
      <c r="U36" s="57"/>
      <c r="V36" s="23"/>
    </row>
    <row r="37" spans="1:22" x14ac:dyDescent="0.2">
      <c r="A37" s="3">
        <v>10</v>
      </c>
      <c r="B37" s="14" t="s">
        <v>111</v>
      </c>
      <c r="C37" s="21">
        <v>100</v>
      </c>
      <c r="D37" s="15" t="s">
        <v>2</v>
      </c>
      <c r="E37" s="16" t="s">
        <v>50</v>
      </c>
      <c r="F37" s="13" t="s">
        <v>4</v>
      </c>
      <c r="G37" s="3">
        <v>15</v>
      </c>
      <c r="H37" s="15" t="s">
        <v>4</v>
      </c>
      <c r="I37" s="1" t="s">
        <v>54</v>
      </c>
      <c r="J37" s="41">
        <v>8</v>
      </c>
      <c r="K37" s="42">
        <v>1</v>
      </c>
      <c r="L37" s="41"/>
      <c r="M37" s="41">
        <v>15</v>
      </c>
      <c r="N37" s="42"/>
      <c r="O37" s="66">
        <f>(K37*A37)+J37-M37</f>
        <v>3</v>
      </c>
      <c r="P37" s="41">
        <v>10</v>
      </c>
      <c r="Q37" s="42">
        <v>1</v>
      </c>
      <c r="R37" s="42"/>
      <c r="S37" s="41">
        <v>15</v>
      </c>
      <c r="T37" s="42"/>
      <c r="U37" s="41"/>
      <c r="V37" s="42"/>
    </row>
    <row r="38" spans="1:22" x14ac:dyDescent="0.2">
      <c r="A38" s="3">
        <v>20</v>
      </c>
      <c r="B38" s="14" t="s">
        <v>111</v>
      </c>
      <c r="C38" s="21">
        <v>50</v>
      </c>
      <c r="D38" s="15" t="s">
        <v>2</v>
      </c>
      <c r="E38" s="16" t="s">
        <v>51</v>
      </c>
      <c r="F38" s="13" t="s">
        <v>4</v>
      </c>
      <c r="G38" s="3">
        <v>24</v>
      </c>
      <c r="H38" s="15" t="s">
        <v>4</v>
      </c>
      <c r="I38" s="1" t="s">
        <v>84</v>
      </c>
      <c r="J38" s="41">
        <v>15</v>
      </c>
      <c r="K38" s="42">
        <v>0</v>
      </c>
      <c r="L38" s="41"/>
      <c r="M38" s="41">
        <v>10</v>
      </c>
      <c r="N38" s="42">
        <v>1</v>
      </c>
      <c r="O38" s="66">
        <f>(K38*A38)+J38-M38</f>
        <v>5</v>
      </c>
      <c r="P38" s="41">
        <v>15</v>
      </c>
      <c r="Q38" s="42">
        <v>1</v>
      </c>
      <c r="R38" s="42"/>
      <c r="S38" s="41">
        <v>18</v>
      </c>
      <c r="T38" s="42"/>
      <c r="U38" s="41"/>
      <c r="V38" s="42"/>
    </row>
    <row r="39" spans="1:22" x14ac:dyDescent="0.2">
      <c r="A39" s="114" t="s">
        <v>89</v>
      </c>
      <c r="B39" s="115"/>
      <c r="C39" s="115"/>
      <c r="D39" s="115"/>
      <c r="E39" s="40" t="s">
        <v>198</v>
      </c>
      <c r="F39" s="29" t="s">
        <v>204</v>
      </c>
      <c r="G39" s="121" t="s">
        <v>0</v>
      </c>
      <c r="H39" s="121"/>
      <c r="I39" s="23" t="s">
        <v>7</v>
      </c>
      <c r="J39" s="57"/>
      <c r="K39" s="23"/>
      <c r="L39" s="57"/>
      <c r="M39" s="57"/>
      <c r="N39" s="23"/>
      <c r="O39" s="67"/>
      <c r="P39" s="57"/>
      <c r="Q39" s="23"/>
      <c r="R39" s="23"/>
      <c r="S39" s="57"/>
      <c r="T39" s="23"/>
      <c r="U39" s="57"/>
      <c r="V39" s="23"/>
    </row>
    <row r="40" spans="1:22" x14ac:dyDescent="0.2">
      <c r="A40" s="3">
        <v>5</v>
      </c>
      <c r="B40" s="14" t="s">
        <v>111</v>
      </c>
      <c r="C40" s="21">
        <v>1000</v>
      </c>
      <c r="D40" s="15" t="s">
        <v>2</v>
      </c>
      <c r="E40" s="16" t="s">
        <v>32</v>
      </c>
      <c r="F40" s="13" t="s">
        <v>5</v>
      </c>
      <c r="G40" s="3">
        <v>15</v>
      </c>
      <c r="H40" s="15" t="s">
        <v>5</v>
      </c>
      <c r="I40" s="1" t="s">
        <v>69</v>
      </c>
      <c r="J40" s="41">
        <v>6</v>
      </c>
      <c r="K40" s="42">
        <v>1</v>
      </c>
      <c r="L40" s="41"/>
      <c r="M40" s="41">
        <v>6</v>
      </c>
      <c r="N40" s="42">
        <v>1</v>
      </c>
      <c r="O40" s="66">
        <f t="shared" ref="O40:O46" si="0">(K40*A40)+J40-M40</f>
        <v>5</v>
      </c>
      <c r="P40" s="41">
        <v>2</v>
      </c>
      <c r="Q40" s="42">
        <v>2</v>
      </c>
      <c r="R40" s="42"/>
      <c r="S40" s="41">
        <v>5</v>
      </c>
      <c r="T40" s="42">
        <v>1</v>
      </c>
      <c r="U40" s="41"/>
      <c r="V40" s="42"/>
    </row>
    <row r="41" spans="1:22" x14ac:dyDescent="0.2">
      <c r="A41" s="3">
        <v>2</v>
      </c>
      <c r="B41" s="14" t="s">
        <v>111</v>
      </c>
      <c r="C41" s="21">
        <v>1000</v>
      </c>
      <c r="D41" s="15" t="s">
        <v>2</v>
      </c>
      <c r="E41" s="16" t="s">
        <v>73</v>
      </c>
      <c r="F41" s="13" t="s">
        <v>5</v>
      </c>
      <c r="G41" s="3">
        <v>2</v>
      </c>
      <c r="H41" s="15" t="s">
        <v>5</v>
      </c>
      <c r="I41" s="1" t="s">
        <v>78</v>
      </c>
      <c r="J41" s="41">
        <v>2</v>
      </c>
      <c r="K41" s="42">
        <v>0</v>
      </c>
      <c r="L41" s="41"/>
      <c r="M41" s="41">
        <v>0.7</v>
      </c>
      <c r="N41" s="42">
        <v>1</v>
      </c>
      <c r="O41" s="66">
        <f t="shared" si="0"/>
        <v>1.3</v>
      </c>
      <c r="P41" s="41">
        <v>0.7</v>
      </c>
      <c r="Q41" s="42">
        <v>1</v>
      </c>
      <c r="R41" s="42"/>
      <c r="S41" s="41">
        <v>1</v>
      </c>
      <c r="T41" s="42">
        <v>1</v>
      </c>
      <c r="U41" s="41"/>
      <c r="V41" s="42"/>
    </row>
    <row r="42" spans="1:22" x14ac:dyDescent="0.2">
      <c r="A42" s="3">
        <v>2</v>
      </c>
      <c r="B42" s="14" t="s">
        <v>111</v>
      </c>
      <c r="C42" s="21">
        <v>1000</v>
      </c>
      <c r="D42" s="15" t="s">
        <v>2</v>
      </c>
      <c r="E42" s="16" t="s">
        <v>74</v>
      </c>
      <c r="F42" s="13" t="s">
        <v>5</v>
      </c>
      <c r="G42" s="3">
        <v>3</v>
      </c>
      <c r="H42" s="15" t="s">
        <v>5</v>
      </c>
      <c r="I42" s="1" t="s">
        <v>79</v>
      </c>
      <c r="J42" s="41">
        <v>2</v>
      </c>
      <c r="K42" s="42">
        <v>0</v>
      </c>
      <c r="L42" s="41"/>
      <c r="M42" s="41">
        <v>0.7</v>
      </c>
      <c r="N42" s="42">
        <v>1</v>
      </c>
      <c r="O42" s="66">
        <f t="shared" si="0"/>
        <v>1.3</v>
      </c>
      <c r="P42" s="41">
        <v>2</v>
      </c>
      <c r="Q42" s="42">
        <v>1</v>
      </c>
      <c r="R42" s="42"/>
      <c r="S42" s="41">
        <v>1</v>
      </c>
      <c r="T42" s="42">
        <v>1</v>
      </c>
      <c r="U42" s="41"/>
      <c r="V42" s="42"/>
    </row>
    <row r="43" spans="1:22" x14ac:dyDescent="0.2">
      <c r="A43" s="3">
        <v>2</v>
      </c>
      <c r="B43" s="14" t="s">
        <v>111</v>
      </c>
      <c r="C43" s="21">
        <v>1000</v>
      </c>
      <c r="D43" s="15" t="s">
        <v>2</v>
      </c>
      <c r="E43" s="16" t="s">
        <v>75</v>
      </c>
      <c r="F43" s="13" t="s">
        <v>5</v>
      </c>
      <c r="G43" s="3">
        <v>2</v>
      </c>
      <c r="H43" s="15" t="s">
        <v>5</v>
      </c>
      <c r="I43" s="1" t="s">
        <v>80</v>
      </c>
      <c r="J43" s="41">
        <v>4</v>
      </c>
      <c r="K43" s="42">
        <v>0</v>
      </c>
      <c r="L43" s="41"/>
      <c r="M43" s="41">
        <v>1.7</v>
      </c>
      <c r="N43" s="42"/>
      <c r="O43" s="66">
        <f t="shared" si="0"/>
        <v>2.2999999999999998</v>
      </c>
      <c r="P43" s="41">
        <v>2</v>
      </c>
      <c r="Q43" s="42">
        <v>1</v>
      </c>
      <c r="R43" s="42"/>
      <c r="S43" s="41">
        <v>2</v>
      </c>
      <c r="T43" s="42"/>
      <c r="U43" s="41"/>
      <c r="V43" s="42"/>
    </row>
    <row r="44" spans="1:22" x14ac:dyDescent="0.2">
      <c r="A44" s="3">
        <v>2</v>
      </c>
      <c r="B44" s="14" t="s">
        <v>111</v>
      </c>
      <c r="C44" s="21">
        <v>1000</v>
      </c>
      <c r="D44" s="15" t="s">
        <v>2</v>
      </c>
      <c r="E44" s="16" t="s">
        <v>76</v>
      </c>
      <c r="F44" s="13" t="s">
        <v>5</v>
      </c>
      <c r="G44" s="3">
        <v>2</v>
      </c>
      <c r="H44" s="15" t="s">
        <v>5</v>
      </c>
      <c r="I44" s="1" t="s">
        <v>77</v>
      </c>
      <c r="J44" s="41">
        <v>2</v>
      </c>
      <c r="K44" s="42">
        <v>0</v>
      </c>
      <c r="L44" s="41"/>
      <c r="M44" s="41">
        <v>1.3</v>
      </c>
      <c r="N44" s="42"/>
      <c r="O44" s="66">
        <f t="shared" si="0"/>
        <v>0.7</v>
      </c>
      <c r="P44" s="41">
        <v>2</v>
      </c>
      <c r="Q44" s="42">
        <v>1</v>
      </c>
      <c r="R44" s="42"/>
      <c r="S44" s="41">
        <v>4</v>
      </c>
      <c r="T44" s="42"/>
      <c r="U44" s="41"/>
      <c r="V44" s="42"/>
    </row>
    <row r="45" spans="1:22" x14ac:dyDescent="0.2">
      <c r="A45" s="3">
        <v>6</v>
      </c>
      <c r="B45" s="14" t="s">
        <v>111</v>
      </c>
      <c r="C45" s="21">
        <v>600</v>
      </c>
      <c r="D45" s="15" t="s">
        <v>2</v>
      </c>
      <c r="E45" s="16" t="s">
        <v>139</v>
      </c>
      <c r="F45" s="13" t="s">
        <v>38</v>
      </c>
      <c r="G45" s="3">
        <v>6</v>
      </c>
      <c r="H45" s="15" t="s">
        <v>38</v>
      </c>
      <c r="I45" s="1" t="s">
        <v>140</v>
      </c>
      <c r="J45" s="41">
        <v>5</v>
      </c>
      <c r="K45" s="42">
        <v>0</v>
      </c>
      <c r="L45" s="41"/>
      <c r="M45" s="41">
        <v>1</v>
      </c>
      <c r="N45" s="42">
        <v>1</v>
      </c>
      <c r="O45" s="66">
        <f t="shared" si="0"/>
        <v>4</v>
      </c>
      <c r="P45" s="41">
        <v>4</v>
      </c>
      <c r="Q45" s="42">
        <v>1</v>
      </c>
      <c r="R45" s="42"/>
      <c r="S45" s="41">
        <v>5</v>
      </c>
      <c r="T45" s="42"/>
      <c r="U45" s="41"/>
      <c r="V45" s="42"/>
    </row>
    <row r="46" spans="1:22" x14ac:dyDescent="0.2">
      <c r="A46" s="3">
        <v>5</v>
      </c>
      <c r="B46" s="14" t="s">
        <v>111</v>
      </c>
      <c r="C46" s="21">
        <v>1000</v>
      </c>
      <c r="D46" s="15" t="s">
        <v>2</v>
      </c>
      <c r="E46" s="16" t="s">
        <v>169</v>
      </c>
      <c r="F46" s="13" t="s">
        <v>38</v>
      </c>
      <c r="G46" s="3">
        <v>3</v>
      </c>
      <c r="H46" s="15" t="s">
        <v>38</v>
      </c>
      <c r="I46" s="1" t="s">
        <v>170</v>
      </c>
      <c r="J46" s="41">
        <v>7</v>
      </c>
      <c r="K46" s="42">
        <v>0</v>
      </c>
      <c r="L46" s="41"/>
      <c r="M46" s="41">
        <v>5</v>
      </c>
      <c r="N46" s="42"/>
      <c r="O46" s="66">
        <f t="shared" si="0"/>
        <v>2</v>
      </c>
      <c r="P46" s="41">
        <v>3</v>
      </c>
      <c r="Q46" s="42">
        <v>1</v>
      </c>
      <c r="R46" s="42"/>
      <c r="S46" s="41">
        <v>5</v>
      </c>
      <c r="T46" s="42"/>
      <c r="U46" s="41"/>
      <c r="V46" s="42"/>
    </row>
    <row r="47" spans="1:22" x14ac:dyDescent="0.2">
      <c r="A47" s="114" t="s">
        <v>89</v>
      </c>
      <c r="B47" s="115"/>
      <c r="C47" s="115"/>
      <c r="D47" s="115"/>
      <c r="E47" s="40" t="s">
        <v>195</v>
      </c>
      <c r="F47" s="29" t="s">
        <v>204</v>
      </c>
      <c r="G47" s="121" t="s">
        <v>0</v>
      </c>
      <c r="H47" s="121"/>
      <c r="I47" s="23" t="s">
        <v>7</v>
      </c>
      <c r="J47" s="57"/>
      <c r="K47" s="23"/>
      <c r="L47" s="57"/>
      <c r="M47" s="57"/>
      <c r="N47" s="23"/>
      <c r="O47" s="67"/>
      <c r="P47" s="57"/>
      <c r="Q47" s="23"/>
      <c r="R47" s="23"/>
      <c r="S47" s="57"/>
      <c r="T47" s="23"/>
      <c r="U47" s="57"/>
      <c r="V47" s="23"/>
    </row>
    <row r="48" spans="1:22" x14ac:dyDescent="0.2">
      <c r="A48" s="3">
        <v>1</v>
      </c>
      <c r="B48" s="14" t="s">
        <v>111</v>
      </c>
      <c r="C48" s="21">
        <v>100</v>
      </c>
      <c r="D48" s="15" t="s">
        <v>2</v>
      </c>
      <c r="E48" s="16" t="s">
        <v>52</v>
      </c>
      <c r="F48" s="13" t="s">
        <v>38</v>
      </c>
      <c r="G48" s="3">
        <v>10</v>
      </c>
      <c r="H48" s="15" t="s">
        <v>38</v>
      </c>
      <c r="I48" s="1" t="s">
        <v>185</v>
      </c>
      <c r="J48" s="41">
        <v>1</v>
      </c>
      <c r="K48" s="42">
        <v>10</v>
      </c>
      <c r="L48" s="41"/>
      <c r="M48" s="41">
        <v>5</v>
      </c>
      <c r="N48" s="42">
        <v>5</v>
      </c>
      <c r="O48" s="66"/>
      <c r="P48" s="41">
        <v>9</v>
      </c>
      <c r="Q48" s="42">
        <v>6</v>
      </c>
      <c r="R48" s="42"/>
      <c r="S48" s="41">
        <v>1</v>
      </c>
      <c r="T48" s="42">
        <v>10</v>
      </c>
      <c r="U48" s="41"/>
      <c r="V48" s="42"/>
    </row>
    <row r="49" spans="1:22" x14ac:dyDescent="0.2">
      <c r="A49" s="3">
        <v>1</v>
      </c>
      <c r="B49" s="14" t="s">
        <v>111</v>
      </c>
      <c r="C49" s="21">
        <v>100</v>
      </c>
      <c r="D49" s="15" t="s">
        <v>2</v>
      </c>
      <c r="E49" s="16" t="s">
        <v>53</v>
      </c>
      <c r="F49" s="13" t="s">
        <v>38</v>
      </c>
      <c r="G49" s="3">
        <v>10</v>
      </c>
      <c r="H49" s="15" t="s">
        <v>38</v>
      </c>
      <c r="I49" s="1" t="s">
        <v>186</v>
      </c>
      <c r="J49" s="41">
        <v>1</v>
      </c>
      <c r="K49" s="42">
        <v>10</v>
      </c>
      <c r="L49" s="41"/>
      <c r="M49" s="41">
        <v>2</v>
      </c>
      <c r="N49" s="42">
        <v>9</v>
      </c>
      <c r="O49" s="66"/>
      <c r="P49" s="41">
        <v>1</v>
      </c>
      <c r="Q49" s="42">
        <v>10</v>
      </c>
      <c r="R49" s="42"/>
      <c r="S49" s="41">
        <v>0.3</v>
      </c>
      <c r="T49" s="42">
        <v>10</v>
      </c>
      <c r="U49" s="41"/>
      <c r="V49" s="42"/>
    </row>
    <row r="50" spans="1:22" x14ac:dyDescent="0.2">
      <c r="A50" s="3">
        <v>1</v>
      </c>
      <c r="B50" s="14" t="s">
        <v>111</v>
      </c>
      <c r="C50" s="21">
        <v>12</v>
      </c>
      <c r="D50" s="15" t="s">
        <v>141</v>
      </c>
      <c r="E50" s="16" t="s">
        <v>142</v>
      </c>
      <c r="F50" s="13" t="s">
        <v>2</v>
      </c>
      <c r="G50" s="3">
        <v>20</v>
      </c>
      <c r="H50" s="15" t="s">
        <v>2</v>
      </c>
      <c r="I50" s="1" t="s">
        <v>143</v>
      </c>
      <c r="J50" s="41">
        <v>7</v>
      </c>
      <c r="K50" s="42">
        <v>1</v>
      </c>
      <c r="L50" s="41"/>
      <c r="M50" s="41">
        <v>6</v>
      </c>
      <c r="N50" s="42">
        <v>1</v>
      </c>
      <c r="O50" s="66">
        <f>(K50*C50)+J50-M50</f>
        <v>13</v>
      </c>
      <c r="P50" s="41">
        <v>5</v>
      </c>
      <c r="Q50" s="42">
        <v>1</v>
      </c>
      <c r="R50" s="42"/>
      <c r="S50" s="41">
        <v>5</v>
      </c>
      <c r="T50" s="42">
        <v>1</v>
      </c>
      <c r="U50" s="41"/>
      <c r="V50" s="42"/>
    </row>
    <row r="51" spans="1:22" x14ac:dyDescent="0.2">
      <c r="A51" s="3">
        <v>1</v>
      </c>
      <c r="B51" s="14" t="s">
        <v>111</v>
      </c>
      <c r="C51" s="21">
        <v>6</v>
      </c>
      <c r="D51" s="15" t="s">
        <v>2</v>
      </c>
      <c r="E51" s="16" t="s">
        <v>9</v>
      </c>
      <c r="F51" s="13" t="s">
        <v>2</v>
      </c>
      <c r="G51" s="3">
        <v>18</v>
      </c>
      <c r="H51" s="15" t="s">
        <v>2</v>
      </c>
      <c r="I51" s="1" t="s">
        <v>15</v>
      </c>
      <c r="J51" s="41">
        <v>4</v>
      </c>
      <c r="K51" s="42">
        <v>2</v>
      </c>
      <c r="L51" s="41"/>
      <c r="M51" s="41">
        <v>5</v>
      </c>
      <c r="N51" s="42">
        <v>1</v>
      </c>
      <c r="O51" s="66">
        <f>(K51*C51)+J51-M51</f>
        <v>11</v>
      </c>
      <c r="P51" s="41">
        <v>1</v>
      </c>
      <c r="Q51" s="42">
        <v>3</v>
      </c>
      <c r="R51" s="42"/>
      <c r="S51" s="41">
        <v>4</v>
      </c>
      <c r="T51" s="42">
        <v>2</v>
      </c>
      <c r="U51" s="41"/>
      <c r="V51" s="42"/>
    </row>
    <row r="52" spans="1:22" x14ac:dyDescent="0.2">
      <c r="A52" s="3">
        <v>1</v>
      </c>
      <c r="B52" s="14" t="s">
        <v>111</v>
      </c>
      <c r="C52" s="21">
        <v>12</v>
      </c>
      <c r="D52" s="15" t="s">
        <v>2</v>
      </c>
      <c r="E52" s="16" t="s">
        <v>157</v>
      </c>
      <c r="F52" s="13" t="s">
        <v>2</v>
      </c>
      <c r="G52" s="3">
        <v>6</v>
      </c>
      <c r="H52" s="15" t="s">
        <v>2</v>
      </c>
      <c r="I52" s="1" t="s">
        <v>158</v>
      </c>
      <c r="J52" s="41">
        <v>6</v>
      </c>
      <c r="K52" s="42">
        <v>1</v>
      </c>
      <c r="L52" s="41"/>
      <c r="M52" s="41">
        <v>15</v>
      </c>
      <c r="N52" s="42"/>
      <c r="O52" s="66">
        <f>(K52*C52)+J52-M52</f>
        <v>3</v>
      </c>
      <c r="P52" s="41">
        <v>10</v>
      </c>
      <c r="Q52" s="42">
        <v>1</v>
      </c>
      <c r="R52" s="42"/>
      <c r="S52" s="41">
        <v>15</v>
      </c>
      <c r="T52" s="42"/>
      <c r="U52" s="41"/>
      <c r="V52" s="42"/>
    </row>
    <row r="53" spans="1:22" x14ac:dyDescent="0.2">
      <c r="A53" s="3">
        <v>10</v>
      </c>
      <c r="B53" s="14" t="s">
        <v>111</v>
      </c>
      <c r="C53" s="21">
        <v>25</v>
      </c>
      <c r="D53" s="15" t="s">
        <v>2</v>
      </c>
      <c r="E53" s="16" t="s">
        <v>153</v>
      </c>
      <c r="F53" s="13" t="s">
        <v>2</v>
      </c>
      <c r="G53" s="3">
        <v>20</v>
      </c>
      <c r="H53" s="15" t="s">
        <v>2</v>
      </c>
      <c r="I53" s="1" t="s">
        <v>154</v>
      </c>
      <c r="J53" s="41">
        <v>1</v>
      </c>
      <c r="K53" s="42">
        <v>1</v>
      </c>
      <c r="L53" s="41"/>
      <c r="M53" s="41">
        <v>1.5</v>
      </c>
      <c r="N53" s="42">
        <v>1</v>
      </c>
      <c r="O53" s="66">
        <f>(K53*A53)+J53-M53</f>
        <v>9.5</v>
      </c>
      <c r="P53" s="41">
        <v>3</v>
      </c>
      <c r="Q53" s="42">
        <v>2</v>
      </c>
      <c r="R53" s="42"/>
      <c r="S53" s="41">
        <v>8</v>
      </c>
      <c r="T53" s="42">
        <v>1</v>
      </c>
      <c r="U53" s="41"/>
      <c r="V53" s="42"/>
    </row>
    <row r="54" spans="1:22" x14ac:dyDescent="0.2">
      <c r="A54" s="114" t="s">
        <v>89</v>
      </c>
      <c r="B54" s="115"/>
      <c r="C54" s="115"/>
      <c r="D54" s="115"/>
      <c r="E54" s="40" t="s">
        <v>196</v>
      </c>
      <c r="F54" s="29" t="s">
        <v>204</v>
      </c>
      <c r="G54" s="121" t="s">
        <v>0</v>
      </c>
      <c r="H54" s="121"/>
      <c r="I54" s="23" t="s">
        <v>7</v>
      </c>
      <c r="J54" s="57"/>
      <c r="K54" s="23"/>
      <c r="L54" s="57"/>
      <c r="M54" s="57"/>
      <c r="N54" s="23"/>
      <c r="O54" s="67"/>
      <c r="P54" s="57"/>
      <c r="Q54" s="23"/>
      <c r="R54" s="23"/>
      <c r="S54" s="57"/>
      <c r="T54" s="23"/>
      <c r="U54" s="57"/>
      <c r="V54" s="23"/>
    </row>
    <row r="55" spans="1:22" x14ac:dyDescent="0.2">
      <c r="A55" s="3">
        <v>1</v>
      </c>
      <c r="B55" s="14" t="s">
        <v>111</v>
      </c>
      <c r="C55" s="21">
        <v>40</v>
      </c>
      <c r="D55" s="15" t="s">
        <v>2</v>
      </c>
      <c r="E55" s="16" t="s">
        <v>173</v>
      </c>
      <c r="F55" s="13" t="s">
        <v>2</v>
      </c>
      <c r="G55" s="3">
        <v>30</v>
      </c>
      <c r="H55" s="15" t="s">
        <v>2</v>
      </c>
      <c r="I55" s="1" t="s">
        <v>174</v>
      </c>
      <c r="J55" s="41">
        <v>25</v>
      </c>
      <c r="K55" s="42">
        <v>1</v>
      </c>
      <c r="L55" s="41"/>
      <c r="M55" s="41">
        <v>52</v>
      </c>
      <c r="N55" s="42"/>
      <c r="O55" s="66">
        <f>(K55*C55)+J55-M55</f>
        <v>13</v>
      </c>
      <c r="P55" s="41">
        <v>25</v>
      </c>
      <c r="Q55" s="42">
        <v>1</v>
      </c>
      <c r="R55" s="42"/>
      <c r="S55" s="41">
        <v>35</v>
      </c>
      <c r="T55" s="42"/>
      <c r="U55" s="41"/>
      <c r="V55" s="42"/>
    </row>
    <row r="56" spans="1:22" x14ac:dyDescent="0.2">
      <c r="A56" s="3">
        <v>1</v>
      </c>
      <c r="B56" s="14" t="s">
        <v>111</v>
      </c>
      <c r="C56" s="21">
        <v>4</v>
      </c>
      <c r="D56" s="15" t="s">
        <v>2</v>
      </c>
      <c r="E56" s="16" t="s">
        <v>65</v>
      </c>
      <c r="F56" s="13" t="s">
        <v>2</v>
      </c>
      <c r="G56" s="3">
        <v>6</v>
      </c>
      <c r="H56" s="15" t="s">
        <v>2</v>
      </c>
      <c r="I56" s="1" t="s">
        <v>189</v>
      </c>
      <c r="J56" s="41">
        <v>0</v>
      </c>
      <c r="K56" s="42">
        <v>2</v>
      </c>
      <c r="L56" s="41"/>
      <c r="M56" s="41">
        <v>5</v>
      </c>
      <c r="N56" s="42">
        <v>1</v>
      </c>
      <c r="O56" s="66">
        <f>(K56*C56)+J56-M56</f>
        <v>3</v>
      </c>
      <c r="P56" s="41">
        <v>1</v>
      </c>
      <c r="Q56" s="42">
        <v>2</v>
      </c>
      <c r="R56" s="42"/>
      <c r="S56" s="41">
        <v>1</v>
      </c>
      <c r="T56" s="42">
        <v>2</v>
      </c>
      <c r="U56" s="41"/>
      <c r="V56" s="42"/>
    </row>
    <row r="57" spans="1:22" x14ac:dyDescent="0.2">
      <c r="A57" s="60"/>
      <c r="B57" s="5"/>
      <c r="C57" s="61"/>
      <c r="D57" s="12"/>
      <c r="F57" s="10"/>
      <c r="G57" s="60"/>
      <c r="H57" s="12"/>
      <c r="I57" s="5"/>
      <c r="J57" s="62"/>
      <c r="K57" s="63"/>
      <c r="L57" s="62"/>
      <c r="M57" s="62"/>
      <c r="N57" s="63"/>
      <c r="O57" s="68"/>
      <c r="P57" s="62"/>
      <c r="Q57" s="63"/>
      <c r="R57" s="63"/>
      <c r="S57" s="62"/>
      <c r="T57" s="63"/>
      <c r="U57" s="62"/>
      <c r="V57" s="63"/>
    </row>
    <row r="58" spans="1:22" s="7" customFormat="1" x14ac:dyDescent="0.2">
      <c r="J58" s="70">
        <v>45916</v>
      </c>
      <c r="L58" s="70"/>
      <c r="M58" s="70">
        <v>45930</v>
      </c>
      <c r="O58" s="71"/>
      <c r="P58" s="70">
        <v>45944</v>
      </c>
      <c r="R58" s="70"/>
      <c r="S58" s="70">
        <v>45958</v>
      </c>
      <c r="U58" s="70"/>
      <c r="V58" s="70"/>
    </row>
    <row r="59" spans="1:22" x14ac:dyDescent="0.2">
      <c r="A59" s="114" t="s">
        <v>89</v>
      </c>
      <c r="B59" s="115"/>
      <c r="C59" s="115"/>
      <c r="D59" s="115"/>
      <c r="E59" s="40" t="s">
        <v>191</v>
      </c>
      <c r="F59" s="29" t="s">
        <v>204</v>
      </c>
      <c r="G59" s="121" t="s">
        <v>0</v>
      </c>
      <c r="H59" s="121"/>
      <c r="I59" s="23" t="s">
        <v>7</v>
      </c>
      <c r="J59" s="23" t="s">
        <v>187</v>
      </c>
      <c r="K59" s="23" t="s">
        <v>1</v>
      </c>
      <c r="L59" s="23"/>
      <c r="M59" s="23" t="s">
        <v>187</v>
      </c>
      <c r="N59" s="23" t="s">
        <v>1</v>
      </c>
      <c r="O59" s="65"/>
      <c r="P59" s="23" t="s">
        <v>187</v>
      </c>
      <c r="Q59" s="23" t="s">
        <v>1</v>
      </c>
      <c r="R59" s="23"/>
      <c r="S59" s="23" t="s">
        <v>187</v>
      </c>
      <c r="T59" s="23" t="s">
        <v>1</v>
      </c>
      <c r="U59" s="23"/>
      <c r="V59" s="23"/>
    </row>
    <row r="60" spans="1:22" x14ac:dyDescent="0.2">
      <c r="A60" s="3">
        <v>20</v>
      </c>
      <c r="B60" s="14" t="s">
        <v>111</v>
      </c>
      <c r="C60" s="21">
        <v>50</v>
      </c>
      <c r="D60" s="15" t="s">
        <v>2</v>
      </c>
      <c r="E60" s="16" t="s">
        <v>159</v>
      </c>
      <c r="F60" s="13" t="s">
        <v>4</v>
      </c>
      <c r="G60" s="3">
        <v>20</v>
      </c>
      <c r="H60" s="15" t="s">
        <v>4</v>
      </c>
      <c r="I60" s="1" t="s">
        <v>160</v>
      </c>
      <c r="J60" s="41">
        <v>25</v>
      </c>
      <c r="K60" s="42"/>
      <c r="L60" s="41"/>
      <c r="M60" s="41"/>
      <c r="N60" s="42"/>
      <c r="O60" s="66"/>
      <c r="P60" s="41">
        <v>7</v>
      </c>
      <c r="Q60" s="42">
        <v>1</v>
      </c>
      <c r="R60" s="42">
        <f>(K60*A60)+J60-P60</f>
        <v>18</v>
      </c>
      <c r="S60" s="41"/>
      <c r="T60" s="42"/>
      <c r="U60" s="41"/>
      <c r="V60" s="42"/>
    </row>
    <row r="61" spans="1:22" x14ac:dyDescent="0.2">
      <c r="A61" s="3">
        <v>20</v>
      </c>
      <c r="B61" s="14" t="s">
        <v>111</v>
      </c>
      <c r="C61" s="21">
        <v>50</v>
      </c>
      <c r="D61" s="15" t="s">
        <v>2</v>
      </c>
      <c r="E61" s="16" t="s">
        <v>161</v>
      </c>
      <c r="F61" s="13" t="s">
        <v>4</v>
      </c>
      <c r="G61" s="3">
        <v>16</v>
      </c>
      <c r="H61" s="15" t="s">
        <v>4</v>
      </c>
      <c r="I61" s="1" t="s">
        <v>162</v>
      </c>
      <c r="J61" s="41">
        <v>11</v>
      </c>
      <c r="K61" s="42">
        <v>1</v>
      </c>
      <c r="L61" s="41"/>
      <c r="M61" s="41"/>
      <c r="N61" s="42"/>
      <c r="O61" s="66"/>
      <c r="P61" s="41">
        <v>22</v>
      </c>
      <c r="Q61" s="42">
        <v>0</v>
      </c>
      <c r="R61" s="42">
        <f>(K61*A61)+J61-P61</f>
        <v>9</v>
      </c>
      <c r="S61" s="41"/>
      <c r="T61" s="42"/>
      <c r="U61" s="41"/>
      <c r="V61" s="42"/>
    </row>
    <row r="62" spans="1:22" x14ac:dyDescent="0.2">
      <c r="A62" s="3">
        <v>4</v>
      </c>
      <c r="B62" s="14" t="s">
        <v>111</v>
      </c>
      <c r="C62" s="21">
        <v>63</v>
      </c>
      <c r="D62" s="15" t="s">
        <v>2</v>
      </c>
      <c r="E62" s="16" t="s">
        <v>128</v>
      </c>
      <c r="F62" s="13" t="s">
        <v>4</v>
      </c>
      <c r="G62" s="3">
        <v>4</v>
      </c>
      <c r="H62" s="15" t="s">
        <v>4</v>
      </c>
      <c r="I62" s="1" t="s">
        <v>112</v>
      </c>
      <c r="J62" s="41">
        <v>5</v>
      </c>
      <c r="K62" s="42"/>
      <c r="L62" s="41"/>
      <c r="M62" s="41"/>
      <c r="N62" s="42"/>
      <c r="O62" s="66"/>
      <c r="P62" s="41">
        <v>3</v>
      </c>
      <c r="Q62" s="42">
        <v>1</v>
      </c>
      <c r="R62" s="42">
        <f>(K62*A62)+J62-P62</f>
        <v>2</v>
      </c>
      <c r="S62" s="41"/>
      <c r="T62" s="42"/>
      <c r="U62" s="41"/>
      <c r="V62" s="42"/>
    </row>
    <row r="63" spans="1:22" x14ac:dyDescent="0.2">
      <c r="A63" s="3">
        <v>1</v>
      </c>
      <c r="B63" s="14" t="s">
        <v>111</v>
      </c>
      <c r="C63" s="21">
        <v>100</v>
      </c>
      <c r="D63" s="15" t="s">
        <v>2</v>
      </c>
      <c r="E63" s="16" t="s">
        <v>105</v>
      </c>
      <c r="F63" s="13" t="s">
        <v>3</v>
      </c>
      <c r="G63" s="3">
        <v>2</v>
      </c>
      <c r="H63" s="15" t="s">
        <v>3</v>
      </c>
      <c r="I63" s="1" t="s">
        <v>24</v>
      </c>
      <c r="J63" s="41">
        <v>1.7</v>
      </c>
      <c r="K63" s="42"/>
      <c r="L63" s="41"/>
      <c r="M63" s="41"/>
      <c r="N63" s="42"/>
      <c r="O63" s="66"/>
      <c r="P63" s="41">
        <v>0.7</v>
      </c>
      <c r="Q63" s="42">
        <v>1</v>
      </c>
      <c r="R63" s="42"/>
      <c r="S63" s="41"/>
      <c r="T63" s="42"/>
      <c r="U63" s="41"/>
      <c r="V63" s="42"/>
    </row>
    <row r="64" spans="1:22" x14ac:dyDescent="0.2">
      <c r="A64" s="3">
        <v>1</v>
      </c>
      <c r="B64" s="14" t="s">
        <v>111</v>
      </c>
      <c r="C64" s="21">
        <v>250</v>
      </c>
      <c r="D64" s="15" t="s">
        <v>2</v>
      </c>
      <c r="E64" s="16" t="s">
        <v>29</v>
      </c>
      <c r="F64" s="13" t="s">
        <v>3</v>
      </c>
      <c r="G64" s="3">
        <v>1.5</v>
      </c>
      <c r="H64" s="15" t="s">
        <v>3</v>
      </c>
      <c r="I64" s="1" t="s">
        <v>30</v>
      </c>
      <c r="J64" s="41">
        <v>0.5</v>
      </c>
      <c r="K64" s="42">
        <v>1</v>
      </c>
      <c r="L64" s="41"/>
      <c r="M64" s="41"/>
      <c r="N64" s="42"/>
      <c r="O64" s="66"/>
      <c r="P64" s="41">
        <v>1.3</v>
      </c>
      <c r="Q64" s="42">
        <v>1</v>
      </c>
      <c r="R64" s="42"/>
      <c r="S64" s="41"/>
      <c r="T64" s="42"/>
      <c r="U64" s="41"/>
      <c r="V64" s="42"/>
    </row>
    <row r="65" spans="1:22" x14ac:dyDescent="0.2">
      <c r="A65" s="114" t="s">
        <v>89</v>
      </c>
      <c r="B65" s="115"/>
      <c r="C65" s="115"/>
      <c r="D65" s="115"/>
      <c r="E65" s="40" t="s">
        <v>192</v>
      </c>
      <c r="F65" s="29" t="s">
        <v>204</v>
      </c>
      <c r="G65" s="121" t="s">
        <v>0</v>
      </c>
      <c r="H65" s="121"/>
      <c r="I65" s="23" t="s">
        <v>7</v>
      </c>
      <c r="J65" s="57"/>
      <c r="K65" s="23"/>
      <c r="L65" s="57"/>
      <c r="M65" s="57"/>
      <c r="N65" s="23"/>
      <c r="O65" s="67"/>
      <c r="P65" s="57"/>
      <c r="Q65" s="23"/>
      <c r="R65" s="23"/>
      <c r="S65" s="57"/>
      <c r="T65" s="23"/>
      <c r="U65" s="57"/>
      <c r="V65" s="23"/>
    </row>
    <row r="66" spans="1:22" x14ac:dyDescent="0.2">
      <c r="A66" s="3">
        <v>1</v>
      </c>
      <c r="B66" s="14" t="s">
        <v>111</v>
      </c>
      <c r="C66" s="21">
        <v>1</v>
      </c>
      <c r="D66" s="15" t="s">
        <v>2</v>
      </c>
      <c r="E66" s="16" t="s">
        <v>40</v>
      </c>
      <c r="F66" s="13" t="s">
        <v>2</v>
      </c>
      <c r="G66" s="3">
        <v>1.5</v>
      </c>
      <c r="H66" s="15" t="s">
        <v>2</v>
      </c>
      <c r="I66" s="1" t="s">
        <v>83</v>
      </c>
      <c r="J66" s="41">
        <v>1.1000000000000001</v>
      </c>
      <c r="K66" s="42">
        <v>1</v>
      </c>
      <c r="L66" s="41"/>
      <c r="M66" s="41"/>
      <c r="N66" s="42"/>
      <c r="O66" s="66"/>
      <c r="P66" s="41">
        <v>0.7</v>
      </c>
      <c r="Q66" s="42">
        <v>1</v>
      </c>
      <c r="R66" s="42">
        <f>(K66*A66)+J66-P66</f>
        <v>1.4000000000000001</v>
      </c>
      <c r="S66" s="41"/>
      <c r="T66" s="42"/>
      <c r="U66" s="41"/>
      <c r="V66" s="42"/>
    </row>
    <row r="67" spans="1:22" x14ac:dyDescent="0.2">
      <c r="A67" s="3">
        <v>1</v>
      </c>
      <c r="B67" s="14" t="s">
        <v>111</v>
      </c>
      <c r="C67" s="21">
        <v>2000</v>
      </c>
      <c r="D67" s="15" t="s">
        <v>2</v>
      </c>
      <c r="E67" s="16" t="s">
        <v>171</v>
      </c>
      <c r="F67" s="13" t="s">
        <v>38</v>
      </c>
      <c r="G67" s="3">
        <v>0.5</v>
      </c>
      <c r="H67" s="15" t="s">
        <v>38</v>
      </c>
      <c r="I67" s="1" t="s">
        <v>172</v>
      </c>
      <c r="J67" s="41">
        <v>0.3</v>
      </c>
      <c r="K67" s="42">
        <v>1</v>
      </c>
      <c r="L67" s="41"/>
      <c r="M67" s="41"/>
      <c r="N67" s="42"/>
      <c r="O67" s="66"/>
      <c r="P67" s="41">
        <v>0.2</v>
      </c>
      <c r="Q67" s="42">
        <v>0</v>
      </c>
      <c r="R67" s="42">
        <f>(K67*A67)+J67-P67</f>
        <v>1.1000000000000001</v>
      </c>
      <c r="S67" s="41"/>
      <c r="T67" s="42"/>
      <c r="U67" s="41"/>
      <c r="V67" s="42"/>
    </row>
    <row r="68" spans="1:22" x14ac:dyDescent="0.2">
      <c r="A68" s="114" t="s">
        <v>89</v>
      </c>
      <c r="B68" s="115"/>
      <c r="C68" s="115"/>
      <c r="D68" s="115"/>
      <c r="E68" s="40" t="s">
        <v>194</v>
      </c>
      <c r="F68" s="29" t="s">
        <v>204</v>
      </c>
      <c r="G68" s="121" t="s">
        <v>0</v>
      </c>
      <c r="H68" s="121"/>
      <c r="I68" s="23" t="s">
        <v>7</v>
      </c>
      <c r="J68" s="57"/>
      <c r="K68" s="23"/>
      <c r="L68" s="57"/>
      <c r="M68" s="57"/>
      <c r="N68" s="23"/>
      <c r="O68" s="67"/>
      <c r="P68" s="57"/>
      <c r="Q68" s="23"/>
      <c r="R68" s="23"/>
      <c r="S68" s="57"/>
      <c r="T68" s="23"/>
      <c r="U68" s="57"/>
      <c r="V68" s="23"/>
    </row>
    <row r="69" spans="1:22" x14ac:dyDescent="0.2">
      <c r="A69" s="3">
        <v>10</v>
      </c>
      <c r="B69" s="14" t="s">
        <v>111</v>
      </c>
      <c r="C69" s="21">
        <v>100</v>
      </c>
      <c r="D69" s="15" t="s">
        <v>2</v>
      </c>
      <c r="E69" s="16" t="s">
        <v>48</v>
      </c>
      <c r="F69" s="13" t="s">
        <v>5</v>
      </c>
      <c r="G69" s="3">
        <v>12</v>
      </c>
      <c r="H69" s="15" t="s">
        <v>5</v>
      </c>
      <c r="I69" s="1" t="s">
        <v>46</v>
      </c>
      <c r="J69" s="41">
        <v>11</v>
      </c>
      <c r="K69" s="42">
        <v>0</v>
      </c>
      <c r="L69" s="41"/>
      <c r="M69" s="41"/>
      <c r="N69" s="42"/>
      <c r="O69" s="66"/>
      <c r="P69" s="41">
        <v>12</v>
      </c>
      <c r="Q69" s="42">
        <v>0</v>
      </c>
      <c r="R69" s="42">
        <f>(K69*A69)+J69-P69</f>
        <v>-1</v>
      </c>
      <c r="S69" s="41"/>
      <c r="T69" s="42"/>
      <c r="U69" s="41"/>
      <c r="V69" s="42"/>
    </row>
    <row r="70" spans="1:22" x14ac:dyDescent="0.2">
      <c r="A70" s="3">
        <v>1</v>
      </c>
      <c r="B70" s="14" t="s">
        <v>111</v>
      </c>
      <c r="C70" s="21">
        <v>250</v>
      </c>
      <c r="D70" s="15" t="s">
        <v>2</v>
      </c>
      <c r="E70" s="16" t="s">
        <v>94</v>
      </c>
      <c r="F70" s="13" t="s">
        <v>3</v>
      </c>
      <c r="G70" s="3">
        <v>2</v>
      </c>
      <c r="H70" s="15" t="s">
        <v>3</v>
      </c>
      <c r="I70" s="1" t="s">
        <v>68</v>
      </c>
      <c r="J70" s="41">
        <v>0.1</v>
      </c>
      <c r="K70" s="42">
        <v>1</v>
      </c>
      <c r="L70" s="41"/>
      <c r="M70" s="41"/>
      <c r="N70" s="42"/>
      <c r="O70" s="66"/>
      <c r="P70" s="41">
        <v>1.5</v>
      </c>
      <c r="Q70" s="42">
        <v>0</v>
      </c>
      <c r="R70" s="42">
        <f>(K70*A70)+J70-P70</f>
        <v>-0.39999999999999991</v>
      </c>
      <c r="S70" s="41"/>
      <c r="T70" s="42"/>
      <c r="U70" s="41"/>
      <c r="V70" s="42"/>
    </row>
    <row r="71" spans="1:22" x14ac:dyDescent="0.2">
      <c r="A71" s="3">
        <v>1</v>
      </c>
      <c r="B71" s="14" t="s">
        <v>111</v>
      </c>
      <c r="C71" s="21">
        <v>200</v>
      </c>
      <c r="D71" s="15" t="s">
        <v>2</v>
      </c>
      <c r="E71" s="16" t="s">
        <v>95</v>
      </c>
      <c r="F71" s="13" t="s">
        <v>3</v>
      </c>
      <c r="G71" s="3">
        <v>0.5</v>
      </c>
      <c r="H71" s="15" t="s">
        <v>3</v>
      </c>
      <c r="I71" s="1" t="s">
        <v>81</v>
      </c>
      <c r="J71" s="41">
        <v>0.5</v>
      </c>
      <c r="K71" s="42">
        <v>0</v>
      </c>
      <c r="L71" s="41"/>
      <c r="M71" s="41"/>
      <c r="N71" s="42"/>
      <c r="O71" s="66"/>
      <c r="P71" s="41">
        <v>0.1</v>
      </c>
      <c r="Q71" s="42">
        <v>1</v>
      </c>
      <c r="R71" s="42">
        <f>(K71*A71)+J71-P71</f>
        <v>0.4</v>
      </c>
      <c r="S71" s="41"/>
      <c r="T71" s="42"/>
      <c r="U71" s="41"/>
      <c r="V71" s="42"/>
    </row>
    <row r="72" spans="1:22" x14ac:dyDescent="0.2">
      <c r="A72" s="114" t="s">
        <v>89</v>
      </c>
      <c r="B72" s="115"/>
      <c r="C72" s="115"/>
      <c r="D72" s="115"/>
      <c r="E72" s="40" t="s">
        <v>197</v>
      </c>
      <c r="F72" s="29" t="s">
        <v>204</v>
      </c>
      <c r="G72" s="121" t="s">
        <v>0</v>
      </c>
      <c r="H72" s="121"/>
      <c r="I72" s="23" t="s">
        <v>7</v>
      </c>
      <c r="J72" s="57"/>
      <c r="K72" s="23"/>
      <c r="L72" s="57"/>
      <c r="M72" s="57"/>
      <c r="N72" s="23"/>
      <c r="O72" s="67"/>
      <c r="P72" s="57"/>
      <c r="Q72" s="23"/>
      <c r="R72" s="23"/>
      <c r="S72" s="57"/>
      <c r="T72" s="23"/>
      <c r="U72" s="57"/>
      <c r="V72" s="23"/>
    </row>
    <row r="73" spans="1:22" x14ac:dyDescent="0.2">
      <c r="A73" s="3">
        <v>1</v>
      </c>
      <c r="B73" s="14" t="s">
        <v>111</v>
      </c>
      <c r="C73" s="21">
        <v>1000</v>
      </c>
      <c r="D73" s="15" t="s">
        <v>2</v>
      </c>
      <c r="E73" s="16" t="s">
        <v>34</v>
      </c>
      <c r="F73" s="13" t="s">
        <v>3</v>
      </c>
      <c r="G73" s="3">
        <v>0.5</v>
      </c>
      <c r="H73" s="15" t="s">
        <v>3</v>
      </c>
      <c r="I73" s="1" t="s">
        <v>117</v>
      </c>
      <c r="J73" s="41">
        <v>0.3</v>
      </c>
      <c r="K73" s="42">
        <v>0</v>
      </c>
      <c r="L73" s="41"/>
      <c r="M73" s="41"/>
      <c r="N73" s="42"/>
      <c r="O73" s="66"/>
      <c r="P73" s="41">
        <v>0.7</v>
      </c>
      <c r="Q73" s="42"/>
      <c r="R73" s="42">
        <f>(K73*A73)+J73-P73</f>
        <v>-0.39999999999999997</v>
      </c>
      <c r="S73" s="41"/>
      <c r="T73" s="42"/>
      <c r="U73" s="41"/>
      <c r="V73" s="42"/>
    </row>
    <row r="74" spans="1:22" x14ac:dyDescent="0.2">
      <c r="A74" s="114" t="s">
        <v>89</v>
      </c>
      <c r="B74" s="115"/>
      <c r="C74" s="115"/>
      <c r="D74" s="115"/>
      <c r="E74" s="40" t="s">
        <v>193</v>
      </c>
      <c r="F74" s="29" t="s">
        <v>204</v>
      </c>
      <c r="G74" s="121" t="s">
        <v>0</v>
      </c>
      <c r="H74" s="121"/>
      <c r="I74" s="23" t="s">
        <v>7</v>
      </c>
      <c r="J74" s="57"/>
      <c r="K74" s="23"/>
      <c r="L74" s="57"/>
      <c r="M74" s="57"/>
      <c r="N74" s="23"/>
      <c r="O74" s="67"/>
      <c r="P74" s="57"/>
      <c r="Q74" s="23"/>
      <c r="R74" s="23"/>
      <c r="S74" s="57"/>
      <c r="T74" s="23"/>
      <c r="U74" s="57"/>
      <c r="V74" s="23"/>
    </row>
    <row r="75" spans="1:22" x14ac:dyDescent="0.2">
      <c r="A75" s="3">
        <v>20</v>
      </c>
      <c r="B75" s="14" t="s">
        <v>111</v>
      </c>
      <c r="C75" s="21">
        <v>50</v>
      </c>
      <c r="D75" s="15" t="s">
        <v>2</v>
      </c>
      <c r="E75" s="16" t="s">
        <v>135</v>
      </c>
      <c r="F75" s="13" t="s">
        <v>4</v>
      </c>
      <c r="G75" s="3">
        <v>16</v>
      </c>
      <c r="H75" s="15" t="s">
        <v>4</v>
      </c>
      <c r="I75" s="1" t="s">
        <v>118</v>
      </c>
      <c r="J75" s="41">
        <v>9</v>
      </c>
      <c r="K75" s="42">
        <v>1</v>
      </c>
      <c r="L75" s="41"/>
      <c r="M75" s="41"/>
      <c r="N75" s="42"/>
      <c r="O75" s="66"/>
      <c r="P75" s="41">
        <v>25</v>
      </c>
      <c r="Q75" s="42"/>
      <c r="R75" s="42">
        <f t="shared" ref="R75:R80" si="1">(K75*A75)+J75-P75</f>
        <v>4</v>
      </c>
      <c r="S75" s="41"/>
      <c r="T75" s="42"/>
      <c r="U75" s="41"/>
      <c r="V75" s="42"/>
    </row>
    <row r="76" spans="1:22" x14ac:dyDescent="0.2">
      <c r="A76" s="3">
        <v>12</v>
      </c>
      <c r="B76" s="14" t="s">
        <v>111</v>
      </c>
      <c r="C76" s="21">
        <v>50</v>
      </c>
      <c r="D76" s="15" t="s">
        <v>2</v>
      </c>
      <c r="E76" s="16" t="s">
        <v>136</v>
      </c>
      <c r="F76" s="13" t="s">
        <v>4</v>
      </c>
      <c r="G76" s="3">
        <v>12</v>
      </c>
      <c r="H76" s="15" t="s">
        <v>4</v>
      </c>
      <c r="I76" s="1" t="s">
        <v>119</v>
      </c>
      <c r="J76" s="41">
        <v>6</v>
      </c>
      <c r="K76" s="42">
        <v>1</v>
      </c>
      <c r="L76" s="41"/>
      <c r="M76" s="41"/>
      <c r="N76" s="42"/>
      <c r="O76" s="66"/>
      <c r="P76" s="41">
        <v>12</v>
      </c>
      <c r="Q76" s="42">
        <v>1</v>
      </c>
      <c r="R76" s="42">
        <f t="shared" si="1"/>
        <v>6</v>
      </c>
      <c r="S76" s="41"/>
      <c r="T76" s="42"/>
      <c r="U76" s="41"/>
      <c r="V76" s="42"/>
    </row>
    <row r="77" spans="1:22" x14ac:dyDescent="0.2">
      <c r="A77" s="3">
        <v>12</v>
      </c>
      <c r="B77" s="14" t="s">
        <v>111</v>
      </c>
      <c r="C77" s="21">
        <v>50</v>
      </c>
      <c r="D77" s="15" t="s">
        <v>2</v>
      </c>
      <c r="E77" s="16" t="s">
        <v>137</v>
      </c>
      <c r="F77" s="13" t="s">
        <v>4</v>
      </c>
      <c r="G77" s="3">
        <v>12</v>
      </c>
      <c r="H77" s="15" t="s">
        <v>4</v>
      </c>
      <c r="I77" s="1" t="s">
        <v>120</v>
      </c>
      <c r="J77" s="41">
        <v>9</v>
      </c>
      <c r="K77" s="42">
        <v>1</v>
      </c>
      <c r="L77" s="41"/>
      <c r="M77" s="41"/>
      <c r="N77" s="42"/>
      <c r="O77" s="66"/>
      <c r="P77" s="41">
        <v>15</v>
      </c>
      <c r="Q77" s="42">
        <v>0</v>
      </c>
      <c r="R77" s="42">
        <f t="shared" si="1"/>
        <v>6</v>
      </c>
      <c r="S77" s="41"/>
      <c r="T77" s="42"/>
      <c r="U77" s="41"/>
      <c r="V77" s="42"/>
    </row>
    <row r="78" spans="1:22" x14ac:dyDescent="0.2">
      <c r="A78" s="3">
        <v>20</v>
      </c>
      <c r="B78" s="14" t="s">
        <v>111</v>
      </c>
      <c r="C78" s="21">
        <v>50</v>
      </c>
      <c r="D78" s="15" t="s">
        <v>2</v>
      </c>
      <c r="E78" s="16" t="s">
        <v>125</v>
      </c>
      <c r="F78" s="13" t="s">
        <v>4</v>
      </c>
      <c r="G78" s="3">
        <v>6</v>
      </c>
      <c r="H78" s="15" t="s">
        <v>4</v>
      </c>
      <c r="I78" s="1" t="s">
        <v>121</v>
      </c>
      <c r="J78" s="41">
        <v>1</v>
      </c>
      <c r="K78" s="42">
        <v>1</v>
      </c>
      <c r="L78" s="41"/>
      <c r="M78" s="41"/>
      <c r="N78" s="42"/>
      <c r="O78" s="66"/>
      <c r="P78" s="41">
        <v>14</v>
      </c>
      <c r="Q78" s="42">
        <v>1</v>
      </c>
      <c r="R78" s="42">
        <f t="shared" si="1"/>
        <v>7</v>
      </c>
      <c r="S78" s="41"/>
      <c r="T78" s="42"/>
      <c r="U78" s="41"/>
      <c r="V78" s="42"/>
    </row>
    <row r="79" spans="1:22" x14ac:dyDescent="0.2">
      <c r="A79" s="3">
        <v>15</v>
      </c>
      <c r="B79" s="14" t="s">
        <v>111</v>
      </c>
      <c r="C79" s="21">
        <v>40</v>
      </c>
      <c r="D79" s="15" t="s">
        <v>2</v>
      </c>
      <c r="E79" s="16" t="s">
        <v>126</v>
      </c>
      <c r="F79" s="13" t="s">
        <v>4</v>
      </c>
      <c r="G79" s="3">
        <v>15</v>
      </c>
      <c r="H79" s="15" t="s">
        <v>4</v>
      </c>
      <c r="I79" s="1" t="s">
        <v>122</v>
      </c>
      <c r="J79" s="41">
        <v>2</v>
      </c>
      <c r="K79" s="42">
        <v>0</v>
      </c>
      <c r="L79" s="41"/>
      <c r="M79" s="41"/>
      <c r="N79" s="42"/>
      <c r="O79" s="66"/>
      <c r="P79" s="41">
        <v>3</v>
      </c>
      <c r="Q79" s="42">
        <v>1</v>
      </c>
      <c r="R79" s="42">
        <f t="shared" si="1"/>
        <v>-1</v>
      </c>
      <c r="S79" s="41"/>
      <c r="T79" s="42"/>
      <c r="U79" s="41"/>
      <c r="V79" s="42"/>
    </row>
    <row r="80" spans="1:22" x14ac:dyDescent="0.2">
      <c r="A80" s="3">
        <v>1</v>
      </c>
      <c r="B80" s="14" t="s">
        <v>111</v>
      </c>
      <c r="C80" s="21">
        <v>1000</v>
      </c>
      <c r="D80" s="15" t="s">
        <v>2</v>
      </c>
      <c r="E80" s="16" t="s">
        <v>123</v>
      </c>
      <c r="F80" s="13" t="s">
        <v>3</v>
      </c>
      <c r="G80" s="3">
        <v>1.5</v>
      </c>
      <c r="H80" s="15" t="s">
        <v>3</v>
      </c>
      <c r="I80" s="1" t="s">
        <v>124</v>
      </c>
      <c r="J80" s="41">
        <v>1.3</v>
      </c>
      <c r="K80" s="42">
        <v>0</v>
      </c>
      <c r="L80" s="41"/>
      <c r="M80" s="41"/>
      <c r="N80" s="42"/>
      <c r="O80" s="66"/>
      <c r="P80" s="41">
        <v>0.7</v>
      </c>
      <c r="Q80" s="42">
        <v>1</v>
      </c>
      <c r="R80" s="42">
        <f t="shared" si="1"/>
        <v>0.60000000000000009</v>
      </c>
      <c r="S80" s="41"/>
      <c r="T80" s="42"/>
      <c r="U80" s="41"/>
      <c r="V80" s="42"/>
    </row>
    <row r="81" spans="1:22" x14ac:dyDescent="0.2">
      <c r="A81" s="114" t="s">
        <v>89</v>
      </c>
      <c r="B81" s="115"/>
      <c r="C81" s="115"/>
      <c r="D81" s="115"/>
      <c r="E81" s="40" t="s">
        <v>198</v>
      </c>
      <c r="F81" s="29" t="s">
        <v>204</v>
      </c>
      <c r="G81" s="121" t="s">
        <v>0</v>
      </c>
      <c r="H81" s="121"/>
      <c r="I81" s="23" t="s">
        <v>7</v>
      </c>
      <c r="J81" s="57"/>
      <c r="K81" s="23"/>
      <c r="L81" s="57"/>
      <c r="M81" s="57"/>
      <c r="N81" s="23"/>
      <c r="O81" s="67"/>
      <c r="P81" s="57"/>
      <c r="Q81" s="23"/>
      <c r="R81" s="23"/>
      <c r="S81" s="57"/>
      <c r="T81" s="23"/>
      <c r="U81" s="57"/>
      <c r="V81" s="23"/>
    </row>
    <row r="82" spans="1:22" x14ac:dyDescent="0.2">
      <c r="A82" s="3">
        <v>12</v>
      </c>
      <c r="B82" s="14" t="s">
        <v>111</v>
      </c>
      <c r="C82" s="21">
        <v>500</v>
      </c>
      <c r="D82" s="15" t="s">
        <v>2</v>
      </c>
      <c r="E82" s="16" t="s">
        <v>175</v>
      </c>
      <c r="F82" s="13" t="s">
        <v>38</v>
      </c>
      <c r="G82" s="3">
        <v>8</v>
      </c>
      <c r="H82" s="15" t="s">
        <v>38</v>
      </c>
      <c r="I82" s="1" t="s">
        <v>176</v>
      </c>
      <c r="J82" s="41">
        <v>5</v>
      </c>
      <c r="K82" s="42">
        <v>0</v>
      </c>
      <c r="L82" s="41"/>
      <c r="M82" s="41"/>
      <c r="N82" s="42"/>
      <c r="O82" s="66"/>
      <c r="P82" s="41">
        <v>4</v>
      </c>
      <c r="Q82" s="42">
        <v>0</v>
      </c>
      <c r="R82" s="42">
        <f>(K82*A82)+J82-P82</f>
        <v>1</v>
      </c>
      <c r="S82" s="41"/>
      <c r="T82" s="42"/>
      <c r="U82" s="41"/>
      <c r="V82" s="42"/>
    </row>
    <row r="83" spans="1:22" x14ac:dyDescent="0.2">
      <c r="A83" s="3">
        <v>5</v>
      </c>
      <c r="B83" s="14" t="s">
        <v>111</v>
      </c>
      <c r="C83" s="21">
        <v>1000</v>
      </c>
      <c r="D83" s="15" t="s">
        <v>2</v>
      </c>
      <c r="E83" s="16" t="s">
        <v>165</v>
      </c>
      <c r="F83" s="13" t="s">
        <v>38</v>
      </c>
      <c r="G83" s="3">
        <v>4</v>
      </c>
      <c r="H83" s="15" t="s">
        <v>38</v>
      </c>
      <c r="I83" s="1" t="s">
        <v>166</v>
      </c>
      <c r="J83" s="41">
        <v>3</v>
      </c>
      <c r="K83" s="42">
        <v>1</v>
      </c>
      <c r="L83" s="41"/>
      <c r="M83" s="41"/>
      <c r="N83" s="42"/>
      <c r="O83" s="66"/>
      <c r="P83" s="41">
        <v>5</v>
      </c>
      <c r="Q83" s="42">
        <v>1</v>
      </c>
      <c r="R83" s="42">
        <f>(K83*A83)+J83-P83</f>
        <v>3</v>
      </c>
      <c r="S83" s="41"/>
      <c r="T83" s="42"/>
      <c r="U83" s="41"/>
      <c r="V83" s="42"/>
    </row>
    <row r="84" spans="1:22" x14ac:dyDescent="0.2">
      <c r="A84" s="3">
        <v>5</v>
      </c>
      <c r="B84" s="14" t="s">
        <v>111</v>
      </c>
      <c r="C84" s="21">
        <v>1000</v>
      </c>
      <c r="D84" s="15" t="s">
        <v>2</v>
      </c>
      <c r="E84" s="16" t="s">
        <v>167</v>
      </c>
      <c r="F84" s="13" t="s">
        <v>38</v>
      </c>
      <c r="G84" s="3">
        <v>4</v>
      </c>
      <c r="H84" s="15" t="s">
        <v>38</v>
      </c>
      <c r="I84" s="1" t="s">
        <v>168</v>
      </c>
      <c r="J84" s="41">
        <v>1</v>
      </c>
      <c r="K84" s="42">
        <v>1</v>
      </c>
      <c r="L84" s="41"/>
      <c r="M84" s="41"/>
      <c r="N84" s="42"/>
      <c r="O84" s="66"/>
      <c r="P84" s="41">
        <v>3</v>
      </c>
      <c r="Q84" s="42">
        <v>1</v>
      </c>
      <c r="R84" s="42">
        <f>(K84*A84)+J84-P84</f>
        <v>3</v>
      </c>
      <c r="S84" s="41"/>
      <c r="T84" s="42"/>
      <c r="U84" s="41"/>
      <c r="V84" s="42"/>
    </row>
    <row r="85" spans="1:22" x14ac:dyDescent="0.2">
      <c r="A85" s="114" t="s">
        <v>89</v>
      </c>
      <c r="B85" s="115"/>
      <c r="C85" s="115"/>
      <c r="D85" s="115"/>
      <c r="E85" s="40" t="s">
        <v>195</v>
      </c>
      <c r="F85" s="29" t="s">
        <v>204</v>
      </c>
      <c r="G85" s="121" t="s">
        <v>0</v>
      </c>
      <c r="H85" s="121"/>
      <c r="I85" s="23" t="s">
        <v>7</v>
      </c>
      <c r="J85" s="57"/>
      <c r="K85" s="23"/>
      <c r="L85" s="57"/>
      <c r="M85" s="57"/>
      <c r="N85" s="23"/>
      <c r="O85" s="67"/>
      <c r="P85" s="57"/>
      <c r="Q85" s="23"/>
      <c r="R85" s="23"/>
      <c r="S85" s="57"/>
      <c r="T85" s="23"/>
      <c r="U85" s="57"/>
      <c r="V85" s="23"/>
    </row>
    <row r="86" spans="1:22" x14ac:dyDescent="0.2">
      <c r="A86" s="3">
        <v>1</v>
      </c>
      <c r="B86" s="14" t="s">
        <v>111</v>
      </c>
      <c r="C86" s="21">
        <v>5000</v>
      </c>
      <c r="D86" s="15" t="s">
        <v>2</v>
      </c>
      <c r="E86" s="16" t="s">
        <v>49</v>
      </c>
      <c r="F86" s="13" t="s">
        <v>5</v>
      </c>
      <c r="G86" s="3">
        <v>3</v>
      </c>
      <c r="H86" s="15" t="s">
        <v>5</v>
      </c>
      <c r="I86" s="1" t="s">
        <v>58</v>
      </c>
      <c r="J86" s="41">
        <v>1.5</v>
      </c>
      <c r="K86" s="42">
        <v>1</v>
      </c>
      <c r="L86" s="41"/>
      <c r="M86" s="41"/>
      <c r="N86" s="42"/>
      <c r="O86" s="66"/>
      <c r="P86" s="41">
        <v>0.5</v>
      </c>
      <c r="Q86" s="42">
        <v>3</v>
      </c>
      <c r="R86" s="42">
        <f>(K86*A86)+J86-P86</f>
        <v>2</v>
      </c>
      <c r="S86" s="41"/>
      <c r="T86" s="42"/>
      <c r="U86" s="41"/>
      <c r="V86" s="42"/>
    </row>
    <row r="87" spans="1:22" x14ac:dyDescent="0.2">
      <c r="A87" s="3">
        <v>1</v>
      </c>
      <c r="B87" s="14" t="s">
        <v>111</v>
      </c>
      <c r="C87" s="21">
        <v>50</v>
      </c>
      <c r="D87" s="15" t="s">
        <v>2</v>
      </c>
      <c r="E87" s="16" t="s">
        <v>41</v>
      </c>
      <c r="F87" s="13" t="s">
        <v>38</v>
      </c>
      <c r="G87" s="3">
        <v>1</v>
      </c>
      <c r="H87" s="15" t="s">
        <v>38</v>
      </c>
      <c r="I87" s="1" t="s">
        <v>42</v>
      </c>
      <c r="J87" s="41">
        <v>1</v>
      </c>
      <c r="K87" s="42">
        <v>0</v>
      </c>
      <c r="L87" s="41"/>
      <c r="M87" s="41"/>
      <c r="N87" s="42"/>
      <c r="O87" s="66"/>
      <c r="P87" s="41">
        <v>0.5</v>
      </c>
      <c r="Q87" s="42">
        <v>1</v>
      </c>
      <c r="R87" s="42">
        <f>(K87*A87)+J87-P87</f>
        <v>0.5</v>
      </c>
      <c r="S87" s="41"/>
      <c r="T87" s="42"/>
      <c r="U87" s="41"/>
      <c r="V87" s="42"/>
    </row>
    <row r="88" spans="1:22" x14ac:dyDescent="0.2">
      <c r="A88" s="3">
        <v>20</v>
      </c>
      <c r="B88" s="14" t="s">
        <v>111</v>
      </c>
      <c r="C88" s="21">
        <v>25</v>
      </c>
      <c r="D88" s="15" t="s">
        <v>2</v>
      </c>
      <c r="E88" s="16" t="s">
        <v>151</v>
      </c>
      <c r="F88" s="13" t="s">
        <v>2</v>
      </c>
      <c r="G88" s="3">
        <v>10</v>
      </c>
      <c r="H88" s="15" t="s">
        <v>2</v>
      </c>
      <c r="I88" s="1" t="s">
        <v>152</v>
      </c>
      <c r="J88" s="41">
        <v>15</v>
      </c>
      <c r="K88" s="42">
        <v>0</v>
      </c>
      <c r="L88" s="41"/>
      <c r="M88" s="41"/>
      <c r="N88" s="42"/>
      <c r="O88" s="66"/>
      <c r="P88" s="41">
        <v>9</v>
      </c>
      <c r="Q88" s="42"/>
      <c r="R88" s="42">
        <f>(K88*A88)+J88-P88</f>
        <v>6</v>
      </c>
      <c r="S88" s="41"/>
      <c r="T88" s="42"/>
      <c r="U88" s="41"/>
      <c r="V88" s="42"/>
    </row>
    <row r="89" spans="1:22" x14ac:dyDescent="0.2">
      <c r="A89" s="114" t="s">
        <v>89</v>
      </c>
      <c r="B89" s="115"/>
      <c r="C89" s="115"/>
      <c r="D89" s="115"/>
      <c r="E89" s="40" t="s">
        <v>196</v>
      </c>
      <c r="F89" s="29" t="s">
        <v>204</v>
      </c>
      <c r="G89" s="121" t="s">
        <v>0</v>
      </c>
      <c r="H89" s="121"/>
      <c r="I89" s="23" t="s">
        <v>7</v>
      </c>
      <c r="J89" s="57"/>
      <c r="K89" s="23"/>
      <c r="L89" s="57"/>
      <c r="M89" s="57"/>
      <c r="N89" s="23"/>
      <c r="O89" s="67"/>
      <c r="P89" s="57"/>
      <c r="Q89" s="23"/>
      <c r="R89" s="23"/>
      <c r="S89" s="57"/>
      <c r="T89" s="23"/>
      <c r="U89" s="57"/>
      <c r="V89" s="23"/>
    </row>
    <row r="90" spans="1:22" x14ac:dyDescent="0.2">
      <c r="A90" s="3">
        <v>1</v>
      </c>
      <c r="B90" s="14" t="s">
        <v>111</v>
      </c>
      <c r="C90" s="21">
        <v>100</v>
      </c>
      <c r="D90" s="15" t="s">
        <v>2</v>
      </c>
      <c r="E90" s="16" t="s">
        <v>43</v>
      </c>
      <c r="F90" s="13" t="s">
        <v>38</v>
      </c>
      <c r="G90" s="3">
        <v>0.5</v>
      </c>
      <c r="H90" s="15" t="s">
        <v>38</v>
      </c>
      <c r="I90" s="1" t="s">
        <v>44</v>
      </c>
      <c r="J90" s="41">
        <v>1.7</v>
      </c>
      <c r="K90" s="42">
        <v>0</v>
      </c>
      <c r="L90" s="41"/>
      <c r="M90" s="41"/>
      <c r="N90" s="42"/>
      <c r="O90" s="66"/>
      <c r="P90" s="41">
        <v>1.7</v>
      </c>
      <c r="Q90" s="42"/>
      <c r="R90" s="42">
        <f>(K90*A90)+J90-P90</f>
        <v>0</v>
      </c>
      <c r="S90" s="41"/>
      <c r="T90" s="42"/>
      <c r="U90" s="41"/>
      <c r="V90" s="42"/>
    </row>
    <row r="91" spans="1:22" x14ac:dyDescent="0.2">
      <c r="A91" s="3">
        <v>1</v>
      </c>
      <c r="B91" s="14" t="s">
        <v>111</v>
      </c>
      <c r="C91" s="21">
        <v>2</v>
      </c>
      <c r="D91" s="15" t="s">
        <v>2</v>
      </c>
      <c r="E91" s="16" t="s">
        <v>31</v>
      </c>
      <c r="F91" s="13" t="s">
        <v>2</v>
      </c>
      <c r="G91" s="3">
        <v>2</v>
      </c>
      <c r="H91" s="15" t="s">
        <v>2</v>
      </c>
      <c r="I91" s="1" t="s">
        <v>13</v>
      </c>
      <c r="J91" s="41">
        <v>3</v>
      </c>
      <c r="K91" s="42">
        <v>0</v>
      </c>
      <c r="L91" s="41"/>
      <c r="M91" s="41"/>
      <c r="N91" s="42"/>
      <c r="O91" s="66"/>
      <c r="P91" s="41">
        <v>1</v>
      </c>
      <c r="Q91" s="42">
        <v>1</v>
      </c>
      <c r="R91" s="42">
        <f>(K91*C91)+J91-P91</f>
        <v>2</v>
      </c>
      <c r="S91" s="41"/>
      <c r="T91" s="42"/>
      <c r="U91" s="41"/>
      <c r="V91" s="42"/>
    </row>
    <row r="92" spans="1:22" x14ac:dyDescent="0.2">
      <c r="A92" s="3">
        <v>4</v>
      </c>
      <c r="B92" s="14" t="s">
        <v>111</v>
      </c>
      <c r="C92" s="21">
        <v>128</v>
      </c>
      <c r="D92" s="15" t="s">
        <v>144</v>
      </c>
      <c r="E92" s="16" t="s">
        <v>145</v>
      </c>
      <c r="F92" s="13" t="s">
        <v>2</v>
      </c>
      <c r="G92" s="3">
        <v>1</v>
      </c>
      <c r="H92" s="15" t="s">
        <v>2</v>
      </c>
      <c r="I92" s="1" t="s">
        <v>146</v>
      </c>
      <c r="J92" s="41">
        <v>1</v>
      </c>
      <c r="K92" s="42">
        <v>1</v>
      </c>
      <c r="L92" s="41"/>
      <c r="M92" s="41"/>
      <c r="N92" s="42"/>
      <c r="O92" s="66"/>
      <c r="P92" s="41">
        <v>1</v>
      </c>
      <c r="Q92" s="42">
        <v>1</v>
      </c>
      <c r="R92" s="42">
        <f>(K92*A92)+J92-P92</f>
        <v>4</v>
      </c>
      <c r="S92" s="41"/>
      <c r="T92" s="42"/>
      <c r="U92" s="41"/>
      <c r="V92" s="42"/>
    </row>
    <row r="93" spans="1:22" x14ac:dyDescent="0.2">
      <c r="A93" s="3">
        <v>3</v>
      </c>
      <c r="B93" s="14" t="s">
        <v>111</v>
      </c>
      <c r="C93" s="21">
        <v>80</v>
      </c>
      <c r="D93" s="15" t="s">
        <v>144</v>
      </c>
      <c r="E93" s="16" t="s">
        <v>147</v>
      </c>
      <c r="F93" s="13" t="s">
        <v>2</v>
      </c>
      <c r="G93" s="3">
        <v>3</v>
      </c>
      <c r="H93" s="15" t="s">
        <v>2</v>
      </c>
      <c r="I93" s="1" t="s">
        <v>148</v>
      </c>
      <c r="J93" s="41">
        <v>0.3</v>
      </c>
      <c r="K93" s="42">
        <v>1</v>
      </c>
      <c r="L93" s="41"/>
      <c r="M93" s="41"/>
      <c r="N93" s="42"/>
      <c r="O93" s="66"/>
      <c r="P93" s="41">
        <v>0.3</v>
      </c>
      <c r="Q93" s="42">
        <v>2</v>
      </c>
      <c r="R93" s="42">
        <f>(K93*A93)+J93-P93</f>
        <v>3</v>
      </c>
      <c r="S93" s="41"/>
      <c r="T93" s="42"/>
      <c r="U93" s="41"/>
      <c r="V93" s="42"/>
    </row>
    <row r="94" spans="1:22" x14ac:dyDescent="0.2">
      <c r="A94" s="3">
        <v>8</v>
      </c>
      <c r="B94" s="14" t="s">
        <v>111</v>
      </c>
      <c r="C94" s="21">
        <v>64</v>
      </c>
      <c r="D94" s="15" t="s">
        <v>144</v>
      </c>
      <c r="E94" s="16" t="s">
        <v>149</v>
      </c>
      <c r="F94" s="13" t="s">
        <v>2</v>
      </c>
      <c r="G94" s="3">
        <v>4</v>
      </c>
      <c r="H94" s="15" t="s">
        <v>2</v>
      </c>
      <c r="I94" s="1" t="s">
        <v>150</v>
      </c>
      <c r="J94" s="41">
        <v>0</v>
      </c>
      <c r="K94" s="42">
        <v>2</v>
      </c>
      <c r="L94" s="41"/>
      <c r="M94" s="41"/>
      <c r="N94" s="42"/>
      <c r="O94" s="66"/>
      <c r="P94" s="41">
        <v>11</v>
      </c>
      <c r="Q94" s="42">
        <v>0</v>
      </c>
      <c r="R94" s="42">
        <f>(K94*A94)+J94-P94</f>
        <v>5</v>
      </c>
      <c r="S94" s="41"/>
      <c r="T94" s="42"/>
      <c r="U94" s="41"/>
      <c r="V94" s="42"/>
    </row>
    <row r="95" spans="1:22" x14ac:dyDescent="0.2">
      <c r="A95" s="3">
        <v>1</v>
      </c>
      <c r="B95" s="14" t="s">
        <v>111</v>
      </c>
      <c r="C95" s="21">
        <v>4</v>
      </c>
      <c r="D95" s="15" t="s">
        <v>2</v>
      </c>
      <c r="E95" s="16" t="s">
        <v>28</v>
      </c>
      <c r="F95" s="13" t="s">
        <v>2</v>
      </c>
      <c r="G95" s="3">
        <v>6</v>
      </c>
      <c r="H95" s="15" t="s">
        <v>2</v>
      </c>
      <c r="I95" s="1" t="s">
        <v>67</v>
      </c>
      <c r="J95" s="41">
        <v>1</v>
      </c>
      <c r="K95" s="42">
        <v>2</v>
      </c>
      <c r="L95" s="41"/>
      <c r="M95" s="41"/>
      <c r="N95" s="42"/>
      <c r="O95" s="66"/>
      <c r="P95" s="41">
        <v>5</v>
      </c>
      <c r="Q95" s="42">
        <v>1</v>
      </c>
      <c r="R95" s="42">
        <f>(K95*C95)+J95-P95</f>
        <v>4</v>
      </c>
      <c r="S95" s="41"/>
      <c r="T95" s="42"/>
      <c r="U95" s="41"/>
      <c r="V95" s="42"/>
    </row>
    <row r="96" spans="1:22" x14ac:dyDescent="0.2">
      <c r="A96" s="3">
        <v>1</v>
      </c>
      <c r="B96" s="14" t="s">
        <v>111</v>
      </c>
      <c r="C96" s="21">
        <v>12</v>
      </c>
      <c r="D96" s="15" t="s">
        <v>2</v>
      </c>
      <c r="E96" s="16" t="s">
        <v>155</v>
      </c>
      <c r="F96" s="13" t="s">
        <v>2</v>
      </c>
      <c r="G96" s="3">
        <v>6</v>
      </c>
      <c r="H96" s="15" t="s">
        <v>2</v>
      </c>
      <c r="I96" s="1" t="s">
        <v>156</v>
      </c>
      <c r="J96" s="41">
        <v>7</v>
      </c>
      <c r="K96" s="42">
        <v>0</v>
      </c>
      <c r="L96" s="41"/>
      <c r="M96" s="41"/>
      <c r="N96" s="42"/>
      <c r="O96" s="66"/>
      <c r="P96" s="41">
        <v>7</v>
      </c>
      <c r="Q96" s="42">
        <v>0</v>
      </c>
      <c r="R96" s="42">
        <f>(K96*C96)+J96-P96</f>
        <v>0</v>
      </c>
      <c r="S96" s="41"/>
      <c r="T96" s="42"/>
      <c r="U96" s="41"/>
      <c r="V96" s="42"/>
    </row>
  </sheetData>
  <mergeCells count="34">
    <mergeCell ref="G47:H47"/>
    <mergeCell ref="G59:H59"/>
    <mergeCell ref="G65:H65"/>
    <mergeCell ref="A59:D59"/>
    <mergeCell ref="A65:D65"/>
    <mergeCell ref="A47:D47"/>
    <mergeCell ref="A3:D3"/>
    <mergeCell ref="G3:H3"/>
    <mergeCell ref="G7:H7"/>
    <mergeCell ref="A20:D20"/>
    <mergeCell ref="G20:H20"/>
    <mergeCell ref="A7:D7"/>
    <mergeCell ref="A36:D36"/>
    <mergeCell ref="G36:H36"/>
    <mergeCell ref="A39:D39"/>
    <mergeCell ref="G39:H39"/>
    <mergeCell ref="A23:D23"/>
    <mergeCell ref="G23:H23"/>
    <mergeCell ref="A31:D31"/>
    <mergeCell ref="G31:H31"/>
    <mergeCell ref="A68:D68"/>
    <mergeCell ref="G68:H68"/>
    <mergeCell ref="A72:D72"/>
    <mergeCell ref="G72:H72"/>
    <mergeCell ref="A54:D54"/>
    <mergeCell ref="G54:H54"/>
    <mergeCell ref="A85:D85"/>
    <mergeCell ref="G85:H85"/>
    <mergeCell ref="A89:D89"/>
    <mergeCell ref="G89:H89"/>
    <mergeCell ref="A74:D74"/>
    <mergeCell ref="G74:H74"/>
    <mergeCell ref="A81:D81"/>
    <mergeCell ref="G81:H81"/>
  </mergeCells>
  <conditionalFormatting sqref="J4:V6 J60:V64 J66:V67 J69:V71 J73:V73 J75:V80 J82:V84 J86:V88 J90:V96">
    <cfRule type="cellIs" dxfId="29" priority="83" operator="lessThan">
      <formula>0</formula>
    </cfRule>
    <cfRule type="cellIs" dxfId="28" priority="84" operator="equal">
      <formula>0</formula>
    </cfRule>
  </conditionalFormatting>
  <conditionalFormatting sqref="J8:V19">
    <cfRule type="cellIs" dxfId="27" priority="37" operator="lessThan">
      <formula>0</formula>
    </cfRule>
    <cfRule type="cellIs" dxfId="26" priority="38" operator="equal">
      <formula>0</formula>
    </cfRule>
  </conditionalFormatting>
  <conditionalFormatting sqref="J21:V22">
    <cfRule type="cellIs" dxfId="25" priority="53" operator="lessThan">
      <formula>0</formula>
    </cfRule>
    <cfRule type="cellIs" dxfId="24" priority="54" operator="equal">
      <formula>0</formula>
    </cfRule>
  </conditionalFormatting>
  <conditionalFormatting sqref="J24:V30">
    <cfRule type="cellIs" dxfId="23" priority="31" operator="lessThan">
      <formula>0</formula>
    </cfRule>
    <cfRule type="cellIs" dxfId="22" priority="32" operator="equal">
      <formula>0</formula>
    </cfRule>
  </conditionalFormatting>
  <conditionalFormatting sqref="J32:V35">
    <cfRule type="cellIs" dxfId="21" priority="27" operator="lessThan">
      <formula>0</formula>
    </cfRule>
    <cfRule type="cellIs" dxfId="20" priority="28" operator="equal">
      <formula>0</formula>
    </cfRule>
  </conditionalFormatting>
  <conditionalFormatting sqref="J37:V38">
    <cfRule type="cellIs" dxfId="19" priority="23" operator="lessThan">
      <formula>0</formula>
    </cfRule>
    <cfRule type="cellIs" dxfId="18" priority="24" operator="equal">
      <formula>0</formula>
    </cfRule>
  </conditionalFormatting>
  <conditionalFormatting sqref="J40:V46">
    <cfRule type="cellIs" dxfId="17" priority="9" operator="lessThan">
      <formula>0</formula>
    </cfRule>
    <cfRule type="cellIs" dxfId="16" priority="10" operator="equal">
      <formula>0</formula>
    </cfRule>
  </conditionalFormatting>
  <conditionalFormatting sqref="J48:V53">
    <cfRule type="cellIs" dxfId="15" priority="5" operator="lessThan">
      <formula>0</formula>
    </cfRule>
    <cfRule type="cellIs" dxfId="14" priority="6" operator="equal">
      <formula>0</formula>
    </cfRule>
  </conditionalFormatting>
  <conditionalFormatting sqref="J55:V57">
    <cfRule type="cellIs" dxfId="13" priority="1" operator="lessThan">
      <formula>0</formula>
    </cfRule>
    <cfRule type="cellIs" dxfId="12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190A-78DE-452F-9C68-50BE3F6BA4E2}">
  <sheetPr codeName="Sheet7"/>
  <dimension ref="A1:Q67"/>
  <sheetViews>
    <sheetView tabSelected="1" view="pageLayout" zoomScale="115" zoomScaleNormal="145" zoomScalePageLayoutView="115" workbookViewId="0">
      <selection activeCell="F20" sqref="F20"/>
    </sheetView>
  </sheetViews>
  <sheetFormatPr defaultRowHeight="13.5" customHeight="1" x14ac:dyDescent="0.25"/>
  <cols>
    <col min="1" max="1" width="5.42578125" style="98" customWidth="1"/>
    <col min="2" max="2" width="1.7109375" style="77" bestFit="1" customWidth="1"/>
    <col min="3" max="3" width="5" style="82" bestFit="1" customWidth="1"/>
    <col min="4" max="4" width="3.140625" style="82" bestFit="1" customWidth="1"/>
    <col min="5" max="5" width="21.7109375" style="73" bestFit="1" customWidth="1"/>
    <col min="6" max="6" width="5.85546875" style="73" customWidth="1"/>
    <col min="7" max="7" width="5.140625" style="73" customWidth="1"/>
    <col min="8" max="8" width="4.85546875" style="73" bestFit="1" customWidth="1"/>
    <col min="9" max="9" width="4.7109375" style="73" bestFit="1" customWidth="1"/>
    <col min="10" max="10" width="5.140625" style="73" customWidth="1"/>
    <col min="11" max="11" width="11.5703125" style="73" bestFit="1" customWidth="1"/>
    <col min="12" max="12" width="1.42578125" style="73" customWidth="1"/>
    <col min="13" max="13" width="5.85546875" style="77" hidden="1" customWidth="1"/>
    <col min="14" max="14" width="5.5703125" style="77" hidden="1" customWidth="1"/>
    <col min="15" max="15" width="4.7109375" style="73" customWidth="1"/>
    <col min="16" max="16" width="11" style="73" customWidth="1"/>
    <col min="17" max="17" width="5.85546875" style="73" customWidth="1"/>
    <col min="18" max="16384" width="9.140625" style="73"/>
  </cols>
  <sheetData>
    <row r="1" spans="1:17" ht="13.5" customHeight="1" x14ac:dyDescent="0.25">
      <c r="A1" s="75" t="s">
        <v>17</v>
      </c>
      <c r="B1" s="111"/>
      <c r="C1" s="111"/>
      <c r="D1" s="111"/>
      <c r="E1" s="111"/>
      <c r="F1" s="98"/>
      <c r="G1" s="75" t="s">
        <v>18</v>
      </c>
      <c r="H1" s="111"/>
      <c r="I1" s="111"/>
      <c r="J1" s="111"/>
      <c r="O1" s="75" t="s">
        <v>205</v>
      </c>
      <c r="P1" s="76">
        <f ca="1">_xlfn.LET(_xlpm.anchor,DATE(2026,4,28),_xlpm.cycle,14,_xlpm.next,_xlpm.anchor+_xlfn.CEILING.MATH(MAX(0,TODAY()-_xlpm.anchor),_xlpm.cycle),IF(_xlpm.next=TODAY(),"DUE TODAY",_xlpm.next))</f>
        <v>46294</v>
      </c>
    </row>
    <row r="2" spans="1:17" ht="13.5" customHeight="1" x14ac:dyDescent="0.25">
      <c r="A2" s="75" t="s">
        <v>33</v>
      </c>
      <c r="B2" s="111"/>
      <c r="C2" s="111"/>
      <c r="D2" s="111"/>
      <c r="E2" s="111"/>
      <c r="F2" s="98"/>
      <c r="G2" s="75" t="s">
        <v>88</v>
      </c>
      <c r="H2" s="111"/>
      <c r="I2" s="111"/>
      <c r="J2" s="111"/>
      <c r="P2" s="75"/>
      <c r="Q2" s="78"/>
    </row>
    <row r="3" spans="1:17" ht="5.25" customHeight="1" x14ac:dyDescent="0.25">
      <c r="A3" s="75"/>
      <c r="B3" s="79"/>
      <c r="C3" s="80"/>
      <c r="D3" s="80"/>
      <c r="E3" s="81"/>
      <c r="F3" s="81"/>
      <c r="G3" s="77"/>
      <c r="H3" s="77"/>
      <c r="I3" s="82"/>
      <c r="J3" s="82"/>
      <c r="K3" s="81"/>
    </row>
    <row r="4" spans="1:17" ht="13.5" customHeight="1" x14ac:dyDescent="0.25">
      <c r="A4" s="107" t="s">
        <v>89</v>
      </c>
      <c r="B4" s="108"/>
      <c r="C4" s="108"/>
      <c r="D4" s="108"/>
      <c r="E4" s="83" t="s">
        <v>90</v>
      </c>
      <c r="F4" s="107" t="s">
        <v>6</v>
      </c>
      <c r="G4" s="109"/>
      <c r="H4" s="110" t="s">
        <v>0</v>
      </c>
      <c r="I4" s="110"/>
      <c r="J4" s="84" t="s">
        <v>1</v>
      </c>
      <c r="K4" s="84" t="s">
        <v>7</v>
      </c>
    </row>
    <row r="5" spans="1:17" ht="13.5" customHeight="1" x14ac:dyDescent="0.25">
      <c r="A5" s="85">
        <v>20</v>
      </c>
      <c r="B5" s="86" t="s">
        <v>111</v>
      </c>
      <c r="C5" s="87">
        <v>50</v>
      </c>
      <c r="D5" s="88" t="s">
        <v>2</v>
      </c>
      <c r="E5" s="89" t="s">
        <v>51</v>
      </c>
      <c r="F5" s="94"/>
      <c r="G5" s="93" t="s">
        <v>4</v>
      </c>
      <c r="H5" s="85">
        <v>24</v>
      </c>
      <c r="I5" s="88" t="s">
        <v>4</v>
      </c>
      <c r="J5" s="92"/>
      <c r="K5" s="93" t="s">
        <v>84</v>
      </c>
      <c r="M5" s="77">
        <v>15</v>
      </c>
    </row>
    <row r="6" spans="1:17" ht="13.5" customHeight="1" x14ac:dyDescent="0.25">
      <c r="A6" s="85">
        <v>10</v>
      </c>
      <c r="B6" s="86" t="s">
        <v>111</v>
      </c>
      <c r="C6" s="87">
        <v>100</v>
      </c>
      <c r="D6" s="88" t="s">
        <v>2</v>
      </c>
      <c r="E6" s="89" t="s">
        <v>50</v>
      </c>
      <c r="F6" s="94"/>
      <c r="G6" s="93" t="s">
        <v>4</v>
      </c>
      <c r="H6" s="85">
        <v>19</v>
      </c>
      <c r="I6" s="88" t="s">
        <v>4</v>
      </c>
      <c r="J6" s="95"/>
      <c r="K6" s="93" t="s">
        <v>54</v>
      </c>
      <c r="M6" s="77">
        <v>24</v>
      </c>
    </row>
    <row r="7" spans="1:17" ht="13.5" customHeight="1" x14ac:dyDescent="0.25">
      <c r="A7" s="85">
        <v>10</v>
      </c>
      <c r="B7" s="86" t="s">
        <v>111</v>
      </c>
      <c r="C7" s="87">
        <v>250</v>
      </c>
      <c r="D7" s="88" t="s">
        <v>2</v>
      </c>
      <c r="E7" s="89" t="s">
        <v>100</v>
      </c>
      <c r="F7" s="90"/>
      <c r="G7" s="93" t="s">
        <v>4</v>
      </c>
      <c r="H7" s="85">
        <v>8</v>
      </c>
      <c r="I7" s="88" t="s">
        <v>4</v>
      </c>
      <c r="J7" s="92"/>
      <c r="K7" s="93" t="s">
        <v>60</v>
      </c>
      <c r="M7" s="77">
        <v>8</v>
      </c>
    </row>
    <row r="8" spans="1:17" ht="13.5" customHeight="1" x14ac:dyDescent="0.25">
      <c r="A8" s="85">
        <v>25</v>
      </c>
      <c r="B8" s="86" t="s">
        <v>111</v>
      </c>
      <c r="C8" s="87">
        <v>100</v>
      </c>
      <c r="D8" s="88" t="s">
        <v>2</v>
      </c>
      <c r="E8" s="89" t="s">
        <v>101</v>
      </c>
      <c r="F8" s="90"/>
      <c r="G8" s="93" t="s">
        <v>4</v>
      </c>
      <c r="H8" s="85">
        <v>16</v>
      </c>
      <c r="I8" s="88" t="s">
        <v>4</v>
      </c>
      <c r="J8" s="92"/>
      <c r="K8" s="93" t="s">
        <v>61</v>
      </c>
      <c r="M8" s="77">
        <v>30</v>
      </c>
    </row>
    <row r="9" spans="1:17" ht="13.5" customHeight="1" x14ac:dyDescent="0.25">
      <c r="A9" s="85">
        <v>20</v>
      </c>
      <c r="B9" s="86" t="s">
        <v>111</v>
      </c>
      <c r="C9" s="87">
        <v>125</v>
      </c>
      <c r="D9" s="88" t="s">
        <v>2</v>
      </c>
      <c r="E9" s="89" t="s">
        <v>102</v>
      </c>
      <c r="F9" s="90"/>
      <c r="G9" s="93" t="s">
        <v>4</v>
      </c>
      <c r="H9" s="85">
        <v>12</v>
      </c>
      <c r="I9" s="88" t="s">
        <v>4</v>
      </c>
      <c r="J9" s="92"/>
      <c r="K9" s="93" t="s">
        <v>62</v>
      </c>
      <c r="M9" s="77">
        <v>12</v>
      </c>
    </row>
    <row r="10" spans="1:17" ht="13.5" customHeight="1" x14ac:dyDescent="0.25">
      <c r="A10" s="85">
        <v>4</v>
      </c>
      <c r="B10" s="86" t="s">
        <v>111</v>
      </c>
      <c r="C10" s="87">
        <v>150</v>
      </c>
      <c r="D10" s="88" t="s">
        <v>2</v>
      </c>
      <c r="E10" s="89" t="s">
        <v>127</v>
      </c>
      <c r="F10" s="90"/>
      <c r="G10" s="93" t="s">
        <v>4</v>
      </c>
      <c r="H10" s="85">
        <v>4</v>
      </c>
      <c r="I10" s="88" t="s">
        <v>4</v>
      </c>
      <c r="J10" s="92"/>
      <c r="K10" s="93" t="s">
        <v>71</v>
      </c>
    </row>
    <row r="11" spans="1:17" ht="13.5" customHeight="1" x14ac:dyDescent="0.25">
      <c r="A11" s="85">
        <v>1</v>
      </c>
      <c r="B11" s="86" t="s">
        <v>111</v>
      </c>
      <c r="C11" s="87">
        <v>150</v>
      </c>
      <c r="D11" s="88" t="s">
        <v>2</v>
      </c>
      <c r="E11" s="89" t="s">
        <v>106</v>
      </c>
      <c r="F11" s="90"/>
      <c r="G11" s="91" t="s">
        <v>3</v>
      </c>
      <c r="H11" s="85">
        <v>5</v>
      </c>
      <c r="I11" s="100" t="s">
        <v>3</v>
      </c>
      <c r="J11" s="92"/>
      <c r="K11" s="93" t="s">
        <v>70</v>
      </c>
      <c r="M11" s="77">
        <v>4</v>
      </c>
    </row>
    <row r="12" spans="1:17" ht="13.5" customHeight="1" x14ac:dyDescent="0.25">
      <c r="A12" s="85">
        <v>4</v>
      </c>
      <c r="B12" s="86" t="s">
        <v>111</v>
      </c>
      <c r="C12" s="87">
        <v>63</v>
      </c>
      <c r="D12" s="88" t="s">
        <v>2</v>
      </c>
      <c r="E12" s="89" t="s">
        <v>129</v>
      </c>
      <c r="F12" s="90"/>
      <c r="G12" s="93" t="s">
        <v>4</v>
      </c>
      <c r="H12" s="85">
        <v>3</v>
      </c>
      <c r="I12" s="88" t="s">
        <v>4</v>
      </c>
      <c r="J12" s="92"/>
      <c r="K12" s="93" t="s">
        <v>113</v>
      </c>
      <c r="M12" s="77">
        <v>5</v>
      </c>
    </row>
    <row r="13" spans="1:17" ht="13.5" customHeight="1" x14ac:dyDescent="0.25">
      <c r="A13" s="85">
        <v>4</v>
      </c>
      <c r="B13" s="86" t="s">
        <v>111</v>
      </c>
      <c r="C13" s="87">
        <v>63</v>
      </c>
      <c r="D13" s="88" t="s">
        <v>2</v>
      </c>
      <c r="E13" s="89" t="s">
        <v>130</v>
      </c>
      <c r="F13" s="90"/>
      <c r="G13" s="93" t="s">
        <v>4</v>
      </c>
      <c r="H13" s="85">
        <v>4</v>
      </c>
      <c r="I13" s="88" t="s">
        <v>4</v>
      </c>
      <c r="J13" s="92"/>
      <c r="K13" s="93" t="s">
        <v>114</v>
      </c>
      <c r="M13" s="77">
        <v>3</v>
      </c>
    </row>
    <row r="14" spans="1:17" ht="13.5" customHeight="1" x14ac:dyDescent="0.25">
      <c r="A14" s="85">
        <v>2</v>
      </c>
      <c r="B14" s="86" t="s">
        <v>111</v>
      </c>
      <c r="C14" s="87">
        <v>125</v>
      </c>
      <c r="D14" s="88" t="s">
        <v>2</v>
      </c>
      <c r="E14" s="89" t="s">
        <v>107</v>
      </c>
      <c r="F14" s="90"/>
      <c r="G14" s="93" t="s">
        <v>4</v>
      </c>
      <c r="H14" s="85">
        <v>2</v>
      </c>
      <c r="I14" s="88" t="s">
        <v>4</v>
      </c>
      <c r="J14" s="92"/>
      <c r="K14" s="93" t="s">
        <v>35</v>
      </c>
      <c r="M14" s="77">
        <v>4</v>
      </c>
    </row>
    <row r="15" spans="1:17" ht="13.5" customHeight="1" x14ac:dyDescent="0.25">
      <c r="A15" s="85">
        <v>1</v>
      </c>
      <c r="B15" s="86" t="s">
        <v>111</v>
      </c>
      <c r="C15" s="87">
        <v>250</v>
      </c>
      <c r="D15" s="88" t="s">
        <v>2</v>
      </c>
      <c r="E15" s="89" t="s">
        <v>104</v>
      </c>
      <c r="F15" s="90"/>
      <c r="G15" s="91" t="s">
        <v>3</v>
      </c>
      <c r="H15" s="85">
        <v>4</v>
      </c>
      <c r="I15" s="100" t="s">
        <v>3</v>
      </c>
      <c r="J15" s="92"/>
      <c r="K15" s="93" t="s">
        <v>199</v>
      </c>
      <c r="M15" s="77">
        <v>2</v>
      </c>
    </row>
    <row r="16" spans="1:17" ht="13.5" customHeight="1" x14ac:dyDescent="0.25">
      <c r="A16" s="85">
        <v>1</v>
      </c>
      <c r="B16" s="86" t="s">
        <v>111</v>
      </c>
      <c r="C16" s="87">
        <v>500</v>
      </c>
      <c r="D16" s="88" t="s">
        <v>2</v>
      </c>
      <c r="E16" s="89" t="s">
        <v>131</v>
      </c>
      <c r="F16" s="90"/>
      <c r="G16" s="93" t="s">
        <v>4</v>
      </c>
      <c r="H16" s="85">
        <v>3</v>
      </c>
      <c r="I16" s="88" t="s">
        <v>4</v>
      </c>
      <c r="J16" s="92"/>
      <c r="K16" s="93" t="s">
        <v>115</v>
      </c>
      <c r="M16" s="77">
        <v>4</v>
      </c>
    </row>
    <row r="17" spans="1:13" ht="13.5" customHeight="1" x14ac:dyDescent="0.25">
      <c r="A17" s="85">
        <v>2</v>
      </c>
      <c r="B17" s="86" t="s">
        <v>111</v>
      </c>
      <c r="C17" s="87">
        <v>250</v>
      </c>
      <c r="D17" s="88" t="s">
        <v>2</v>
      </c>
      <c r="E17" s="89" t="s">
        <v>132</v>
      </c>
      <c r="F17" s="90"/>
      <c r="G17" s="93" t="s">
        <v>4</v>
      </c>
      <c r="H17" s="85">
        <v>2</v>
      </c>
      <c r="I17" s="88" t="s">
        <v>4</v>
      </c>
      <c r="J17" s="92"/>
      <c r="K17" s="93" t="s">
        <v>116</v>
      </c>
      <c r="M17" s="77">
        <v>6</v>
      </c>
    </row>
    <row r="18" spans="1:13" ht="13.5" customHeight="1" x14ac:dyDescent="0.25">
      <c r="A18" s="85">
        <v>4</v>
      </c>
      <c r="B18" s="86" t="s">
        <v>111</v>
      </c>
      <c r="C18" s="87">
        <v>125</v>
      </c>
      <c r="D18" s="88" t="s">
        <v>2</v>
      </c>
      <c r="E18" s="89" t="s">
        <v>133</v>
      </c>
      <c r="F18" s="90"/>
      <c r="G18" s="93" t="s">
        <v>4</v>
      </c>
      <c r="H18" s="85">
        <v>4</v>
      </c>
      <c r="I18" s="88" t="s">
        <v>4</v>
      </c>
      <c r="J18" s="92"/>
      <c r="K18" s="93" t="s">
        <v>59</v>
      </c>
      <c r="M18" s="77">
        <v>2</v>
      </c>
    </row>
    <row r="19" spans="1:13" ht="13.5" customHeight="1" x14ac:dyDescent="0.25">
      <c r="A19" s="85">
        <v>2</v>
      </c>
      <c r="B19" s="86" t="s">
        <v>111</v>
      </c>
      <c r="C19" s="87">
        <v>250</v>
      </c>
      <c r="D19" s="88" t="s">
        <v>2</v>
      </c>
      <c r="E19" s="89" t="s">
        <v>134</v>
      </c>
      <c r="F19" s="90"/>
      <c r="G19" s="93" t="s">
        <v>4</v>
      </c>
      <c r="H19" s="85">
        <v>2</v>
      </c>
      <c r="I19" s="88" t="s">
        <v>4</v>
      </c>
      <c r="J19" s="92"/>
      <c r="K19" s="93" t="s">
        <v>19</v>
      </c>
      <c r="M19" s="77">
        <v>4</v>
      </c>
    </row>
    <row r="20" spans="1:13" ht="13.5" customHeight="1" x14ac:dyDescent="0.25">
      <c r="A20" s="85">
        <v>1</v>
      </c>
      <c r="B20" s="86" t="s">
        <v>111</v>
      </c>
      <c r="C20" s="87">
        <v>50</v>
      </c>
      <c r="D20" s="88" t="s">
        <v>2</v>
      </c>
      <c r="E20" s="89" t="s">
        <v>108</v>
      </c>
      <c r="F20" s="90"/>
      <c r="G20" s="91" t="s">
        <v>3</v>
      </c>
      <c r="H20" s="85">
        <v>2</v>
      </c>
      <c r="I20" s="100" t="s">
        <v>3</v>
      </c>
      <c r="J20" s="92"/>
      <c r="K20" s="93" t="s">
        <v>87</v>
      </c>
      <c r="M20" s="77">
        <v>2</v>
      </c>
    </row>
    <row r="21" spans="1:13" ht="13.5" customHeight="1" x14ac:dyDescent="0.25">
      <c r="A21" s="85">
        <v>5</v>
      </c>
      <c r="B21" s="86" t="s">
        <v>111</v>
      </c>
      <c r="C21" s="87">
        <v>1000</v>
      </c>
      <c r="D21" s="88" t="s">
        <v>2</v>
      </c>
      <c r="E21" s="89" t="s">
        <v>32</v>
      </c>
      <c r="F21" s="90"/>
      <c r="G21" s="93" t="s">
        <v>5</v>
      </c>
      <c r="H21" s="85">
        <v>15</v>
      </c>
      <c r="I21" s="88" t="s">
        <v>5</v>
      </c>
      <c r="J21" s="92"/>
      <c r="K21" s="93" t="s">
        <v>69</v>
      </c>
    </row>
    <row r="22" spans="1:13" ht="13.5" customHeight="1" x14ac:dyDescent="0.25">
      <c r="A22" s="85">
        <v>5</v>
      </c>
      <c r="B22" s="86" t="s">
        <v>111</v>
      </c>
      <c r="C22" s="87">
        <v>1000</v>
      </c>
      <c r="D22" s="88" t="s">
        <v>2</v>
      </c>
      <c r="E22" s="89" t="s">
        <v>169</v>
      </c>
      <c r="F22" s="90"/>
      <c r="G22" s="93" t="s">
        <v>38</v>
      </c>
      <c r="H22" s="85">
        <v>3</v>
      </c>
      <c r="I22" s="88" t="s">
        <v>38</v>
      </c>
      <c r="J22" s="92"/>
      <c r="K22" s="93" t="s">
        <v>170</v>
      </c>
      <c r="M22" s="77">
        <v>15</v>
      </c>
    </row>
    <row r="23" spans="1:13" ht="13.5" customHeight="1" x14ac:dyDescent="0.25">
      <c r="A23" s="85">
        <v>2</v>
      </c>
      <c r="B23" s="86" t="s">
        <v>111</v>
      </c>
      <c r="C23" s="87">
        <v>1000</v>
      </c>
      <c r="D23" s="88" t="s">
        <v>2</v>
      </c>
      <c r="E23" s="89" t="s">
        <v>73</v>
      </c>
      <c r="F23" s="90"/>
      <c r="G23" s="93" t="s">
        <v>5</v>
      </c>
      <c r="H23" s="85">
        <v>2</v>
      </c>
      <c r="I23" s="88" t="s">
        <v>5</v>
      </c>
      <c r="J23" s="92"/>
      <c r="K23" s="93" t="s">
        <v>78</v>
      </c>
      <c r="M23" s="77">
        <v>3</v>
      </c>
    </row>
    <row r="24" spans="1:13" ht="13.5" customHeight="1" x14ac:dyDescent="0.25">
      <c r="A24" s="85">
        <v>2</v>
      </c>
      <c r="B24" s="86" t="s">
        <v>111</v>
      </c>
      <c r="C24" s="87">
        <v>1000</v>
      </c>
      <c r="D24" s="88" t="s">
        <v>2</v>
      </c>
      <c r="E24" s="89" t="s">
        <v>74</v>
      </c>
      <c r="F24" s="90"/>
      <c r="G24" s="93" t="s">
        <v>5</v>
      </c>
      <c r="H24" s="85">
        <v>3</v>
      </c>
      <c r="I24" s="88" t="s">
        <v>5</v>
      </c>
      <c r="J24" s="92"/>
      <c r="K24" s="93" t="s">
        <v>79</v>
      </c>
      <c r="M24" s="77">
        <v>2</v>
      </c>
    </row>
    <row r="25" spans="1:13" ht="13.5" customHeight="1" x14ac:dyDescent="0.25">
      <c r="A25" s="85">
        <v>2</v>
      </c>
      <c r="B25" s="86" t="s">
        <v>111</v>
      </c>
      <c r="C25" s="87">
        <v>1000</v>
      </c>
      <c r="D25" s="88" t="s">
        <v>2</v>
      </c>
      <c r="E25" s="89" t="s">
        <v>75</v>
      </c>
      <c r="F25" s="90"/>
      <c r="G25" s="93" t="s">
        <v>5</v>
      </c>
      <c r="H25" s="85">
        <v>2</v>
      </c>
      <c r="I25" s="88" t="s">
        <v>5</v>
      </c>
      <c r="J25" s="92"/>
      <c r="K25" s="93" t="s">
        <v>80</v>
      </c>
      <c r="M25" s="77">
        <v>3</v>
      </c>
    </row>
    <row r="26" spans="1:13" ht="13.5" customHeight="1" x14ac:dyDescent="0.25">
      <c r="A26" s="85">
        <v>2</v>
      </c>
      <c r="B26" s="86" t="s">
        <v>111</v>
      </c>
      <c r="C26" s="87">
        <v>1000</v>
      </c>
      <c r="D26" s="88" t="s">
        <v>2</v>
      </c>
      <c r="E26" s="89" t="s">
        <v>76</v>
      </c>
      <c r="F26" s="90"/>
      <c r="G26" s="93" t="s">
        <v>5</v>
      </c>
      <c r="H26" s="85">
        <v>2</v>
      </c>
      <c r="I26" s="88" t="s">
        <v>5</v>
      </c>
      <c r="J26" s="92"/>
      <c r="K26" s="93" t="s">
        <v>77</v>
      </c>
      <c r="M26" s="77">
        <v>2</v>
      </c>
    </row>
    <row r="27" spans="1:13" ht="13.5" customHeight="1" x14ac:dyDescent="0.25">
      <c r="A27" s="85">
        <v>6</v>
      </c>
      <c r="B27" s="86" t="s">
        <v>111</v>
      </c>
      <c r="C27" s="87">
        <v>600</v>
      </c>
      <c r="D27" s="88" t="s">
        <v>2</v>
      </c>
      <c r="E27" s="89" t="s">
        <v>139</v>
      </c>
      <c r="F27" s="90"/>
      <c r="G27" s="93" t="s">
        <v>38</v>
      </c>
      <c r="H27" s="85">
        <v>6</v>
      </c>
      <c r="I27" s="88" t="s">
        <v>38</v>
      </c>
      <c r="J27" s="92"/>
      <c r="K27" s="93" t="s">
        <v>140</v>
      </c>
      <c r="M27" s="77">
        <v>2</v>
      </c>
    </row>
    <row r="28" spans="1:13" ht="13.5" customHeight="1" x14ac:dyDescent="0.25">
      <c r="A28" s="85">
        <v>2</v>
      </c>
      <c r="B28" s="86" t="s">
        <v>111</v>
      </c>
      <c r="C28" s="87">
        <v>200</v>
      </c>
      <c r="D28" s="88" t="s">
        <v>2</v>
      </c>
      <c r="E28" s="89" t="s">
        <v>25</v>
      </c>
      <c r="F28" s="90"/>
      <c r="G28" s="91" t="s">
        <v>16</v>
      </c>
      <c r="H28" s="85">
        <v>3</v>
      </c>
      <c r="I28" s="100" t="s">
        <v>16</v>
      </c>
      <c r="J28" s="92"/>
      <c r="K28" s="93" t="s">
        <v>12</v>
      </c>
    </row>
    <row r="29" spans="1:13" ht="13.5" customHeight="1" x14ac:dyDescent="0.25">
      <c r="A29" s="85">
        <v>2</v>
      </c>
      <c r="B29" s="86" t="s">
        <v>111</v>
      </c>
      <c r="C29" s="87">
        <v>200</v>
      </c>
      <c r="D29" s="88" t="s">
        <v>2</v>
      </c>
      <c r="E29" s="89" t="s">
        <v>26</v>
      </c>
      <c r="F29" s="90"/>
      <c r="G29" s="91" t="s">
        <v>16</v>
      </c>
      <c r="H29" s="85">
        <v>2</v>
      </c>
      <c r="I29" s="100" t="s">
        <v>16</v>
      </c>
      <c r="J29" s="92"/>
      <c r="K29" s="93" t="s">
        <v>11</v>
      </c>
      <c r="M29" s="77">
        <v>3</v>
      </c>
    </row>
    <row r="30" spans="1:13" ht="13.5" customHeight="1" x14ac:dyDescent="0.25">
      <c r="A30" s="85">
        <v>1</v>
      </c>
      <c r="B30" s="86" t="s">
        <v>111</v>
      </c>
      <c r="C30" s="87">
        <v>500</v>
      </c>
      <c r="D30" s="88" t="s">
        <v>2</v>
      </c>
      <c r="E30" s="89" t="s">
        <v>27</v>
      </c>
      <c r="F30" s="90"/>
      <c r="G30" s="91" t="s">
        <v>16</v>
      </c>
      <c r="H30" s="85">
        <v>3</v>
      </c>
      <c r="I30" s="100" t="s">
        <v>16</v>
      </c>
      <c r="J30" s="92"/>
      <c r="K30" s="93" t="s">
        <v>138</v>
      </c>
      <c r="M30" s="77">
        <v>2</v>
      </c>
    </row>
    <row r="31" spans="1:13" ht="13.5" customHeight="1" x14ac:dyDescent="0.25">
      <c r="A31" s="85">
        <v>1</v>
      </c>
      <c r="B31" s="86" t="s">
        <v>111</v>
      </c>
      <c r="C31" s="87">
        <v>500</v>
      </c>
      <c r="D31" s="88" t="s">
        <v>2</v>
      </c>
      <c r="E31" s="89" t="s">
        <v>91</v>
      </c>
      <c r="F31" s="90"/>
      <c r="G31" s="91" t="s">
        <v>3</v>
      </c>
      <c r="H31" s="85">
        <v>5</v>
      </c>
      <c r="I31" s="100" t="s">
        <v>3</v>
      </c>
      <c r="J31" s="92"/>
      <c r="K31" s="93" t="s">
        <v>55</v>
      </c>
      <c r="M31" s="77">
        <v>3</v>
      </c>
    </row>
    <row r="32" spans="1:13" ht="13.5" customHeight="1" x14ac:dyDescent="0.25">
      <c r="A32" s="85">
        <v>1</v>
      </c>
      <c r="B32" s="86" t="s">
        <v>111</v>
      </c>
      <c r="C32" s="87">
        <v>1000</v>
      </c>
      <c r="D32" s="88" t="s">
        <v>2</v>
      </c>
      <c r="E32" s="89" t="s">
        <v>92</v>
      </c>
      <c r="F32" s="90"/>
      <c r="G32" s="91" t="s">
        <v>3</v>
      </c>
      <c r="H32" s="85">
        <v>1</v>
      </c>
      <c r="I32" s="100" t="s">
        <v>3</v>
      </c>
      <c r="J32" s="92"/>
      <c r="K32" s="93" t="s">
        <v>57</v>
      </c>
      <c r="M32" s="77">
        <v>5</v>
      </c>
    </row>
    <row r="33" spans="1:15" ht="13.5" customHeight="1" x14ac:dyDescent="0.25">
      <c r="A33" s="85">
        <v>1</v>
      </c>
      <c r="B33" s="86" t="s">
        <v>111</v>
      </c>
      <c r="C33" s="87">
        <v>1000</v>
      </c>
      <c r="D33" s="88" t="s">
        <v>2</v>
      </c>
      <c r="E33" s="89" t="s">
        <v>93</v>
      </c>
      <c r="F33" s="90"/>
      <c r="G33" s="91" t="s">
        <v>3</v>
      </c>
      <c r="H33" s="85">
        <v>3</v>
      </c>
      <c r="I33" s="100" t="s">
        <v>3</v>
      </c>
      <c r="J33" s="92"/>
      <c r="K33" s="93" t="s">
        <v>39</v>
      </c>
      <c r="M33" s="77">
        <v>1</v>
      </c>
    </row>
    <row r="34" spans="1:15" ht="13.5" customHeight="1" x14ac:dyDescent="0.25">
      <c r="A34" s="85">
        <v>1</v>
      </c>
      <c r="B34" s="86" t="s">
        <v>111</v>
      </c>
      <c r="C34" s="87">
        <v>1000</v>
      </c>
      <c r="D34" s="88" t="s">
        <v>2</v>
      </c>
      <c r="E34" s="89" t="s">
        <v>37</v>
      </c>
      <c r="F34" s="90"/>
      <c r="G34" s="93" t="s">
        <v>38</v>
      </c>
      <c r="H34" s="85">
        <v>5</v>
      </c>
      <c r="I34" s="88" t="s">
        <v>38</v>
      </c>
      <c r="J34" s="92"/>
      <c r="K34" s="93" t="s">
        <v>56</v>
      </c>
      <c r="M34" s="77">
        <v>3</v>
      </c>
    </row>
    <row r="35" spans="1:15" ht="13.5" customHeight="1" x14ac:dyDescent="0.25">
      <c r="A35" s="85">
        <v>10</v>
      </c>
      <c r="B35" s="86" t="s">
        <v>111</v>
      </c>
      <c r="C35" s="87">
        <v>100</v>
      </c>
      <c r="D35" s="88" t="s">
        <v>2</v>
      </c>
      <c r="E35" s="89" t="s">
        <v>47</v>
      </c>
      <c r="F35" s="90"/>
      <c r="G35" s="93" t="s">
        <v>5</v>
      </c>
      <c r="H35" s="85">
        <v>12</v>
      </c>
      <c r="I35" s="88" t="s">
        <v>5</v>
      </c>
      <c r="J35" s="92"/>
      <c r="K35" s="93" t="s">
        <v>45</v>
      </c>
      <c r="M35" s="77">
        <v>5</v>
      </c>
    </row>
    <row r="36" spans="1:15" ht="13.5" customHeight="1" x14ac:dyDescent="0.25">
      <c r="A36" s="85">
        <v>1</v>
      </c>
      <c r="B36" s="86" t="s">
        <v>111</v>
      </c>
      <c r="C36" s="87">
        <v>1</v>
      </c>
      <c r="D36" s="88" t="s">
        <v>2</v>
      </c>
      <c r="E36" s="89" t="s">
        <v>36</v>
      </c>
      <c r="F36" s="90"/>
      <c r="G36" s="93" t="s">
        <v>2</v>
      </c>
      <c r="H36" s="85">
        <v>3</v>
      </c>
      <c r="I36" s="88" t="s">
        <v>2</v>
      </c>
      <c r="J36" s="92"/>
      <c r="K36" s="93" t="s">
        <v>245</v>
      </c>
    </row>
    <row r="37" spans="1:15" ht="13.5" customHeight="1" x14ac:dyDescent="0.25">
      <c r="A37" s="85">
        <v>1</v>
      </c>
      <c r="B37" s="86" t="s">
        <v>111</v>
      </c>
      <c r="C37" s="87">
        <v>1000</v>
      </c>
      <c r="D37" s="88" t="s">
        <v>2</v>
      </c>
      <c r="E37" s="89" t="s">
        <v>22</v>
      </c>
      <c r="F37" s="90"/>
      <c r="G37" s="91" t="s">
        <v>3</v>
      </c>
      <c r="H37" s="85">
        <v>3</v>
      </c>
      <c r="I37" s="100" t="s">
        <v>3</v>
      </c>
      <c r="J37" s="92"/>
      <c r="K37" s="93" t="s">
        <v>96</v>
      </c>
    </row>
    <row r="38" spans="1:15" ht="13.5" customHeight="1" x14ac:dyDescent="0.25">
      <c r="A38" s="85">
        <v>1</v>
      </c>
      <c r="B38" s="86" t="s">
        <v>111</v>
      </c>
      <c r="C38" s="87">
        <v>1000</v>
      </c>
      <c r="D38" s="88" t="s">
        <v>2</v>
      </c>
      <c r="E38" s="89" t="s">
        <v>23</v>
      </c>
      <c r="F38" s="90"/>
      <c r="G38" s="91" t="s">
        <v>3</v>
      </c>
      <c r="H38" s="85">
        <v>3</v>
      </c>
      <c r="I38" s="100" t="s">
        <v>3</v>
      </c>
      <c r="J38" s="92"/>
      <c r="K38" s="93" t="s">
        <v>97</v>
      </c>
      <c r="M38" s="77">
        <v>3</v>
      </c>
    </row>
    <row r="39" spans="1:15" ht="13.5" customHeight="1" x14ac:dyDescent="0.25">
      <c r="A39" s="85">
        <v>20</v>
      </c>
      <c r="B39" s="86" t="s">
        <v>111</v>
      </c>
      <c r="C39" s="87">
        <v>100</v>
      </c>
      <c r="D39" s="88" t="s">
        <v>2</v>
      </c>
      <c r="E39" s="89" t="s">
        <v>109</v>
      </c>
      <c r="F39" s="90"/>
      <c r="G39" s="93" t="s">
        <v>5</v>
      </c>
      <c r="H39" s="85">
        <v>60</v>
      </c>
      <c r="I39" s="88" t="s">
        <v>5</v>
      </c>
      <c r="J39" s="92"/>
      <c r="K39" s="93" t="s">
        <v>64</v>
      </c>
      <c r="M39" s="77">
        <v>3</v>
      </c>
    </row>
    <row r="40" spans="1:15" ht="13.5" customHeight="1" x14ac:dyDescent="0.25">
      <c r="A40" s="85">
        <v>12</v>
      </c>
      <c r="B40" s="86" t="s">
        <v>111</v>
      </c>
      <c r="C40" s="87">
        <v>500</v>
      </c>
      <c r="D40" s="88" t="s">
        <v>2</v>
      </c>
      <c r="E40" s="89" t="s">
        <v>110</v>
      </c>
      <c r="F40" s="90"/>
      <c r="G40" s="91" t="s">
        <v>3</v>
      </c>
      <c r="H40" s="85">
        <v>10</v>
      </c>
      <c r="I40" s="100" t="s">
        <v>3</v>
      </c>
      <c r="J40" s="92"/>
      <c r="K40" s="93" t="s">
        <v>72</v>
      </c>
      <c r="M40" s="77">
        <v>60</v>
      </c>
    </row>
    <row r="41" spans="1:15" ht="13.5" customHeight="1" x14ac:dyDescent="0.25">
      <c r="A41" s="85">
        <v>1</v>
      </c>
      <c r="B41" s="86" t="s">
        <v>111</v>
      </c>
      <c r="C41" s="87">
        <v>12</v>
      </c>
      <c r="D41" s="88" t="s">
        <v>2</v>
      </c>
      <c r="E41" s="89" t="s">
        <v>157</v>
      </c>
      <c r="F41" s="90"/>
      <c r="G41" s="93" t="s">
        <v>2</v>
      </c>
      <c r="H41" s="85">
        <v>6</v>
      </c>
      <c r="I41" s="88" t="s">
        <v>2</v>
      </c>
      <c r="J41" s="92"/>
      <c r="K41" s="93" t="s">
        <v>158</v>
      </c>
    </row>
    <row r="42" spans="1:15" ht="13.5" customHeight="1" x14ac:dyDescent="0.25">
      <c r="A42" s="85">
        <v>1</v>
      </c>
      <c r="B42" s="86" t="s">
        <v>111</v>
      </c>
      <c r="C42" s="87">
        <v>1000</v>
      </c>
      <c r="D42" s="88" t="s">
        <v>2</v>
      </c>
      <c r="E42" s="89" t="s">
        <v>249</v>
      </c>
      <c r="F42" s="90"/>
      <c r="G42" s="93" t="s">
        <v>38</v>
      </c>
      <c r="H42" s="85">
        <v>3</v>
      </c>
      <c r="I42" s="88" t="s">
        <v>38</v>
      </c>
      <c r="J42" s="92"/>
      <c r="K42" s="93" t="s">
        <v>250</v>
      </c>
      <c r="M42" s="74" t="s">
        <v>251</v>
      </c>
      <c r="N42" s="73"/>
      <c r="O42" s="73" t="s">
        <v>251</v>
      </c>
    </row>
    <row r="43" spans="1:15" ht="13.5" customHeight="1" x14ac:dyDescent="0.25">
      <c r="A43" s="85">
        <v>1</v>
      </c>
      <c r="B43" s="86" t="s">
        <v>111</v>
      </c>
      <c r="C43" s="87">
        <v>6</v>
      </c>
      <c r="D43" s="88" t="s">
        <v>2</v>
      </c>
      <c r="E43" s="89" t="s">
        <v>9</v>
      </c>
      <c r="F43" s="90"/>
      <c r="G43" s="93" t="s">
        <v>2</v>
      </c>
      <c r="H43" s="85">
        <v>18</v>
      </c>
      <c r="I43" s="88" t="s">
        <v>2</v>
      </c>
      <c r="J43" s="92"/>
      <c r="K43" s="93" t="s">
        <v>15</v>
      </c>
      <c r="M43" s="77">
        <v>6</v>
      </c>
    </row>
    <row r="44" spans="1:15" ht="13.5" customHeight="1" x14ac:dyDescent="0.25">
      <c r="A44" s="85">
        <v>1</v>
      </c>
      <c r="B44" s="86" t="s">
        <v>111</v>
      </c>
      <c r="C44" s="87">
        <v>12</v>
      </c>
      <c r="D44" s="88" t="s">
        <v>141</v>
      </c>
      <c r="E44" s="89" t="s">
        <v>142</v>
      </c>
      <c r="F44" s="90"/>
      <c r="G44" s="93" t="s">
        <v>2</v>
      </c>
      <c r="H44" s="85">
        <v>20</v>
      </c>
      <c r="I44" s="88" t="s">
        <v>2</v>
      </c>
      <c r="J44" s="92"/>
      <c r="K44" s="93" t="s">
        <v>143</v>
      </c>
      <c r="M44" s="77">
        <v>18</v>
      </c>
    </row>
    <row r="45" spans="1:15" ht="13.5" customHeight="1" x14ac:dyDescent="0.25">
      <c r="A45" s="85">
        <v>1</v>
      </c>
      <c r="B45" s="86" t="s">
        <v>111</v>
      </c>
      <c r="C45" s="87">
        <v>100</v>
      </c>
      <c r="D45" s="88" t="s">
        <v>2</v>
      </c>
      <c r="E45" s="89" t="s">
        <v>52</v>
      </c>
      <c r="F45" s="90"/>
      <c r="G45" s="93" t="s">
        <v>38</v>
      </c>
      <c r="H45" s="85">
        <v>10</v>
      </c>
      <c r="I45" s="88" t="s">
        <v>38</v>
      </c>
      <c r="J45" s="92"/>
      <c r="K45" s="93" t="s">
        <v>185</v>
      </c>
      <c r="M45" s="77">
        <v>20</v>
      </c>
    </row>
    <row r="46" spans="1:15" ht="13.5" customHeight="1" x14ac:dyDescent="0.25">
      <c r="A46" s="85">
        <v>1</v>
      </c>
      <c r="B46" s="86" t="s">
        <v>111</v>
      </c>
      <c r="C46" s="87">
        <v>100</v>
      </c>
      <c r="D46" s="88" t="s">
        <v>2</v>
      </c>
      <c r="E46" s="89" t="s">
        <v>53</v>
      </c>
      <c r="F46" s="90"/>
      <c r="G46" s="93" t="s">
        <v>38</v>
      </c>
      <c r="H46" s="85">
        <v>10</v>
      </c>
      <c r="I46" s="88" t="s">
        <v>38</v>
      </c>
      <c r="J46" s="92"/>
      <c r="K46" s="93" t="s">
        <v>186</v>
      </c>
      <c r="M46" s="77">
        <v>10</v>
      </c>
    </row>
    <row r="47" spans="1:15" ht="13.5" customHeight="1" x14ac:dyDescent="0.25">
      <c r="A47" s="85">
        <v>10</v>
      </c>
      <c r="B47" s="86" t="s">
        <v>111</v>
      </c>
      <c r="C47" s="87">
        <v>25</v>
      </c>
      <c r="D47" s="88" t="s">
        <v>2</v>
      </c>
      <c r="E47" s="89" t="s">
        <v>153</v>
      </c>
      <c r="F47" s="90"/>
      <c r="G47" s="93" t="s">
        <v>2</v>
      </c>
      <c r="H47" s="85">
        <v>20</v>
      </c>
      <c r="I47" s="88" t="s">
        <v>2</v>
      </c>
      <c r="J47" s="92"/>
      <c r="K47" s="93" t="s">
        <v>154</v>
      </c>
      <c r="M47" s="77">
        <v>10</v>
      </c>
    </row>
    <row r="48" spans="1:15" ht="13.5" customHeight="1" x14ac:dyDescent="0.25">
      <c r="A48" s="85">
        <v>1</v>
      </c>
      <c r="B48" s="86" t="s">
        <v>111</v>
      </c>
      <c r="C48" s="87">
        <v>40</v>
      </c>
      <c r="D48" s="88" t="s">
        <v>2</v>
      </c>
      <c r="E48" s="89" t="s">
        <v>173</v>
      </c>
      <c r="F48" s="90"/>
      <c r="G48" s="93" t="s">
        <v>2</v>
      </c>
      <c r="H48" s="85">
        <v>30</v>
      </c>
      <c r="I48" s="88" t="s">
        <v>2</v>
      </c>
      <c r="J48" s="92"/>
      <c r="K48" s="93" t="s">
        <v>174</v>
      </c>
    </row>
    <row r="49" spans="1:13" ht="13.5" customHeight="1" x14ac:dyDescent="0.25">
      <c r="A49" s="85">
        <v>1</v>
      </c>
      <c r="B49" s="86" t="s">
        <v>111</v>
      </c>
      <c r="C49" s="87">
        <v>4</v>
      </c>
      <c r="D49" s="88" t="s">
        <v>2</v>
      </c>
      <c r="E49" s="89" t="s">
        <v>65</v>
      </c>
      <c r="F49" s="90"/>
      <c r="G49" s="93" t="s">
        <v>2</v>
      </c>
      <c r="H49" s="85">
        <v>6</v>
      </c>
      <c r="I49" s="88" t="s">
        <v>2</v>
      </c>
      <c r="J49" s="92"/>
      <c r="K49" s="97" t="s">
        <v>243</v>
      </c>
      <c r="M49" s="77">
        <v>30</v>
      </c>
    </row>
    <row r="50" spans="1:13" ht="13.5" customHeight="1" x14ac:dyDescent="0.25">
      <c r="A50" s="107" t="s">
        <v>246</v>
      </c>
      <c r="B50" s="108"/>
      <c r="C50" s="108"/>
      <c r="D50" s="108"/>
      <c r="E50" s="83" t="s">
        <v>90</v>
      </c>
      <c r="F50" s="107" t="s">
        <v>6</v>
      </c>
      <c r="G50" s="109"/>
      <c r="H50" s="110" t="s">
        <v>0</v>
      </c>
      <c r="I50" s="110"/>
      <c r="J50" s="84" t="s">
        <v>1</v>
      </c>
      <c r="K50" s="84" t="s">
        <v>7</v>
      </c>
      <c r="M50" s="77">
        <v>6</v>
      </c>
    </row>
    <row r="51" spans="1:13" ht="13.5" customHeight="1" x14ac:dyDescent="0.25">
      <c r="A51" s="85">
        <v>1</v>
      </c>
      <c r="B51" s="86" t="s">
        <v>111</v>
      </c>
      <c r="C51" s="87">
        <v>200</v>
      </c>
      <c r="D51" s="88" t="s">
        <v>2</v>
      </c>
      <c r="E51" s="89" t="s">
        <v>209</v>
      </c>
      <c r="F51" s="94"/>
      <c r="G51" s="91" t="s">
        <v>3</v>
      </c>
      <c r="H51" s="85">
        <v>0.1</v>
      </c>
      <c r="I51" s="100" t="s">
        <v>3</v>
      </c>
      <c r="J51" s="95"/>
      <c r="K51" s="93" t="s">
        <v>210</v>
      </c>
    </row>
    <row r="52" spans="1:13" ht="13.5" customHeight="1" x14ac:dyDescent="0.25">
      <c r="A52" s="85">
        <v>1</v>
      </c>
      <c r="B52" s="86" t="s">
        <v>111</v>
      </c>
      <c r="C52" s="87">
        <v>200</v>
      </c>
      <c r="D52" s="88" t="s">
        <v>2</v>
      </c>
      <c r="E52" s="89" t="s">
        <v>211</v>
      </c>
      <c r="F52" s="94"/>
      <c r="G52" s="91" t="s">
        <v>3</v>
      </c>
      <c r="H52" s="85">
        <v>0.1</v>
      </c>
      <c r="I52" s="100" t="s">
        <v>3</v>
      </c>
      <c r="J52" s="95"/>
      <c r="K52" s="93" t="s">
        <v>212</v>
      </c>
    </row>
    <row r="53" spans="1:13" ht="13.5" customHeight="1" x14ac:dyDescent="0.25">
      <c r="A53" s="85">
        <v>1</v>
      </c>
      <c r="B53" s="86" t="s">
        <v>111</v>
      </c>
      <c r="C53" s="87">
        <v>100</v>
      </c>
      <c r="D53" s="88" t="s">
        <v>2</v>
      </c>
      <c r="E53" s="89" t="s">
        <v>213</v>
      </c>
      <c r="F53" s="102"/>
      <c r="G53" s="103"/>
      <c r="H53" s="104"/>
      <c r="I53" s="105"/>
      <c r="J53" s="106"/>
      <c r="K53" s="103"/>
    </row>
    <row r="54" spans="1:13" ht="13.5" customHeight="1" x14ac:dyDescent="0.25">
      <c r="A54" s="85">
        <v>1</v>
      </c>
      <c r="B54" s="86" t="s">
        <v>111</v>
      </c>
      <c r="C54" s="87">
        <v>100</v>
      </c>
      <c r="D54" s="88" t="s">
        <v>2</v>
      </c>
      <c r="E54" s="89" t="s">
        <v>215</v>
      </c>
      <c r="F54" s="94"/>
      <c r="G54" s="91" t="s">
        <v>3</v>
      </c>
      <c r="H54" s="85">
        <v>2</v>
      </c>
      <c r="I54" s="100" t="s">
        <v>3</v>
      </c>
      <c r="J54" s="95"/>
      <c r="K54" s="93" t="s">
        <v>216</v>
      </c>
    </row>
    <row r="55" spans="1:13" ht="13.5" customHeight="1" x14ac:dyDescent="0.25">
      <c r="A55" s="85">
        <v>1</v>
      </c>
      <c r="B55" s="86" t="s">
        <v>111</v>
      </c>
      <c r="C55" s="87">
        <v>100</v>
      </c>
      <c r="D55" s="88" t="s">
        <v>2</v>
      </c>
      <c r="E55" s="89" t="s">
        <v>217</v>
      </c>
      <c r="F55" s="94"/>
      <c r="G55" s="91" t="s">
        <v>3</v>
      </c>
      <c r="H55" s="85">
        <v>2</v>
      </c>
      <c r="I55" s="100" t="s">
        <v>3</v>
      </c>
      <c r="J55" s="95"/>
      <c r="K55" s="93" t="s">
        <v>218</v>
      </c>
    </row>
    <row r="56" spans="1:13" ht="13.5" customHeight="1" x14ac:dyDescent="0.25">
      <c r="A56" s="85">
        <v>1</v>
      </c>
      <c r="B56" s="86" t="s">
        <v>111</v>
      </c>
      <c r="C56" s="87">
        <v>50</v>
      </c>
      <c r="D56" s="88" t="s">
        <v>2</v>
      </c>
      <c r="E56" s="89" t="s">
        <v>219</v>
      </c>
      <c r="F56" s="94"/>
      <c r="G56" s="91" t="s">
        <v>3</v>
      </c>
      <c r="H56" s="85">
        <v>0.5</v>
      </c>
      <c r="I56" s="100" t="s">
        <v>3</v>
      </c>
      <c r="J56" s="95"/>
      <c r="K56" s="93" t="s">
        <v>220</v>
      </c>
    </row>
    <row r="57" spans="1:13" ht="13.5" customHeight="1" x14ac:dyDescent="0.25">
      <c r="A57" s="85">
        <v>1</v>
      </c>
      <c r="B57" s="86" t="s">
        <v>111</v>
      </c>
      <c r="C57" s="87">
        <v>50</v>
      </c>
      <c r="D57" s="88" t="s">
        <v>2</v>
      </c>
      <c r="E57" s="89" t="s">
        <v>223</v>
      </c>
      <c r="F57" s="94"/>
      <c r="G57" s="91" t="s">
        <v>3</v>
      </c>
      <c r="H57" s="85">
        <v>0.5</v>
      </c>
      <c r="I57" s="100" t="s">
        <v>3</v>
      </c>
      <c r="J57" s="95"/>
      <c r="K57" s="93" t="s">
        <v>224</v>
      </c>
    </row>
    <row r="58" spans="1:13" ht="13.5" customHeight="1" x14ac:dyDescent="0.25">
      <c r="A58" s="85">
        <v>1</v>
      </c>
      <c r="B58" s="86" t="s">
        <v>111</v>
      </c>
      <c r="C58" s="87">
        <v>50</v>
      </c>
      <c r="D58" s="88" t="s">
        <v>2</v>
      </c>
      <c r="E58" s="89" t="s">
        <v>221</v>
      </c>
      <c r="F58" s="94"/>
      <c r="G58" s="91" t="s">
        <v>3</v>
      </c>
      <c r="H58" s="85">
        <v>0.1</v>
      </c>
      <c r="I58" s="100" t="s">
        <v>3</v>
      </c>
      <c r="J58" s="95"/>
      <c r="K58" s="93" t="s">
        <v>247</v>
      </c>
    </row>
    <row r="59" spans="1:13" ht="13.5" customHeight="1" x14ac:dyDescent="0.25">
      <c r="A59" s="85">
        <v>1</v>
      </c>
      <c r="B59" s="86" t="s">
        <v>111</v>
      </c>
      <c r="C59" s="87">
        <v>50</v>
      </c>
      <c r="D59" s="88" t="s">
        <v>2</v>
      </c>
      <c r="E59" s="89" t="s">
        <v>225</v>
      </c>
      <c r="F59" s="94"/>
      <c r="G59" s="91" t="s">
        <v>3</v>
      </c>
      <c r="H59" s="85">
        <v>0.2</v>
      </c>
      <c r="I59" s="100" t="s">
        <v>3</v>
      </c>
      <c r="J59" s="95"/>
      <c r="K59" s="93" t="s">
        <v>226</v>
      </c>
    </row>
    <row r="60" spans="1:13" ht="13.5" customHeight="1" x14ac:dyDescent="0.25">
      <c r="A60" s="85">
        <v>1</v>
      </c>
      <c r="B60" s="86" t="s">
        <v>111</v>
      </c>
      <c r="C60" s="87">
        <v>50</v>
      </c>
      <c r="D60" s="88" t="s">
        <v>2</v>
      </c>
      <c r="E60" s="89" t="s">
        <v>227</v>
      </c>
      <c r="F60" s="94"/>
      <c r="G60" s="91" t="s">
        <v>3</v>
      </c>
      <c r="H60" s="85">
        <v>0.2</v>
      </c>
      <c r="I60" s="100" t="s">
        <v>3</v>
      </c>
      <c r="J60" s="95"/>
      <c r="K60" s="93" t="s">
        <v>228</v>
      </c>
    </row>
    <row r="61" spans="1:13" ht="13.5" customHeight="1" x14ac:dyDescent="0.25">
      <c r="A61" s="85">
        <v>1</v>
      </c>
      <c r="B61" s="86" t="s">
        <v>111</v>
      </c>
      <c r="C61" s="87">
        <v>144</v>
      </c>
      <c r="D61" s="88" t="s">
        <v>2</v>
      </c>
      <c r="E61" s="89" t="s">
        <v>229</v>
      </c>
      <c r="F61" s="94"/>
      <c r="G61" s="91" t="s">
        <v>3</v>
      </c>
      <c r="H61" s="85">
        <v>0.5</v>
      </c>
      <c r="I61" s="100" t="s">
        <v>3</v>
      </c>
      <c r="J61" s="95"/>
      <c r="K61" s="93" t="s">
        <v>230</v>
      </c>
    </row>
    <row r="62" spans="1:13" ht="13.5" customHeight="1" x14ac:dyDescent="0.25">
      <c r="A62" s="85">
        <v>1</v>
      </c>
      <c r="B62" s="86" t="s">
        <v>111</v>
      </c>
      <c r="C62" s="87">
        <v>144</v>
      </c>
      <c r="D62" s="88" t="s">
        <v>2</v>
      </c>
      <c r="E62" s="89" t="s">
        <v>231</v>
      </c>
      <c r="F62" s="94"/>
      <c r="G62" s="91" t="s">
        <v>3</v>
      </c>
      <c r="H62" s="85">
        <v>1</v>
      </c>
      <c r="I62" s="100" t="s">
        <v>3</v>
      </c>
      <c r="J62" s="95"/>
      <c r="K62" s="93" t="s">
        <v>232</v>
      </c>
    </row>
    <row r="63" spans="1:13" ht="13.5" customHeight="1" x14ac:dyDescent="0.25">
      <c r="A63" s="85">
        <v>1</v>
      </c>
      <c r="B63" s="86" t="s">
        <v>111</v>
      </c>
      <c r="C63" s="87">
        <v>72</v>
      </c>
      <c r="D63" s="88" t="s">
        <v>2</v>
      </c>
      <c r="E63" s="73" t="s">
        <v>241</v>
      </c>
      <c r="F63" s="94"/>
      <c r="G63" s="91" t="s">
        <v>3</v>
      </c>
      <c r="H63" s="85">
        <v>1</v>
      </c>
      <c r="I63" s="100" t="s">
        <v>3</v>
      </c>
      <c r="J63" s="95"/>
      <c r="K63" s="93" t="s">
        <v>248</v>
      </c>
    </row>
    <row r="64" spans="1:13" ht="13.5" customHeight="1" x14ac:dyDescent="0.25">
      <c r="A64" s="85">
        <v>1</v>
      </c>
      <c r="B64" s="86" t="s">
        <v>111</v>
      </c>
      <c r="C64" s="87">
        <v>25</v>
      </c>
      <c r="D64" s="88" t="s">
        <v>2</v>
      </c>
      <c r="E64" s="89" t="s">
        <v>233</v>
      </c>
      <c r="F64" s="94"/>
      <c r="G64" s="91" t="s">
        <v>3</v>
      </c>
      <c r="H64" s="85">
        <v>1</v>
      </c>
      <c r="I64" s="100" t="s">
        <v>3</v>
      </c>
      <c r="J64" s="95"/>
      <c r="K64" s="93" t="s">
        <v>234</v>
      </c>
    </row>
    <row r="65" spans="1:11" ht="13.5" customHeight="1" x14ac:dyDescent="0.25">
      <c r="A65" s="85">
        <v>1</v>
      </c>
      <c r="B65" s="86" t="s">
        <v>111</v>
      </c>
      <c r="C65" s="87">
        <v>72</v>
      </c>
      <c r="D65" s="88" t="s">
        <v>2</v>
      </c>
      <c r="E65" s="89" t="s">
        <v>235</v>
      </c>
      <c r="F65" s="94"/>
      <c r="G65" s="91" t="s">
        <v>3</v>
      </c>
      <c r="H65" s="85">
        <v>0.5</v>
      </c>
      <c r="I65" s="100" t="s">
        <v>3</v>
      </c>
      <c r="J65" s="95"/>
      <c r="K65" s="93" t="s">
        <v>236</v>
      </c>
    </row>
    <row r="66" spans="1:11" ht="13.5" customHeight="1" x14ac:dyDescent="0.25">
      <c r="A66" s="85">
        <v>1</v>
      </c>
      <c r="B66" s="86" t="s">
        <v>111</v>
      </c>
      <c r="C66" s="87">
        <v>400</v>
      </c>
      <c r="D66" s="88" t="s">
        <v>2</v>
      </c>
      <c r="E66" s="89" t="s">
        <v>237</v>
      </c>
      <c r="F66" s="94"/>
      <c r="G66" s="91" t="s">
        <v>3</v>
      </c>
      <c r="H66" s="85">
        <v>1</v>
      </c>
      <c r="I66" s="100" t="s">
        <v>3</v>
      </c>
      <c r="J66" s="95"/>
      <c r="K66" s="93" t="s">
        <v>238</v>
      </c>
    </row>
    <row r="67" spans="1:11" ht="13.5" customHeight="1" x14ac:dyDescent="0.25">
      <c r="A67" s="85">
        <v>1</v>
      </c>
      <c r="B67" s="86" t="s">
        <v>111</v>
      </c>
      <c r="C67" s="87">
        <v>20</v>
      </c>
      <c r="D67" s="88" t="s">
        <v>2</v>
      </c>
      <c r="E67" s="89" t="s">
        <v>239</v>
      </c>
      <c r="F67" s="94"/>
      <c r="G67" s="91" t="s">
        <v>3</v>
      </c>
      <c r="H67" s="85">
        <v>0.5</v>
      </c>
      <c r="I67" s="100" t="s">
        <v>3</v>
      </c>
      <c r="J67" s="95"/>
      <c r="K67" s="93" t="s">
        <v>240</v>
      </c>
    </row>
  </sheetData>
  <sheetProtection algorithmName="SHA-512" hashValue="UcS9Vr+wsAG3cJQ3Wyy41LQ8QASojuvOVBNr4bwZGvXLMcbWECEVvPGLt7Nhd6g4hyRNbljxQQiECwtjRyf/0Q==" saltValue="q1rKejNKNSanlWvrtq78ng==" spinCount="100000" sheet="1" selectLockedCells="1"/>
  <dataConsolidate/>
  <mergeCells count="10">
    <mergeCell ref="A50:D50"/>
    <mergeCell ref="F50:G50"/>
    <mergeCell ref="H50:I50"/>
    <mergeCell ref="B1:E1"/>
    <mergeCell ref="H1:J1"/>
    <mergeCell ref="B2:E2"/>
    <mergeCell ref="H2:J2"/>
    <mergeCell ref="A4:D4"/>
    <mergeCell ref="F4:G4"/>
    <mergeCell ref="H4:I4"/>
  </mergeCells>
  <conditionalFormatting sqref="J5:J49">
    <cfRule type="cellIs" dxfId="11" priority="5" operator="lessThan">
      <formula>0</formula>
    </cfRule>
    <cfRule type="cellIs" dxfId="10" priority="6" operator="equal">
      <formula>0</formula>
    </cfRule>
  </conditionalFormatting>
  <conditionalFormatting sqref="J51:J67">
    <cfRule type="cellIs" dxfId="9" priority="1" operator="lessThan">
      <formula>0</formula>
    </cfRule>
    <cfRule type="cellIs" dxfId="8" priority="2" operator="equal">
      <formula>0</formula>
    </cfRule>
  </conditionalFormatting>
  <conditionalFormatting sqref="P1">
    <cfRule type="containsText" dxfId="7" priority="9" operator="containsText" text="DUE TODAY">
      <formula>NOT(ISERROR(SEARCH("DUE TODAY",P1)))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Narrow,Bold"&amp;14BI-WKLY - LEONARD PAPER
&amp;8Inventory - Tue, 11AM&amp;R&amp;"Aptos Narrow,Bold"&amp;14TUE for WED - &amp;UCH&amp;"Aptos Narrow,Regular"&amp;U
&amp;7Printed &amp;D &amp;T</oddHeader>
    <oddFooter>&amp;C&amp;"Times New Roman,Regular"&amp;7REP: MJ LEONARD CELL: 410-458-6136 - EMAIL: mjleonard@leonardpaper.com
&amp;Z&amp;F(GV 8/14/26)&amp;R&amp;"Aptos Narrow,Regular"&amp;7&amp;P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0616-7689-4119-9038-26D9A8E91278}">
  <sheetPr codeName="Sheet8"/>
  <dimension ref="A1:O44"/>
  <sheetViews>
    <sheetView view="pageLayout" zoomScale="130" zoomScaleNormal="100" zoomScalePageLayoutView="130" workbookViewId="0">
      <selection activeCell="K21" sqref="A4:K21"/>
    </sheetView>
  </sheetViews>
  <sheetFormatPr defaultRowHeight="14.25" customHeight="1" x14ac:dyDescent="0.25"/>
  <cols>
    <col min="1" max="1" width="5.42578125" style="18" customWidth="1"/>
    <col min="2" max="2" width="1.7109375" style="19" bestFit="1" customWidth="1"/>
    <col min="3" max="3" width="6.42578125" style="20" bestFit="1" customWidth="1"/>
    <col min="4" max="4" width="3.140625" style="20" bestFit="1" customWidth="1"/>
    <col min="5" max="5" width="21.7109375" bestFit="1" customWidth="1"/>
    <col min="6" max="6" width="5.140625" customWidth="1"/>
    <col min="7" max="7" width="4.28515625" bestFit="1" customWidth="1"/>
    <col min="8" max="8" width="4.85546875" bestFit="1" customWidth="1"/>
    <col min="9" max="9" width="4.7109375" bestFit="1" customWidth="1"/>
    <col min="10" max="10" width="5.140625" customWidth="1"/>
    <col min="11" max="11" width="11.5703125" bestFit="1" customWidth="1"/>
    <col min="12" max="12" width="1.42578125" style="4" customWidth="1"/>
    <col min="13" max="13" width="9.7109375" customWidth="1"/>
    <col min="14" max="14" width="10.7109375" customWidth="1"/>
    <col min="15" max="15" width="6.5703125" bestFit="1" customWidth="1"/>
    <col min="16" max="16" width="4.7109375" customWidth="1"/>
  </cols>
  <sheetData>
    <row r="1" spans="1:15" ht="12" customHeight="1" x14ac:dyDescent="0.25">
      <c r="A1" s="6" t="s">
        <v>17</v>
      </c>
      <c r="B1" s="112"/>
      <c r="C1" s="112"/>
      <c r="D1" s="112"/>
      <c r="E1" s="112"/>
      <c r="F1" s="8"/>
      <c r="G1" s="6" t="s">
        <v>18</v>
      </c>
      <c r="H1" s="112"/>
      <c r="I1" s="112"/>
      <c r="J1" s="112"/>
      <c r="M1" s="9" t="s">
        <v>205</v>
      </c>
      <c r="N1" s="72">
        <f ca="1">_xlfn.LET(_xlpm.anchor,DATE(2026,4,28),_xlpm.cycle,14,_xlpm.next,_xlpm.anchor+_xlfn.CEILING.MATH(MAX(0,TODAY()-_xlpm.anchor),_xlpm.cycle),IF(_xlpm.next=TODAY(),"DUE TODAY",_xlpm.next))</f>
        <v>46294</v>
      </c>
    </row>
    <row r="2" spans="1:15" s="4" customFormat="1" ht="12" customHeight="1" x14ac:dyDescent="0.2">
      <c r="A2" s="6" t="s">
        <v>33</v>
      </c>
      <c r="B2" s="113"/>
      <c r="C2" s="113"/>
      <c r="D2" s="113"/>
      <c r="E2" s="113"/>
      <c r="F2" s="8"/>
      <c r="G2" s="6" t="s">
        <v>88</v>
      </c>
      <c r="H2" s="113"/>
      <c r="I2" s="113"/>
      <c r="J2" s="113"/>
      <c r="N2" s="9"/>
      <c r="O2" s="58"/>
    </row>
    <row r="3" spans="1:15" ht="5.25" customHeight="1" x14ac:dyDescent="0.25">
      <c r="A3" s="9"/>
      <c r="B3" s="10"/>
      <c r="C3" s="11"/>
      <c r="D3" s="11"/>
      <c r="E3" s="7"/>
      <c r="F3" s="7"/>
      <c r="G3" s="5"/>
      <c r="H3" s="5"/>
      <c r="I3" s="12"/>
      <c r="J3" s="12"/>
      <c r="K3" s="7"/>
    </row>
    <row r="4" spans="1:15" ht="15" x14ac:dyDescent="0.25">
      <c r="A4" s="114" t="s">
        <v>89</v>
      </c>
      <c r="B4" s="115"/>
      <c r="C4" s="115"/>
      <c r="D4" s="115"/>
      <c r="E4" s="22" t="s">
        <v>90</v>
      </c>
      <c r="F4" s="114" t="s">
        <v>6</v>
      </c>
      <c r="G4" s="116"/>
      <c r="H4" s="121" t="s">
        <v>0</v>
      </c>
      <c r="I4" s="121"/>
      <c r="J4" s="23" t="s">
        <v>1</v>
      </c>
      <c r="K4" s="23" t="s">
        <v>7</v>
      </c>
      <c r="L4"/>
    </row>
    <row r="5" spans="1:15" ht="15" x14ac:dyDescent="0.25">
      <c r="A5" s="3">
        <v>1</v>
      </c>
      <c r="B5" s="14" t="s">
        <v>111</v>
      </c>
      <c r="C5" s="21">
        <v>200</v>
      </c>
      <c r="D5" s="15" t="s">
        <v>2</v>
      </c>
      <c r="E5" s="16" t="s">
        <v>209</v>
      </c>
      <c r="F5" s="2"/>
      <c r="G5" s="13" t="s">
        <v>3</v>
      </c>
      <c r="H5" s="3">
        <v>0.1</v>
      </c>
      <c r="I5" s="15" t="s">
        <v>3</v>
      </c>
      <c r="J5" s="17"/>
      <c r="K5" s="1" t="s">
        <v>210</v>
      </c>
      <c r="L5"/>
    </row>
    <row r="6" spans="1:15" ht="15" x14ac:dyDescent="0.25">
      <c r="A6" s="3">
        <v>1</v>
      </c>
      <c r="B6" s="14" t="s">
        <v>111</v>
      </c>
      <c r="C6" s="21">
        <v>200</v>
      </c>
      <c r="D6" s="15" t="s">
        <v>2</v>
      </c>
      <c r="E6" s="16" t="s">
        <v>211</v>
      </c>
      <c r="F6" s="2"/>
      <c r="G6" s="13" t="s">
        <v>3</v>
      </c>
      <c r="H6" s="3">
        <v>0.1</v>
      </c>
      <c r="I6" s="15" t="s">
        <v>3</v>
      </c>
      <c r="J6" s="17"/>
      <c r="K6" s="1" t="s">
        <v>212</v>
      </c>
      <c r="L6"/>
    </row>
    <row r="7" spans="1:15" ht="15" x14ac:dyDescent="0.25">
      <c r="A7" s="3">
        <v>1</v>
      </c>
      <c r="B7" s="14" t="s">
        <v>111</v>
      </c>
      <c r="C7" s="21">
        <v>100</v>
      </c>
      <c r="D7" s="15" t="s">
        <v>2</v>
      </c>
      <c r="E7" s="16" t="s">
        <v>213</v>
      </c>
      <c r="F7" s="2"/>
      <c r="G7" s="13" t="s">
        <v>3</v>
      </c>
      <c r="H7" s="3">
        <v>0.1</v>
      </c>
      <c r="I7" s="15" t="s">
        <v>3</v>
      </c>
      <c r="J7" s="17"/>
      <c r="K7" s="1" t="s">
        <v>214</v>
      </c>
      <c r="L7"/>
    </row>
    <row r="8" spans="1:15" ht="15" x14ac:dyDescent="0.25">
      <c r="A8" s="3">
        <v>1</v>
      </c>
      <c r="B8" s="14" t="s">
        <v>111</v>
      </c>
      <c r="C8" s="21">
        <v>100</v>
      </c>
      <c r="D8" s="15" t="s">
        <v>2</v>
      </c>
      <c r="E8" s="16" t="s">
        <v>215</v>
      </c>
      <c r="F8" s="2"/>
      <c r="G8" s="13" t="s">
        <v>3</v>
      </c>
      <c r="H8" s="3">
        <v>2</v>
      </c>
      <c r="I8" s="15" t="s">
        <v>3</v>
      </c>
      <c r="J8" s="17"/>
      <c r="K8" s="1" t="s">
        <v>216</v>
      </c>
      <c r="L8"/>
    </row>
    <row r="9" spans="1:15" ht="15" x14ac:dyDescent="0.25">
      <c r="A9" s="3">
        <v>1</v>
      </c>
      <c r="B9" s="14" t="s">
        <v>111</v>
      </c>
      <c r="C9" s="21">
        <v>100</v>
      </c>
      <c r="D9" s="15" t="s">
        <v>2</v>
      </c>
      <c r="E9" s="16" t="s">
        <v>217</v>
      </c>
      <c r="F9" s="2"/>
      <c r="G9" s="13" t="s">
        <v>3</v>
      </c>
      <c r="H9" s="3">
        <v>2</v>
      </c>
      <c r="I9" s="15" t="s">
        <v>3</v>
      </c>
      <c r="J9" s="17"/>
      <c r="K9" s="1" t="s">
        <v>218</v>
      </c>
      <c r="L9"/>
    </row>
    <row r="10" spans="1:15" ht="15" x14ac:dyDescent="0.25">
      <c r="A10" s="3">
        <v>1</v>
      </c>
      <c r="B10" s="14" t="s">
        <v>111</v>
      </c>
      <c r="C10" s="21">
        <v>50</v>
      </c>
      <c r="D10" s="15" t="s">
        <v>2</v>
      </c>
      <c r="E10" s="16" t="s">
        <v>219</v>
      </c>
      <c r="F10" s="2"/>
      <c r="G10" s="13" t="s">
        <v>3</v>
      </c>
      <c r="H10" s="3">
        <v>0.5</v>
      </c>
      <c r="I10" s="15" t="s">
        <v>3</v>
      </c>
      <c r="J10" s="17"/>
      <c r="K10" s="1" t="s">
        <v>220</v>
      </c>
      <c r="L10"/>
    </row>
    <row r="11" spans="1:15" ht="15" x14ac:dyDescent="0.25">
      <c r="A11" s="3">
        <v>1</v>
      </c>
      <c r="B11" s="14" t="s">
        <v>111</v>
      </c>
      <c r="C11" s="21">
        <v>50</v>
      </c>
      <c r="D11" s="15" t="s">
        <v>2</v>
      </c>
      <c r="E11" s="16" t="s">
        <v>223</v>
      </c>
      <c r="F11" s="2"/>
      <c r="G11" s="13" t="s">
        <v>3</v>
      </c>
      <c r="H11" s="3">
        <v>0.5</v>
      </c>
      <c r="I11" s="15" t="s">
        <v>3</v>
      </c>
      <c r="J11" s="17"/>
      <c r="K11" s="1" t="s">
        <v>224</v>
      </c>
      <c r="L11"/>
    </row>
    <row r="12" spans="1:15" ht="15" x14ac:dyDescent="0.25">
      <c r="A12" s="3">
        <v>1</v>
      </c>
      <c r="B12" s="14" t="s">
        <v>111</v>
      </c>
      <c r="C12" s="21">
        <v>50</v>
      </c>
      <c r="D12" s="15" t="s">
        <v>2</v>
      </c>
      <c r="E12" s="16" t="s">
        <v>221</v>
      </c>
      <c r="F12" s="2"/>
      <c r="G12" s="13" t="s">
        <v>3</v>
      </c>
      <c r="H12" s="3">
        <v>0.1</v>
      </c>
      <c r="I12" s="15" t="s">
        <v>3</v>
      </c>
      <c r="J12" s="17"/>
      <c r="K12" s="1" t="s">
        <v>222</v>
      </c>
    </row>
    <row r="13" spans="1:15" ht="15" x14ac:dyDescent="0.25">
      <c r="A13" s="3">
        <v>1</v>
      </c>
      <c r="B13" s="14" t="s">
        <v>111</v>
      </c>
      <c r="C13" s="21">
        <v>50</v>
      </c>
      <c r="D13" s="15" t="s">
        <v>2</v>
      </c>
      <c r="E13" s="16" t="s">
        <v>225</v>
      </c>
      <c r="F13" s="2"/>
      <c r="G13" s="13" t="s">
        <v>3</v>
      </c>
      <c r="H13" s="3">
        <v>0.2</v>
      </c>
      <c r="I13" s="15" t="s">
        <v>3</v>
      </c>
      <c r="J13" s="17"/>
      <c r="K13" s="1" t="s">
        <v>226</v>
      </c>
    </row>
    <row r="14" spans="1:15" ht="15" x14ac:dyDescent="0.25">
      <c r="A14" s="3">
        <v>1</v>
      </c>
      <c r="B14" s="14" t="s">
        <v>111</v>
      </c>
      <c r="C14" s="21">
        <v>50</v>
      </c>
      <c r="D14" s="15" t="s">
        <v>2</v>
      </c>
      <c r="E14" s="16" t="s">
        <v>227</v>
      </c>
      <c r="F14" s="2"/>
      <c r="G14" s="13" t="s">
        <v>3</v>
      </c>
      <c r="H14" s="3">
        <v>0.2</v>
      </c>
      <c r="I14" s="15" t="s">
        <v>3</v>
      </c>
      <c r="J14" s="17"/>
      <c r="K14" s="1" t="s">
        <v>228</v>
      </c>
    </row>
    <row r="15" spans="1:15" ht="15" x14ac:dyDescent="0.25">
      <c r="A15" s="3">
        <v>1</v>
      </c>
      <c r="B15" s="14" t="s">
        <v>111</v>
      </c>
      <c r="C15" s="21">
        <v>144</v>
      </c>
      <c r="D15" s="15" t="s">
        <v>2</v>
      </c>
      <c r="E15" s="16" t="s">
        <v>229</v>
      </c>
      <c r="F15" s="2"/>
      <c r="G15" s="13" t="s">
        <v>3</v>
      </c>
      <c r="H15" s="3">
        <v>0.5</v>
      </c>
      <c r="I15" s="15" t="s">
        <v>3</v>
      </c>
      <c r="J15" s="17"/>
      <c r="K15" s="1" t="s">
        <v>230</v>
      </c>
    </row>
    <row r="16" spans="1:15" ht="15" x14ac:dyDescent="0.25">
      <c r="A16" s="3">
        <v>1</v>
      </c>
      <c r="B16" s="14" t="s">
        <v>111</v>
      </c>
      <c r="C16" s="21">
        <v>144</v>
      </c>
      <c r="D16" s="15" t="s">
        <v>2</v>
      </c>
      <c r="E16" s="16" t="s">
        <v>231</v>
      </c>
      <c r="F16" s="2"/>
      <c r="G16" s="13" t="s">
        <v>3</v>
      </c>
      <c r="H16" s="3">
        <v>1</v>
      </c>
      <c r="I16" s="15" t="s">
        <v>3</v>
      </c>
      <c r="J16" s="17"/>
      <c r="K16" s="1" t="s">
        <v>232</v>
      </c>
    </row>
    <row r="17" spans="1:14" ht="15" x14ac:dyDescent="0.25">
      <c r="A17" s="3">
        <v>1</v>
      </c>
      <c r="B17" s="14" t="s">
        <v>111</v>
      </c>
      <c r="C17" s="21">
        <v>72</v>
      </c>
      <c r="D17" s="15" t="s">
        <v>2</v>
      </c>
      <c r="E17" s="4" t="s">
        <v>241</v>
      </c>
      <c r="F17" s="2"/>
      <c r="G17" s="13" t="s">
        <v>3</v>
      </c>
      <c r="H17" s="3">
        <v>1</v>
      </c>
      <c r="I17" s="15" t="s">
        <v>3</v>
      </c>
      <c r="J17" s="17"/>
      <c r="K17" s="1" t="s">
        <v>242</v>
      </c>
    </row>
    <row r="18" spans="1:14" ht="15" x14ac:dyDescent="0.25">
      <c r="A18" s="3">
        <v>1</v>
      </c>
      <c r="B18" s="14" t="s">
        <v>111</v>
      </c>
      <c r="C18" s="21">
        <v>25</v>
      </c>
      <c r="D18" s="15" t="s">
        <v>2</v>
      </c>
      <c r="E18" s="16" t="s">
        <v>233</v>
      </c>
      <c r="F18" s="2"/>
      <c r="G18" s="13" t="s">
        <v>3</v>
      </c>
      <c r="H18" s="3">
        <v>1</v>
      </c>
      <c r="I18" s="15" t="s">
        <v>3</v>
      </c>
      <c r="J18" s="17"/>
      <c r="K18" s="1" t="s">
        <v>234</v>
      </c>
    </row>
    <row r="19" spans="1:14" ht="15" x14ac:dyDescent="0.25">
      <c r="A19" s="3">
        <v>1</v>
      </c>
      <c r="B19" s="14" t="s">
        <v>111</v>
      </c>
      <c r="C19" s="21">
        <v>72</v>
      </c>
      <c r="D19" s="15" t="s">
        <v>2</v>
      </c>
      <c r="E19" s="16" t="s">
        <v>235</v>
      </c>
      <c r="F19" s="2"/>
      <c r="G19" s="13" t="s">
        <v>3</v>
      </c>
      <c r="H19" s="3">
        <v>0.5</v>
      </c>
      <c r="I19" s="15" t="s">
        <v>3</v>
      </c>
      <c r="J19" s="17"/>
      <c r="K19" s="1" t="s">
        <v>236</v>
      </c>
    </row>
    <row r="20" spans="1:14" ht="15" x14ac:dyDescent="0.25">
      <c r="A20" s="3">
        <v>1</v>
      </c>
      <c r="B20" s="14" t="s">
        <v>111</v>
      </c>
      <c r="C20" s="21">
        <v>400</v>
      </c>
      <c r="D20" s="15" t="s">
        <v>2</v>
      </c>
      <c r="E20" s="16" t="s">
        <v>237</v>
      </c>
      <c r="F20" s="2"/>
      <c r="G20" s="13" t="s">
        <v>3</v>
      </c>
      <c r="H20" s="3">
        <v>1</v>
      </c>
      <c r="I20" s="15" t="s">
        <v>3</v>
      </c>
      <c r="J20" s="17"/>
      <c r="K20" s="1" t="s">
        <v>238</v>
      </c>
      <c r="L20"/>
    </row>
    <row r="21" spans="1:14" s="4" customFormat="1" ht="15" x14ac:dyDescent="0.25">
      <c r="A21" s="3">
        <v>1</v>
      </c>
      <c r="B21" s="14" t="s">
        <v>111</v>
      </c>
      <c r="C21" s="21">
        <v>20</v>
      </c>
      <c r="D21" s="15" t="s">
        <v>2</v>
      </c>
      <c r="E21" s="16" t="s">
        <v>239</v>
      </c>
      <c r="F21" s="2"/>
      <c r="G21" s="13" t="s">
        <v>2</v>
      </c>
      <c r="H21" s="3">
        <v>8</v>
      </c>
      <c r="I21" s="15" t="s">
        <v>2</v>
      </c>
      <c r="J21" s="17"/>
      <c r="K21" s="1" t="s">
        <v>240</v>
      </c>
      <c r="M21"/>
      <c r="N21"/>
    </row>
    <row r="22" spans="1:14" s="4" customFormat="1" ht="12" customHeight="1" x14ac:dyDescent="0.25">
      <c r="A22" s="18"/>
      <c r="B22" s="19"/>
      <c r="C22" s="20"/>
      <c r="D22" s="20"/>
      <c r="E22"/>
      <c r="F22"/>
      <c r="G22"/>
      <c r="H22"/>
      <c r="I22"/>
      <c r="J22"/>
      <c r="K22"/>
      <c r="M22"/>
      <c r="N22"/>
    </row>
    <row r="23" spans="1:14" s="4" customFormat="1" ht="12" customHeight="1" x14ac:dyDescent="0.25">
      <c r="A23" s="18"/>
      <c r="B23" s="19"/>
      <c r="C23" s="20"/>
      <c r="D23" s="20"/>
      <c r="E23"/>
      <c r="F23"/>
      <c r="G23"/>
      <c r="H23"/>
      <c r="I23"/>
      <c r="J23"/>
      <c r="K23"/>
      <c r="M23"/>
      <c r="N23"/>
    </row>
    <row r="24" spans="1:14" s="4" customFormat="1" ht="12" customHeight="1" x14ac:dyDescent="0.25">
      <c r="A24" s="18"/>
      <c r="B24" s="19"/>
      <c r="C24" s="20"/>
      <c r="D24" s="20"/>
      <c r="E24"/>
      <c r="F24"/>
      <c r="G24"/>
      <c r="H24"/>
      <c r="I24"/>
      <c r="J24"/>
      <c r="K24"/>
      <c r="M24"/>
      <c r="N24"/>
    </row>
    <row r="25" spans="1:14" s="4" customFormat="1" ht="12" customHeight="1" x14ac:dyDescent="0.25">
      <c r="A25" s="18"/>
      <c r="B25" s="19"/>
      <c r="C25" s="20"/>
      <c r="D25" s="20"/>
      <c r="E25"/>
      <c r="F25"/>
      <c r="G25"/>
      <c r="H25"/>
      <c r="I25"/>
      <c r="J25"/>
      <c r="K25"/>
      <c r="M25"/>
      <c r="N25"/>
    </row>
    <row r="26" spans="1:14" s="4" customFormat="1" ht="12" customHeight="1" x14ac:dyDescent="0.25">
      <c r="A26" s="18"/>
      <c r="B26" s="19"/>
      <c r="C26" s="20"/>
      <c r="D26" s="20"/>
      <c r="E26"/>
      <c r="F26"/>
      <c r="G26"/>
      <c r="H26"/>
      <c r="I26"/>
      <c r="J26"/>
      <c r="K26"/>
      <c r="M26"/>
      <c r="N26"/>
    </row>
    <row r="27" spans="1:14" s="4" customFormat="1" ht="12" customHeight="1" x14ac:dyDescent="0.25">
      <c r="A27" s="18"/>
      <c r="B27" s="19"/>
      <c r="C27" s="20"/>
      <c r="D27" s="20"/>
      <c r="E27"/>
      <c r="F27"/>
      <c r="G27"/>
      <c r="H27"/>
      <c r="I27"/>
      <c r="J27"/>
      <c r="K27"/>
      <c r="M27"/>
      <c r="N27"/>
    </row>
    <row r="28" spans="1:14" s="4" customFormat="1" ht="12" customHeight="1" x14ac:dyDescent="0.25">
      <c r="A28" s="18"/>
      <c r="B28" s="19"/>
      <c r="C28" s="20"/>
      <c r="D28" s="20"/>
      <c r="E28"/>
      <c r="F28"/>
      <c r="G28"/>
      <c r="H28"/>
      <c r="I28"/>
      <c r="J28"/>
      <c r="K28"/>
      <c r="M28"/>
      <c r="N28"/>
    </row>
    <row r="29" spans="1:14" s="18" customFormat="1" ht="12" customHeight="1" x14ac:dyDescent="0.25">
      <c r="B29" s="19"/>
      <c r="C29" s="20"/>
      <c r="D29" s="20"/>
      <c r="E29"/>
      <c r="F29"/>
      <c r="G29"/>
      <c r="H29"/>
      <c r="I29"/>
      <c r="J29"/>
      <c r="K29"/>
      <c r="L29" s="4"/>
      <c r="M29"/>
      <c r="N29"/>
    </row>
    <row r="30" spans="1:14" s="18" customFormat="1" ht="12" customHeight="1" x14ac:dyDescent="0.25">
      <c r="B30" s="19"/>
      <c r="C30" s="20"/>
      <c r="D30" s="20"/>
      <c r="E30"/>
      <c r="F30"/>
      <c r="G30"/>
      <c r="H30"/>
      <c r="I30"/>
      <c r="J30"/>
      <c r="K30"/>
      <c r="L30" s="4"/>
      <c r="M30"/>
      <c r="N30"/>
    </row>
    <row r="31" spans="1:14" s="18" customFormat="1" ht="12" customHeight="1" x14ac:dyDescent="0.25">
      <c r="B31" s="19"/>
      <c r="C31" s="20"/>
      <c r="D31" s="20"/>
      <c r="E31"/>
      <c r="F31"/>
      <c r="G31"/>
      <c r="H31"/>
      <c r="I31"/>
      <c r="J31"/>
      <c r="K31"/>
      <c r="L31" s="4"/>
      <c r="M31"/>
      <c r="N31"/>
    </row>
    <row r="32" spans="1:14" s="18" customFormat="1" ht="12" customHeight="1" x14ac:dyDescent="0.25">
      <c r="B32" s="19"/>
      <c r="C32" s="20"/>
      <c r="D32" s="20"/>
      <c r="E32"/>
      <c r="F32"/>
      <c r="G32"/>
      <c r="H32"/>
      <c r="I32"/>
      <c r="J32"/>
      <c r="K32"/>
      <c r="L32" s="4"/>
      <c r="M32"/>
      <c r="N32"/>
    </row>
    <row r="33" spans="2:14" s="18" customFormat="1" ht="12" customHeight="1" x14ac:dyDescent="0.25">
      <c r="B33" s="19"/>
      <c r="C33" s="20"/>
      <c r="D33" s="20"/>
      <c r="E33"/>
      <c r="F33"/>
      <c r="G33"/>
      <c r="H33"/>
      <c r="I33"/>
      <c r="J33"/>
      <c r="K33"/>
      <c r="L33" s="4"/>
      <c r="M33"/>
      <c r="N33"/>
    </row>
    <row r="34" spans="2:14" s="18" customFormat="1" ht="12" customHeight="1" x14ac:dyDescent="0.25">
      <c r="B34" s="19"/>
      <c r="C34" s="20"/>
      <c r="D34" s="20"/>
      <c r="E34"/>
      <c r="F34"/>
      <c r="G34"/>
      <c r="H34"/>
      <c r="I34"/>
      <c r="J34"/>
      <c r="K34"/>
      <c r="L34" s="4"/>
      <c r="M34"/>
      <c r="N34"/>
    </row>
    <row r="35" spans="2:14" s="18" customFormat="1" ht="12" customHeight="1" x14ac:dyDescent="0.25">
      <c r="B35" s="19"/>
      <c r="C35" s="20"/>
      <c r="D35" s="20"/>
      <c r="E35"/>
      <c r="F35"/>
      <c r="G35"/>
      <c r="H35"/>
      <c r="I35"/>
      <c r="J35"/>
      <c r="K35"/>
      <c r="L35" s="4"/>
      <c r="M35"/>
      <c r="N35"/>
    </row>
    <row r="36" spans="2:14" s="18" customFormat="1" ht="12" customHeight="1" x14ac:dyDescent="0.25">
      <c r="B36" s="19"/>
      <c r="C36" s="20"/>
      <c r="D36" s="20"/>
      <c r="E36"/>
      <c r="F36"/>
      <c r="G36"/>
      <c r="H36"/>
      <c r="I36"/>
      <c r="J36"/>
      <c r="K36"/>
      <c r="L36" s="4"/>
      <c r="M36"/>
      <c r="N36"/>
    </row>
    <row r="37" spans="2:14" s="18" customFormat="1" ht="12" customHeight="1" x14ac:dyDescent="0.25">
      <c r="B37" s="19"/>
      <c r="C37" s="20"/>
      <c r="D37" s="20"/>
      <c r="E37"/>
      <c r="F37"/>
      <c r="G37"/>
      <c r="H37"/>
      <c r="I37"/>
      <c r="J37"/>
      <c r="K37"/>
      <c r="L37" s="4"/>
      <c r="M37"/>
      <c r="N37"/>
    </row>
    <row r="38" spans="2:14" s="18" customFormat="1" ht="12" customHeight="1" x14ac:dyDescent="0.25">
      <c r="B38" s="19"/>
      <c r="C38" s="20"/>
      <c r="D38" s="20"/>
      <c r="E38"/>
      <c r="F38"/>
      <c r="G38"/>
      <c r="H38"/>
      <c r="I38"/>
      <c r="J38"/>
      <c r="K38"/>
      <c r="L38" s="4"/>
      <c r="M38"/>
      <c r="N38"/>
    </row>
    <row r="39" spans="2:14" s="18" customFormat="1" ht="12" customHeight="1" x14ac:dyDescent="0.25">
      <c r="B39" s="19"/>
      <c r="C39" s="20"/>
      <c r="D39" s="20"/>
      <c r="E39"/>
      <c r="F39"/>
      <c r="G39"/>
      <c r="H39"/>
      <c r="I39"/>
      <c r="J39"/>
      <c r="K39"/>
      <c r="L39" s="4"/>
      <c r="M39"/>
      <c r="N39"/>
    </row>
    <row r="40" spans="2:14" s="18" customFormat="1" ht="12" customHeight="1" x14ac:dyDescent="0.25">
      <c r="B40" s="19"/>
      <c r="C40" s="20"/>
      <c r="D40" s="20"/>
      <c r="E40"/>
      <c r="F40"/>
      <c r="G40"/>
      <c r="H40"/>
      <c r="I40"/>
      <c r="J40"/>
      <c r="K40"/>
      <c r="L40" s="4"/>
      <c r="M40"/>
      <c r="N40"/>
    </row>
    <row r="41" spans="2:14" s="18" customFormat="1" ht="12" customHeight="1" x14ac:dyDescent="0.25">
      <c r="B41" s="19"/>
      <c r="C41" s="20"/>
      <c r="D41" s="20"/>
      <c r="E41"/>
      <c r="F41"/>
      <c r="G41"/>
      <c r="H41"/>
      <c r="I41"/>
      <c r="J41"/>
      <c r="K41"/>
      <c r="L41" s="4"/>
      <c r="M41"/>
      <c r="N41"/>
    </row>
    <row r="42" spans="2:14" s="18" customFormat="1" ht="12" customHeight="1" x14ac:dyDescent="0.25">
      <c r="B42" s="19"/>
      <c r="C42" s="20"/>
      <c r="D42" s="20"/>
      <c r="E42"/>
      <c r="F42"/>
      <c r="G42"/>
      <c r="H42"/>
      <c r="I42"/>
      <c r="J42"/>
      <c r="K42"/>
      <c r="L42" s="4"/>
      <c r="M42"/>
      <c r="N42"/>
    </row>
    <row r="43" spans="2:14" s="18" customFormat="1" ht="12" customHeight="1" x14ac:dyDescent="0.25">
      <c r="B43" s="19"/>
      <c r="C43" s="20"/>
      <c r="D43" s="20"/>
      <c r="E43"/>
      <c r="F43"/>
      <c r="G43"/>
      <c r="H43"/>
      <c r="I43"/>
      <c r="J43"/>
      <c r="K43"/>
      <c r="L43" s="4"/>
      <c r="M43"/>
      <c r="N43"/>
    </row>
    <row r="44" spans="2:14" s="18" customFormat="1" ht="12" customHeight="1" x14ac:dyDescent="0.25">
      <c r="B44" s="19"/>
      <c r="C44" s="20"/>
      <c r="D44" s="20"/>
      <c r="E44"/>
      <c r="F44"/>
      <c r="G44"/>
      <c r="H44"/>
      <c r="I44"/>
      <c r="J44"/>
      <c r="K44"/>
      <c r="L44" s="4"/>
      <c r="M44"/>
      <c r="N44"/>
    </row>
  </sheetData>
  <sheetProtection selectLockedCells="1"/>
  <dataConsolidate/>
  <mergeCells count="7">
    <mergeCell ref="A4:D4"/>
    <mergeCell ref="F4:G4"/>
    <mergeCell ref="H4:I4"/>
    <mergeCell ref="B1:E1"/>
    <mergeCell ref="H1:J1"/>
    <mergeCell ref="B2:E2"/>
    <mergeCell ref="H2:J2"/>
  </mergeCells>
  <conditionalFormatting sqref="J5:J21">
    <cfRule type="cellIs" dxfId="6" priority="3" operator="lessThan">
      <formula>0</formula>
    </cfRule>
    <cfRule type="cellIs" dxfId="5" priority="4" operator="equal">
      <formula>0</formula>
    </cfRule>
  </conditionalFormatting>
  <conditionalFormatting sqref="N1">
    <cfRule type="containsText" dxfId="4" priority="1" operator="containsText" text="DUE TODAY">
      <formula>NOT(ISERROR(SEARCH("DUE TODAY",N1)))</formula>
    </cfRule>
  </conditionalFormatting>
  <pageMargins left="0.30172413793103448" right="0.30172413793103448" top="1.0657051282051282" bottom="0.60096153846153844" header="0.3" footer="0.2483974358974359"/>
  <pageSetup orientation="portrait" r:id="rId1"/>
  <headerFooter>
    <oddHeader>&amp;L&amp;"Times New Roman,Bold"&amp;16NORTH&amp;C&amp;"Times New Roman,Bold"&amp;16BI-WKLY - LEONARD PAPER
CATERING&amp;11
Inventory - Tue, 11AM&amp;R&amp;"Times New Roman,Bold"&amp;16TUE for WED - &amp;UCH&amp;"Times New Roman,Regular"&amp;11&amp;U
&amp;10 &amp;7Printed &amp;D &amp;T</oddHeader>
    <oddFooter>&amp;C&amp;"Times New Roman,Regular"&amp;7REP: MJ LEONARD CELL: 410-458-6136 - EMAIL: mjleonard@leonardpaper.com
&amp;Z&amp;F(GV 12/16/25)&amp;R&amp;"Times New Roman,Regular"&amp;8Page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8435-9102-49C3-8128-B09AD637DD22}">
  <sheetPr codeName="Sheet9"/>
  <dimension ref="A1:P38"/>
  <sheetViews>
    <sheetView view="pageLayout" zoomScale="115" zoomScaleNormal="145" zoomScalePageLayoutView="115" workbookViewId="0">
      <selection activeCell="F6" sqref="F6"/>
    </sheetView>
  </sheetViews>
  <sheetFormatPr defaultRowHeight="13.5" customHeight="1" x14ac:dyDescent="0.25"/>
  <cols>
    <col min="1" max="1" width="5.42578125" style="98" customWidth="1"/>
    <col min="2" max="2" width="1.7109375" style="77" bestFit="1" customWidth="1"/>
    <col min="3" max="3" width="5" style="82" bestFit="1" customWidth="1"/>
    <col min="4" max="4" width="3.140625" style="82" bestFit="1" customWidth="1"/>
    <col min="5" max="5" width="21.7109375" style="73" bestFit="1" customWidth="1"/>
    <col min="6" max="6" width="5.85546875" style="73" customWidth="1"/>
    <col min="7" max="7" width="5.140625" style="73" customWidth="1"/>
    <col min="8" max="8" width="4.85546875" style="73" bestFit="1" customWidth="1"/>
    <col min="9" max="9" width="4.7109375" style="73" bestFit="1" customWidth="1"/>
    <col min="10" max="10" width="5.140625" style="73" customWidth="1"/>
    <col min="11" max="11" width="11.5703125" style="73" bestFit="1" customWidth="1"/>
    <col min="12" max="12" width="1.42578125" style="73" customWidth="1"/>
    <col min="13" max="13" width="4.140625" style="77" bestFit="1" customWidth="1"/>
    <col min="14" max="14" width="11" style="73" customWidth="1"/>
    <col min="15" max="15" width="7" style="73" bestFit="1" customWidth="1"/>
    <col min="16" max="16" width="6.5703125" style="73" bestFit="1" customWidth="1"/>
    <col min="17" max="16384" width="9.140625" style="73"/>
  </cols>
  <sheetData>
    <row r="1" spans="1:16" ht="13.5" customHeight="1" x14ac:dyDescent="0.25">
      <c r="A1" s="75" t="s">
        <v>17</v>
      </c>
      <c r="B1" s="111"/>
      <c r="C1" s="111"/>
      <c r="D1" s="111"/>
      <c r="E1" s="111"/>
      <c r="F1" s="98"/>
      <c r="G1" s="75" t="s">
        <v>18</v>
      </c>
      <c r="H1" s="111"/>
      <c r="I1" s="111"/>
      <c r="J1" s="111"/>
      <c r="M1" s="75" t="s">
        <v>205</v>
      </c>
      <c r="N1" s="76">
        <f ca="1">_xlfn.LET(_xlpm.anchor,DATE(2026,3,31),_xlpm.cycle,28,_xlpm.next,_xlpm.anchor+_xlfn.CEILING.MATH(MAX(0,TODAY()-_xlpm.anchor),_xlpm.cycle),IF(_xlpm.next=TODAY(),"DUE TODAY",_xlpm.next))</f>
        <v>46308</v>
      </c>
      <c r="O1" s="99"/>
    </row>
    <row r="2" spans="1:16" ht="13.5" customHeight="1" x14ac:dyDescent="0.25">
      <c r="A2" s="75" t="s">
        <v>33</v>
      </c>
      <c r="B2" s="111"/>
      <c r="C2" s="111"/>
      <c r="D2" s="111"/>
      <c r="E2" s="111"/>
      <c r="F2" s="98"/>
      <c r="G2" s="75" t="s">
        <v>88</v>
      </c>
      <c r="H2" s="111"/>
      <c r="I2" s="111"/>
      <c r="J2" s="111"/>
      <c r="N2" s="75"/>
      <c r="O2" s="78"/>
    </row>
    <row r="3" spans="1:16" ht="5.25" customHeight="1" x14ac:dyDescent="0.25">
      <c r="A3" s="75"/>
      <c r="B3" s="79"/>
      <c r="C3" s="80"/>
      <c r="D3" s="80"/>
      <c r="E3" s="81"/>
      <c r="F3" s="81"/>
      <c r="G3" s="77"/>
      <c r="H3" s="77"/>
      <c r="I3" s="82"/>
      <c r="J3" s="82"/>
      <c r="K3" s="81"/>
    </row>
    <row r="4" spans="1:16" ht="13.5" customHeight="1" x14ac:dyDescent="0.25">
      <c r="A4" s="107" t="s">
        <v>89</v>
      </c>
      <c r="B4" s="108"/>
      <c r="C4" s="108"/>
      <c r="D4" s="108"/>
      <c r="E4" s="96" t="s">
        <v>193</v>
      </c>
      <c r="F4" s="107" t="s">
        <v>6</v>
      </c>
      <c r="G4" s="109"/>
      <c r="H4" s="110" t="s">
        <v>0</v>
      </c>
      <c r="I4" s="110"/>
      <c r="J4" s="84" t="s">
        <v>1</v>
      </c>
      <c r="K4" s="84" t="s">
        <v>7</v>
      </c>
    </row>
    <row r="5" spans="1:16" ht="13.5" customHeight="1" x14ac:dyDescent="0.25">
      <c r="A5" s="85">
        <v>20</v>
      </c>
      <c r="B5" s="86" t="s">
        <v>252</v>
      </c>
      <c r="C5" s="87">
        <v>50</v>
      </c>
      <c r="D5" s="88" t="s">
        <v>4</v>
      </c>
      <c r="E5" s="89" t="s">
        <v>253</v>
      </c>
      <c r="F5" s="94"/>
      <c r="G5" s="93" t="s">
        <v>4</v>
      </c>
      <c r="H5" s="85">
        <v>20</v>
      </c>
      <c r="I5" s="88" t="s">
        <v>4</v>
      </c>
      <c r="J5" s="95"/>
      <c r="K5" s="93" t="s">
        <v>118</v>
      </c>
    </row>
    <row r="6" spans="1:16" ht="13.5" customHeight="1" x14ac:dyDescent="0.25">
      <c r="A6" s="85">
        <v>12</v>
      </c>
      <c r="B6" s="86" t="s">
        <v>252</v>
      </c>
      <c r="C6" s="87">
        <v>50</v>
      </c>
      <c r="D6" s="88" t="s">
        <v>4</v>
      </c>
      <c r="E6" s="89" t="s">
        <v>254</v>
      </c>
      <c r="F6" s="90"/>
      <c r="G6" s="93" t="s">
        <v>4</v>
      </c>
      <c r="H6" s="85">
        <v>12</v>
      </c>
      <c r="I6" s="88" t="s">
        <v>4</v>
      </c>
      <c r="J6" s="92"/>
      <c r="K6" s="93" t="s">
        <v>119</v>
      </c>
    </row>
    <row r="7" spans="1:16" ht="13.5" customHeight="1" x14ac:dyDescent="0.25">
      <c r="A7" s="85">
        <v>12</v>
      </c>
      <c r="B7" s="86" t="s">
        <v>252</v>
      </c>
      <c r="C7" s="87">
        <v>50</v>
      </c>
      <c r="D7" s="88" t="s">
        <v>4</v>
      </c>
      <c r="E7" s="89" t="s">
        <v>255</v>
      </c>
      <c r="F7" s="90"/>
      <c r="G7" s="93" t="s">
        <v>4</v>
      </c>
      <c r="H7" s="85">
        <v>12</v>
      </c>
      <c r="I7" s="88" t="s">
        <v>4</v>
      </c>
      <c r="J7" s="92"/>
      <c r="K7" s="93" t="s">
        <v>120</v>
      </c>
    </row>
    <row r="8" spans="1:16" ht="13.5" customHeight="1" x14ac:dyDescent="0.25">
      <c r="A8" s="85">
        <v>20</v>
      </c>
      <c r="B8" s="86" t="s">
        <v>111</v>
      </c>
      <c r="C8" s="87">
        <v>50</v>
      </c>
      <c r="D8" s="88" t="s">
        <v>2</v>
      </c>
      <c r="E8" s="89" t="s">
        <v>244</v>
      </c>
      <c r="F8" s="94"/>
      <c r="G8" s="93" t="s">
        <v>4</v>
      </c>
      <c r="H8" s="85">
        <v>6</v>
      </c>
      <c r="I8" s="88" t="s">
        <v>4</v>
      </c>
      <c r="J8" s="95"/>
      <c r="K8" s="93" t="s">
        <v>256</v>
      </c>
    </row>
    <row r="9" spans="1:16" ht="13.5" customHeight="1" x14ac:dyDescent="0.25">
      <c r="A9" s="85">
        <v>20</v>
      </c>
      <c r="B9" s="86" t="s">
        <v>111</v>
      </c>
      <c r="C9" s="87">
        <v>50</v>
      </c>
      <c r="D9" s="88" t="s">
        <v>2</v>
      </c>
      <c r="E9" s="89" t="s">
        <v>125</v>
      </c>
      <c r="F9" s="90"/>
      <c r="G9" s="93" t="s">
        <v>4</v>
      </c>
      <c r="H9" s="85">
        <v>6</v>
      </c>
      <c r="I9" s="88" t="s">
        <v>4</v>
      </c>
      <c r="J9" s="92"/>
      <c r="K9" s="93" t="s">
        <v>257</v>
      </c>
    </row>
    <row r="10" spans="1:16" ht="13.5" customHeight="1" x14ac:dyDescent="0.25">
      <c r="A10" s="85">
        <v>20</v>
      </c>
      <c r="B10" s="86" t="s">
        <v>111</v>
      </c>
      <c r="C10" s="87">
        <v>25</v>
      </c>
      <c r="D10" s="88" t="s">
        <v>2</v>
      </c>
      <c r="E10" s="89" t="s">
        <v>126</v>
      </c>
      <c r="F10" s="90"/>
      <c r="G10" s="93" t="s">
        <v>4</v>
      </c>
      <c r="H10" s="85">
        <v>6</v>
      </c>
      <c r="I10" s="88" t="s">
        <v>4</v>
      </c>
      <c r="J10" s="92"/>
      <c r="K10" s="93" t="s">
        <v>258</v>
      </c>
    </row>
    <row r="11" spans="1:16" ht="13.5" customHeight="1" x14ac:dyDescent="0.25">
      <c r="A11" s="85">
        <v>1</v>
      </c>
      <c r="B11" s="86" t="s">
        <v>111</v>
      </c>
      <c r="C11" s="87">
        <v>1000</v>
      </c>
      <c r="D11" s="88" t="s">
        <v>2</v>
      </c>
      <c r="E11" s="89" t="s">
        <v>123</v>
      </c>
      <c r="F11" s="90"/>
      <c r="G11" s="91" t="s">
        <v>3</v>
      </c>
      <c r="H11" s="85">
        <v>1.5</v>
      </c>
      <c r="I11" s="100" t="s">
        <v>3</v>
      </c>
      <c r="J11" s="92"/>
      <c r="K11" s="93" t="s">
        <v>124</v>
      </c>
    </row>
    <row r="12" spans="1:16" ht="13.5" customHeight="1" x14ac:dyDescent="0.25">
      <c r="A12" s="85">
        <v>20</v>
      </c>
      <c r="B12" s="86" t="s">
        <v>111</v>
      </c>
      <c r="C12" s="87">
        <v>50</v>
      </c>
      <c r="D12" s="88" t="s">
        <v>2</v>
      </c>
      <c r="E12" s="89" t="s">
        <v>159</v>
      </c>
      <c r="F12" s="90"/>
      <c r="G12" s="93" t="s">
        <v>4</v>
      </c>
      <c r="H12" s="85">
        <v>20</v>
      </c>
      <c r="I12" s="88" t="s">
        <v>4</v>
      </c>
      <c r="J12" s="92"/>
      <c r="K12" s="93" t="s">
        <v>160</v>
      </c>
    </row>
    <row r="13" spans="1:16" ht="13.5" customHeight="1" x14ac:dyDescent="0.25">
      <c r="A13" s="85">
        <v>20</v>
      </c>
      <c r="B13" s="86" t="s">
        <v>111</v>
      </c>
      <c r="C13" s="87">
        <v>50</v>
      </c>
      <c r="D13" s="88" t="s">
        <v>2</v>
      </c>
      <c r="E13" s="89" t="s">
        <v>161</v>
      </c>
      <c r="F13" s="90"/>
      <c r="G13" s="93" t="s">
        <v>4</v>
      </c>
      <c r="H13" s="85">
        <v>16</v>
      </c>
      <c r="I13" s="88" t="s">
        <v>4</v>
      </c>
      <c r="J13" s="92"/>
      <c r="K13" s="93" t="s">
        <v>162</v>
      </c>
    </row>
    <row r="14" spans="1:16" ht="13.5" customHeight="1" x14ac:dyDescent="0.25">
      <c r="A14" s="85">
        <v>10</v>
      </c>
      <c r="B14" s="86" t="s">
        <v>111</v>
      </c>
      <c r="C14" s="87">
        <v>100</v>
      </c>
      <c r="D14" s="88" t="s">
        <v>2</v>
      </c>
      <c r="E14" s="89" t="s">
        <v>163</v>
      </c>
      <c r="F14" s="90"/>
      <c r="G14" s="93" t="s">
        <v>4</v>
      </c>
      <c r="H14" s="85">
        <v>8</v>
      </c>
      <c r="I14" s="88" t="s">
        <v>4</v>
      </c>
      <c r="J14" s="92"/>
      <c r="K14" s="93" t="s">
        <v>164</v>
      </c>
    </row>
    <row r="15" spans="1:16" ht="13.5" customHeight="1" x14ac:dyDescent="0.25">
      <c r="A15" s="85">
        <v>4</v>
      </c>
      <c r="B15" s="86" t="s">
        <v>111</v>
      </c>
      <c r="C15" s="87">
        <v>63</v>
      </c>
      <c r="D15" s="88" t="s">
        <v>2</v>
      </c>
      <c r="E15" s="89" t="s">
        <v>128</v>
      </c>
      <c r="F15" s="90"/>
      <c r="G15" s="93" t="s">
        <v>4</v>
      </c>
      <c r="H15" s="85">
        <v>4</v>
      </c>
      <c r="I15" s="88" t="s">
        <v>4</v>
      </c>
      <c r="J15" s="92"/>
      <c r="K15" s="93" t="s">
        <v>112</v>
      </c>
      <c r="N15" s="101"/>
      <c r="O15" s="101"/>
      <c r="P15" s="101"/>
    </row>
    <row r="16" spans="1:16" ht="13.5" customHeight="1" x14ac:dyDescent="0.25">
      <c r="A16" s="85">
        <v>1</v>
      </c>
      <c r="B16" s="86" t="s">
        <v>111</v>
      </c>
      <c r="C16" s="87">
        <v>100</v>
      </c>
      <c r="D16" s="88" t="s">
        <v>2</v>
      </c>
      <c r="E16" s="89" t="s">
        <v>105</v>
      </c>
      <c r="F16" s="90"/>
      <c r="G16" s="91" t="s">
        <v>3</v>
      </c>
      <c r="H16" s="85">
        <v>2</v>
      </c>
      <c r="I16" s="100" t="s">
        <v>3</v>
      </c>
      <c r="J16" s="92"/>
      <c r="K16" s="93" t="s">
        <v>24</v>
      </c>
    </row>
    <row r="17" spans="1:11" ht="13.5" customHeight="1" x14ac:dyDescent="0.25">
      <c r="A17" s="85">
        <v>1</v>
      </c>
      <c r="B17" s="86" t="s">
        <v>111</v>
      </c>
      <c r="C17" s="87">
        <v>250</v>
      </c>
      <c r="D17" s="88" t="s">
        <v>2</v>
      </c>
      <c r="E17" s="89" t="s">
        <v>29</v>
      </c>
      <c r="F17" s="90"/>
      <c r="G17" s="91" t="s">
        <v>3</v>
      </c>
      <c r="H17" s="85">
        <v>1.5</v>
      </c>
      <c r="I17" s="100" t="s">
        <v>3</v>
      </c>
      <c r="J17" s="92"/>
      <c r="K17" s="93" t="s">
        <v>30</v>
      </c>
    </row>
    <row r="18" spans="1:11" ht="13.5" customHeight="1" x14ac:dyDescent="0.25">
      <c r="A18" s="85">
        <v>5</v>
      </c>
      <c r="B18" s="86" t="s">
        <v>111</v>
      </c>
      <c r="C18" s="87">
        <v>1000</v>
      </c>
      <c r="D18" s="88" t="s">
        <v>2</v>
      </c>
      <c r="E18" s="89" t="s">
        <v>167</v>
      </c>
      <c r="F18" s="90"/>
      <c r="G18" s="93" t="s">
        <v>38</v>
      </c>
      <c r="H18" s="85">
        <v>4</v>
      </c>
      <c r="I18" s="88" t="s">
        <v>38</v>
      </c>
      <c r="J18" s="92"/>
      <c r="K18" s="93" t="s">
        <v>168</v>
      </c>
    </row>
    <row r="19" spans="1:11" ht="13.5" customHeight="1" x14ac:dyDescent="0.25">
      <c r="A19" s="85">
        <v>5</v>
      </c>
      <c r="B19" s="86" t="s">
        <v>111</v>
      </c>
      <c r="C19" s="87">
        <v>1000</v>
      </c>
      <c r="D19" s="88" t="s">
        <v>2</v>
      </c>
      <c r="E19" s="89" t="s">
        <v>165</v>
      </c>
      <c r="F19" s="90"/>
      <c r="G19" s="93" t="s">
        <v>38</v>
      </c>
      <c r="H19" s="85">
        <v>4</v>
      </c>
      <c r="I19" s="88" t="s">
        <v>38</v>
      </c>
      <c r="J19" s="92"/>
      <c r="K19" s="93" t="s">
        <v>166</v>
      </c>
    </row>
    <row r="20" spans="1:11" ht="13.5" customHeight="1" x14ac:dyDescent="0.25">
      <c r="A20" s="85">
        <v>12</v>
      </c>
      <c r="B20" s="86" t="s">
        <v>111</v>
      </c>
      <c r="C20" s="87">
        <v>500</v>
      </c>
      <c r="D20" s="88" t="s">
        <v>2</v>
      </c>
      <c r="E20" s="89" t="s">
        <v>175</v>
      </c>
      <c r="F20" s="90"/>
      <c r="G20" s="93" t="s">
        <v>38</v>
      </c>
      <c r="H20" s="85">
        <v>8</v>
      </c>
      <c r="I20" s="88" t="s">
        <v>38</v>
      </c>
      <c r="J20" s="92"/>
      <c r="K20" s="93" t="s">
        <v>176</v>
      </c>
    </row>
    <row r="21" spans="1:11" ht="13.5" customHeight="1" x14ac:dyDescent="0.25">
      <c r="A21" s="85">
        <v>1</v>
      </c>
      <c r="B21" s="86" t="s">
        <v>111</v>
      </c>
      <c r="C21" s="87">
        <v>250</v>
      </c>
      <c r="D21" s="88" t="s">
        <v>2</v>
      </c>
      <c r="E21" s="89" t="s">
        <v>94</v>
      </c>
      <c r="F21" s="90"/>
      <c r="G21" s="91" t="s">
        <v>3</v>
      </c>
      <c r="H21" s="85">
        <v>2</v>
      </c>
      <c r="I21" s="100" t="s">
        <v>3</v>
      </c>
      <c r="J21" s="92"/>
      <c r="K21" s="93" t="s">
        <v>68</v>
      </c>
    </row>
    <row r="22" spans="1:11" ht="13.5" customHeight="1" x14ac:dyDescent="0.25">
      <c r="A22" s="85">
        <v>1</v>
      </c>
      <c r="B22" s="86" t="s">
        <v>111</v>
      </c>
      <c r="C22" s="87">
        <v>200</v>
      </c>
      <c r="D22" s="88" t="s">
        <v>2</v>
      </c>
      <c r="E22" s="89" t="s">
        <v>95</v>
      </c>
      <c r="F22" s="90"/>
      <c r="G22" s="91" t="s">
        <v>3</v>
      </c>
      <c r="H22" s="85">
        <v>0.5</v>
      </c>
      <c r="I22" s="100" t="s">
        <v>3</v>
      </c>
      <c r="J22" s="92"/>
      <c r="K22" s="93" t="s">
        <v>81</v>
      </c>
    </row>
    <row r="23" spans="1:11" ht="13.5" customHeight="1" x14ac:dyDescent="0.25">
      <c r="A23" s="85">
        <v>10</v>
      </c>
      <c r="B23" s="86" t="s">
        <v>111</v>
      </c>
      <c r="C23" s="87">
        <v>100</v>
      </c>
      <c r="D23" s="88" t="s">
        <v>2</v>
      </c>
      <c r="E23" s="89" t="s">
        <v>48</v>
      </c>
      <c r="F23" s="90"/>
      <c r="G23" s="93" t="s">
        <v>5</v>
      </c>
      <c r="H23" s="85">
        <v>12</v>
      </c>
      <c r="I23" s="88" t="s">
        <v>5</v>
      </c>
      <c r="J23" s="92"/>
      <c r="K23" s="93" t="s">
        <v>46</v>
      </c>
    </row>
    <row r="24" spans="1:11" ht="13.5" customHeight="1" x14ac:dyDescent="0.25">
      <c r="A24" s="85">
        <v>1</v>
      </c>
      <c r="B24" s="86" t="s">
        <v>111</v>
      </c>
      <c r="C24" s="87">
        <v>2000</v>
      </c>
      <c r="D24" s="88" t="s">
        <v>2</v>
      </c>
      <c r="E24" s="89" t="s">
        <v>171</v>
      </c>
      <c r="F24" s="90"/>
      <c r="G24" s="93" t="s">
        <v>38</v>
      </c>
      <c r="H24" s="85">
        <v>0.5</v>
      </c>
      <c r="I24" s="88" t="s">
        <v>38</v>
      </c>
      <c r="J24" s="92"/>
      <c r="K24" s="93" t="s">
        <v>172</v>
      </c>
    </row>
    <row r="25" spans="1:11" ht="13.5" customHeight="1" x14ac:dyDescent="0.25">
      <c r="A25" s="85">
        <v>1</v>
      </c>
      <c r="B25" s="86" t="s">
        <v>111</v>
      </c>
      <c r="C25" s="87">
        <v>1</v>
      </c>
      <c r="D25" s="88" t="s">
        <v>2</v>
      </c>
      <c r="E25" s="89" t="s">
        <v>40</v>
      </c>
      <c r="F25" s="90"/>
      <c r="G25" s="93" t="s">
        <v>2</v>
      </c>
      <c r="H25" s="85">
        <v>1.5</v>
      </c>
      <c r="I25" s="88" t="s">
        <v>2</v>
      </c>
      <c r="J25" s="92"/>
      <c r="K25" s="93" t="s">
        <v>83</v>
      </c>
    </row>
    <row r="26" spans="1:11" ht="13.5" customHeight="1" x14ac:dyDescent="0.25">
      <c r="A26" s="85">
        <v>1</v>
      </c>
      <c r="B26" s="86" t="s">
        <v>111</v>
      </c>
      <c r="C26" s="87">
        <v>1000</v>
      </c>
      <c r="D26" s="88" t="s">
        <v>2</v>
      </c>
      <c r="E26" s="89" t="s">
        <v>34</v>
      </c>
      <c r="F26" s="90"/>
      <c r="G26" s="91" t="s">
        <v>3</v>
      </c>
      <c r="H26" s="85">
        <v>0.5</v>
      </c>
      <c r="I26" s="100" t="s">
        <v>3</v>
      </c>
      <c r="J26" s="92"/>
      <c r="K26" s="93" t="s">
        <v>117</v>
      </c>
    </row>
    <row r="27" spans="1:11" ht="13.5" customHeight="1" x14ac:dyDescent="0.25">
      <c r="A27" s="85">
        <v>1</v>
      </c>
      <c r="B27" s="86" t="s">
        <v>111</v>
      </c>
      <c r="C27" s="87">
        <v>5000</v>
      </c>
      <c r="D27" s="88" t="s">
        <v>2</v>
      </c>
      <c r="E27" s="89" t="s">
        <v>49</v>
      </c>
      <c r="F27" s="90"/>
      <c r="G27" s="93" t="s">
        <v>5</v>
      </c>
      <c r="H27" s="85">
        <v>3</v>
      </c>
      <c r="I27" s="88" t="s">
        <v>5</v>
      </c>
      <c r="J27" s="92"/>
      <c r="K27" s="93" t="s">
        <v>58</v>
      </c>
    </row>
    <row r="28" spans="1:11" ht="13.5" customHeight="1" x14ac:dyDescent="0.25">
      <c r="A28" s="85">
        <v>1</v>
      </c>
      <c r="B28" s="86" t="s">
        <v>111</v>
      </c>
      <c r="C28" s="87">
        <v>50</v>
      </c>
      <c r="D28" s="88" t="s">
        <v>2</v>
      </c>
      <c r="E28" s="89" t="s">
        <v>41</v>
      </c>
      <c r="F28" s="90"/>
      <c r="G28" s="93" t="s">
        <v>38</v>
      </c>
      <c r="H28" s="85">
        <v>1</v>
      </c>
      <c r="I28" s="88" t="s">
        <v>38</v>
      </c>
      <c r="J28" s="92"/>
      <c r="K28" s="93" t="s">
        <v>42</v>
      </c>
    </row>
    <row r="29" spans="1:11" ht="13.5" customHeight="1" x14ac:dyDescent="0.25">
      <c r="A29" s="85">
        <v>1</v>
      </c>
      <c r="B29" s="86" t="s">
        <v>111</v>
      </c>
      <c r="C29" s="87">
        <v>12</v>
      </c>
      <c r="D29" s="88" t="s">
        <v>2</v>
      </c>
      <c r="E29" s="89" t="s">
        <v>155</v>
      </c>
      <c r="F29" s="90"/>
      <c r="G29" s="93" t="s">
        <v>2</v>
      </c>
      <c r="H29" s="85">
        <v>6</v>
      </c>
      <c r="I29" s="88" t="s">
        <v>2</v>
      </c>
      <c r="J29" s="92"/>
      <c r="K29" s="93" t="s">
        <v>156</v>
      </c>
    </row>
    <row r="30" spans="1:11" ht="13.5" customHeight="1" x14ac:dyDescent="0.25">
      <c r="A30" s="85">
        <v>1</v>
      </c>
      <c r="B30" s="86" t="s">
        <v>111</v>
      </c>
      <c r="C30" s="87">
        <v>100</v>
      </c>
      <c r="D30" s="88" t="s">
        <v>2</v>
      </c>
      <c r="E30" s="89" t="s">
        <v>43</v>
      </c>
      <c r="F30" s="90"/>
      <c r="G30" s="93" t="s">
        <v>38</v>
      </c>
      <c r="H30" s="85">
        <v>0.5</v>
      </c>
      <c r="I30" s="88" t="s">
        <v>38</v>
      </c>
      <c r="J30" s="92"/>
      <c r="K30" s="93" t="s">
        <v>44</v>
      </c>
    </row>
    <row r="31" spans="1:11" ht="13.5" customHeight="1" x14ac:dyDescent="0.25">
      <c r="A31" s="85">
        <v>20</v>
      </c>
      <c r="B31" s="86" t="s">
        <v>111</v>
      </c>
      <c r="C31" s="87">
        <v>25</v>
      </c>
      <c r="D31" s="88" t="s">
        <v>2</v>
      </c>
      <c r="E31" s="89" t="s">
        <v>151</v>
      </c>
      <c r="F31" s="90"/>
      <c r="G31" s="93" t="s">
        <v>2</v>
      </c>
      <c r="H31" s="85">
        <v>10</v>
      </c>
      <c r="I31" s="88" t="s">
        <v>2</v>
      </c>
      <c r="J31" s="92"/>
      <c r="K31" s="93" t="s">
        <v>152</v>
      </c>
    </row>
    <row r="32" spans="1:11" ht="13.5" customHeight="1" x14ac:dyDescent="0.25">
      <c r="A32" s="85">
        <v>1</v>
      </c>
      <c r="B32" s="86" t="s">
        <v>111</v>
      </c>
      <c r="C32" s="87">
        <v>2</v>
      </c>
      <c r="D32" s="88" t="s">
        <v>2</v>
      </c>
      <c r="E32" s="89" t="s">
        <v>31</v>
      </c>
      <c r="F32" s="90"/>
      <c r="G32" s="93" t="s">
        <v>2</v>
      </c>
      <c r="H32" s="85">
        <v>2</v>
      </c>
      <c r="I32" s="88" t="s">
        <v>2</v>
      </c>
      <c r="J32" s="92"/>
      <c r="K32" s="93" t="s">
        <v>13</v>
      </c>
    </row>
    <row r="33" spans="1:11" ht="13.5" customHeight="1" x14ac:dyDescent="0.25">
      <c r="A33" s="85">
        <v>1</v>
      </c>
      <c r="B33" s="86" t="s">
        <v>111</v>
      </c>
      <c r="C33" s="87">
        <v>4</v>
      </c>
      <c r="D33" s="88" t="s">
        <v>2</v>
      </c>
      <c r="E33" s="89" t="s">
        <v>28</v>
      </c>
      <c r="F33" s="90"/>
      <c r="G33" s="93" t="s">
        <v>2</v>
      </c>
      <c r="H33" s="85">
        <v>6</v>
      </c>
      <c r="I33" s="88" t="s">
        <v>2</v>
      </c>
      <c r="J33" s="92"/>
      <c r="K33" s="93" t="s">
        <v>67</v>
      </c>
    </row>
    <row r="34" spans="1:11" ht="13.5" customHeight="1" x14ac:dyDescent="0.25">
      <c r="A34" s="85">
        <v>4</v>
      </c>
      <c r="B34" s="86" t="s">
        <v>111</v>
      </c>
      <c r="C34" s="87">
        <v>128</v>
      </c>
      <c r="D34" s="88" t="s">
        <v>144</v>
      </c>
      <c r="E34" s="89" t="s">
        <v>145</v>
      </c>
      <c r="F34" s="90"/>
      <c r="G34" s="93" t="s">
        <v>2</v>
      </c>
      <c r="H34" s="85">
        <v>1</v>
      </c>
      <c r="I34" s="88" t="s">
        <v>2</v>
      </c>
      <c r="J34" s="92"/>
      <c r="K34" s="93" t="s">
        <v>146</v>
      </c>
    </row>
    <row r="35" spans="1:11" ht="13.5" customHeight="1" x14ac:dyDescent="0.25">
      <c r="A35" s="85">
        <v>3</v>
      </c>
      <c r="B35" s="86" t="s">
        <v>111</v>
      </c>
      <c r="C35" s="87">
        <v>80</v>
      </c>
      <c r="D35" s="88" t="s">
        <v>144</v>
      </c>
      <c r="E35" s="89" t="s">
        <v>147</v>
      </c>
      <c r="F35" s="90"/>
      <c r="G35" s="93" t="s">
        <v>2</v>
      </c>
      <c r="H35" s="85">
        <v>3</v>
      </c>
      <c r="I35" s="88" t="s">
        <v>2</v>
      </c>
      <c r="J35" s="92"/>
      <c r="K35" s="93" t="s">
        <v>148</v>
      </c>
    </row>
    <row r="36" spans="1:11" ht="13.5" customHeight="1" x14ac:dyDescent="0.25">
      <c r="A36" s="85">
        <v>8</v>
      </c>
      <c r="B36" s="86" t="s">
        <v>111</v>
      </c>
      <c r="C36" s="87">
        <v>64</v>
      </c>
      <c r="D36" s="88" t="s">
        <v>144</v>
      </c>
      <c r="E36" s="89" t="s">
        <v>149</v>
      </c>
      <c r="F36" s="90"/>
      <c r="G36" s="93" t="s">
        <v>2</v>
      </c>
      <c r="H36" s="85">
        <v>4</v>
      </c>
      <c r="I36" s="88" t="s">
        <v>2</v>
      </c>
      <c r="J36" s="92"/>
      <c r="K36" s="93" t="s">
        <v>150</v>
      </c>
    </row>
    <row r="38" spans="1:11" ht="13.5" customHeight="1" x14ac:dyDescent="0.25">
      <c r="A38" s="80" t="s">
        <v>206</v>
      </c>
      <c r="E38" s="80"/>
    </row>
  </sheetData>
  <sheetProtection algorithmName="SHA-512" hashValue="YPAxa9iW8ZetFOztaUglLhZAugGwdeopw0e0TGruFFMczkpM39wmuix3Z8lcZ1X53MeRckmhKCc7vu2NLiO1HA==" saltValue="Eee9rfvCdvITpDV7ChC+yQ==" spinCount="100000" sheet="1" selectLockedCells="1"/>
  <dataConsolidate/>
  <mergeCells count="7">
    <mergeCell ref="H1:J1"/>
    <mergeCell ref="B1:E1"/>
    <mergeCell ref="B2:E2"/>
    <mergeCell ref="A4:D4"/>
    <mergeCell ref="F4:G4"/>
    <mergeCell ref="H4:I4"/>
    <mergeCell ref="H2:J2"/>
  </mergeCells>
  <conditionalFormatting sqref="J5:J36">
    <cfRule type="cellIs" dxfId="3" priority="2" operator="lessThan">
      <formula>0</formula>
    </cfRule>
    <cfRule type="cellIs" dxfId="2" priority="3" operator="equal">
      <formula>0</formula>
    </cfRule>
  </conditionalFormatting>
  <conditionalFormatting sqref="N1">
    <cfRule type="containsText" dxfId="1" priority="1" operator="containsText" text="DUE TODAY">
      <formula>NOT(ISERROR(SEARCH("DUE TODAY",N1)))</formula>
    </cfRule>
  </conditionalFormatting>
  <conditionalFormatting sqref="O1">
    <cfRule type="expression" dxfId="0" priority="4">
      <formula>O1=TODAY()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Narrow,Bold"&amp;14MONTHLY - LEONARD PAPER
&amp;8Inventory - Tue, 11AM&amp;R&amp;"Aptos Narrow,Bold"&amp;14TUE for WED - &amp;UCH&amp;"Aptos Narrow,Regular"&amp;U
&amp;7Printed &amp;D &amp;T</oddHeader>
    <oddFooter>&amp;C&amp;"Aptos Narrow,Regular"&amp;7REP: MJ LEONARD CELL: 410-458-6136 - EMAIL: mjleonard@leonardpaper.com
&amp;Z&amp;F (GV 8/14/26)&amp;R&amp;"Aptos Narrow,Regular"&amp;7&amp;P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5C618CB0-ACD8-4801-8ACD-4EBB23819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Leonard</vt:lpstr>
      <vt:lpstr>Sheet1</vt:lpstr>
      <vt:lpstr>1 V.2</vt:lpstr>
      <vt:lpstr>OLD-Bi-Wkly Calculator</vt:lpstr>
      <vt:lpstr>OLD-Monthly calculcator</vt:lpstr>
      <vt:lpstr>Usage</vt:lpstr>
      <vt:lpstr>Leonard - Bi-Weekly</vt:lpstr>
      <vt:lpstr>Catering - Bi-Weekly</vt:lpstr>
      <vt:lpstr>Leonard -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2026-08-18T15:49:44Z</cp:lastPrinted>
  <dcterms:created xsi:type="dcterms:W3CDTF">2018-10-12T16:08:58Z</dcterms:created>
  <dcterms:modified xsi:type="dcterms:W3CDTF">2026-09-22T13:28:47Z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